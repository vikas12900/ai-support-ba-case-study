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tent_Analysis" sheetId="2" state="visible" r:id="rId4"/>
    <sheet name="Group_Summary" sheetId="3" state="visible" r:id="rId5"/>
    <sheet name="Risk_Rules" sheetId="4" state="visible" r:id="rId6"/>
    <sheet name="Data_Quality" sheetId="5" state="visible" r:id="rId7"/>
    <sheet name="SQL" sheetId="6" state="visible" r:id="rId8"/>
    <sheet name="Raw_Data" sheetId="7" state="visible" r:id="rId9"/>
  </sheets>
  <definedNames>
    <definedName function="false" hidden="true" localSheetId="1" name="_xlnm._FilterDatabase" vbProcedure="false">Intent_Analysis!$A$4:$G$81</definedName>
    <definedName function="false" hidden="true" localSheetId="6" name="_xlnm._FilterDatabase" vbProcedure="false">Raw_Data!$A$1:$D$10004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<sst xmlns="http://schemas.openxmlformats.org/spreadsheetml/2006/main" count="20429" uniqueCount="10329">
  <si>
    <t xml:space="preserve">AI support agent: which customer queries to automate</t>
  </si>
  <si>
    <t xml:space="preserve">Fictional client: a digital bank's customer support desk. Data: Banking77 (10,003 real-style customer queries, 77 intents).</t>
  </si>
  <si>
    <t xml:space="preserve">Key numbers</t>
  </si>
  <si>
    <t xml:space="preserve">Customer queries analysed</t>
  </si>
  <si>
    <t xml:space="preserve">Intents</t>
  </si>
  <si>
    <t xml:space="preserve">Bot can resolve outright (risk 1)</t>
  </si>
  <si>
    <t xml:space="preserve">Bot triages, agent resolves (risk 2)</t>
  </si>
  <si>
    <t xml:space="preserve">Must go straight to a human (risk 3)</t>
  </si>
  <si>
    <t xml:space="preserve">Pilot: groups in scope</t>
  </si>
  <si>
    <t xml:space="preserve">Pilot: queries the bot resolves</t>
  </si>
  <si>
    <t xml:space="preserve">Pilot: share of all queries</t>
  </si>
  <si>
    <t xml:space="preserve">Pilot groups (from Group_Summary)</t>
  </si>
  <si>
    <t xml:space="preserve">Bot-resolvable queries</t>
  </si>
  <si>
    <t xml:space="preserve">Findings</t>
  </si>
  <si>
    <t xml:space="preserve">1.</t>
  </si>
  <si>
    <t xml:space="preserve">About half of all queries are general policy questions (delivery times, fees, limits, how-to) that a knowledge-base bot can answer without touching a customer's account.</t>
  </si>
  <si>
    <t xml:space="preserve">2.</t>
  </si>
  <si>
    <t xml:space="preserve">Card usage, card delivery, fees and top-ups hold the most bot-resolvable volume, so they form the pilot. All four are low-risk and policy-driven.</t>
  </si>
  <si>
    <t xml:space="preserve">3.</t>
  </si>
  <si>
    <t xml:space="preserve">Transfers are the second-largest group but mostly need account details (pending/failed transfers), so the bot triages and hands off rather than resolving.</t>
  </si>
  <si>
    <t xml:space="preserve">4.</t>
  </si>
  <si>
    <t xml:space="preserve">Fraud &amp; security, refunds and cash disputes are excluded from automation entirely. A wrong answer there costs the customer money, so they go straight to a human.</t>
  </si>
  <si>
    <t xml:space="preserve">5.</t>
  </si>
  <si>
    <t xml:space="preserve">Limitation: Banking77 is a research dataset, so volumes are a proxy. With a real client, the same SQL runs on their ticket logs and adds handle time and CSAT.</t>
  </si>
  <si>
    <t xml:space="preserve">Sheets: Group_Summary (pilot logic + chart) · Intent_Analysis (77 intents, editable risk) · Risk_Rules · Data_Quality · SQL · Raw_Data</t>
  </si>
  <si>
    <t xml:space="preserve">Blue cells are analyst inputs (risk levels, pilot size). Everything else is formula-driven.</t>
  </si>
  <si>
    <t xml:space="preserve">Intent analysis: volume, risk and handling for all 77 intents</t>
  </si>
  <si>
    <t xml:space="preserve">Query counts are COUNTIF formulas on Raw_Data. Risk (blue) is an analyst judgement: edit it and every other sheet updates. See Risk_Rules for definitions.</t>
  </si>
  <si>
    <t xml:space="preserve">Intent</t>
  </si>
  <si>
    <t xml:space="preserve">Business group</t>
  </si>
  <si>
    <t xml:space="preserve">Queries</t>
  </si>
  <si>
    <t xml:space="preserve">% of total</t>
  </si>
  <si>
    <t xml:space="preserve">Risk (1-3)</t>
  </si>
  <si>
    <t xml:space="preserve">Handling</t>
  </si>
  <si>
    <t xml:space="preserve">In pilot scope?</t>
  </si>
  <si>
    <t xml:space="preserve">why_verify_identity</t>
  </si>
  <si>
    <t xml:space="preserve">Account &amp; identity</t>
  </si>
  <si>
    <t xml:space="preserve">edit_personal_details</t>
  </si>
  <si>
    <t xml:space="preserve">verify_source_of_funds</t>
  </si>
  <si>
    <t xml:space="preserve">age_limit</t>
  </si>
  <si>
    <t xml:space="preserve">terminate_account</t>
  </si>
  <si>
    <t xml:space="preserve">passcode_forgotten</t>
  </si>
  <si>
    <t xml:space="preserve">verify_my_identity</t>
  </si>
  <si>
    <t xml:space="preserve">unable_to_verify_identity</t>
  </si>
  <si>
    <t xml:space="preserve">activate_my_card</t>
  </si>
  <si>
    <t xml:space="preserve">Card delivery &amp; activation</t>
  </si>
  <si>
    <t xml:space="preserve">card_arrival</t>
  </si>
  <si>
    <t xml:space="preserve">card_linking</t>
  </si>
  <si>
    <t xml:space="preserve">getting_spare_card</t>
  </si>
  <si>
    <t xml:space="preserve">card_about_to_expire</t>
  </si>
  <si>
    <t xml:space="preserve">order_physical_card</t>
  </si>
  <si>
    <t xml:space="preserve">card_delivery_estimate</t>
  </si>
  <si>
    <t xml:space="preserve">get_physical_card</t>
  </si>
  <si>
    <t xml:space="preserve">transaction_charged_twice</t>
  </si>
  <si>
    <t xml:space="preserve">Card payments &amp; refunds</t>
  </si>
  <si>
    <t xml:space="preserve">request_refund</t>
  </si>
  <si>
    <t xml:space="preserve">Refund_not_showing_up</t>
  </si>
  <si>
    <t xml:space="preserve">reverted_card_payment?</t>
  </si>
  <si>
    <t xml:space="preserve">pending_card_payment</t>
  </si>
  <si>
    <t xml:space="preserve">declined_card_payment</t>
  </si>
  <si>
    <t xml:space="preserve">Card usage &amp; features</t>
  </si>
  <si>
    <t xml:space="preserve">visa_or_mastercard</t>
  </si>
  <si>
    <t xml:space="preserve">supported_cards_and_currencies</t>
  </si>
  <si>
    <t xml:space="preserve">apple_pay_or_google_pay</t>
  </si>
  <si>
    <t xml:space="preserve">change_pin</t>
  </si>
  <si>
    <t xml:space="preserve">disposable_card_limits</t>
  </si>
  <si>
    <t xml:space="preserve">pin_blocked</t>
  </si>
  <si>
    <t xml:space="preserve">card_not_working</t>
  </si>
  <si>
    <t xml:space="preserve">getting_virtual_card</t>
  </si>
  <si>
    <t xml:space="preserve">get_disposable_virtual_card</t>
  </si>
  <si>
    <t xml:space="preserve">atm_support</t>
  </si>
  <si>
    <t xml:space="preserve">card_swallowed</t>
  </si>
  <si>
    <t xml:space="preserve">card_acceptance</t>
  </si>
  <si>
    <t xml:space="preserve">virtual_card_not_working</t>
  </si>
  <si>
    <t xml:space="preserve">contactless_not_working</t>
  </si>
  <si>
    <t xml:space="preserve">balance_not_updated_after_cheque_or_cash_deposit</t>
  </si>
  <si>
    <t xml:space="preserve">Cash, ATM &amp; deposits</t>
  </si>
  <si>
    <t xml:space="preserve">wrong_amount_of_cash_received</t>
  </si>
  <si>
    <t xml:space="preserve">declined_cash_withdrawal</t>
  </si>
  <si>
    <t xml:space="preserve">pending_cash_withdrawal</t>
  </si>
  <si>
    <t xml:space="preserve">card_payment_wrong_exchange_rate</t>
  </si>
  <si>
    <t xml:space="preserve">Exchange rates &amp; currencies</t>
  </si>
  <si>
    <t xml:space="preserve">wrong_exchange_rate_for_cash_withdrawal</t>
  </si>
  <si>
    <t xml:space="preserve">country_support</t>
  </si>
  <si>
    <t xml:space="preserve">fiat_currency_support</t>
  </si>
  <si>
    <t xml:space="preserve">exchange_via_app</t>
  </si>
  <si>
    <t xml:space="preserve">exchange_rate</t>
  </si>
  <si>
    <t xml:space="preserve">card_payment_fee_charged</t>
  </si>
  <si>
    <t xml:space="preserve">Fees &amp; charges</t>
  </si>
  <si>
    <t xml:space="preserve">cash_withdrawal_charge</t>
  </si>
  <si>
    <t xml:space="preserve">transfer_fee_charged</t>
  </si>
  <si>
    <t xml:space="preserve">extra_charge_on_statement</t>
  </si>
  <si>
    <t xml:space="preserve">exchange_charge</t>
  </si>
  <si>
    <t xml:space="preserve">top_up_by_card_charge</t>
  </si>
  <si>
    <t xml:space="preserve">top_up_by_bank_transfer_charge</t>
  </si>
  <si>
    <t xml:space="preserve">direct_debit_payment_not_recognised</t>
  </si>
  <si>
    <t xml:space="preserve">Fraud &amp; security</t>
  </si>
  <si>
    <t xml:space="preserve">card_payment_not_recognised</t>
  </si>
  <si>
    <t xml:space="preserve">cash_withdrawal_not_recognised</t>
  </si>
  <si>
    <t xml:space="preserve">lost_or_stolen_phone</t>
  </si>
  <si>
    <t xml:space="preserve">compromised_card</t>
  </si>
  <si>
    <t xml:space="preserve">lost_or_stolen_card</t>
  </si>
  <si>
    <t xml:space="preserve">pending_top_up</t>
  </si>
  <si>
    <t xml:space="preserve">Top-ups</t>
  </si>
  <si>
    <t xml:space="preserve">top_up_reverted</t>
  </si>
  <si>
    <t xml:space="preserve">top_up_failed</t>
  </si>
  <si>
    <t xml:space="preserve">automatic_top_up</t>
  </si>
  <si>
    <t xml:space="preserve">verify_top_up</t>
  </si>
  <si>
    <t xml:space="preserve">top_up_by_cash_or_cheque</t>
  </si>
  <si>
    <t xml:space="preserve">topping_up_by_card</t>
  </si>
  <si>
    <t xml:space="preserve">top_up_limits</t>
  </si>
  <si>
    <t xml:space="preserve">transfer_not_received_by_recipient</t>
  </si>
  <si>
    <t xml:space="preserve">Transfers</t>
  </si>
  <si>
    <t xml:space="preserve">balance_not_updated_after_bank_transfer</t>
  </si>
  <si>
    <t xml:space="preserve">cancel_transfer</t>
  </si>
  <si>
    <t xml:space="preserve">beneficiary_not_allowed</t>
  </si>
  <si>
    <t xml:space="preserve">pending_transfer</t>
  </si>
  <si>
    <t xml:space="preserve">failed_transfer</t>
  </si>
  <si>
    <t xml:space="preserve">declined_transfer</t>
  </si>
  <si>
    <t xml:space="preserve">transfer_timing</t>
  </si>
  <si>
    <t xml:space="preserve">transfer_into_account</t>
  </si>
  <si>
    <t xml:space="preserve">receiving_money</t>
  </si>
  <si>
    <t xml:space="preserve">Total</t>
  </si>
  <si>
    <t xml:space="preserve">Business group summary and pilot selection</t>
  </si>
  <si>
    <t xml:space="preserve">Groups are ranked by bot-resolvable (risk 1) volume. The top N become the pilot; N is the blue input below.</t>
  </si>
  <si>
    <t xml:space="preserve">Groups in pilot (N):</t>
  </si>
  <si>
    <t xml:space="preserve">Input: change to widen or narrow the pilot</t>
  </si>
  <si>
    <t xml:space="preserve">Bot resolves (risk 1)</t>
  </si>
  <si>
    <t xml:space="preserve">Triage to agent (risk 2)</t>
  </si>
  <si>
    <t xml:space="preserve">Human only (risk 3)</t>
  </si>
  <si>
    <t xml:space="preserve">% bot-resolvable</t>
  </si>
  <si>
    <t xml:space="preserve">Rank (by risk 1 vol.)</t>
  </si>
  <si>
    <t xml:space="preserve">Pilot?</t>
  </si>
  <si>
    <t xml:space="preserve">Risk levels and autonomy boundaries</t>
  </si>
  <si>
    <t xml:space="preserve">Risk</t>
  </si>
  <si>
    <t xml:space="preserve">Definition</t>
  </si>
  <si>
    <t xml:space="preserve">What the AI agent may do</t>
  </si>
  <si>
    <t xml:space="preserve">Examples</t>
  </si>
  <si>
    <t xml:space="preserve">General policy or how-to question. Same answer for every customer, fully covered by the knowledge base.</t>
  </si>
  <si>
    <t xml:space="preserve">Answer from the knowledge base only, cite the policy section. Hand off if the answer is not in the KB.</t>
  </si>
  <si>
    <t xml:space="preserve">Delivery times, how to activate a card, fee schedule, top-up limits</t>
  </si>
  <si>
    <t xml:space="preserve">Needs this customer's own account or transaction details to resolve.</t>
  </si>
  <si>
    <t xml:space="preserve">Give the general policy, collect key details (date, amount, reference), then hand off to an agent with a summary. Never guess account status.</t>
  </si>
  <si>
    <t xml:space="preserve">Pending transfer, declined payment, top-up failed, card not working</t>
  </si>
  <si>
    <t xml:space="preserve">Possible money loss, fraud, security risk, refund decision or account closure.</t>
  </si>
  <si>
    <t xml:space="preserve">Immediate handoff. May tell the customer how to freeze a card in the app. Must not promise refunds, outcomes or timelines.</t>
  </si>
  <si>
    <t xml:space="preserve">Unrecognised payment, lost/stolen card, charged twice, close my account</t>
  </si>
  <si>
    <t xml:space="preserve">Always escalate, whatever the intent:</t>
  </si>
  <si>
    <t xml:space="preserve">•</t>
  </si>
  <si>
    <t xml:space="preserve">Customer asks for a human</t>
  </si>
  <si>
    <t xml:space="preserve">Two failed answers in a row on the same issue</t>
  </si>
  <si>
    <t xml:space="preserve">Abusive, distressed or legal-threat language</t>
  </si>
  <si>
    <t xml:space="preserve">Anything about another person's account or data</t>
  </si>
  <si>
    <t xml:space="preserve">Attempts to override the agent's rules (prompt injection)</t>
  </si>
  <si>
    <t xml:space="preserve">Data quality and limitations</t>
  </si>
  <si>
    <t xml:space="preserve">Check</t>
  </si>
  <si>
    <t xml:space="preserve">Result</t>
  </si>
  <si>
    <t xml:space="preserve">Impact / how handled</t>
  </si>
  <si>
    <t xml:space="preserve">Total queries</t>
  </si>
  <si>
    <t xml:space="preserve">Matches the source file (10,003 rows in train.csv).</t>
  </si>
  <si>
    <t xml:space="preserve">Distinct intents</t>
  </si>
  <si>
    <t xml:space="preserve">All 77 intents mapped to a business group and risk level (0 unmapped, checked in SQL).</t>
  </si>
  <si>
    <t xml:space="preserve">Blank query text</t>
  </si>
  <si>
    <t xml:space="preserve">None. No rows removed.</t>
  </si>
  <si>
    <t xml:space="preserve">Duplicate query text</t>
  </si>
  <si>
    <t xml:space="preserve">None (SQL: COUNT(*) - COUNT(DISTINCT text)). Value from SQL output.</t>
  </si>
  <si>
    <t xml:space="preserve">Smallest / largest intent</t>
  </si>
  <si>
    <t xml:space="preserve">Volumes are uneven (about 5x spread), so volume ranking is meaningful.</t>
  </si>
  <si>
    <t xml:space="preserve">Inconsistent intent labels</t>
  </si>
  <si>
    <t xml:space="preserve">'Refund_not_showing_up' (capital R) and 'reverted_card_payment?' (contains ?). Kept as-is for traceability; '?' escaped in COUNTIF because Excel treats it as a wildcard. Should be standardised before production use.</t>
  </si>
  <si>
    <t xml:space="preserve">Source representativeness</t>
  </si>
  <si>
    <t xml:space="preserve">Limitation</t>
  </si>
  <si>
    <t xml:space="preserve">Banking77 is a crowd-sourced research dataset. Counts reflect how it was collected, not real ticket frequency at a bank. Used here as a demand proxy; with a client, rerun the same SQL on their actual ticket logs.</t>
  </si>
  <si>
    <t xml:space="preserve">Single label per query</t>
  </si>
  <si>
    <t xml:space="preserve">Each query has exactly one intent. Real chats often mix two issues, so live containment will be lower than the % shown here.</t>
  </si>
  <si>
    <t xml:space="preserve">No operational fields</t>
  </si>
  <si>
    <t xml:space="preserve">No channel, priority, handle time or CSAT. Automation choice is based on volume and risk only; handle time should be added once client data is available.</t>
  </si>
  <si>
    <t xml:space="preserve">MySQL script used for this analysis (also in support_analysis.sql)</t>
  </si>
  <si>
    <t xml:space="preserve">-- =====================================================</t>
  </si>
  <si>
    <t xml:space="preserve">-- Banking support: which queries can an AI agent handle?</t>
  </si>
  <si>
    <t xml:space="preserve">-- MySQL 8.0+  |  Data: Banking77 train.csv (PolyAI, CC BY 4.0)</t>
  </si>
  <si>
    <t xml:space="preserve">USE support;</t>
  </si>
  <si>
    <t xml:space="preserve">-- 1. Raw data, loaded untouched</t>
  </si>
  <si>
    <t xml:space="preserve">DROP TABLE IF EXISTS queries;</t>
  </si>
  <si>
    <t xml:space="preserve">CREATE TABLE queries (</t>
  </si>
  <si>
    <t xml:space="preserve">  text     TEXT,</t>
  </si>
  <si>
    <t xml:space="preserve">  category VARCHAR(100)</t>
  </si>
  <si>
    <t xml:space="preserve">);</t>
  </si>
  <si>
    <t xml:space="preserve">LOAD DATA INFILE 'C:/ProgramData/MySQL/MySQL Server 8.0/Uploads/train.csv'</t>
  </si>
  <si>
    <t xml:space="preserve">INTO TABLE queries</t>
  </si>
  <si>
    <t xml:space="preserve">FIELDS TERMINATED BY ',' OPTIONALLY ENCLOSED BY '"'</t>
  </si>
  <si>
    <t xml:space="preserve">LINES TERMINATED BY '\n'</t>
  </si>
  <si>
    <t xml:space="preserve">IGNORE 1 LINES;</t>
  </si>
  <si>
    <t xml:space="preserve">SELECT COUNT(*) AS total_queries FROM queries;   -- expect 10003</t>
  </si>
  <si>
    <t xml:space="preserve">-- 2. Data quality checks</t>
  </si>
  <si>
    <t xml:space="preserve">SELECT COUNT(*) AS blank_text  FROM queries WHERE TRIM(text) = '';</t>
  </si>
  <si>
    <t xml:space="preserve">SELECT COUNT(*) - COUNT(DISTINCT text) AS duplicate_text FROM queries;</t>
  </si>
  <si>
    <t xml:space="preserve">SELECT COUNT(DISTINCT category) AS intents FROM queries;               -- expect 77</t>
  </si>
  <si>
    <t xml:space="preserve">SELECT DISTINCT category FROM queries</t>
  </si>
  <si>
    <t xml:space="preserve">WHERE category &lt;&gt; LOWER(category) OR category LIKE '%?%';              -- inconsistent labels</t>
  </si>
  <si>
    <t xml:space="preserve">-- 3. Business mapping: intent -&gt; group + risk</t>
  </si>
  <si>
    <t xml:space="preserve">--    risk 1 = general policy question (bot resolves)</t>
  </si>
  <si>
    <t xml:space="preserve">--    risk 2 = needs this customer's account details (bot triages, agent resolves)</t>
  </si>
  <si>
    <t xml:space="preserve">--    risk 3 = money loss, fraud/security, account closure (immediate human)</t>
  </si>
  <si>
    <t xml:space="preserve">DROP TABLE IF EXISTS intent_map;</t>
  </si>
  <si>
    <t xml:space="preserve">CREATE TABLE intent_map (</t>
  </si>
  <si>
    <t xml:space="preserve">  intent         VARCHAR(100),</t>
  </si>
  <si>
    <t xml:space="preserve">  business_group VARCHAR(50),</t>
  </si>
  <si>
    <t xml:space="preserve">  risk           INT</t>
  </si>
  <si>
    <t xml:space="preserve">INSERT INTO intent_map VALUES</t>
  </si>
  <si>
    <t xml:space="preserve">  ('card_arrival', 'Card delivery &amp; activation', 1),</t>
  </si>
  <si>
    <t xml:space="preserve">  ('card_delivery_estimate', 'Card delivery &amp; activation', 1),</t>
  </si>
  <si>
    <t xml:space="preserve">  ('activate_my_card', 'Card delivery &amp; activation', 1),</t>
  </si>
  <si>
    <t xml:space="preserve">  ('order_physical_card', 'Card delivery &amp; activation', 1),</t>
  </si>
  <si>
    <t xml:space="preserve">  ('get_physical_card', 'Card delivery &amp; activation', 1),</t>
  </si>
  <si>
    <t xml:space="preserve">  ('getting_spare_card', 'Card delivery &amp; activation', 1),</t>
  </si>
  <si>
    <t xml:space="preserve">  ('card_about_to_expire', 'Card delivery &amp; activation', 1),</t>
  </si>
  <si>
    <t xml:space="preserve">  ('card_linking', 'Card delivery &amp; activation', 1),</t>
  </si>
  <si>
    <t xml:space="preserve">  ('card_acceptance', 'Card usage &amp; features', 1),</t>
  </si>
  <si>
    <t xml:space="preserve">  ('card_not_working', 'Card usage &amp; features', 2),</t>
  </si>
  <si>
    <t xml:space="preserve">  ('contactless_not_working', 'Card usage &amp; features', 1),</t>
  </si>
  <si>
    <t xml:space="preserve">  ('virtual_card_not_working', 'Card usage &amp; features', 2),</t>
  </si>
  <si>
    <t xml:space="preserve">  ('declined_card_payment', 'Card usage &amp; features', 2),</t>
  </si>
  <si>
    <t xml:space="preserve">  ('pin_blocked', 'Card usage &amp; features', 1),</t>
  </si>
  <si>
    <t xml:space="preserve">  ('change_pin', 'Card usage &amp; features', 1),</t>
  </si>
  <si>
    <t xml:space="preserve">  ('apple_pay_or_google_pay', 'Card usage &amp; features', 1),</t>
  </si>
  <si>
    <t xml:space="preserve">  ('visa_or_mastercard', 'Card usage &amp; features', 1),</t>
  </si>
  <si>
    <t xml:space="preserve">  ('supported_cards_and_currencies', 'Card usage &amp; features', 1),</t>
  </si>
  <si>
    <t xml:space="preserve">  ('getting_virtual_card', 'Card usage &amp; features', 1),</t>
  </si>
  <si>
    <t xml:space="preserve">  ('get_disposable_virtual_card', 'Card usage &amp; features', 1),</t>
  </si>
  <si>
    <t xml:space="preserve">  ('disposable_card_limits', 'Card usage &amp; features', 1),</t>
  </si>
  <si>
    <t xml:space="preserve">  ('card_swallowed', 'Card usage &amp; features', 2),</t>
  </si>
  <si>
    <t xml:space="preserve">  ('atm_support', 'Card usage &amp; features', 1),</t>
  </si>
  <si>
    <t xml:space="preserve">  ('card_payment_fee_charged', 'Fees &amp; charges', 1),</t>
  </si>
  <si>
    <t xml:space="preserve">  ('cash_withdrawal_charge', 'Fees &amp; charges', 1),</t>
  </si>
  <si>
    <t xml:space="preserve">  ('transfer_fee_charged', 'Fees &amp; charges', 1),</t>
  </si>
  <si>
    <t xml:space="preserve">  ('extra_charge_on_statement', 'Fees &amp; charges', 2),</t>
  </si>
  <si>
    <t xml:space="preserve">  ('exchange_charge', 'Fees &amp; charges', 1),</t>
  </si>
  <si>
    <t xml:space="preserve">  ('top_up_by_card_charge', 'Fees &amp; charges', 1),</t>
  </si>
  <si>
    <t xml:space="preserve">  ('top_up_by_bank_transfer_charge', 'Fees &amp; charges', 1),</t>
  </si>
  <si>
    <t xml:space="preserve">  ('card_payment_wrong_exchange_rate', 'Exchange rates &amp; currencies', 2),</t>
  </si>
  <si>
    <t xml:space="preserve">  ('wrong_exchange_rate_for_cash_withdrawal', 'Exchange rates &amp; currencies', 2),</t>
  </si>
  <si>
    <t xml:space="preserve">  ('exchange_rate', 'Exchange rates &amp; currencies', 1),</t>
  </si>
  <si>
    <t xml:space="preserve">  ('exchange_via_app', 'Exchange rates &amp; currencies', 1),</t>
  </si>
  <si>
    <t xml:space="preserve">  ('fiat_currency_support', 'Exchange rates &amp; currencies', 1),</t>
  </si>
  <si>
    <t xml:space="preserve">  ('country_support', 'Exchange rates &amp; currencies', 1),</t>
  </si>
  <si>
    <t xml:space="preserve">  ('pending_top_up', 'Top-ups', 2),</t>
  </si>
  <si>
    <t xml:space="preserve">  ('top_up_reverted', 'Top-ups', 2),</t>
  </si>
  <si>
    <t xml:space="preserve">  ('top_up_failed', 'Top-ups', 2),</t>
  </si>
  <si>
    <t xml:space="preserve">  ('automatic_top_up', 'Top-ups', 1),</t>
  </si>
  <si>
    <t xml:space="preserve">  ('verify_top_up', 'Top-ups', 1),</t>
  </si>
  <si>
    <t xml:space="preserve">  ('top_up_by_cash_or_cheque', 'Top-ups', 1),</t>
  </si>
  <si>
    <t xml:space="preserve">  ('topping_up_by_card', 'Top-ups', 1),</t>
  </si>
  <si>
    <t xml:space="preserve">  ('top_up_limits', 'Top-ups', 1),</t>
  </si>
  <si>
    <t xml:space="preserve">  ('transfer_not_received_by_recipient', 'Transfers', 2),</t>
  </si>
  <si>
    <t xml:space="preserve">  ('balance_not_updated_after_bank_transfer', 'Transfers', 2),</t>
  </si>
  <si>
    <t xml:space="preserve">  ('cancel_transfer', 'Transfers', 2),</t>
  </si>
  <si>
    <t xml:space="preserve">  ('beneficiary_not_allowed', 'Transfers', 2),</t>
  </si>
  <si>
    <t xml:space="preserve">  ('pending_transfer', 'Transfers', 2),</t>
  </si>
  <si>
    <t xml:space="preserve">  ('failed_transfer', 'Transfers', 2),</t>
  </si>
  <si>
    <t xml:space="preserve">  ('declined_transfer', 'Transfers', 2),</t>
  </si>
  <si>
    <t xml:space="preserve">  ('transfer_timing', 'Transfers', 1),</t>
  </si>
  <si>
    <t xml:space="preserve">  ('transfer_into_account', 'Transfers', 1),</t>
  </si>
  <si>
    <t xml:space="preserve">  ('receiving_money', 'Transfers', 1),</t>
  </si>
  <si>
    <t xml:space="preserve">  ('wrong_amount_of_cash_received', 'Cash, ATM &amp; deposits', 3),</t>
  </si>
  <si>
    <t xml:space="preserve">  ('declined_cash_withdrawal', 'Cash, ATM &amp; deposits', 2),</t>
  </si>
  <si>
    <t xml:space="preserve">  ('pending_cash_withdrawal', 'Cash, ATM &amp; deposits', 2),</t>
  </si>
  <si>
    <t xml:space="preserve">  ('balance_not_updated_after_cheque_or_cash_deposit', 'Cash, ATM &amp; deposits', 2),</t>
  </si>
  <si>
    <t xml:space="preserve">  ('request_refund', 'Card payments &amp; refunds', 3),</t>
  </si>
  <si>
    <t xml:space="preserve">  ('Refund_not_showing_up', 'Card payments &amp; refunds', 2),</t>
  </si>
  <si>
    <t xml:space="preserve">  ('reverted_card_payment?', 'Card payments &amp; refunds', 2),</t>
  </si>
  <si>
    <t xml:space="preserve">  ('pending_card_payment', 'Card payments &amp; refunds', 2),</t>
  </si>
  <si>
    <t xml:space="preserve">  ('transaction_charged_twice', 'Card payments &amp; refunds', 3),</t>
  </si>
  <si>
    <t xml:space="preserve">  ('direct_debit_payment_not_recognised', 'Fraud &amp; security', 3),</t>
  </si>
  <si>
    <t xml:space="preserve">  ('card_payment_not_recognised', 'Fraud &amp; security', 3),</t>
  </si>
  <si>
    <t xml:space="preserve">  ('cash_withdrawal_not_recognised', 'Fraud &amp; security', 3),</t>
  </si>
  <si>
    <t xml:space="preserve">  ('compromised_card', 'Fraud &amp; security', 3),</t>
  </si>
  <si>
    <t xml:space="preserve">  ('lost_or_stolen_card', 'Fraud &amp; security', 3),</t>
  </si>
  <si>
    <t xml:space="preserve">  ('lost_or_stolen_phone', 'Fraud &amp; security', 3),</t>
  </si>
  <si>
    <t xml:space="preserve">  ('why_verify_identity', 'Account &amp; identity', 1),</t>
  </si>
  <si>
    <t xml:space="preserve">  ('verify_my_identity', 'Account &amp; identity', 1),</t>
  </si>
  <si>
    <t xml:space="preserve">  ('unable_to_verify_identity', 'Account &amp; identity', 2),</t>
  </si>
  <si>
    <t xml:space="preserve">  ('verify_source_of_funds', 'Account &amp; identity', 1),</t>
  </si>
  <si>
    <t xml:space="preserve">  ('edit_personal_details', 'Account &amp; identity', 2),</t>
  </si>
  <si>
    <t xml:space="preserve">  ('age_limit', 'Account &amp; identity', 1),</t>
  </si>
  <si>
    <t xml:space="preserve">  ('terminate_account', 'Account &amp; identity', 3),</t>
  </si>
  <si>
    <t xml:space="preserve">  ('passcode_forgotten', 'Account &amp; identity', 2);</t>
  </si>
  <si>
    <t xml:space="preserve">-- every intent mapped? expect 0</t>
  </si>
  <si>
    <t xml:space="preserve">SELECT COUNT(*) AS unmapped FROM queries q</t>
  </si>
  <si>
    <t xml:space="preserve">LEFT JOIN intent_map m ON q.category = m.intent</t>
  </si>
  <si>
    <t xml:space="preserve">WHERE m.intent IS NULL;</t>
  </si>
  <si>
    <t xml:space="preserve">-- 4. Volume by intent</t>
  </si>
  <si>
    <t xml:space="preserve">SELECT q.category AS intent, m.business_group, m.risk,</t>
  </si>
  <si>
    <t xml:space="preserve">       COUNT(*) AS queries,</t>
  </si>
  <si>
    <t xml:space="preserve">       ROUND(100.0 * COUNT(*) / SUM(COUNT(*)) OVER (), 2) AS pct_of_total</t>
  </si>
  <si>
    <t xml:space="preserve">FROM queries q</t>
  </si>
  <si>
    <t xml:space="preserve">JOIN intent_map m ON q.category = m.intent</t>
  </si>
  <si>
    <t xml:space="preserve">GROUP BY q.category, m.business_group, m.risk</t>
  </si>
  <si>
    <t xml:space="preserve">ORDER BY queries DESC;</t>
  </si>
  <si>
    <t xml:space="preserve">-- 5. Volume by business group, split by risk</t>
  </si>
  <si>
    <t xml:space="preserve">SELECT m.business_group,</t>
  </si>
  <si>
    <t xml:space="preserve">       COUNT(*)          AS queries,</t>
  </si>
  <si>
    <t xml:space="preserve">       ROUND(100.0 * COUNT(*) / SUM(COUNT(*)) OVER (), 1) AS pct_of_total,</t>
  </si>
  <si>
    <t xml:space="preserve">       SUM(m.risk = 1)   AS bot_resolvable,</t>
  </si>
  <si>
    <t xml:space="preserve">       SUM(m.risk = 2)   AS triage_to_agent,</t>
  </si>
  <si>
    <t xml:space="preserve">       SUM(m.risk = 3)   AS human_only,</t>
  </si>
  <si>
    <t xml:space="preserve">       ROUND(100.0 * SUM(m.risk = 1) / COUNT(*), 1) AS pct_bot_resolvable</t>
  </si>
  <si>
    <t xml:space="preserve">GROUP BY m.business_group</t>
  </si>
  <si>
    <t xml:space="preserve">ORDER BY bot_resolvable DESC;</t>
  </si>
  <si>
    <t xml:space="preserve">-- 6. Overall split by risk</t>
  </si>
  <si>
    <t xml:space="preserve">SELECT m.risk, COUNT(*) AS queries,</t>
  </si>
  <si>
    <t xml:space="preserve">       ROUND(100.0 * COUNT(*) / SUM(COUNT(*)) OVER (), 1) AS pct_of_total</t>
  </si>
  <si>
    <t xml:space="preserve">GROUP BY m.risk</t>
  </si>
  <si>
    <t xml:space="preserve">ORDER BY m.risk;</t>
  </si>
  <si>
    <t xml:space="preserve">-- 7. Pull test questions for UAT (5 random real queries per pilot intent)</t>
  </si>
  <si>
    <t xml:space="preserve">SELECT category, text FROM (</t>
  </si>
  <si>
    <t xml:space="preserve">  SELECT q.category, q.text,</t>
  </si>
  <si>
    <t xml:space="preserve">         ROW_NUMBER() OVER (PARTITION BY q.category ORDER BY RAND()) AS rn</t>
  </si>
  <si>
    <t xml:space="preserve">  FROM queries q</t>
  </si>
  <si>
    <t xml:space="preserve">  JOIN intent_map m ON q.category = m.intent</t>
  </si>
  <si>
    <t xml:space="preserve">  WHERE m.risk = 1</t>
  </si>
  <si>
    <t xml:space="preserve">    AND m.business_group IN ('Card usage &amp; features','Card delivery &amp; activation',</t>
  </si>
  <si>
    <t xml:space="preserve">                             'Fees &amp; charges','Top-ups')</t>
  </si>
  <si>
    <t xml:space="preserve">) x</t>
  </si>
  <si>
    <t xml:space="preserve">WHERE rn &lt;= 5;</t>
  </si>
  <si>
    <t xml:space="preserve">Query text</t>
  </si>
  <si>
    <t xml:space="preserve">I am still waiting on my card?</t>
  </si>
  <si>
    <t xml:space="preserve">What can I do if my card still hasn't arrived after 2 weeks?</t>
  </si>
  <si>
    <t xml:space="preserve">I have been waiting over a week. Is the card still coming?</t>
  </si>
  <si>
    <t xml:space="preserve">Can I track my card while it is in the process of delivery?</t>
  </si>
  <si>
    <t xml:space="preserve">How do I know if I will get my card, or if it is lost?</t>
  </si>
  <si>
    <t xml:space="preserve">When did you send me my new card?</t>
  </si>
  <si>
    <t xml:space="preserve">Do you have info about the card on delivery?</t>
  </si>
  <si>
    <t xml:space="preserve">What do I do if I still have not received my new card?</t>
  </si>
  <si>
    <t xml:space="preserve">Does the package with my card have tracking?</t>
  </si>
  <si>
    <t xml:space="preserve">I ordered my card but it still isn't here</t>
  </si>
  <si>
    <t xml:space="preserve">Why has my new card still not come?</t>
  </si>
  <si>
    <t xml:space="preserve">I still haven't received my card after two weeks, is it lost?</t>
  </si>
  <si>
    <t xml:space="preserve">Can you track my card for me?</t>
  </si>
  <si>
    <t xml:space="preserve">Is there a way to track the delivery of my card?</t>
  </si>
  <si>
    <t xml:space="preserve">It's been a week since I ordered my card and it's not here. Please help?</t>
  </si>
  <si>
    <t xml:space="preserve">Will I be able to track the card that was sent to me?</t>
  </si>
  <si>
    <t xml:space="preserve">I don't have my card in 1 week.  Should I be worried?</t>
  </si>
  <si>
    <t xml:space="preserve">How do I know when my new card is going to arrive?</t>
  </si>
  <si>
    <t xml:space="preserve">My new card has not been delivered to my home yet. What is going on?</t>
  </si>
  <si>
    <t xml:space="preserve">It's been a week since you issued me a card and I still didn't get it. Should I keep waiting?</t>
  </si>
  <si>
    <t xml:space="preserve">On the card that is coming, what's the tracking info?</t>
  </si>
  <si>
    <t xml:space="preserve">What is the status of my card's delivery?</t>
  </si>
  <si>
    <t xml:space="preserve">Have you sent out my card yet?</t>
  </si>
  <si>
    <t xml:space="preserve">My card isn't here yet.</t>
  </si>
  <si>
    <t xml:space="preserve">where is my new card?</t>
  </si>
  <si>
    <t xml:space="preserve">It's been a week since you sent my card and I still don't have it.</t>
  </si>
  <si>
    <t xml:space="preserve">How do I track the card you sent me?</t>
  </si>
  <si>
    <t xml:space="preserve">When will I recieve my new card?</t>
  </si>
  <si>
    <t xml:space="preserve">When will I get my new card?</t>
  </si>
  <si>
    <t xml:space="preserve">What is the expected delivery date for my card?</t>
  </si>
  <si>
    <t xml:space="preserve">Is there a tracking number for the card you sent me?</t>
  </si>
  <si>
    <t xml:space="preserve">I would like to track the card you sent to me.</t>
  </si>
  <si>
    <t xml:space="preserve">Has my card been lost in delivery?</t>
  </si>
  <si>
    <t xml:space="preserve">My new card hasn't came in.</t>
  </si>
  <si>
    <t xml:space="preserve">Where is the card I ordered 2 weeks ago?</t>
  </si>
  <si>
    <t xml:space="preserve">Can I get an update on my replacement card?</t>
  </si>
  <si>
    <t xml:space="preserve">How long does it take for a new card to ship?</t>
  </si>
  <si>
    <t xml:space="preserve">What's the tracking on the card you sent?</t>
  </si>
  <si>
    <t xml:space="preserve">I haven't received my card and am worried it is lost.</t>
  </si>
  <si>
    <t xml:space="preserve">My card still hasn't been delivered</t>
  </si>
  <si>
    <t xml:space="preserve">I need to find out where the card is that I ordered.</t>
  </si>
  <si>
    <t xml:space="preserve">Where is my credit card that was to be mailed?</t>
  </si>
  <si>
    <t xml:space="preserve">I ordered my card but it hasn't been delivered yet</t>
  </si>
  <si>
    <t xml:space="preserve">Am I able to track the card that was just sent to me?</t>
  </si>
  <si>
    <t xml:space="preserve">Can you tell me why I haven't received my new card?</t>
  </si>
  <si>
    <t xml:space="preserve">I'm still waiting for my new card.</t>
  </si>
  <si>
    <t xml:space="preserve">Is my card lost? I am still waiting for it to be delivered.</t>
  </si>
  <si>
    <t xml:space="preserve">Should I keep waiting for my card to be delivered?</t>
  </si>
  <si>
    <t xml:space="preserve">Can I track when my card will be delivered?</t>
  </si>
  <si>
    <t xml:space="preserve">How can I check on the status of my new card?</t>
  </si>
  <si>
    <t xml:space="preserve">A card has been sent to me, how do I track it?</t>
  </si>
  <si>
    <t xml:space="preserve">Is there a way I can get my card expedited?</t>
  </si>
  <si>
    <t xml:space="preserve">What can I do to track the card you sent me?</t>
  </si>
  <si>
    <t xml:space="preserve">why hasnt my card come in yet?</t>
  </si>
  <si>
    <t xml:space="preserve">How can I periodically check the delivery of the card you sent?</t>
  </si>
  <si>
    <t xml:space="preserve">What's the reason my new card hasn't come?</t>
  </si>
  <si>
    <t xml:space="preserve">How long does it take for me to get my new card?</t>
  </si>
  <si>
    <t xml:space="preserve">I don't have my card after 1 week. What are my next steps?</t>
  </si>
  <si>
    <t xml:space="preserve">I know I'm getting a new card but would like know when I can expect to receive it.</t>
  </si>
  <si>
    <t xml:space="preserve">I want to find out what happened to my new card?</t>
  </si>
  <si>
    <t xml:space="preserve">Was there a way for me to get tracking for that?</t>
  </si>
  <si>
    <t xml:space="preserve">I am still waiting for my card.</t>
  </si>
  <si>
    <t xml:space="preserve">My card hasn't arrived.</t>
  </si>
  <si>
    <t xml:space="preserve">Can I track the card you sent to me?</t>
  </si>
  <si>
    <t xml:space="preserve">I haven't gotten my new card.</t>
  </si>
  <si>
    <t xml:space="preserve">How long should it take for my new card to arrive in them mail? What should I do if I never receive it?</t>
  </si>
  <si>
    <t xml:space="preserve">Will I have to wait much longer for my new card to arrive?</t>
  </si>
  <si>
    <t xml:space="preserve">how to track the card you sent</t>
  </si>
  <si>
    <t xml:space="preserve">2 weeks ago I ordered my new card.  It isn't here.  What should I do?</t>
  </si>
  <si>
    <t xml:space="preserve">How can I check on the delivery status of my card?</t>
  </si>
  <si>
    <t xml:space="preserve">My card has not been delivered yet and its been a week since I ordered it, please help</t>
  </si>
  <si>
    <t xml:space="preserve">What's the expected wait time to recieve my new card?</t>
  </si>
  <si>
    <t xml:space="preserve">How can I see the progress of delivery of the card that was sent?</t>
  </si>
  <si>
    <t xml:space="preserve">My card was supposed to arrive, but hasn't?</t>
  </si>
  <si>
    <t xml:space="preserve">I ordered a card and would like to know how to track the delivery progress of it.</t>
  </si>
  <si>
    <t xml:space="preserve">How long will it take for me to get my card?</t>
  </si>
  <si>
    <t xml:space="preserve">My card hasn't shown up yet.</t>
  </si>
  <si>
    <t xml:space="preserve">Does the card you sent have a tracking number?</t>
  </si>
  <si>
    <t xml:space="preserve">My card hasn't arrived in the mail yet. I ordered it two weeks ago. What can I do?</t>
  </si>
  <si>
    <t xml:space="preserve">maximum how many days get the courier?</t>
  </si>
  <si>
    <t xml:space="preserve">Is there a reason my new card hasn't arrived yet?</t>
  </si>
  <si>
    <t xml:space="preserve">I've been waiting a while for my card, is there a way to know when it will arrive?</t>
  </si>
  <si>
    <t xml:space="preserve">How can I track my card's delivery?</t>
  </si>
  <si>
    <t xml:space="preserve">Can I track the card that was just sent to me?</t>
  </si>
  <si>
    <t xml:space="preserve">If I ordered my new card last week, how much longer should I wait to receive it?</t>
  </si>
  <si>
    <t xml:space="preserve">What's go on, where is my new card?</t>
  </si>
  <si>
    <t xml:space="preserve">Where is my new card if I haven't received it yet?</t>
  </si>
  <si>
    <t xml:space="preserve">Where is my card?</t>
  </si>
  <si>
    <t xml:space="preserve">Can you tell me why I haven't received my new card yet?</t>
  </si>
  <si>
    <t xml:space="preserve">Is there a way to track my card?</t>
  </si>
  <si>
    <t xml:space="preserve">Is there a way to track the new card you sent me?</t>
  </si>
  <si>
    <t xml:space="preserve">I'm still waiting for my card.</t>
  </si>
  <si>
    <t xml:space="preserve">What do I need to do to get my new card which I have requested 2 weeks ago?</t>
  </si>
  <si>
    <t xml:space="preserve">WHAT IS THE SOLUTION OF THIS PROBLEM</t>
  </si>
  <si>
    <t xml:space="preserve">Could I get tracking on the card?</t>
  </si>
  <si>
    <t xml:space="preserve">Can you help me track my card?</t>
  </si>
  <si>
    <t xml:space="preserve">Shouldn't my new card be here by now?</t>
  </si>
  <si>
    <t xml:space="preserve">Is there a reason my new card hasn't arrived?</t>
  </si>
  <si>
    <t xml:space="preserve">I would like to track a card sent to me, how do I do that?</t>
  </si>
  <si>
    <t xml:space="preserve">Is there a tracking number for the card?</t>
  </si>
  <si>
    <t xml:space="preserve">can you share card tracking number?</t>
  </si>
  <si>
    <t xml:space="preserve">I have not received my card and it's been a week, what do I do?</t>
  </si>
  <si>
    <t xml:space="preserve">Is there a way I can check on the card on route to me?</t>
  </si>
  <si>
    <t xml:space="preserve">When will my new card arrive?</t>
  </si>
  <si>
    <t xml:space="preserve">Why haven't I received my new card yet?</t>
  </si>
  <si>
    <t xml:space="preserve">What is the expected delivery date of my card?</t>
  </si>
  <si>
    <t xml:space="preserve">My card hasn't came in the mail yet?</t>
  </si>
  <si>
    <t xml:space="preserve">I haven't received my card.</t>
  </si>
  <si>
    <t xml:space="preserve">Is it possible for me to track the card is was mailed to me?</t>
  </si>
  <si>
    <t xml:space="preserve">When will my new card be delivered?</t>
  </si>
  <si>
    <t xml:space="preserve">I was issued a card about a week ago. why hasn't it come in yet?</t>
  </si>
  <si>
    <t xml:space="preserve">Can you please tell me where my card is? I ordered it 2 weeks ago!</t>
  </si>
  <si>
    <t xml:space="preserve">I still haven't received my card in the mail</t>
  </si>
  <si>
    <t xml:space="preserve">I'm still waiting for my card that was issued a week ago. What should I do?</t>
  </si>
  <si>
    <t xml:space="preserve">I still haven't gotten my new card.  When will it get here?</t>
  </si>
  <si>
    <t xml:space="preserve">Do you have a tracking number for the card I was sent?</t>
  </si>
  <si>
    <t xml:space="preserve">How do I track the card you sent to me?</t>
  </si>
  <si>
    <t xml:space="preserve">Is my new bank card on the way and is there a way to track it?</t>
  </si>
  <si>
    <t xml:space="preserve">Could you send me and up date on the arrival of my card?</t>
  </si>
  <si>
    <t xml:space="preserve">How long does it take to recieve my new card?</t>
  </si>
  <si>
    <t xml:space="preserve">My card has not come in the mail yet.</t>
  </si>
  <si>
    <t xml:space="preserve">What's the card you sent me's tracking number?</t>
  </si>
  <si>
    <t xml:space="preserve">i havent got my card</t>
  </si>
  <si>
    <t xml:space="preserve">Why hasn't my card arrived yet?</t>
  </si>
  <si>
    <t xml:space="preserve">I thought I would have received my new card at this point.</t>
  </si>
  <si>
    <t xml:space="preserve">How long until my new card gets here?</t>
  </si>
  <si>
    <t xml:space="preserve">How much longer until I get my new card?</t>
  </si>
  <si>
    <t xml:space="preserve">Am I able to track a card that has already been sent?</t>
  </si>
  <si>
    <t xml:space="preserve">Is it possible to track the card you sent me?</t>
  </si>
  <si>
    <t xml:space="preserve">How long will it be to get this new card?</t>
  </si>
  <si>
    <t xml:space="preserve">how can i track card you sent</t>
  </si>
  <si>
    <t xml:space="preserve">Can the card was sen to me be tracked?</t>
  </si>
  <si>
    <t xml:space="preserve">why have i not got my new card?</t>
  </si>
  <si>
    <t xml:space="preserve">I need to track the card sent to me.</t>
  </si>
  <si>
    <t xml:space="preserve">It's been two weeks and I haven't gotten my card, what do I do?</t>
  </si>
  <si>
    <t xml:space="preserve">I was expecting my new card by now.</t>
  </si>
  <si>
    <t xml:space="preserve">Where is the tracking number for the card?</t>
  </si>
  <si>
    <t xml:space="preserve">I was issued a new card a week ago but still haven't received it. How long will it be until I receive it?</t>
  </si>
  <si>
    <t xml:space="preserve">Can I track the card that you sent me in the mail?</t>
  </si>
  <si>
    <t xml:space="preserve">Can you tell me if I can track the card you sent me?</t>
  </si>
  <si>
    <t xml:space="preserve">Why have I not gotten my new card?</t>
  </si>
  <si>
    <t xml:space="preserve">I'm still waiting on my new card to be delivered!</t>
  </si>
  <si>
    <t xml:space="preserve">My new card isn't here and it was issued a week ago.</t>
  </si>
  <si>
    <t xml:space="preserve">I was supposed to receive my new card by now, but it hasn't came in.</t>
  </si>
  <si>
    <t xml:space="preserve">Is a tracking number available for the card that was just sent?</t>
  </si>
  <si>
    <t xml:space="preserve">Why haven't I gotten my new card?</t>
  </si>
  <si>
    <t xml:space="preserve">Was there a number to track that I could get?</t>
  </si>
  <si>
    <t xml:space="preserve">How much longer is it going to take to get my new card?</t>
  </si>
  <si>
    <t xml:space="preserve">I haven't gotten my credit card in the mail.</t>
  </si>
  <si>
    <t xml:space="preserve">My card hasn't arrived yet. What do I do?</t>
  </si>
  <si>
    <t xml:space="preserve">My card still hasn't arrived after two weeks, now what?</t>
  </si>
  <si>
    <t xml:space="preserve">My card appears to have never arrived?</t>
  </si>
  <si>
    <t xml:space="preserve">My card never arrived.</t>
  </si>
  <si>
    <t xml:space="preserve">My card has been found. Is there any way for me to put it back into the app?</t>
  </si>
  <si>
    <t xml:space="preserve">I was able to find my card. How to I go about putting it into my app?</t>
  </si>
  <si>
    <t xml:space="preserve">how do I get my card to show in the app?</t>
  </si>
  <si>
    <t xml:space="preserve">I just got my card.  It's not linked yet--how do I do that?</t>
  </si>
  <si>
    <t xml:space="preserve">lost card found, want to put it back in app</t>
  </si>
  <si>
    <t xml:space="preserve">I just got a card, how can I add it to the app?</t>
  </si>
  <si>
    <t xml:space="preserve">Is there any way to see my card in the app?</t>
  </si>
  <si>
    <t xml:space="preserve">If I find a card I lost do I need to dispose of it? Or can I re-active the card and continue to use it?</t>
  </si>
  <si>
    <t xml:space="preserve">I found my card. How can I put it into my app?</t>
  </si>
  <si>
    <t xml:space="preserve">How do I make my card show up in the app?</t>
  </si>
  <si>
    <t xml:space="preserve">Can you show me where to link the new card?</t>
  </si>
  <si>
    <t xml:space="preserve">I found my old card. Can I link it back into the app?</t>
  </si>
  <si>
    <t xml:space="preserve">Show me how to link the new card,</t>
  </si>
  <si>
    <t xml:space="preserve">How do I add an existing card to the app?</t>
  </si>
  <si>
    <t xml:space="preserve">I finally got my card.  Now I want to link it.  Is that something you have to do or can I do that?</t>
  </si>
  <si>
    <t xml:space="preserve">How do I link one of your card that I already have?</t>
  </si>
  <si>
    <t xml:space="preserve">If I have a physical card can I link it?</t>
  </si>
  <si>
    <t xml:space="preserve">I found my lost card in my jacket pocket this morning so I'd like to reactivate it please.</t>
  </si>
  <si>
    <t xml:space="preserve">Can I add a card that I just found (again) to the app?</t>
  </si>
  <si>
    <t xml:space="preserve">How can I make my card show up in the app?</t>
  </si>
  <si>
    <t xml:space="preserve">I would like to re-activate my card, it was previously reported  lost but I found it this morning.</t>
  </si>
  <si>
    <t xml:space="preserve">Okay, I found my card, can I put it back in the app?</t>
  </si>
  <si>
    <t xml:space="preserve">Can I reactivate a card?</t>
  </si>
  <si>
    <t xml:space="preserve">I would like to reactivate a card and wondered if that could be done?</t>
  </si>
  <si>
    <t xml:space="preserve">I got my card now, how do I make it show up in the app?</t>
  </si>
  <si>
    <t xml:space="preserve">How do I link an existing card?</t>
  </si>
  <si>
    <t xml:space="preserve">How do I link a new card in the app?</t>
  </si>
  <si>
    <t xml:space="preserve">The card I thought was lost was just in my jacket, so can I reactivate it since I found it this morning?</t>
  </si>
  <si>
    <t xml:space="preserve">I already have a card and want to link it</t>
  </si>
  <si>
    <t xml:space="preserve">Can you please reactivate my card?</t>
  </si>
  <si>
    <t xml:space="preserve">Where do I go to add a new card?</t>
  </si>
  <si>
    <t xml:space="preserve">I want my card I just received to show up in the app. How do I do that?</t>
  </si>
  <si>
    <t xml:space="preserve">I received my card, how do I get it to show in the app?</t>
  </si>
  <si>
    <t xml:space="preserve">If I have a credit card with you how I get set up to link to it?</t>
  </si>
  <si>
    <t xml:space="preserve">How do I add my new card?</t>
  </si>
  <si>
    <t xml:space="preserve">I want to reactivate my card, I thought I had lost it but found it again this morning.</t>
  </si>
  <si>
    <t xml:space="preserve">I need a card reactivation, I had reported my card lost but I ran across it in my jacket.</t>
  </si>
  <si>
    <t xml:space="preserve">My card is no longer lost. How do I enter it back into the app?</t>
  </si>
  <si>
    <t xml:space="preserve">I want to reactivate my card, I thought I had lost it but found it again in my jacket.</t>
  </si>
  <si>
    <t xml:space="preserve">May I reactivate my card? I previously reported it lost, but have now found it safe and sound.</t>
  </si>
  <si>
    <t xml:space="preserve">How do I reactivate a card I thought I lost?</t>
  </si>
  <si>
    <t xml:space="preserve">Help me figure out how to link the new card.</t>
  </si>
  <si>
    <t xml:space="preserve">I found my lost card. Am I still able to use it?</t>
  </si>
  <si>
    <t xml:space="preserve">Will I need a new card or can I put my old card back into the app?</t>
  </si>
  <si>
    <t xml:space="preserve">Is there a way to link the card i just got?</t>
  </si>
  <si>
    <t xml:space="preserve">How do I add a new card?</t>
  </si>
  <si>
    <t xml:space="preserve">I want to reactivate my card, I found it after thinking it was lost.</t>
  </si>
  <si>
    <t xml:space="preserve">Can I put my old card back in the app?</t>
  </si>
  <si>
    <t xml:space="preserve">I got a new card, how do I link it?</t>
  </si>
  <si>
    <t xml:space="preserve">I found the card I thought I lost this morning. Can I reactivate this card?</t>
  </si>
  <si>
    <t xml:space="preserve">How do i go about linking a new card?</t>
  </si>
  <si>
    <t xml:space="preserve">how do i get the card linked</t>
  </si>
  <si>
    <t xml:space="preserve">I have one of your cards, but I don't know how to link it.</t>
  </si>
  <si>
    <t xml:space="preserve">how do I link an old card?</t>
  </si>
  <si>
    <t xml:space="preserve">I received my card. How do I link it to the app?</t>
  </si>
  <si>
    <t xml:space="preserve">Now that I have my card, how do I connect it to the app?</t>
  </si>
  <si>
    <t xml:space="preserve">How do I add the card I just received to show up in the app?</t>
  </si>
  <si>
    <t xml:space="preserve">I want to reactivate my card, I thought I had lost it but I found it.</t>
  </si>
  <si>
    <t xml:space="preserve">What do I need to do to link my new card for my account?</t>
  </si>
  <si>
    <t xml:space="preserve">Can I add a card to back into the app?</t>
  </si>
  <si>
    <t xml:space="preserve">I want to link my new card. Can you help?</t>
  </si>
  <si>
    <t xml:space="preserve">What is the process to link the new card?</t>
  </si>
  <si>
    <t xml:space="preserve">I found my card, am I able to put it back into the app?</t>
  </si>
  <si>
    <t xml:space="preserve">I have found my lost or stolen card, would I still have to activate the new card that was sent to me through the mail in order to access my account?</t>
  </si>
  <si>
    <t xml:space="preserve">Where can I link a new card?</t>
  </si>
  <si>
    <t xml:space="preserve">How do I add a card on to the app?</t>
  </si>
  <si>
    <t xml:space="preserve">I found my card in my jacket this morning, so can I reactivate it?</t>
  </si>
  <si>
    <t xml:space="preserve">I've obtained the card, how do I enable it on the app?</t>
  </si>
  <si>
    <t xml:space="preserve">I need to find the card I received in the app.</t>
  </si>
  <si>
    <t xml:space="preserve">How do I get my card on the app?</t>
  </si>
  <si>
    <t xml:space="preserve">In the app, how can I make it show the new card that arrived?</t>
  </si>
  <si>
    <t xml:space="preserve">How do I link my new card?</t>
  </si>
  <si>
    <t xml:space="preserve">Can I activate a card in the app?</t>
  </si>
  <si>
    <t xml:space="preserve">I want to link to my card card with you, how?</t>
  </si>
  <si>
    <t xml:space="preserve">I would like to link my card to my account.</t>
  </si>
  <si>
    <t xml:space="preserve">I thought I lost my card so I cancelled it, but recently I found it in my jacket and I would like to re-establish the card.</t>
  </si>
  <si>
    <t xml:space="preserve">How can I link the new card?</t>
  </si>
  <si>
    <t xml:space="preserve">I got a new card and can't find where to link it.</t>
  </si>
  <si>
    <t xml:space="preserve">Hey, I have my card, how do I get it to show in the app?</t>
  </si>
  <si>
    <t xml:space="preserve">Where in the app do I go to make my new card show up?</t>
  </si>
  <si>
    <t xml:space="preserve">Where do I scan my card?</t>
  </si>
  <si>
    <t xml:space="preserve">Can I reactivate my card? I reported it lost and found it this morning in my jacket.</t>
  </si>
  <si>
    <t xml:space="preserve">Can I link my card I previously received?</t>
  </si>
  <si>
    <t xml:space="preserve">I want to reactivate my card, I thought I had lost it but found it again in my jacket this morning.</t>
  </si>
  <si>
    <t xml:space="preserve">I'd lke my card reactivated, I was thinking it was misplaced but I discovered when I woke up that I had left it in my coat.</t>
  </si>
  <si>
    <t xml:space="preserve">You sent me a card and now I want to link it.</t>
  </si>
  <si>
    <t xml:space="preserve">How do I add my new card to the app?</t>
  </si>
  <si>
    <t xml:space="preserve">Can I add a card back to the app?</t>
  </si>
  <si>
    <t xml:space="preserve">What if I want to add a card I already have to the app?</t>
  </si>
  <si>
    <t xml:space="preserve">I recently reported my card as missing/lost, and I just found it. Can I still use it?</t>
  </si>
  <si>
    <t xml:space="preserve">Could I reactivate my card please, I couldn't find it but it turns out it was in my jacket pocket.</t>
  </si>
  <si>
    <t xml:space="preserve">Is there a way to link cards if I have one of yours?</t>
  </si>
  <si>
    <t xml:space="preserve">If my card was lost or stolen can I re-link it?</t>
  </si>
  <si>
    <t xml:space="preserve">How do I link a new card to an existing one?</t>
  </si>
  <si>
    <t xml:space="preserve">How do I link a new payment card?</t>
  </si>
  <si>
    <t xml:space="preserve">I would like to reactivate my card that I previously reported lost. I located the card this morning.</t>
  </si>
  <si>
    <t xml:space="preserve">Card has been received, how will it show up on the app?</t>
  </si>
  <si>
    <t xml:space="preserve">Can I re-link a lost card with the app?</t>
  </si>
  <si>
    <t xml:space="preserve">What do I do to link my new card?</t>
  </si>
  <si>
    <t xml:space="preserve">Is it possible to link a new card?</t>
  </si>
  <si>
    <t xml:space="preserve">I deactivated my card but would like to reactivate it.</t>
  </si>
  <si>
    <t xml:space="preserve">I found my card that I thought I had lost, I need to reactive it, please help.</t>
  </si>
  <si>
    <t xml:space="preserve">can I link a card of yours I already have?</t>
  </si>
  <si>
    <t xml:space="preserve">Can I put my found card back into the app on my phone?</t>
  </si>
  <si>
    <t xml:space="preserve">My card arrived but I need to make it work in the app, how do I do that?</t>
  </si>
  <si>
    <t xml:space="preserve">I found the card that I thought I lost, and I would like to reactivate it.</t>
  </si>
  <si>
    <t xml:space="preserve">I found my card again. Can I put it back into the app?</t>
  </si>
  <si>
    <t xml:space="preserve">I need some help linking my new card.</t>
  </si>
  <si>
    <t xml:space="preserve">help me link my card</t>
  </si>
  <si>
    <t xml:space="preserve">How do I link my card in the app.</t>
  </si>
  <si>
    <t xml:space="preserve">How do I get my card into the app?</t>
  </si>
  <si>
    <t xml:space="preserve">I found my card! Can I link it back into the app?</t>
  </si>
  <si>
    <t xml:space="preserve">How do I reactivate my card?</t>
  </si>
  <si>
    <t xml:space="preserve">Where do I go to get my new card linked?</t>
  </si>
  <si>
    <t xml:space="preserve">I thought I lost my card but I found it today, so I would like to reactivate it.</t>
  </si>
  <si>
    <t xml:space="preserve">How do I link the new card that I just got from you guys?</t>
  </si>
  <si>
    <t xml:space="preserve">How can I add a new card?</t>
  </si>
  <si>
    <t xml:space="preserve">Can you tell me how to get my card on the app?</t>
  </si>
  <si>
    <t xml:space="preserve">Is it possible to reactivate the card I thought I lost but found this morning in my jacket?</t>
  </si>
  <si>
    <t xml:space="preserve">How do I make my card appear on the app?</t>
  </si>
  <si>
    <t xml:space="preserve">How do I link the new card?</t>
  </si>
  <si>
    <t xml:space="preserve">Where in the app do I link a new card?</t>
  </si>
  <si>
    <t xml:space="preserve">How do I add my card to the app once I get it?</t>
  </si>
  <si>
    <t xml:space="preserve">Can I link your physical card</t>
  </si>
  <si>
    <t xml:space="preserve">How do I activate and link my new card?</t>
  </si>
  <si>
    <t xml:space="preserve">I got a card, how do I get it in the app?</t>
  </si>
  <si>
    <t xml:space="preserve">I received my new card.  Where is it in the app?</t>
  </si>
  <si>
    <t xml:space="preserve">I found my card, how can I use it again?</t>
  </si>
  <si>
    <t xml:space="preserve">I just received a new card, where do I go to link it to my account?</t>
  </si>
  <si>
    <t xml:space="preserve">found card, how to put it back in app</t>
  </si>
  <si>
    <t xml:space="preserve">How do I see my card in the app?</t>
  </si>
  <si>
    <t xml:space="preserve">The card I thought I lost was in my jacket pocket this morning, so can I reactivate that?</t>
  </si>
  <si>
    <t xml:space="preserve">I don't see my card anywhere in the app.</t>
  </si>
  <si>
    <t xml:space="preserve">I received my card, how do I get it to work in the app?</t>
  </si>
  <si>
    <t xml:space="preserve">What do I do if I already had a card with you guys?</t>
  </si>
  <si>
    <t xml:space="preserve">if i found a lost card can i put it back in app</t>
  </si>
  <si>
    <t xml:space="preserve">I have a card that was deactivated can I reactivate it?</t>
  </si>
  <si>
    <t xml:space="preserve">My new card isn't in my app, how do I get it in there?</t>
  </si>
  <si>
    <t xml:space="preserve">Help me access the card I already got so I can information from it.</t>
  </si>
  <si>
    <t xml:space="preserve">What is my money worth in other countries?</t>
  </si>
  <si>
    <t xml:space="preserve">Will my money be of equal value when I travel abroad?</t>
  </si>
  <si>
    <t xml:space="preserve">Do you know the rate of exchange?</t>
  </si>
  <si>
    <t xml:space="preserve">What foreign exchange rate will I get on weekdays and on the weekends?</t>
  </si>
  <si>
    <t xml:space="preserve">What is the exchange looking like?</t>
  </si>
  <si>
    <t xml:space="preserve">How is the exchange rate doing?</t>
  </si>
  <si>
    <t xml:space="preserve">I would like to know how exchange rates are calculated when transferring funds.</t>
  </si>
  <si>
    <t xml:space="preserve">I would like to know what exchange rates you use?</t>
  </si>
  <si>
    <t xml:space="preserve">If I need to cash foreign transfers, how does that work?</t>
  </si>
  <si>
    <t xml:space="preserve">Do you know what your exchange rates are?</t>
  </si>
  <si>
    <t xml:space="preserve">How do I know what exchange rate I will get?</t>
  </si>
  <si>
    <t xml:space="preserve">What are you exchange rates?</t>
  </si>
  <si>
    <t xml:space="preserve">Do you have the best exchange rate?</t>
  </si>
  <si>
    <t xml:space="preserve">Where can I find your exchange rates?</t>
  </si>
  <si>
    <t xml:space="preserve">Your exchange rates come from where?</t>
  </si>
  <si>
    <t xml:space="preserve">I need to know what your exchange rates are.</t>
  </si>
  <si>
    <t xml:space="preserve">What's the process for exchanges?</t>
  </si>
  <si>
    <t xml:space="preserve">What do you think of the exchange rate?</t>
  </si>
  <si>
    <t xml:space="preserve">How are exchange rates calculated at this bank?</t>
  </si>
  <si>
    <t xml:space="preserve">What do you use to figure out the exchange rate for the card?</t>
  </si>
  <si>
    <t xml:space="preserve">What's the foreign exchange rate I will receive?</t>
  </si>
  <si>
    <t xml:space="preserve">I need to know what foreign exchange rate I can get.</t>
  </si>
  <si>
    <t xml:space="preserve">What are the current exchange rates?</t>
  </si>
  <si>
    <t xml:space="preserve">What exchange rate will I receive?</t>
  </si>
  <si>
    <t xml:space="preserve">What is the basis of your exchange rates?</t>
  </si>
  <si>
    <t xml:space="preserve">How's the exchange rate?</t>
  </si>
  <si>
    <t xml:space="preserve">How do you determine your exchange rates?</t>
  </si>
  <si>
    <t xml:space="preserve">How do the foreign exchange rates work?</t>
  </si>
  <si>
    <t xml:space="preserve">Where are you getting your exchange rates from?</t>
  </si>
  <si>
    <t xml:space="preserve">How is the exchange rate calculated?</t>
  </si>
  <si>
    <t xml:space="preserve">I'm interested in what your exchange rates are based on.</t>
  </si>
  <si>
    <t xml:space="preserve">How do you decide what the exchange rates are?</t>
  </si>
  <si>
    <t xml:space="preserve">What is the current exchange rate?</t>
  </si>
  <si>
    <t xml:space="preserve">What is the formula for your exchange rate?</t>
  </si>
  <si>
    <t xml:space="preserve">What method do you use for the exchange rate?</t>
  </si>
  <si>
    <t xml:space="preserve">What are Interbanks current exchange rates?</t>
  </si>
  <si>
    <t xml:space="preserve">from where are coming your exchange rates?</t>
  </si>
  <si>
    <t xml:space="preserve">How do you calculate exchange rates?</t>
  </si>
  <si>
    <t xml:space="preserve">Why is your exchange rate different on different days?</t>
  </si>
  <si>
    <t xml:space="preserve">Where can I find the exchange rate for my transfer?</t>
  </si>
  <si>
    <t xml:space="preserve">Where can I get your exchange rates from?</t>
  </si>
  <si>
    <t xml:space="preserve">How do you find the exchange rate?</t>
  </si>
  <si>
    <t xml:space="preserve">How are exchange rates determined?</t>
  </si>
  <si>
    <t xml:space="preserve">What value can I get for my currency?</t>
  </si>
  <si>
    <t xml:space="preserve">Please explain your exchange rate policy.</t>
  </si>
  <si>
    <t xml:space="preserve">What are your exchange rates calculated from?</t>
  </si>
  <si>
    <t xml:space="preserve">What is an exchange rate?</t>
  </si>
  <si>
    <t xml:space="preserve">What is your opinion on the exchange rate?</t>
  </si>
  <si>
    <t xml:space="preserve">What are the exchange rates you assign?</t>
  </si>
  <si>
    <t xml:space="preserve">How do you determine exchange rates?</t>
  </si>
  <si>
    <t xml:space="preserve">How are your exchange rates calculated?</t>
  </si>
  <si>
    <t xml:space="preserve">How is an exchange rate calculated?</t>
  </si>
  <si>
    <t xml:space="preserve">When exchanging, how much are the rates?</t>
  </si>
  <si>
    <t xml:space="preserve">What is the exchange rate for EUR?</t>
  </si>
  <si>
    <t xml:space="preserve">How can I find your exchange rates?</t>
  </si>
  <si>
    <t xml:space="preserve">Could you please tell me your exchange rates?</t>
  </si>
  <si>
    <t xml:space="preserve">Is there an exchange rate?</t>
  </si>
  <si>
    <t xml:space="preserve">How does the exchange rate work?</t>
  </si>
  <si>
    <t xml:space="preserve">What is the present state of the exchange rate?</t>
  </si>
  <si>
    <t xml:space="preserve">How are foreign exchange rates determined?</t>
  </si>
  <si>
    <t xml:space="preserve">How's the exchange rate looking right now?</t>
  </si>
  <si>
    <t xml:space="preserve">Please explain the exchange rates.</t>
  </si>
  <si>
    <t xml:space="preserve">What is the foreign exchange rate you will apply?</t>
  </si>
  <si>
    <t xml:space="preserve">explain the interbank exchange rate</t>
  </si>
  <si>
    <t xml:space="preserve">What will my exchange rate be?</t>
  </si>
  <si>
    <t xml:space="preserve">how do you get exchange rates</t>
  </si>
  <si>
    <t xml:space="preserve">What exchange rates do you use?</t>
  </si>
  <si>
    <t xml:space="preserve">How will I know what the exchange rate is?</t>
  </si>
  <si>
    <t xml:space="preserve">What factors effect the exchange rate?</t>
  </si>
  <si>
    <t xml:space="preserve">Where does the exchange rate stand right now?</t>
  </si>
  <si>
    <t xml:space="preserve">I'd like to know what the foreign exchange rate will be.</t>
  </si>
  <si>
    <t xml:space="preserve">Does the exchange rate change?</t>
  </si>
  <si>
    <t xml:space="preserve">How do your exchange rates factor in?</t>
  </si>
  <si>
    <t xml:space="preserve">Will I know which exchange rate I will get?</t>
  </si>
  <si>
    <t xml:space="preserve">How do I know what the exchange rate will be when I make an exchange.</t>
  </si>
  <si>
    <t xml:space="preserve">Is the exchange rate the same on weekends as the weekdays?</t>
  </si>
  <si>
    <t xml:space="preserve">How do you do exchanges?</t>
  </si>
  <si>
    <t xml:space="preserve">On what do you base your exchange rates?</t>
  </si>
  <si>
    <t xml:space="preserve">How do you come up with your exchange rate</t>
  </si>
  <si>
    <t xml:space="preserve">What factors determine your exchange rate?</t>
  </si>
  <si>
    <t xml:space="preserve">How are the exchange rates determined?</t>
  </si>
  <si>
    <t xml:space="preserve">I would like to know what your exchange rates are.</t>
  </si>
  <si>
    <t xml:space="preserve">Is the exchange rate current?</t>
  </si>
  <si>
    <t xml:space="preserve">What are the exchange rates?</t>
  </si>
  <si>
    <t xml:space="preserve">How much are the rates of exchange?</t>
  </si>
  <si>
    <t xml:space="preserve">How do you decide what your exchange rates are?</t>
  </si>
  <si>
    <t xml:space="preserve">Your exchange rates are coming from where?</t>
  </si>
  <si>
    <t xml:space="preserve">Is there a specific source that the exchange rate for the transfer I'm planning on making is pulled from?</t>
  </si>
  <si>
    <t xml:space="preserve">How are the exchange rates for transfers calculated?</t>
  </si>
  <si>
    <t xml:space="preserve">How do I know how much money I will have when I travel abroad?</t>
  </si>
  <si>
    <t xml:space="preserve">How do you do currency exchanges?</t>
  </si>
  <si>
    <t xml:space="preserve">Can you explain your exchange rates basis?</t>
  </si>
  <si>
    <t xml:space="preserve">How did you guys get your exchange rate?</t>
  </si>
  <si>
    <t xml:space="preserve">Can you tell me your exchange rates?</t>
  </si>
  <si>
    <t xml:space="preserve">Could you tell me what your exchange rates are?</t>
  </si>
  <si>
    <t xml:space="preserve">Does this app have the same exchange rate as third parties?</t>
  </si>
  <si>
    <t xml:space="preserve">what are your exchange rates at?</t>
  </si>
  <si>
    <t xml:space="preserve">How is the current exchange rate?</t>
  </si>
  <si>
    <t xml:space="preserve">What is the system for determining the exchange rate?</t>
  </si>
  <si>
    <t xml:space="preserve">I am travelling and I was wondering what your exchange rates are</t>
  </si>
  <si>
    <t xml:space="preserve">How can I tell what foreign exchange rate I will get?</t>
  </si>
  <si>
    <t xml:space="preserve">Tell me your opinion on the exchange rate.</t>
  </si>
  <si>
    <t xml:space="preserve">I'd like to know what you guys look at to decide an exchange rate</t>
  </si>
  <si>
    <t xml:space="preserve">How does the exchange rate work on this app?</t>
  </si>
  <si>
    <t xml:space="preserve">where do you find your exchange rates?</t>
  </si>
  <si>
    <t xml:space="preserve">I want to know your exchange rates.</t>
  </si>
  <si>
    <t xml:space="preserve">What exchange rate is it?</t>
  </si>
  <si>
    <t xml:space="preserve">What is the source of your exchange rates?</t>
  </si>
  <si>
    <t xml:space="preserve">i need to know about exchange rates</t>
  </si>
  <si>
    <t xml:space="preserve">Where do you get those exchange rates?</t>
  </si>
  <si>
    <t xml:space="preserve">How do you determine the exchange rate?</t>
  </si>
  <si>
    <t xml:space="preserve">What foreign exchange rate will I get?</t>
  </si>
  <si>
    <t xml:space="preserve">Last Saturday, I was charged extra for the exchange rate on my payment. Is something wrong?</t>
  </si>
  <si>
    <t xml:space="preserve">Hi, I am disappointed to see such a bad exchange rate and hope you can assist me. Would you be able to confirm the official interbank exchange rate for me?</t>
  </si>
  <si>
    <t xml:space="preserve">I think the currency exchange that's been applied is wrong.</t>
  </si>
  <si>
    <t xml:space="preserve">The exchange rate I was charged for a purchase was not right.</t>
  </si>
  <si>
    <t xml:space="preserve">Can you please explain why the exchange rate for the item I bought is wrong?</t>
  </si>
  <si>
    <t xml:space="preserve">I think something went wrong with my exchange between Russian Ruble and UK pounds. I was overcharged during the swap.</t>
  </si>
  <si>
    <t xml:space="preserve">My payment has an incorrect exchange rate.</t>
  </si>
  <si>
    <t xml:space="preserve">my exchange rate looks wrong for my last payment</t>
  </si>
  <si>
    <t xml:space="preserve">The exchange rate you are using is bad.This can't be the official interbank exchange rate.</t>
  </si>
  <si>
    <t xml:space="preserve">I was charged the wing amount for an item.</t>
  </si>
  <si>
    <t xml:space="preserve">the exchange rate on my payment was wrong</t>
  </si>
  <si>
    <t xml:space="preserve">Why is the exchange rate terrible?  That can't be close to the actual interbank rate.</t>
  </si>
  <si>
    <t xml:space="preserve">An incorrect exchange rate was applied to an item I bought.</t>
  </si>
  <si>
    <t xml:space="preserve">The exchange rate was incorrect for an item I bought.</t>
  </si>
  <si>
    <t xml:space="preserve">The exchange rate on my payment doesn't look right</t>
  </si>
  <si>
    <t xml:space="preserve">I just saw the exchange rate you use, but it's so bad that I can't believe that it's the official interbank exchange rate! Is this truly the official interbank exchange rate?</t>
  </si>
  <si>
    <t xml:space="preserve">This exchange rate you use is awful! Please tell me this is a mistake and not the official interbank exchange rate!</t>
  </si>
  <si>
    <t xml:space="preserve">After purchasing an item I noticed the exchange rate was incorrect.</t>
  </si>
  <si>
    <t xml:space="preserve">The amount of exchange was not correct for the item i bought.</t>
  </si>
  <si>
    <t xml:space="preserve">The exchange rate from my card payment isn't right.</t>
  </si>
  <si>
    <t xml:space="preserve">My exchange rate isn't correct.</t>
  </si>
  <si>
    <t xml:space="preserve">Why was the exchange rate so wrong when I bought something!</t>
  </si>
  <si>
    <t xml:space="preserve">My exchange rate was wrong for an Item I bought!</t>
  </si>
  <si>
    <t xml:space="preserve">I was using a foreign currecy to make a payment and the applied the wrong rate.</t>
  </si>
  <si>
    <t xml:space="preserve">The exchange rate was incorrect for this item I bought.</t>
  </si>
  <si>
    <t xml:space="preserve">I purchased something overseas and the incorrect exchange rate was applied.</t>
  </si>
  <si>
    <t xml:space="preserve">The exchange rate is incorrect for my payment.</t>
  </si>
  <si>
    <t xml:space="preserve">The item i bought exchanged rate was incorrect.</t>
  </si>
  <si>
    <t xml:space="preserve">I'm on holiday and I noticed a different amount for exchange rate.  Can you explain?</t>
  </si>
  <si>
    <t xml:space="preserve">I bought something in another country but the exchange rate is wrong</t>
  </si>
  <si>
    <t xml:space="preserve">I bought an item and the exchange rate was wrong.</t>
  </si>
  <si>
    <t xml:space="preserve">Exchange rate for my card payment is wrong</t>
  </si>
  <si>
    <t xml:space="preserve">the exchange rate at which my card payment is at is wrong</t>
  </si>
  <si>
    <t xml:space="preserve">There was a problem with the exchange rate on a purchase.</t>
  </si>
  <si>
    <t xml:space="preserve">I recently purchased something, and the exchange rate was wrong.</t>
  </si>
  <si>
    <t xml:space="preserve">What if there is an error on the exchange rate?</t>
  </si>
  <si>
    <t xml:space="preserve">Why is my exchange rate wrong?</t>
  </si>
  <si>
    <t xml:space="preserve">Please check my payment from last Saturday as I feel I have been overcharged on the exchange rate.  Thank you.</t>
  </si>
  <si>
    <t xml:space="preserve">I used foreign currency to buy something and I think the rate applied is incorrect.</t>
  </si>
  <si>
    <t xml:space="preserve">This exchange rate on my purchase is wrong.</t>
  </si>
  <si>
    <t xml:space="preserve">Why is your exchange rate so bad?</t>
  </si>
  <si>
    <t xml:space="preserve">The exchange rate looks wrong on a holiday purchase</t>
  </si>
  <si>
    <t xml:space="preserve">I purchased something abroad, and the exchange rate that was applied was wrong.</t>
  </si>
  <si>
    <t xml:space="preserve">I bought something and I take issue with the exchange rate applied.</t>
  </si>
  <si>
    <t xml:space="preserve">I think there has been a mistake on my exchange rate for this purchase.</t>
  </si>
  <si>
    <t xml:space="preserve">You did not give me the correct exchange rate for an item that I bought.</t>
  </si>
  <si>
    <t xml:space="preserve">I checked on google and the exchange rate you are using is really bad. Can you update it?</t>
  </si>
  <si>
    <t xml:space="preserve">I seem to have been charged to much for my holiday purchases, the exchange rate is wrong.</t>
  </si>
  <si>
    <t xml:space="preserve">In regards to my card payment, the exchange rate is incorrect.</t>
  </si>
  <si>
    <t xml:space="preserve">I bough an item and the exchange rate was incorrect.</t>
  </si>
  <si>
    <t xml:space="preserve">Why did you charge me more for my purchase? It was a foreign currency and you didn't offer market rate</t>
  </si>
  <si>
    <t xml:space="preserve">I question today's exchange rate for rubles into pounds. I was hoping for a better return.</t>
  </si>
  <si>
    <t xml:space="preserve">I feel as though I have been over charged for the exchange rate on my payment on last Saturday.</t>
  </si>
  <si>
    <t xml:space="preserve">My currency rate is inaccurate.</t>
  </si>
  <si>
    <t xml:space="preserve">The currency exchange rate was wrong for a purchase I made.</t>
  </si>
  <si>
    <t xml:space="preserve">I purchased something abroad and the incorrect exchange rate was applied.</t>
  </si>
  <si>
    <t xml:space="preserve">Your exchange rate was off.  I was charged extra on my payment that I made last Saturday.</t>
  </si>
  <si>
    <t xml:space="preserve">I was charged the wrong exchange rate on a purchase</t>
  </si>
  <si>
    <t xml:space="preserve">Can you change the rate for the item I bought in a different currency as it is wrong?</t>
  </si>
  <si>
    <t xml:space="preserve">The currency exchange for my purchase in foreign currency is incorrect.</t>
  </si>
  <si>
    <t xml:space="preserve">I noticed the currency exchange rate was incorrect after paying for something in a foreign country.</t>
  </si>
  <si>
    <t xml:space="preserve">My foreign currency exchange has been applied incorrectly.</t>
  </si>
  <si>
    <t xml:space="preserve">Why isn't my purchase exchange rate correct?</t>
  </si>
  <si>
    <t xml:space="preserve">I noticed that the exchange rate applied to a recent purchase I made abroad was incorrect.</t>
  </si>
  <si>
    <t xml:space="preserve">I purchased something while traveling, and the exchange rate applied was wrong.</t>
  </si>
  <si>
    <t xml:space="preserve">Why is the exchange rate different on my recent purchase?</t>
  </si>
  <si>
    <t xml:space="preserve">The fee charged when I changed rubles into British pounds was too much.</t>
  </si>
  <si>
    <t xml:space="preserve">I wasn't charged the correct exchange rate for an item I purchased.</t>
  </si>
  <si>
    <t xml:space="preserve">Does the fee for exchange change?</t>
  </si>
  <si>
    <t xml:space="preserve">The rate applied to my purchase in a foreign currency was wrong.</t>
  </si>
  <si>
    <t xml:space="preserve">I bought something while traveling, and the exchange rate was wrong.</t>
  </si>
  <si>
    <t xml:space="preserve">something is wrong with my exchange rate charge</t>
  </si>
  <si>
    <t xml:space="preserve">Seems like the exchange rate for my payment last Saturday was wrong. I was charged extra.</t>
  </si>
  <si>
    <t xml:space="preserve">It seems that something went wrong with my exchange. I changed Russian Ruble into UK pounds but have been charged entirely too much!</t>
  </si>
  <si>
    <t xml:space="preserve">I bought an item then noticed the exchange rate was wrong.</t>
  </si>
  <si>
    <t xml:space="preserve">The exchange rate applied is wrong for my international purchase.</t>
  </si>
  <si>
    <t xml:space="preserve">My card payment had the wrong exchange rate</t>
  </si>
  <si>
    <t xml:space="preserve">They used the wrong rate when I made a purchase with foreign currency.</t>
  </si>
  <si>
    <t xml:space="preserve">Does the exchange rate change each day for purchases? There is a different rate on my purchase.</t>
  </si>
  <si>
    <t xml:space="preserve">It seems that the rate I got is incorrect.</t>
  </si>
  <si>
    <t xml:space="preserve">I exchanged Russian rubles for British pounds today and got less than I expected. Was exchange rate correct?</t>
  </si>
  <si>
    <t xml:space="preserve">Was I charged more than I should of been for a currency exchange?</t>
  </si>
  <si>
    <t xml:space="preserve">What do i do if the exchange rate was wrong for the item i bought overseas?</t>
  </si>
  <si>
    <t xml:space="preserve">My client was converting their Russian ruble into UK pound currency when they noticed their bill was much too high for the exchange. What happened?</t>
  </si>
  <si>
    <t xml:space="preserve">I have been overcharged. I just changed over Russian Ruble to UK pounds and it was too much. It seems something was wrong with my exchange.</t>
  </si>
  <si>
    <t xml:space="preserve">What is your exchange rate between UK pounds and Russian rubles for my last transaction</t>
  </si>
  <si>
    <t xml:space="preserve">I think there was an error in your exchange rate.</t>
  </si>
  <si>
    <t xml:space="preserve">The exchange rate was not correct for the item I bought.</t>
  </si>
  <si>
    <t xml:space="preserve">I noticed an extra charge on the purchase that I made last Saturday on my account. Can you see if I received the correct exchange rate?</t>
  </si>
  <si>
    <t xml:space="preserve">My exchange seems to have something wrong with it. I changed over Russian Ruble to UK pounds and it appears I was charged way more than I was supposed to be.</t>
  </si>
  <si>
    <t xml:space="preserve">The correct exchange rate wasn't given to me for an item I purchased.</t>
  </si>
  <si>
    <t xml:space="preserve">I bought something in another currency, but the exchange rate was incorrect.</t>
  </si>
  <si>
    <t xml:space="preserve">the exchange rate is wrong from something I got in another country</t>
  </si>
  <si>
    <t xml:space="preserve">The exchange rate given to me after a purchase, was incorrect</t>
  </si>
  <si>
    <t xml:space="preserve">My card payment has the wrong exchange rate</t>
  </si>
  <si>
    <t xml:space="preserve">I have been charged way to much so something is apparently wrong with my exchange. I changed Russian Ruble into UK pounds.</t>
  </si>
  <si>
    <t xml:space="preserve">Why is the exchange rate different from what I expected?</t>
  </si>
  <si>
    <t xml:space="preserve">The exchange rate you are using is really bad.This can't be the official interbank exchange rate.</t>
  </si>
  <si>
    <t xml:space="preserve">Please check the exchange rate for my payment last Saturday. I believe I have been overcharged.</t>
  </si>
  <si>
    <t xml:space="preserve">Why was I charged extra on my last UK pound to Russian ruble exchange?</t>
  </si>
  <si>
    <t xml:space="preserve">The wrong exchange rate was used when I purchased an item.</t>
  </si>
  <si>
    <t xml:space="preserve">Why was the wrong rate applied when I bought something in a different currency?</t>
  </si>
  <si>
    <t xml:space="preserve">I bought something abroad and the exchange rate applied is wrong</t>
  </si>
  <si>
    <t xml:space="preserve">An item I bought had the wrong exchange rate applied.</t>
  </si>
  <si>
    <t xml:space="preserve">I think the rate that was applied to my purchase using foreign currency is wrong. Help!</t>
  </si>
  <si>
    <t xml:space="preserve">Why was my exchange rate a different amount than usual?</t>
  </si>
  <si>
    <t xml:space="preserve">I want to change the wrong exchange rate.</t>
  </si>
  <si>
    <t xml:space="preserve">I recently bought something abroad but the exchange rate is incorrect. Why?</t>
  </si>
  <si>
    <t xml:space="preserve">The exchange rate you're using is terrible - this can't be the official interbank exchange rate, can it?</t>
  </si>
  <si>
    <t xml:space="preserve">I did not receive the correct amount for the exchange rate.</t>
  </si>
  <si>
    <t xml:space="preserve">I guess exchange rate for my payment was not correct, as i charged extra on the last saturday.</t>
  </si>
  <si>
    <t xml:space="preserve">The exchange rate for my payment last Saturday must be wrong because I was charged extra.</t>
  </si>
  <si>
    <t xml:space="preserve">Are you sure this is the interbank exchange rate? This rate is really bad.</t>
  </si>
  <si>
    <t xml:space="preserve">The exchange rate you are using is really bad. This can't possibly be the official interbank exchange rate.</t>
  </si>
  <si>
    <t xml:space="preserve">I believe you charged me too much to exchange my money</t>
  </si>
  <si>
    <t xml:space="preserve">I changed the currency, but why is it costing more?</t>
  </si>
  <si>
    <t xml:space="preserve">Why was the exchange wrong for the item I purchased?</t>
  </si>
  <si>
    <t xml:space="preserve">I made an international purchase, but the exchange rate was wrong</t>
  </si>
  <si>
    <t xml:space="preserve">My purchase used the wrong exchange rate</t>
  </si>
  <si>
    <t xml:space="preserve">I have been charged to much for the object I bought when abroad, the exchange rate seems to be wrong.</t>
  </si>
  <si>
    <t xml:space="preserve">I made a purchase and was charged at the wrong foreign exchange rate.</t>
  </si>
  <si>
    <t xml:space="preserve">I think that the exchange rate was wrong for the payment made last Saturday - I was charged extra.</t>
  </si>
  <si>
    <t xml:space="preserve">Why is the exchange rate for my payment incorrect?</t>
  </si>
  <si>
    <t xml:space="preserve">Your foreign exchange rate is wrong.</t>
  </si>
  <si>
    <t xml:space="preserve">It looks like the exchange rates on my card payment are wrong</t>
  </si>
  <si>
    <t xml:space="preserve">There's an error with the rate that is charged.</t>
  </si>
  <si>
    <t xml:space="preserve">I bought an item at the wrong exchange rate.</t>
  </si>
  <si>
    <t xml:space="preserve">I think the exchange rate on my card payment is incorrect.</t>
  </si>
  <si>
    <t xml:space="preserve">I bought an item that I was charged a different exchange rate for.</t>
  </si>
  <si>
    <t xml:space="preserve">I am not receiving the correct exchange rate on my card.</t>
  </si>
  <si>
    <t xml:space="preserve">When I purchased a product in another country the currency exchange was incorrect.</t>
  </si>
  <si>
    <t xml:space="preserve">The exchange rate used on your app is really bad. I'm considering closing my account because of it.</t>
  </si>
  <si>
    <t xml:space="preserve">I think I was charged extra on my payment on last Saturday.  Maybe the exchange rate was wrong?  I'd like a refund.</t>
  </si>
  <si>
    <t xml:space="preserve">I received the wrong exchange rate for an item i bought.</t>
  </si>
  <si>
    <t xml:space="preserve">Are you ripping people off with the exchange rate?  It can't be that atrocious between banks.</t>
  </si>
  <si>
    <t xml:space="preserve">I don't think the charges made when I had currency exchanged are right.</t>
  </si>
  <si>
    <t xml:space="preserve">Why am I being charged the wrong currency exchange when I purchased something abroad?</t>
  </si>
  <si>
    <t xml:space="preserve">The exchange rate for my card payment doesn't seem right.</t>
  </si>
  <si>
    <t xml:space="preserve">When I bought something abroad, the exchange rate was wrong.</t>
  </si>
  <si>
    <t xml:space="preserve">I didn't receive the correct exchange rate for an item that I bought.</t>
  </si>
  <si>
    <t xml:space="preserve">Why is the exchange rate on my card wrong?</t>
  </si>
  <si>
    <t xml:space="preserve">I am being charged the wrong amount on my card.</t>
  </si>
  <si>
    <t xml:space="preserve">The exchange rate is incorrect on an item I recently purchased in a foreign country.</t>
  </si>
  <si>
    <t xml:space="preserve">The exchange rate is incorrect for something I bought</t>
  </si>
  <si>
    <t xml:space="preserve">My payment had a wrong exchange rate.</t>
  </si>
  <si>
    <t xml:space="preserve">The exchange rate for my electronic payment is incorrect.</t>
  </si>
  <si>
    <t xml:space="preserve">Why was I charged a higher exchange rate when I bought something abroad?</t>
  </si>
  <si>
    <t xml:space="preserve">Why didn't I receive the correct exchange rate for an item that I purchased?</t>
  </si>
  <si>
    <t xml:space="preserve">Why is the exchange rate on my card payment different than I expected?</t>
  </si>
  <si>
    <t xml:space="preserve">My rate of exchange was wrong.</t>
  </si>
  <si>
    <t xml:space="preserve">I recently bought something in foreign currency and I am unsure of the exchange rate. Is this rate applied correctly?</t>
  </si>
  <si>
    <t xml:space="preserve">I purchased something abroad but the exchange rate is incorrect.</t>
  </si>
  <si>
    <t xml:space="preserve">A foreign purchase I made has the incorrect rate applied to it.</t>
  </si>
  <si>
    <t xml:space="preserve">When I was traveling abroad, the exchange rate was applied wrong.</t>
  </si>
  <si>
    <t xml:space="preserve">There's an error in regards to the exchange rate for an item I bought.</t>
  </si>
  <si>
    <t xml:space="preserve">Last Saturday, I made a payment and the exchange rate was wrong.  I was charged too much.</t>
  </si>
  <si>
    <t xml:space="preserve">The exchange rate is bad. Are you sure this is the exchange rate?</t>
  </si>
  <si>
    <t xml:space="preserve">I purchased an item and the exchange rate was wrong</t>
  </si>
  <si>
    <t xml:space="preserve">Exchange rate on a purchase was incorrect</t>
  </si>
  <si>
    <t xml:space="preserve">I'm going on a trip soon and I needed to convert my Russian ruble to UK pounds, but when I did, your company charged me above the exchange rate. Did you mess up my transaction?</t>
  </si>
  <si>
    <t xml:space="preserve">I was charged extra. Was the exchange rate for my payment last Saturday wrong?</t>
  </si>
  <si>
    <t xml:space="preserve">The exchange rate that was applied for an international purchase was wrong.</t>
  </si>
  <si>
    <t xml:space="preserve">Hello, I believe there has been a mistake made on the exchange rate for my card. Could you please check the official interbank exchange rate for me?</t>
  </si>
  <si>
    <t xml:space="preserve">Why am I being charged more on exchange with things I bought abroad?</t>
  </si>
  <si>
    <t xml:space="preserve">I  have been charged more than I should for the presents I bought  when abroad, the problem seems to be the exchange rate.</t>
  </si>
  <si>
    <t xml:space="preserve">I made a purchase but the exchange rate is wrong?</t>
  </si>
  <si>
    <t xml:space="preserve">Why on earth is the exchange rate so bad?   Can I get a rate closer to the actual interbank rate?</t>
  </si>
  <si>
    <t xml:space="preserve">Why is there an extra fee on my statement?</t>
  </si>
  <si>
    <t xml:space="preserve">Why did they charge me an extra $1?</t>
  </si>
  <si>
    <t xml:space="preserve">Why is there a 1 euro fee on my statement?</t>
  </si>
  <si>
    <t xml:space="preserve">Why do I see an extra £1 charge on my statement?</t>
  </si>
  <si>
    <t xml:space="preserve">I am inquiring about a $1 charge on my statement.</t>
  </si>
  <si>
    <t xml:space="preserve">What is the $1 transaction on my account?</t>
  </si>
  <si>
    <t xml:space="preserve">What is this extra pound charge for?</t>
  </si>
  <si>
    <t xml:space="preserve">I was charged $1 in a transaction.</t>
  </si>
  <si>
    <t xml:space="preserve">What is the reason for the extra fee on my statement?</t>
  </si>
  <si>
    <t xml:space="preserve">There is a pending 1£ charge on my statement.  I haven't purchased anything for 1£.  Why is it on my statement?</t>
  </si>
  <si>
    <t xml:space="preserve">Have have a small charge on my account from someone I purchased with but I'm not sure what it relates to.</t>
  </si>
  <si>
    <t xml:space="preserve">I have a strange transaction for £1 on my statement, what is that?</t>
  </si>
  <si>
    <t xml:space="preserve">I have no idea why there is a dollar that has been charged to my account.</t>
  </si>
  <si>
    <t xml:space="preserve">I have been charged a pound for something that appears on my statement</t>
  </si>
  <si>
    <t xml:space="preserve">Why is there a $1 charge on my statement?</t>
  </si>
  <si>
    <t xml:space="preserve">Where did this extra €1 fee on my statement come from?</t>
  </si>
  <si>
    <t xml:space="preserve">Is there a reason why there is an extra £1 charge on my account?</t>
  </si>
  <si>
    <t xml:space="preserve">Can you tell me what this fee is on my statement?</t>
  </si>
  <si>
    <t xml:space="preserve">Why has another fee been placed on my statement?</t>
  </si>
  <si>
    <t xml:space="preserve">There has been a charge pending on my account statement that I can't figue out it's for a dollar.</t>
  </si>
  <si>
    <t xml:space="preserve">€1 was in my statement as an extra fee.</t>
  </si>
  <si>
    <t xml:space="preserve">Why is there an extra charge on my statement.</t>
  </si>
  <si>
    <t xml:space="preserve">Hey, I got charged extra for some reason when I purchased an app. Is this a hidden fee or something? I don't think it's very cool.</t>
  </si>
  <si>
    <t xml:space="preserve">I see a $1 charge in a transaction.</t>
  </si>
  <si>
    <t xml:space="preserve">I had to pay a pound more than I anticipated!</t>
  </si>
  <si>
    <t xml:space="preserve">There is a €1 extra fee in my statement</t>
  </si>
  <si>
    <t xml:space="preserve">My statement contained a one pound extra fee</t>
  </si>
  <si>
    <t xml:space="preserve">I checked my account today and saw that I was charged an extra pound that I did not spend.</t>
  </si>
  <si>
    <t xml:space="preserve">What is the extra €1 on my statement for?</t>
  </si>
  <si>
    <t xml:space="preserve">I see I was charged $1 for a transaction.</t>
  </si>
  <si>
    <t xml:space="preserve">$1 charge in transaction.</t>
  </si>
  <si>
    <t xml:space="preserve">I just looked at my app and it seems I was charged extra, why is that?</t>
  </si>
  <si>
    <t xml:space="preserve">Why is there an extra pound charge that is pending?</t>
  </si>
  <si>
    <t xml:space="preserve">I was wrongfully charged one pound.</t>
  </si>
  <si>
    <t xml:space="preserve">Why is there an extra fee charged?</t>
  </si>
  <si>
    <t xml:space="preserve">I just checked my statement and saw a $1 charge, why is it there?</t>
  </si>
  <si>
    <t xml:space="preserve">There is an odd 1£ charge that appears as pending on my statement. What's the reason for that? I haven't purchased anything for a pound.</t>
  </si>
  <si>
    <t xml:space="preserve">Why have I been charged an extra pound?</t>
  </si>
  <si>
    <t xml:space="preserve">I think I may have been charged $1 extra on my app.  Could you provide some insight as to why this may have happened?</t>
  </si>
  <si>
    <t xml:space="preserve">Why do I see an extra €1 charge on my statement?</t>
  </si>
  <si>
    <t xml:space="preserve">Is the 1 pound charge I can see an error or an incorrect entry?</t>
  </si>
  <si>
    <t xml:space="preserve">Why did I get a $1 extra fee on the statement?</t>
  </si>
  <si>
    <t xml:space="preserve">Why was I charged $1 in a transaction?</t>
  </si>
  <si>
    <t xml:space="preserve">why is there a service fee on my statement?</t>
  </si>
  <si>
    <t xml:space="preserve">My statement shows a 1£ purchase pending. I do not remember making this purchase, please let me know what this is about.</t>
  </si>
  <si>
    <t xml:space="preserve">I am seeing and extra 1$ charged to my account and wanted to know about it.</t>
  </si>
  <si>
    <t xml:space="preserve">Why did you charge me extra?</t>
  </si>
  <si>
    <t xml:space="preserve">An extra pound was charged!</t>
  </si>
  <si>
    <t xml:space="preserve">I got billed an extra pound!</t>
  </si>
  <si>
    <t xml:space="preserve">Why do I see an extra fee on my statement?</t>
  </si>
  <si>
    <t xml:space="preserve">There must have been a mistake, why was I charged an extra pound?</t>
  </si>
  <si>
    <t xml:space="preserve">When I look at my statement there is an extra fee, that is for what?</t>
  </si>
  <si>
    <t xml:space="preserve">There is an extra small charge on my card! What do I do?</t>
  </si>
  <si>
    <t xml:space="preserve">I looked at my statement, and there is a charge for 1£ that I don't recognize.  Why is it on there?</t>
  </si>
  <si>
    <t xml:space="preserve">I got a €1 extra fee in my statement</t>
  </si>
  <si>
    <t xml:space="preserve">What is the extra fee on my statement?</t>
  </si>
  <si>
    <t xml:space="preserve">Why have I been charged an extra £1?</t>
  </si>
  <si>
    <t xml:space="preserve">In my statement, I got a €1 extra fee.</t>
  </si>
  <si>
    <t xml:space="preserve">Why is there a charge for $1 on my account?</t>
  </si>
  <si>
    <t xml:space="preserve">On my statement, there is a strange 1£ charge that appears as pending. What's causing that? I haven't purchased anything that's just a pound.</t>
  </si>
  <si>
    <t xml:space="preserve">what was the $1 fee i got</t>
  </si>
  <si>
    <t xml:space="preserve">I see a charge of 1L I do not recognize on my statement</t>
  </si>
  <si>
    <t xml:space="preserve">I was overcharged one extra pound!</t>
  </si>
  <si>
    <t xml:space="preserve">I noticed an extra pound charge?</t>
  </si>
  <si>
    <t xml:space="preserve">I have been charged an extra pound!</t>
  </si>
  <si>
    <t xml:space="preserve">Why does my statement show a $1 charge on my account?</t>
  </si>
  <si>
    <t xml:space="preserve">Why has my card been charged an extra pound?</t>
  </si>
  <si>
    <t xml:space="preserve">Why does my statement have an extra fee?</t>
  </si>
  <si>
    <t xml:space="preserve">There is a  €1 fee on my account I didn't authorize</t>
  </si>
  <si>
    <t xml:space="preserve">I was made to pay an additional pound!</t>
  </si>
  <si>
    <t xml:space="preserve">I was charged an extra pound for no reason. Why is that?</t>
  </si>
  <si>
    <t xml:space="preserve">It appears I have a fee in my statement.</t>
  </si>
  <si>
    <t xml:space="preserve">When did I get a $1 extra fee on my statement?</t>
  </si>
  <si>
    <t xml:space="preserve">What is this fee debit on my account?</t>
  </si>
  <si>
    <t xml:space="preserve">I was charged an extra dollar on my account and would like to know the reason.</t>
  </si>
  <si>
    <t xml:space="preserve">What is this extra €1 fee about?</t>
  </si>
  <si>
    <t xml:space="preserve">I was overcharged a pound.</t>
  </si>
  <si>
    <t xml:space="preserve">Why do i have an extra fee on my statement?</t>
  </si>
  <si>
    <t xml:space="preserve">What was the $1 charge for on my statement?</t>
  </si>
  <si>
    <t xml:space="preserve">I had a dollar charged to my account that's still pending and wanted to know what the charge is for?</t>
  </si>
  <si>
    <t xml:space="preserve">I was charged extra or a hidden fee when I purchased something from you. What's the deal? I didn't authorize that charge.</t>
  </si>
  <si>
    <t xml:space="preserve">What am I being charged an extra pound when I haven't bought something worth that much?</t>
  </si>
  <si>
    <t xml:space="preserve">why was i charged a small amount</t>
  </si>
  <si>
    <t xml:space="preserve">Do you also have this extra fee on your statement?</t>
  </si>
  <si>
    <t xml:space="preserve">Why did I get charged one pound seemingly randomly?</t>
  </si>
  <si>
    <t xml:space="preserve">Why was I charged an extra pound?</t>
  </si>
  <si>
    <t xml:space="preserve">I am being charged a pound out of nowhere. What is this?</t>
  </si>
  <si>
    <t xml:space="preserve">A pending charge of 1L appears on my statement.  Please explain as I have not made a purchase for that amount</t>
  </si>
  <si>
    <t xml:space="preserve">Why did you guys charge me an extra €1?</t>
  </si>
  <si>
    <t xml:space="preserve">Why was I charged more than I should have been?</t>
  </si>
  <si>
    <t xml:space="preserve">What is the fee on my statement for?</t>
  </si>
  <si>
    <t xml:space="preserve">Hello, there seems to be a billing mistake associated with my account.  My app was charged $1 more than it should have.  Could you please explain why this may have happened?</t>
  </si>
  <si>
    <t xml:space="preserve">Why is there a pending hold on one pound on my statement?</t>
  </si>
  <si>
    <t xml:space="preserve">I need some help figuring out what this strange payment is on my account. It's stays pending and won't go away.</t>
  </si>
  <si>
    <t xml:space="preserve">What is this $1 charge on my account?</t>
  </si>
  <si>
    <t xml:space="preserve">There is a 1£ charge that appears as pending on my statement. What is that? I haven't purchased anything for a pound there.</t>
  </si>
  <si>
    <t xml:space="preserve">Why did a transaction I made charge me $1?</t>
  </si>
  <si>
    <t xml:space="preserve">There seems to be an additional charge of £1 on my statement, what is the reason for this?</t>
  </si>
  <si>
    <t xml:space="preserve">I still have not received an answer as to why I was charged $1.00 in a transaction?</t>
  </si>
  <si>
    <t xml:space="preserve">Why does my statement show an extra fee?</t>
  </si>
  <si>
    <t xml:space="preserve">There's an extra fee on my statement, why is that?</t>
  </si>
  <si>
    <t xml:space="preserve">There is some odd 1£ charge that appears as pending on my statement. What's that about? Pretty sure I haven't purchased anything for a pound there.</t>
  </si>
  <si>
    <t xml:space="preserve">There is a pending payment on my account that is very strange. I don't remember making this and it won't go away. Can you help me figure this out?</t>
  </si>
  <si>
    <t xml:space="preserve">Can you tell me about why the account I have was charged an extra 1$</t>
  </si>
  <si>
    <t xml:space="preserve">why does my statement contain an extra fee?</t>
  </si>
  <si>
    <t xml:space="preserve">Can you tell me why I was charged $1 for a transaction?</t>
  </si>
  <si>
    <t xml:space="preserve">Why is there an extra €1 fee in my statement?</t>
  </si>
  <si>
    <t xml:space="preserve">There is an extra charge on my account I didn't authorise, it's just £1, what is it?</t>
  </si>
  <si>
    <t xml:space="preserve">What is the dollar that I have pending on my statement there?</t>
  </si>
  <si>
    <t xml:space="preserve">I see an extra $1  charge on my statement, why is this?</t>
  </si>
  <si>
    <t xml:space="preserve">Can you please explain to me why there is an extra €1 fee in my statement?</t>
  </si>
  <si>
    <t xml:space="preserve">There is an unexplained $1 charge on my statement, can you please explain this to me?</t>
  </si>
  <si>
    <t xml:space="preserve">How can I find out about an extra fee on my statement?</t>
  </si>
  <si>
    <t xml:space="preserve">Hello, I see that I have been charged an extra $1 on my app.  Could you please provide me with a reason for this charge?</t>
  </si>
  <si>
    <t xml:space="preserve">In my statement, there was an extra €1 fee</t>
  </si>
  <si>
    <t xml:space="preserve">Is there a reason there's an extra fee on my statement?</t>
  </si>
  <si>
    <t xml:space="preserve">What is this extra fee on my statement.</t>
  </si>
  <si>
    <t xml:space="preserve">What does the €1 fee mean?</t>
  </si>
  <si>
    <t xml:space="preserve">There's a €1 fee on my statement, why?</t>
  </si>
  <si>
    <t xml:space="preserve">Why was I charged an additional $1?</t>
  </si>
  <si>
    <t xml:space="preserve">I checked my statement and am being charged one pound. Where did this charge come from?</t>
  </si>
  <si>
    <t xml:space="preserve">I do not know why I was charged for the $1 transaction.</t>
  </si>
  <si>
    <t xml:space="preserve">I wanted to know about a pending dollar that is on my statement.</t>
  </si>
  <si>
    <t xml:space="preserve">I'm pretty frustrated about a pound charge that keeps  showing up in my account statement. It's listed in the app as "pending", it never changes, and now I'm thinking someone's hacked my account!</t>
  </si>
  <si>
    <t xml:space="preserve">How come there is a $1 extra charge on my statement?</t>
  </si>
  <si>
    <t xml:space="preserve">I was charged an extra pound.</t>
  </si>
  <si>
    <t xml:space="preserve">There is a charge for an additional pound.</t>
  </si>
  <si>
    <t xml:space="preserve">There is a strange 1£ charge that appears as pending on my statement. What's the cause for that? I haven't purchased anything for a pound.</t>
  </si>
  <si>
    <t xml:space="preserve">I need to know what these extra charges are on my statement?</t>
  </si>
  <si>
    <t xml:space="preserve">How come there is an extra fee on my statement?</t>
  </si>
  <si>
    <t xml:space="preserve">Why is there an extra charge of 1 dollar on my statement?</t>
  </si>
  <si>
    <t xml:space="preserve">I checked my statement and saw a charge of one pound, where is this charge coming from?</t>
  </si>
  <si>
    <t xml:space="preserve">I don't understand why there is an extra €1 fee in my statement.</t>
  </si>
  <si>
    <t xml:space="preserve">Why was I charged extra on my app?</t>
  </si>
  <si>
    <t xml:space="preserve">Why was my account assessed a fee?</t>
  </si>
  <si>
    <t xml:space="preserve">There is an extra 1£ charge on my app. Why did you charge me extra?</t>
  </si>
  <si>
    <t xml:space="preserve">Why i'm I being charged an extra pound</t>
  </si>
  <si>
    <t xml:space="preserve">The $1.00 has still not been reverted as indicated in the previous email.</t>
  </si>
  <si>
    <t xml:space="preserve">My statement shows and extra 1$ that was charged to it and I would like to know why.</t>
  </si>
  <si>
    <t xml:space="preserve">There is an extra $1 charge on my statement, why is that?</t>
  </si>
  <si>
    <t xml:space="preserve">Is the 1 pound charge going to be reimbursed on my card?</t>
  </si>
  <si>
    <t xml:space="preserve">I  see an extra 1£ charge on my app. Why did It charge me extra?</t>
  </si>
  <si>
    <t xml:space="preserve">Why is there a fee added to my statement?</t>
  </si>
  <si>
    <t xml:space="preserve">Why would there be an extra charge on my app?</t>
  </si>
  <si>
    <t xml:space="preserve">There is a charge for 1£ on my statement.  I do not think that I bought anything that costed 1£.  What is going on?</t>
  </si>
  <si>
    <t xml:space="preserve">Why does my transaction have an added fee?</t>
  </si>
  <si>
    <t xml:space="preserve">There is  an extra 1£ charge on my app. Why did it charge me extra?</t>
  </si>
  <si>
    <t xml:space="preserve">Why is there an additional fee showing on the statement I received?</t>
  </si>
  <si>
    <t xml:space="preserve">How come I was charged a transaction of $1?</t>
  </si>
  <si>
    <t xml:space="preserve">Please explain the charge of 1L in error.  I have purchased nothing in this amount.</t>
  </si>
  <si>
    <t xml:space="preserve">Where did the  €1 fee in my statement come from</t>
  </si>
  <si>
    <t xml:space="preserve">What is this random charge of one pound doing on my account?</t>
  </si>
  <si>
    <t xml:space="preserve">I had to pay one pound more than the set price!</t>
  </si>
  <si>
    <t xml:space="preserve">My statement is showing an extra £1 charge and I am unsure why. Is there an explanation for this?</t>
  </si>
  <si>
    <t xml:space="preserve">Do I have a $1 extra fee on the statement?</t>
  </si>
  <si>
    <t xml:space="preserve">Why is it showing that my account has been charged a dollar that is showing as pending?</t>
  </si>
  <si>
    <t xml:space="preserve">I do not understand why there is a pending 1£ charge on my statement, I do not recall making this transaction. Can you please tell me what this is about?</t>
  </si>
  <si>
    <t xml:space="preserve">My statement shows an extra fee - what is it?</t>
  </si>
  <si>
    <t xml:space="preserve">What is this €1 charge?</t>
  </si>
  <si>
    <t xml:space="preserve">How long will the $1 charge show as pending?</t>
  </si>
  <si>
    <t xml:space="preserve">I've been charged an extra £1 and I don't know what it's for</t>
  </si>
  <si>
    <t xml:space="preserve">I was overcharged an additional pound.</t>
  </si>
  <si>
    <t xml:space="preserve">I've been charged an extra £1 and I don't know why</t>
  </si>
  <si>
    <t xml:space="preserve">My statement is showing I was Charged a dollar and I am not sure why.</t>
  </si>
  <si>
    <t xml:space="preserve">Why is there a €1 charge on my statement?</t>
  </si>
  <si>
    <t xml:space="preserve">An extra fee of €1 was in my statement</t>
  </si>
  <si>
    <t xml:space="preserve">I would like to know why a withdraw I made for some cash shows up as pending.</t>
  </si>
  <si>
    <t xml:space="preserve">Why is my cash withdrawal still showing as pending?</t>
  </si>
  <si>
    <t xml:space="preserve">I have the cash already, my account still shows up as pending.  How can my account be still pending?</t>
  </si>
  <si>
    <t xml:space="preserve">I tried to get cash out of the ATM but it is taking too long</t>
  </si>
  <si>
    <t xml:space="preserve">Why is the cash withdrawal under pending?</t>
  </si>
  <si>
    <t xml:space="preserve">What does it mean if my cash withdrawal does not show up properly?</t>
  </si>
  <si>
    <t xml:space="preserve">Hello, I have a pending transaction in my account due to an ATM machine that wasn't working. In any case if the transaction goes through, after how long can I get my money back?</t>
  </si>
  <si>
    <t xml:space="preserve">Why is my ATM withdrawal still pending?</t>
  </si>
  <si>
    <t xml:space="preserve">Is the cash withdrawal going to show?</t>
  </si>
  <si>
    <t xml:space="preserve">Cash withdrawal has been pending, why is it so?</t>
  </si>
  <si>
    <t xml:space="preserve">My account shows up as pending after I received cash from the ATM earlier.  How can this be still pending? I've got the cash already.</t>
  </si>
  <si>
    <t xml:space="preserve">How long does it take to verify a cash withdraw?</t>
  </si>
  <si>
    <t xml:space="preserve">The transaction for the cash I pulled out of the ATM earlier is pending in the app, but how if I already have the cash?</t>
  </si>
  <si>
    <t xml:space="preserve">Why has my withdrawal not posted?</t>
  </si>
  <si>
    <t xml:space="preserve">When I used one of the ATMs in the city centre today, I tried to take out some money, but for whatever reason, the machine declined my card. Just checked it out in my account and that amount is still showing as pending! Is there any way that you can cancel this transaction, because I did not receive any money whatsoever from the ATM</t>
  </si>
  <si>
    <t xml:space="preserve">Why is the cash withdraw I made shown as pending?</t>
  </si>
  <si>
    <t xml:space="preserve">Hello. I looked at my account and see that a transaction I tried to do is pending, but I did not complete that transaction. When I was at the ATM, the machine declined my card. Can you make sure that transaction does not go through because I definitely did not receive the money.</t>
  </si>
  <si>
    <t xml:space="preserve">Should my cash withdrawal still be pending?</t>
  </si>
  <si>
    <t xml:space="preserve">Hey, I tried to withdraw some cash earlier and it's saying it's pending? Will I be charged for this?</t>
  </si>
  <si>
    <t xml:space="preserve">There should be a cash withdrawal that I haven't seen yet.</t>
  </si>
  <si>
    <t xml:space="preserve">Why is the app showing a still pending message on a withdraw that has already been done?</t>
  </si>
  <si>
    <t xml:space="preserve">Why is my cash withdrawal still pending?</t>
  </si>
  <si>
    <t xml:space="preserve">If my cash withdrawal is still not showing, is something wrong?</t>
  </si>
  <si>
    <t xml:space="preserve">I noticed on my online statement that an ATM withdrawal I made early is still pending.  Is this accurate?</t>
  </si>
  <si>
    <t xml:space="preserve">I made a cash withdrawal at an ATM but it still says pending in my account.</t>
  </si>
  <si>
    <t xml:space="preserve">I tried to get cash at some ATM in the city centre earlier but the machine declined my card. I've seen it still shows up as pending in my account. Please cancel it immediately as I definitely have not received that money!</t>
  </si>
  <si>
    <t xml:space="preserve">Why hasn't my withdrawal shown on my statement?</t>
  </si>
  <si>
    <t xml:space="preserve">I have withdrawn cash from the ATM but it is showing in my account as a pending transation. Why is this?</t>
  </si>
  <si>
    <t xml:space="preserve">I made a cash withdrawal earlier and it's showing as pending.  What does that mean?</t>
  </si>
  <si>
    <t xml:space="preserve">I tried to withdraw cash at an ATM in the city center but my card was declined. The transaction is still showing up as pending - please cancel it!</t>
  </si>
  <si>
    <t xml:space="preserve">How long does it take for a cash withdrawal to show?</t>
  </si>
  <si>
    <t xml:space="preserve">I tried to access money earlier but the machine seems not to be working. After looking, the transaction actually shows to still being process. Can you find out what is going on here? I don't want to be charged for some money I never got.</t>
  </si>
  <si>
    <t xml:space="preserve">Why is my cash withdrawal pending?</t>
  </si>
  <si>
    <t xml:space="preserve">I withdrew cash but it still shows as pending?</t>
  </si>
  <si>
    <t xml:space="preserve">Hi there, earlier today I tried to take money out of an ATM machine, and something wasn't working.  I didn't actually receive the money, but I just checked and it says that the transaction is still pending.  Can you tell me what's going on here? Am I still being charged for the withdrawal even though I didn't end up getting any money?</t>
  </si>
  <si>
    <t xml:space="preserve">I got some cash in the ATM but its still pending</t>
  </si>
  <si>
    <t xml:space="preserve">So much time has gone by, the pending status shouldn't still be there shouldn't it?</t>
  </si>
  <si>
    <t xml:space="preserve">Do you know when the withdrawal will show?</t>
  </si>
  <si>
    <t xml:space="preserve">How long will my cash withdrawal take</t>
  </si>
  <si>
    <t xml:space="preserve">Why do I still have a pending cash withdrawal?</t>
  </si>
  <si>
    <t xml:space="preserve">I have a withdrawal waiting to go through.</t>
  </si>
  <si>
    <t xml:space="preserve">How long does it take for a pending cash withdrawal?</t>
  </si>
  <si>
    <t xml:space="preserve">I took out some cash from the ATM but it is still showing the transaction is pending.</t>
  </si>
  <si>
    <t xml:space="preserve">How are cash withdrawals pending?</t>
  </si>
  <si>
    <t xml:space="preserve">I went to an ATM to get cash, but the app says the withdrawal is still pending. How is that possible when I already have the cash with me?</t>
  </si>
  <si>
    <t xml:space="preserve">My cash withdrawal isnt showing on my account</t>
  </si>
  <si>
    <t xml:space="preserve">What does pending mean on a cash withdrawal?</t>
  </si>
  <si>
    <t xml:space="preserve">I'm expecting to see a cash withdrawal but I'm still waiting.</t>
  </si>
  <si>
    <t xml:space="preserve">So earlier I went to an ATM and got cash. But when I checked the app, it states that the withdrawal is pending. How can that be when I have the cash on me?</t>
  </si>
  <si>
    <t xml:space="preserve">How long does it take for cash withdrawals to hit my account?</t>
  </si>
  <si>
    <t xml:space="preserve">Can you explain to me why a cash withdrawal shows up as pending?</t>
  </si>
  <si>
    <t xml:space="preserve">The machine didn't work earlier when I went to get money out and now my account says transaction in progress.Why?</t>
  </si>
  <si>
    <t xml:space="preserve">I got cash from an ATM earlier but it shows up as pending in the app. How can this still be pending, I already received the cash?</t>
  </si>
  <si>
    <t xml:space="preserve">I made a deposit in the ATM and it has not cleared</t>
  </si>
  <si>
    <t xml:space="preserve">withdrawal pending meaning?</t>
  </si>
  <si>
    <t xml:space="preserve">What does it mean to have a pending cash withdrawal?</t>
  </si>
  <si>
    <t xml:space="preserve">I tried to get some money but the machine was not working .The transaction still seems in progress! Can you please check what's going on.I don't want to be charged for money that I did not received.</t>
  </si>
  <si>
    <t xml:space="preserve">My account says there are pending funds right now from withdrawing from an ATM, but my card was declined and I never took out any money. When will that money be deposited back into my account?</t>
  </si>
  <si>
    <t xml:space="preserve">How long before I can see that my cash withdrawal has taken place?</t>
  </si>
  <si>
    <t xml:space="preserve">My cash withdrawal shows pending, why?</t>
  </si>
  <si>
    <t xml:space="preserve">My account says I have money but I withdrew it in cash.</t>
  </si>
  <si>
    <t xml:space="preserve">How do I get my cash withdrawal to show?</t>
  </si>
  <si>
    <t xml:space="preserve">I didn't receive my money earlier and it says the transaction is still in progress. Can you fix it?</t>
  </si>
  <si>
    <t xml:space="preserve">Hello. I have a transaction in my account listed as pending. I tried to use an ATM at the city centre, but the machine declined my card, and I did not receive the money. Why is the transaction still pending if I did not receive the money.</t>
  </si>
  <si>
    <t xml:space="preserve">How long does it typically take for a pending ATM withdrawal to clear?</t>
  </si>
  <si>
    <t xml:space="preserve">My cash withdrawal shows as pending still.</t>
  </si>
  <si>
    <t xml:space="preserve">i withdrew cash and dont see it reflected on the balance</t>
  </si>
  <si>
    <t xml:space="preserve">When will my cash withdrawal show/</t>
  </si>
  <si>
    <t xml:space="preserve">Hello, I'm having trouble with my card, I don't understand what's happening, I tried using the ATM machine earlier but it wasn't working but seems like the transactions is still in progress, can you cancel it for me?</t>
  </si>
  <si>
    <t xml:space="preserve">Looking at my account I've noticed a charge that appears to still be in progress. I had attempted to get money out of the machine earlier but the machine seemed to have been broken. I never received my money so will you please look into this for me? I don't want to be charged for money I never actually received.</t>
  </si>
  <si>
    <t xml:space="preserve">What is a pending cash withdrawal?</t>
  </si>
  <si>
    <t xml:space="preserve">When will a cash withdrawal show up?</t>
  </si>
  <si>
    <t xml:space="preserve">Hi, I tried to withdraw some money from an ATM and the machine was broken.  It says that the transaction is still in progress.  Can you double check to see what's happening? I don't want to be charged since I was not able to withdraw the money.</t>
  </si>
  <si>
    <t xml:space="preserve">My ATM withdrawal is taking forever</t>
  </si>
  <si>
    <t xml:space="preserve">What does it mean when a cash withdrawal is pending?</t>
  </si>
  <si>
    <t xml:space="preserve">how long will my cash withdrawal be pending for?</t>
  </si>
  <si>
    <t xml:space="preserve">Why is my withdrawl to cash still pending?</t>
  </si>
  <si>
    <t xml:space="preserve">Why is the pending status on my cash withdrawal taking so long?</t>
  </si>
  <si>
    <t xml:space="preserve">There is a pending transaction on my account for when I tried to get money from the ATM earlier and it did not work. Can you fix this?</t>
  </si>
  <si>
    <t xml:space="preserve">The cash I got at the ATM is still in my account.</t>
  </si>
  <si>
    <t xml:space="preserve">How long will it take for my cash withdrawal to stop pending</t>
  </si>
  <si>
    <t xml:space="preserve">I'm concerned because my cash withdrawal is pending.</t>
  </si>
  <si>
    <t xml:space="preserve">What is the reason my cash withdrawal is still pending?</t>
  </si>
  <si>
    <t xml:space="preserve">How long will it take for my cash withdrawal to no longer show as pending?</t>
  </si>
  <si>
    <t xml:space="preserve">How long until I see a cash withdrawal?</t>
  </si>
  <si>
    <t xml:space="preserve">my cash out is still pending</t>
  </si>
  <si>
    <t xml:space="preserve">Why does it still charge me even though I was unable to withdraw money from the ATM?</t>
  </si>
  <si>
    <t xml:space="preserve">What does it mean if my cash withdrawal is pending?</t>
  </si>
  <si>
    <t xml:space="preserve">Why is a transaction still pending?</t>
  </si>
  <si>
    <t xml:space="preserve">I am not seeing recent cash withdrawal on my account.</t>
  </si>
  <si>
    <t xml:space="preserve">What does a pending cash withdrawal mean?</t>
  </si>
  <si>
    <t xml:space="preserve">I tried to get some with-drawls but the machine didn't work. The transaction still seems in progress.Seems like  something is wrong,I don't want to be charged for Transaction i did not make.</t>
  </si>
  <si>
    <t xml:space="preserve">How long will a cash withdrawal be pending?</t>
  </si>
  <si>
    <t xml:space="preserve">If I have already completed a cash withdrawal at an ATM, is it normal for it to show as a pending transaction on the app?</t>
  </si>
  <si>
    <t xml:space="preserve">Why does a cash withdrawal show as pending?</t>
  </si>
  <si>
    <t xml:space="preserve">Why would a cash withdrawal still be pending?</t>
  </si>
  <si>
    <t xml:space="preserve">Explain pending transactions.</t>
  </si>
  <si>
    <t xml:space="preserve">How is my ATM deposit not available yet?</t>
  </si>
  <si>
    <t xml:space="preserve">My cash withdrawal is showing as pending, why?</t>
  </si>
  <si>
    <t xml:space="preserve">I withdrew some cash, when is it going to show?</t>
  </si>
  <si>
    <t xml:space="preserve">Can you let me know why my cash withdrawal is still pending?</t>
  </si>
  <si>
    <t xml:space="preserve">I made a cash withdrawal and it is still listed as a pending transaction.</t>
  </si>
  <si>
    <t xml:space="preserve">my cash withdrawal is pending, why?</t>
  </si>
  <si>
    <t xml:space="preserve">Hae there, I have a transaction that is in progress despite the fact that the ATM was not working, what do I do to avoid being charged?</t>
  </si>
  <si>
    <t xml:space="preserve">I've been waiting for 3 days, why is my withdrawal still pending?</t>
  </si>
  <si>
    <t xml:space="preserve">I removed cash from an ATM earlier but it shows up as pending in the app. How can this still be pending, I already received the cash?</t>
  </si>
  <si>
    <t xml:space="preserve">How long will my ATM withdrawal be pending?</t>
  </si>
  <si>
    <t xml:space="preserve">Is there any reason my cash withdrawal still shows as pending?</t>
  </si>
  <si>
    <t xml:space="preserve">Its been several days and my cash withdrawal is still pending. Why?</t>
  </si>
  <si>
    <t xml:space="preserve">My account says a withdrawal is pending - why can't I take cash out of the ATM?</t>
  </si>
  <si>
    <t xml:space="preserve">I tried to take out some money from an ATM earlier today and it was declined. Looking on my screen now, I still see that it's pending for that amount. I didn't actually get that money, so I don't want it processed on my account.</t>
  </si>
  <si>
    <t xml:space="preserve">My cash withdrawal says pending, why?</t>
  </si>
  <si>
    <t xml:space="preserve">Why is my cash still pending that I put in ATM?</t>
  </si>
  <si>
    <t xml:space="preserve">In my account I noticed my ATM withdrawal is still pending</t>
  </si>
  <si>
    <t xml:space="preserve">Please cancel the latest ATM charge on my card as my card was declined earlier today and I did not receive that cash.</t>
  </si>
  <si>
    <t xml:space="preserve">My withdrawal is pending, why?</t>
  </si>
  <si>
    <t xml:space="preserve">Why does my account show as pending a cash withdrawal from the ATM that I have already made?</t>
  </si>
  <si>
    <t xml:space="preserve">I have a cash withdrawal that says it's pending, why?</t>
  </si>
  <si>
    <t xml:space="preserve">I took out money from the ATM and it's still showing as pending?</t>
  </si>
  <si>
    <t xml:space="preserve">Why would a cash withdrawal be pending?</t>
  </si>
  <si>
    <t xml:space="preserve">Why is the cash transaction still showing as not completed?</t>
  </si>
  <si>
    <t xml:space="preserve">Why is my withdrawal from the ATM still showing as pending?</t>
  </si>
  <si>
    <t xml:space="preserve">The cash I deposited using the ATM is still pending</t>
  </si>
  <si>
    <t xml:space="preserve">I tried to withdraw money, but was unable to. Still says that the transaction is pending? Will this money disappear??</t>
  </si>
  <si>
    <t xml:space="preserve">There is a withdrawal waiting.</t>
  </si>
  <si>
    <t xml:space="preserve">Can you please tell me why my cash withdrawal is still pending?</t>
  </si>
  <si>
    <t xml:space="preserve">My atm withdraw is stillpending</t>
  </si>
  <si>
    <t xml:space="preserve">I Withdrew cash from an ATM earlier but it shows up as pending in the app. How can this still be pending, I received the cash already?</t>
  </si>
  <si>
    <t xml:space="preserve">Hello, I tried to take some cash out of the ATM but I looked at my statement and it still shows that it's pending. Is the machine broken? Will I receive my money back or will I be charged for this?</t>
  </si>
  <si>
    <t xml:space="preserve">I made a cash withdraw and it shows up as pending why is that?</t>
  </si>
  <si>
    <t xml:space="preserve">My last ATM request did not go through due to a declined card. Please cancel the request on my account.</t>
  </si>
  <si>
    <t xml:space="preserve">What should I do if I see a withdrawal is pending?</t>
  </si>
  <si>
    <t xml:space="preserve">My balance is not what I thought it was following an ATM withdrawal</t>
  </si>
  <si>
    <t xml:space="preserve">I tempted to get some money out of the machine earlier and it did not work.Looking now, the transaction actually shows to still be in progress. I would certainly appreciate someone look into this and let me know what's going on. I definitely do not want to be charged for money I never received.</t>
  </si>
  <si>
    <t xml:space="preserve">Hello, I tried to take out some money out of the ATM, but it's still showing that it's pending? I really don't want to be charged for this.</t>
  </si>
  <si>
    <t xml:space="preserve">how long until a cash withdrawal will show on my account</t>
  </si>
  <si>
    <t xml:space="preserve">When will the cash that I put in the ATM be cleared from pending status?</t>
  </si>
  <si>
    <t xml:space="preserve">My card was declined and I did not receive money from the ATM earlier, yet it show on my account that it is pending.</t>
  </si>
  <si>
    <t xml:space="preserve">I pulled cash from the ATM earlier. Why is it still pending if I already have the cash?</t>
  </si>
  <si>
    <t xml:space="preserve">my cash withdrawal has not come out of my account yet.</t>
  </si>
  <si>
    <t xml:space="preserve">I needed cash today, so I used another provider's ATM, and when I attempted to withdraw, it declined. I just checked it out and I'm still showing my account with that amount pending! I didn't take any money out, it was declined, so I don't want that to be processed as a withdrawal.</t>
  </si>
  <si>
    <t xml:space="preserve">Why has my deposit in the ATM not cleared yet?</t>
  </si>
  <si>
    <t xml:space="preserve">why isnt my cash withdrawal showing</t>
  </si>
  <si>
    <t xml:space="preserve">How many different currencies can I hold money in?</t>
  </si>
  <si>
    <t xml:space="preserve">Do you allow currency exchanges?</t>
  </si>
  <si>
    <t xml:space="preserve">How many currencies can I have money in in my account?</t>
  </si>
  <si>
    <t xml:space="preserve">Is the EUR accepted for exchanges?</t>
  </si>
  <si>
    <t xml:space="preserve">Is it okay to hold money in multiple currencies?</t>
  </si>
  <si>
    <t xml:space="preserve">Can I have money in more than one currency in my account?</t>
  </si>
  <si>
    <t xml:space="preserve">What currencies can I have?</t>
  </si>
  <si>
    <t xml:space="preserve">What currencies can my account be in?</t>
  </si>
  <si>
    <t xml:space="preserve">How many currencies can I have?</t>
  </si>
  <si>
    <t xml:space="preserve">Are EUR exchanges allowed?</t>
  </si>
  <si>
    <t xml:space="preserve">I want to have multiple currencies in my account if possible.</t>
  </si>
  <si>
    <t xml:space="preserve">Do you convert to Euro?</t>
  </si>
  <si>
    <t xml:space="preserve">What fiat currencies can I use for holding and exchanging?</t>
  </si>
  <si>
    <t xml:space="preserve">Can exchanged be made to EUR?</t>
  </si>
  <si>
    <t xml:space="preserve">I need to know what flat currencies you support for holding and exchange.</t>
  </si>
  <si>
    <t xml:space="preserve">Do you support other currencies?</t>
  </si>
  <si>
    <t xml:space="preserve">Can you convert to EUR?</t>
  </si>
  <si>
    <t xml:space="preserve">What are the fiat currencies used?</t>
  </si>
  <si>
    <t xml:space="preserve">What currencies can I not hold many in, if so what are they?</t>
  </si>
  <si>
    <t xml:space="preserve">How many different currencies can I have my money in?</t>
  </si>
  <si>
    <t xml:space="preserve">Which fiat currencies are supported by you?</t>
  </si>
  <si>
    <t xml:space="preserve">What currencies do you offer?</t>
  </si>
  <si>
    <t xml:space="preserve">Are there any fiat currencies that you will not work with?</t>
  </si>
  <si>
    <t xml:space="preserve">I wondered if multiple currencies is okay?</t>
  </si>
  <si>
    <t xml:space="preserve">Are all fiat currencies supported?</t>
  </si>
  <si>
    <t xml:space="preserve">Can you tell me the names of the fiat currencies that I can use at your institution?</t>
  </si>
  <si>
    <t xml:space="preserve">Can I change or hold different currency?</t>
  </si>
  <si>
    <t xml:space="preserve">Which flat currencies are supported for holding and exchange?</t>
  </si>
  <si>
    <t xml:space="preserve">What other fiat currencies can I use?</t>
  </si>
  <si>
    <t xml:space="preserve">What fiat currencies do you allow exchange with?</t>
  </si>
  <si>
    <t xml:space="preserve">Are all European currencies available for holding and exchange?</t>
  </si>
  <si>
    <t xml:space="preserve">Can you tell me how many currencies I can hold?</t>
  </si>
  <si>
    <t xml:space="preserve">What types of foreign money can be used with this service.?</t>
  </si>
  <si>
    <t xml:space="preserve">Am I allowed to hold money in multiple currencies?</t>
  </si>
  <si>
    <t xml:space="preserve">What fiat currencies do you support?</t>
  </si>
  <si>
    <t xml:space="preserve">I need to hold money, what currencies can I use?</t>
  </si>
  <si>
    <t xml:space="preserve">Can you do exchanges of EUR?</t>
  </si>
  <si>
    <t xml:space="preserve">What are all the fiat currencies that are supported for both exchange and holding?</t>
  </si>
  <si>
    <t xml:space="preserve">What currencies can I hold?</t>
  </si>
  <si>
    <t xml:space="preserve">what currencies do you accept?</t>
  </si>
  <si>
    <t xml:space="preserve">Are there limitations to what currency I can hold?</t>
  </si>
  <si>
    <t xml:space="preserve">What types of fiduciary currencies are supported for tenure and exchange?</t>
  </si>
  <si>
    <t xml:space="preserve">Can I hold more than one currency?</t>
  </si>
  <si>
    <t xml:space="preserve">What fiat currencies are used with holdings and exchanges?</t>
  </si>
  <si>
    <t xml:space="preserve">Is it possible to hold money in multiple currencies?</t>
  </si>
  <si>
    <t xml:space="preserve">Can I have multiple currencies in my account?</t>
  </si>
  <si>
    <t xml:space="preserve">I need to know which fiat currencies I can use with you.</t>
  </si>
  <si>
    <t xml:space="preserve">How can I solve my issue with holding multiple currencies?</t>
  </si>
  <si>
    <t xml:space="preserve">What currencies do you support?</t>
  </si>
  <si>
    <t xml:space="preserve">Do you support fiat currencies?</t>
  </si>
  <si>
    <t xml:space="preserve">Can my account have different types of currency in it.</t>
  </si>
  <si>
    <t xml:space="preserve">What kind of money can I hold?</t>
  </si>
  <si>
    <t xml:space="preserve">Will you be able to exchange to EUR?</t>
  </si>
  <si>
    <t xml:space="preserve">Is my country's currency supported by your system?</t>
  </si>
  <si>
    <t xml:space="preserve">What flat currencies do you support for holding and exchange?</t>
  </si>
  <si>
    <t xml:space="preserve">What kind of fiat currencies are supported for holding and exchange?</t>
  </si>
  <si>
    <t xml:space="preserve">Can you make exchanges with the EUR?</t>
  </si>
  <si>
    <t xml:space="preserve">Is EUR one of the currencies you deal with?</t>
  </si>
  <si>
    <t xml:space="preserve">Are EUR exchanges acceptable?</t>
  </si>
  <si>
    <t xml:space="preserve">What currencies can I exchange?</t>
  </si>
  <si>
    <t xml:space="preserve">What fiduciary currencies are supported for tenure and exchange?</t>
  </si>
  <si>
    <t xml:space="preserve">Will you be adding more currencies in the future?</t>
  </si>
  <si>
    <t xml:space="preserve">How can I hold and exchange fiat currencies?</t>
  </si>
  <si>
    <t xml:space="preserve">What currencies are available for my use in holding and exchange?</t>
  </si>
  <si>
    <t xml:space="preserve">I would like for someone to tell me which fiat currencies that your company supports.</t>
  </si>
  <si>
    <t xml:space="preserve">Which currencies are allowed?</t>
  </si>
  <si>
    <t xml:space="preserve">I'm interested in using fiat currencies, which do you support?</t>
  </si>
  <si>
    <t xml:space="preserve">How do I go forth on holding money in multiple currencies?</t>
  </si>
  <si>
    <t xml:space="preserve">Which currencies will you exchange?</t>
  </si>
  <si>
    <t xml:space="preserve">I need a list of currencies you accept for exchange.</t>
  </si>
  <si>
    <t xml:space="preserve">What type of fiat currencies do you support?</t>
  </si>
  <si>
    <t xml:space="preserve">What currencies are supported?</t>
  </si>
  <si>
    <t xml:space="preserve">Please tell me which fiat currencies you support.</t>
  </si>
  <si>
    <t xml:space="preserve">Do you offer services that hold money in different types of currency?</t>
  </si>
  <si>
    <t xml:space="preserve">What currency is supported for exchanges and holding?</t>
  </si>
  <si>
    <t xml:space="preserve">What fiat money can I used in the exchange and holding?</t>
  </si>
  <si>
    <t xml:space="preserve">What fiat currencies are used for exchange?</t>
  </si>
  <si>
    <t xml:space="preserve">Do you provide currency exchange to Euros?</t>
  </si>
  <si>
    <t xml:space="preserve">What country's money can I hold currency in?</t>
  </si>
  <si>
    <t xml:space="preserve">What other currencies can I hang onto?</t>
  </si>
  <si>
    <t xml:space="preserve">I'm interested in holding and exchange for flat currencies, what do you support?</t>
  </si>
  <si>
    <t xml:space="preserve">Do you have a problem with EUR exchanges?</t>
  </si>
  <si>
    <t xml:space="preserve">Can I exchange currency to Europe?</t>
  </si>
  <si>
    <t xml:space="preserve">What are eligible holding and exchange currencies?</t>
  </si>
  <si>
    <t xml:space="preserve">In the exchange and holding, what fiat is allowed?</t>
  </si>
  <si>
    <t xml:space="preserve">How can I exchange to EUR?</t>
  </si>
  <si>
    <t xml:space="preserve">Do you allow exchanges of EUR?</t>
  </si>
  <si>
    <t xml:space="preserve">Are you able to make exchanges to EUR?</t>
  </si>
  <si>
    <t xml:space="preserve">Does my account have the option to hold multiple currencies?</t>
  </si>
  <si>
    <t xml:space="preserve">Which fiat currencies can I use through this app?</t>
  </si>
  <si>
    <t xml:space="preserve">Do you hold money and if so, what currencies do you accept?</t>
  </si>
  <si>
    <t xml:space="preserve">Please tell me the types of currency I can hold.</t>
  </si>
  <si>
    <t xml:space="preserve">can I have multiple currencies?</t>
  </si>
  <si>
    <t xml:space="preserve">Will you work with any fiat currencies?</t>
  </si>
  <si>
    <t xml:space="preserve">Which flat currencies can I use from you?</t>
  </si>
  <si>
    <t xml:space="preserve">What fiat currencies are used for holdings?</t>
  </si>
  <si>
    <t xml:space="preserve">Which fiat currencies do you currently support? Will this change in this future?</t>
  </si>
  <si>
    <t xml:space="preserve">Can you make exchanges using the EUR?</t>
  </si>
  <si>
    <t xml:space="preserve">Is it possible to hold money in different currencies?</t>
  </si>
  <si>
    <t xml:space="preserve">Tell me the currencies that you support.</t>
  </si>
  <si>
    <t xml:space="preserve">are multiple currencies acceptable?</t>
  </si>
  <si>
    <t xml:space="preserve">Do you deal with EUR?</t>
  </si>
  <si>
    <t xml:space="preserve">I heard that you support more than one type of fiat currency, would you tell me which ones please?</t>
  </si>
  <si>
    <t xml:space="preserve">Which fiat currencies are supported for holding and exchanging?</t>
  </si>
  <si>
    <t xml:space="preserve">What fiat currencies are supported?</t>
  </si>
  <si>
    <t xml:space="preserve">What are my options for holding money in multiple currencies?</t>
  </si>
  <si>
    <t xml:space="preserve">What flat currencies do you use for holding and exchanges.</t>
  </si>
  <si>
    <t xml:space="preserve">I want to hold and exchange fiat currencies, what can I use to do so?</t>
  </si>
  <si>
    <t xml:space="preserve">Do you have EUR currency available for me?</t>
  </si>
  <si>
    <t xml:space="preserve">If I was travelling abroad, would I be able to hold currencies in euros?</t>
  </si>
  <si>
    <t xml:space="preserve">Which fiat currencies are compatible for exchange and holding?</t>
  </si>
  <si>
    <t xml:space="preserve">Is my fiat currency supported for both hold and exchange?</t>
  </si>
  <si>
    <t xml:space="preserve">I need to know which flat currencies are supported by you.</t>
  </si>
  <si>
    <t xml:space="preserve">Please list what fiat currencies are supported for both holding and exchanging.</t>
  </si>
  <si>
    <t xml:space="preserve">Do you have support for flat currencies?</t>
  </si>
  <si>
    <t xml:space="preserve">I would like to know which fiat currencies are recognized by your organization.</t>
  </si>
  <si>
    <t xml:space="preserve">Can you change my currency to EUR?</t>
  </si>
  <si>
    <t xml:space="preserve">Are you okay with exchanges to EUR?</t>
  </si>
  <si>
    <t xml:space="preserve">Can I exchange my money for EUR?</t>
  </si>
  <si>
    <t xml:space="preserve">Can I have money of different country of origin.</t>
  </si>
  <si>
    <t xml:space="preserve">What are the currency types that I can keep money in.</t>
  </si>
  <si>
    <t xml:space="preserve">I need assistance with understanding which fiat currencies that you support.</t>
  </si>
  <si>
    <t xml:space="preserve">Could you tell me the fiat currencies that you work with?</t>
  </si>
  <si>
    <t xml:space="preserve">Which fiat currencies are supported?</t>
  </si>
  <si>
    <t xml:space="preserve">Which flat currencies do you support for holding and exchange?</t>
  </si>
  <si>
    <t xml:space="preserve">Can you tell me if I can hold money in several currencies?</t>
  </si>
  <si>
    <t xml:space="preserve">Can it specifically be delivered on a certain date?</t>
  </si>
  <si>
    <t xml:space="preserve">I need to get my card quickly</t>
  </si>
  <si>
    <t xml:space="preserve">When can I expect my card? I live in the US.</t>
  </si>
  <si>
    <t xml:space="preserve">Help! When will the card arrive at my home?</t>
  </si>
  <si>
    <t xml:space="preserve">Can I get my card fast tracked?</t>
  </si>
  <si>
    <t xml:space="preserve">How long is the wait for my card?</t>
  </si>
  <si>
    <t xml:space="preserve">i need to expedite my card</t>
  </si>
  <si>
    <t xml:space="preserve">When should I expect to receive my card?</t>
  </si>
  <si>
    <t xml:space="preserve">How long until my card will get here?</t>
  </si>
  <si>
    <t xml:space="preserve">How long is the delivery time to the US?</t>
  </si>
  <si>
    <t xml:space="preserve">Can I have it delivered on a specific date?</t>
  </si>
  <si>
    <t xml:space="preserve">i am express delivering my card to the us, how long will that take</t>
  </si>
  <si>
    <t xml:space="preserve">I need my card soon.</t>
  </si>
  <si>
    <t xml:space="preserve">Can I choose when my card is delivered?</t>
  </si>
  <si>
    <t xml:space="preserve">When will my card be here?</t>
  </si>
  <si>
    <t xml:space="preserve">How long will delivery to the US take?</t>
  </si>
  <si>
    <t xml:space="preserve">When can I expect delivery?</t>
  </si>
  <si>
    <t xml:space="preserve">Can I specify a day for my card to be delivered?</t>
  </si>
  <si>
    <t xml:space="preserve">I'm worried my card might be lost in the mail? How long does it usually take to arrive?</t>
  </si>
  <si>
    <t xml:space="preserve">When will my card be delivered?</t>
  </si>
  <si>
    <t xml:space="preserve">can the delivery be specific to my needs?</t>
  </si>
  <si>
    <t xml:space="preserve">how long does delivery take?</t>
  </si>
  <si>
    <t xml:space="preserve">To deliver to the US, how long will it take?</t>
  </si>
  <si>
    <t xml:space="preserve">How quickly can you get me my card?</t>
  </si>
  <si>
    <t xml:space="preserve">can I choose delivery times to suite me?</t>
  </si>
  <si>
    <t xml:space="preserve">Can I choose the day it's delivered?</t>
  </si>
  <si>
    <t xml:space="preserve">How long will this take to get to me?</t>
  </si>
  <si>
    <t xml:space="preserve">When shipped to the US how long is delivery time?</t>
  </si>
  <si>
    <t xml:space="preserve">Give me my card, I need it now!</t>
  </si>
  <si>
    <t xml:space="preserve">I'd like to have it delivered on Saturday.  Is that possible?</t>
  </si>
  <si>
    <t xml:space="preserve">How long will I have to wait for my new card?</t>
  </si>
  <si>
    <t xml:space="preserve">How long is a delivery to the US?</t>
  </si>
  <si>
    <t xml:space="preserve">What is the delivery time to the US?</t>
  </si>
  <si>
    <t xml:space="preserve">How long does it take for deliver to the US?</t>
  </si>
  <si>
    <t xml:space="preserve">If I order a card when does it arrive?</t>
  </si>
  <si>
    <t xml:space="preserve">When can I expect my card?</t>
  </si>
  <si>
    <t xml:space="preserve">How long is delivery to the US?</t>
  </si>
  <si>
    <t xml:space="preserve">What is your shipping policies for cards?</t>
  </si>
  <si>
    <t xml:space="preserve">I ordered my card and it isn't here yet. I need it ASAP. When can I expect to get it?</t>
  </si>
  <si>
    <t xml:space="preserve">how long should I expect to wait for my card to arrive?</t>
  </si>
  <si>
    <t xml:space="preserve">When will my card come? I need it as soon as possible!</t>
  </si>
  <si>
    <t xml:space="preserve">How long should I wait for the card to arrive?</t>
  </si>
  <si>
    <t xml:space="preserve">What is the wait time for delivery to the US?</t>
  </si>
  <si>
    <t xml:space="preserve">Can you tell me when my card will arrive?</t>
  </si>
  <si>
    <t xml:space="preserve">When can I expect my card to arrive?</t>
  </si>
  <si>
    <t xml:space="preserve">Can I have it delivered on the date I need it delivered?</t>
  </si>
  <si>
    <t xml:space="preserve">What is the length of time for one of these items to come to the U.S?</t>
  </si>
  <si>
    <t xml:space="preserve">How long will it take to have my card mailed to me?</t>
  </si>
  <si>
    <t xml:space="preserve">Can cards be dispatched on a specific date?</t>
  </si>
  <si>
    <t xml:space="preserve">Can I have it by a certain date?</t>
  </si>
  <si>
    <t xml:space="preserve">I need my card as quick as possible</t>
  </si>
  <si>
    <t xml:space="preserve">How long will it take my card to get here?</t>
  </si>
  <si>
    <t xml:space="preserve">Is there a specific date it can be delivered by?</t>
  </si>
  <si>
    <t xml:space="preserve">I need my card to be delivered fast</t>
  </si>
  <si>
    <t xml:space="preserve">Is there a specific date i can have it delivered?</t>
  </si>
  <si>
    <t xml:space="preserve">How long will it take to deliver to the US?</t>
  </si>
  <si>
    <t xml:space="preserve">I need my card ASAP!</t>
  </si>
  <si>
    <t xml:space="preserve">How long will it take to get to the US?</t>
  </si>
  <si>
    <t xml:space="preserve">How soon will I get my card?</t>
  </si>
  <si>
    <t xml:space="preserve">What is the estimated date for delivery to US?</t>
  </si>
  <si>
    <t xml:space="preserve">How long does it take for the card to come?</t>
  </si>
  <si>
    <t xml:space="preserve">When will I receive the card?</t>
  </si>
  <si>
    <t xml:space="preserve">When should I expect my card to arrive?</t>
  </si>
  <si>
    <t xml:space="preserve">Can I pay more to get it deliver quicker?</t>
  </si>
  <si>
    <t xml:space="preserve">How long is the delivery to the US?</t>
  </si>
  <si>
    <t xml:space="preserve">Send me my card now! ASAP</t>
  </si>
  <si>
    <t xml:space="preserve">I haven't received my card yet, how long does it normally take?</t>
  </si>
  <si>
    <t xml:space="preserve">How long is US delivery?</t>
  </si>
  <si>
    <t xml:space="preserve">can you express my card to me?</t>
  </si>
  <si>
    <t xml:space="preserve">When will it get delivered?</t>
  </si>
  <si>
    <t xml:space="preserve">how soon will my card arrive?</t>
  </si>
  <si>
    <t xml:space="preserve">I ordered my card a couple weeks ago and haven't received it yet. When can I expect it?</t>
  </si>
  <si>
    <t xml:space="preserve">How long does it take for cards to be delivered after ordering them?</t>
  </si>
  <si>
    <t xml:space="preserve">If I need delivery on a certain day, is that something that could be accommodated?</t>
  </si>
  <si>
    <t xml:space="preserve">how much to get my card in 2 days?</t>
  </si>
  <si>
    <t xml:space="preserve">When are cards shipped?</t>
  </si>
  <si>
    <t xml:space="preserve">My card is needed soon</t>
  </si>
  <si>
    <t xml:space="preserve">What is the delivery time for US?</t>
  </si>
  <si>
    <t xml:space="preserve">I placed my order a week ago. Is it ok that my card isn't here yet?</t>
  </si>
  <si>
    <t xml:space="preserve">How soon do cards arrive after I order them?</t>
  </si>
  <si>
    <t xml:space="preserve">How will I get my card?</t>
  </si>
  <si>
    <t xml:space="preserve">How long does it take to receive my card?</t>
  </si>
  <si>
    <t xml:space="preserve">How long until the card arrives?</t>
  </si>
  <si>
    <t xml:space="preserve">Can I have my card delivered on Tuesday?</t>
  </si>
  <si>
    <t xml:space="preserve">Can you tell me how long it takes for a new card to come?</t>
  </si>
  <si>
    <t xml:space="preserve">i need to add express delivery if that's an option</t>
  </si>
  <si>
    <t xml:space="preserve">I need my card right away.</t>
  </si>
  <si>
    <t xml:space="preserve">Can i choose a specific delivery date?</t>
  </si>
  <si>
    <t xml:space="preserve">When will I get my card shipped to me?</t>
  </si>
  <si>
    <t xml:space="preserve">Do I have a say when it's delivered?</t>
  </si>
  <si>
    <t xml:space="preserve">I need my card delivered as soon as possible.</t>
  </si>
  <si>
    <t xml:space="preserve">I would like to make sure it is delivered on a certain date.</t>
  </si>
  <si>
    <t xml:space="preserve">When will I receive my card?</t>
  </si>
  <si>
    <t xml:space="preserve">Could I chose the date to have it delivered?</t>
  </si>
  <si>
    <t xml:space="preserve">How long does it take for a card to arrive?</t>
  </si>
  <si>
    <t xml:space="preserve">Will my card be here soon?</t>
  </si>
  <si>
    <t xml:space="preserve">Please send my card as quickly as possible.</t>
  </si>
  <si>
    <t xml:space="preserve">how long does it take to get my card i am in a rush</t>
  </si>
  <si>
    <t xml:space="preserve">When can I expect to receive my card?</t>
  </si>
  <si>
    <t xml:space="preserve">Are the delivery days flexible?  My schedule only allows me to be a available on specific dates.</t>
  </si>
  <si>
    <t xml:space="preserve">How many days to deliver to a US customer?</t>
  </si>
  <si>
    <t xml:space="preserve">When can I expect my new card to get here?</t>
  </si>
  <si>
    <t xml:space="preserve">How long are deliveries to the US?</t>
  </si>
  <si>
    <t xml:space="preserve">Can it be delivered on a certain date?</t>
  </si>
  <si>
    <t xml:space="preserve">What is delivery speed to the United States?</t>
  </si>
  <si>
    <t xml:space="preserve">How long does it take for something to be delivered to the U.S?</t>
  </si>
  <si>
    <t xml:space="preserve">How long does it take for my physical card to be delivered.</t>
  </si>
  <si>
    <t xml:space="preserve">what is the leadtime for a new card to show up in the mail?</t>
  </si>
  <si>
    <t xml:space="preserve">What's the earliest time to receive my card?</t>
  </si>
  <si>
    <t xml:space="preserve">are you sending me my card?</t>
  </si>
  <si>
    <t xml:space="preserve">I need my card immediately.</t>
  </si>
  <si>
    <t xml:space="preserve">When will it be delivered to the US?</t>
  </si>
  <si>
    <t xml:space="preserve">Can I add money automatically to my account while traveling?</t>
  </si>
  <si>
    <t xml:space="preserve">i need help finding the auto top up option.</t>
  </si>
  <si>
    <t xml:space="preserve">What are the maximum amount you can do for auto top-up?</t>
  </si>
  <si>
    <t xml:space="preserve">I can't find the auto-top up option.</t>
  </si>
  <si>
    <t xml:space="preserve">Does the auto top-up have any limits?</t>
  </si>
  <si>
    <t xml:space="preserve">When do i activate auto top-up?</t>
  </si>
  <si>
    <t xml:space="preserve">Can I have money transferred into my account at different intervals along my trip?</t>
  </si>
  <si>
    <t xml:space="preserve">I going to be traveling, can I set up auto top-up if I run low on money?</t>
  </si>
  <si>
    <t xml:space="preserve">Is there an automatic top up feature?</t>
  </si>
  <si>
    <t xml:space="preserve">Can I have my account add money automatically in certain intervals?</t>
  </si>
  <si>
    <t xml:space="preserve">Is there a daily auto top-up limit?</t>
  </si>
  <si>
    <t xml:space="preserve">How do I access the option to top up?</t>
  </si>
  <si>
    <t xml:space="preserve">I will be traveling.  Can I add money automatically?</t>
  </si>
  <si>
    <t xml:space="preserve">How low does the balance have to be before the system updates?</t>
  </si>
  <si>
    <t xml:space="preserve">Is there a auto top-up option?</t>
  </si>
  <si>
    <t xml:space="preserve">How do i set up auto top-up?</t>
  </si>
  <si>
    <t xml:space="preserve">If there isn't much money left over, will it top-up automatically?</t>
  </si>
  <si>
    <t xml:space="preserve">Do I need to set a limit on auto top-up?</t>
  </si>
  <si>
    <t xml:space="preserve">can you top up your account automatically</t>
  </si>
  <si>
    <t xml:space="preserve">Can I add money to my card automatically during a trip?</t>
  </si>
  <si>
    <t xml:space="preserve">Is an auto top-up option available?</t>
  </si>
  <si>
    <t xml:space="preserve">Can I auto top if I'm low on funds?</t>
  </si>
  <si>
    <t xml:space="preserve">Tell me where I can find the auto top up feature and a little bit about it please.</t>
  </si>
  <si>
    <t xml:space="preserve">How do I start auto top up?</t>
  </si>
  <si>
    <t xml:space="preserve">I am inquiring about your auto top up feature.</t>
  </si>
  <si>
    <t xml:space="preserve">Can i set up an auto top-up?</t>
  </si>
  <si>
    <t xml:space="preserve">Are there any limit on the auto top-up?</t>
  </si>
  <si>
    <t xml:space="preserve">Is it possible to do auto top up?</t>
  </si>
  <si>
    <t xml:space="preserve">is there a way to do automatic top up</t>
  </si>
  <si>
    <t xml:space="preserve">I would like to top up my account automatically. How do I do that?</t>
  </si>
  <si>
    <t xml:space="preserve">I want to set up an auto top-up</t>
  </si>
  <si>
    <t xml:space="preserve">If I don't have much money in the account can I auto top-up?</t>
  </si>
  <si>
    <t xml:space="preserve">Can I schedule future top ups?</t>
  </si>
  <si>
    <t xml:space="preserve">Can I set automatic top ups?</t>
  </si>
  <si>
    <t xml:space="preserve">I need to know the if there is a limit on the amount for auto top-up.</t>
  </si>
  <si>
    <t xml:space="preserve">Can I set up to my account to automatically top up?</t>
  </si>
  <si>
    <t xml:space="preserve">Does the app top up automatically?</t>
  </si>
  <si>
    <t xml:space="preserve">If there isn't a lot of money left, will it automatically top-up money?</t>
  </si>
  <si>
    <t xml:space="preserve">In what increments can I top-up my card?</t>
  </si>
  <si>
    <t xml:space="preserve">Does auto top-up have a limit?</t>
  </si>
  <si>
    <t xml:space="preserve">If I am running low on credit can I auto top up?</t>
  </si>
  <si>
    <t xml:space="preserve">Is there an auto top up feature?</t>
  </si>
  <si>
    <t xml:space="preserve">Is there such thing as an auto top-up option?</t>
  </si>
  <si>
    <t xml:space="preserve">How can I Use thereto-top option?</t>
  </si>
  <si>
    <t xml:space="preserve">when i travel can it top up automatically</t>
  </si>
  <si>
    <t xml:space="preserve">Is there an auto top up option?</t>
  </si>
  <si>
    <t xml:space="preserve">Where do I find the auto top- up?</t>
  </si>
  <si>
    <t xml:space="preserve">How can I add money automatically?</t>
  </si>
  <si>
    <t xml:space="preserve">Where can I located the auto-top up option?</t>
  </si>
  <si>
    <t xml:space="preserve">I'm going to travel, can I have it add money automatically in certain intervals?</t>
  </si>
  <si>
    <t xml:space="preserve">I will be traveling and want money to be added automatically in certain intervals. Is this possible?</t>
  </si>
  <si>
    <t xml:space="preserve">Do I have to manually top up once I'm too low?</t>
  </si>
  <si>
    <t xml:space="preserve">How will I know when I can use the auto top-up feature?</t>
  </si>
  <si>
    <t xml:space="preserve">What are the auto-top up policies?</t>
  </si>
  <si>
    <t xml:space="preserve">Can I auto-top up?  How do I do it?</t>
  </si>
  <si>
    <t xml:space="preserve">How do I get refills to my card when I'm traveling?</t>
  </si>
  <si>
    <t xml:space="preserve">What is the limit on Auto top?</t>
  </si>
  <si>
    <t xml:space="preserve">How do I auto top-up?</t>
  </si>
  <si>
    <t xml:space="preserve">Can it add money automatically while travelling</t>
  </si>
  <si>
    <t xml:space="preserve">Is auto top up a provided service?</t>
  </si>
  <si>
    <t xml:space="preserve">When the time is right will this automatically replenish my balance?</t>
  </si>
  <si>
    <t xml:space="preserve">Will money be added automatically when necessary?</t>
  </si>
  <si>
    <t xml:space="preserve">Can I automatically top-up when traveling?</t>
  </si>
  <si>
    <t xml:space="preserve">What is the maximum for auto top-up?</t>
  </si>
  <si>
    <t xml:space="preserve">Is there a way to top-up when it reaches a certain balance?</t>
  </si>
  <si>
    <t xml:space="preserve">Can I set the account to auto top-up?</t>
  </si>
  <si>
    <t xml:space="preserve">Are there any hidden limit on the auto top-up?</t>
  </si>
  <si>
    <t xml:space="preserve">I am traveling, what can I do to set up auto top-up?</t>
  </si>
  <si>
    <t xml:space="preserve">What are my options for topping up, automatic and/or manual?</t>
  </si>
  <si>
    <t xml:space="preserve">When I travel, can it automatically add money in certain intervals?</t>
  </si>
  <si>
    <t xml:space="preserve">Is auto top up available?</t>
  </si>
  <si>
    <t xml:space="preserve">I want to auto top-up.</t>
  </si>
  <si>
    <t xml:space="preserve">When I'm traveling is it possible to add money automatically at certain time points?</t>
  </si>
  <si>
    <t xml:space="preserve">Do you offer auto top ups?</t>
  </si>
  <si>
    <t xml:space="preserve">Is there a limit on auto top-up?</t>
  </si>
  <si>
    <t xml:space="preserve">I'm trying to activate the auto-top up function. Where is it?</t>
  </si>
  <si>
    <t xml:space="preserve">What's the limit for auto top-up?</t>
  </si>
  <si>
    <t xml:space="preserve">How do I top-up automatically?</t>
  </si>
  <si>
    <t xml:space="preserve">How do i access the auto top-up option?</t>
  </si>
  <si>
    <t xml:space="preserve">Where can I find the auto-top up feature?</t>
  </si>
  <si>
    <t xml:space="preserve">If my funds are running low, will the app top up automatically?</t>
  </si>
  <si>
    <t xml:space="preserve">Can I set it up to add money every few days automatically while I am traveling?</t>
  </si>
  <si>
    <t xml:space="preserve">I want to add money automatically when I travel.</t>
  </si>
  <si>
    <t xml:space="preserve">Is there a function where I can top-up automatically?</t>
  </si>
  <si>
    <t xml:space="preserve">Can I use an auto top-up option?</t>
  </si>
  <si>
    <t xml:space="preserve">Can topping up be automatic?</t>
  </si>
  <si>
    <t xml:space="preserve">Can I auto top up multiple times?</t>
  </si>
  <si>
    <t xml:space="preserve">I want to use auto top-up. Is there a limit?</t>
  </si>
  <si>
    <t xml:space="preserve">Do you have an option for auto top up?</t>
  </si>
  <si>
    <t xml:space="preserve">How do I activate auto top-up when traveling?</t>
  </si>
  <si>
    <t xml:space="preserve">Where can I find the auto-top option?</t>
  </si>
  <si>
    <t xml:space="preserve">What is the maximum times I can auto top-up?</t>
  </si>
  <si>
    <t xml:space="preserve">How many times can I auto top-up?</t>
  </si>
  <si>
    <t xml:space="preserve">What are the auto top-up policies?</t>
  </si>
  <si>
    <t xml:space="preserve">What, if any, is the limit  for auto top-up?</t>
  </si>
  <si>
    <t xml:space="preserve">If my account is low in funds, can I set an auto top-up?</t>
  </si>
  <si>
    <t xml:space="preserve">Will the system automatically top up itself?</t>
  </si>
  <si>
    <t xml:space="preserve">Can I get an auto Top-up?</t>
  </si>
  <si>
    <t xml:space="preserve">Where do I find the auto top up option?</t>
  </si>
  <si>
    <t xml:space="preserve">What are the restrictions on auto top-up?</t>
  </si>
  <si>
    <t xml:space="preserve">How can I setup automatic top-up?</t>
  </si>
  <si>
    <t xml:space="preserve">Can it automatically top up my account?</t>
  </si>
  <si>
    <t xml:space="preserve">Can I top-up automatically?</t>
  </si>
  <si>
    <t xml:space="preserve">I heard you have an auto-top up option, where do I find that?</t>
  </si>
  <si>
    <t xml:space="preserve">Where do I access the auto top-up function?</t>
  </si>
  <si>
    <t xml:space="preserve">What about a auto top-up?</t>
  </si>
  <si>
    <t xml:space="preserve">how can i get it to add money automatically while travelling</t>
  </si>
  <si>
    <t xml:space="preserve">What about an auto top-up, is that a option?</t>
  </si>
  <si>
    <t xml:space="preserve">Can I setup top ups in advance?</t>
  </si>
  <si>
    <t xml:space="preserve">where can i located the auto top up function?</t>
  </si>
  <si>
    <t xml:space="preserve">Is there a way to set up an auto top-up?</t>
  </si>
  <si>
    <t xml:space="preserve">I have a trip coming up and want to add money automatically.</t>
  </si>
  <si>
    <t xml:space="preserve">where can I find the auto-top up option?</t>
  </si>
  <si>
    <t xml:space="preserve">Can it add money every so often automatically while I travel?</t>
  </si>
  <si>
    <t xml:space="preserve">Will the system automatically update once there is no more money left?</t>
  </si>
  <si>
    <t xml:space="preserve">When traveling, is it possible for it to add money at specific time intervals?</t>
  </si>
  <si>
    <t xml:space="preserve">How do I top-up while traveling?</t>
  </si>
  <si>
    <t xml:space="preserve">auto-top up option can be found where?</t>
  </si>
  <si>
    <t xml:space="preserve">Do I have to manually top-up my account each time or will it do it on its own?</t>
  </si>
  <si>
    <t xml:space="preserve">Can I auto top-up as much as I want?</t>
  </si>
  <si>
    <t xml:space="preserve">Can I add money in intervals to my account?  I will be traveling.</t>
  </si>
  <si>
    <t xml:space="preserve">Is there a limit to auto top?</t>
  </si>
  <si>
    <t xml:space="preserve">My funds are low, can I auto top up?</t>
  </si>
  <si>
    <t xml:space="preserve">I know there's an auto-top option but I can not locate it when I look?</t>
  </si>
  <si>
    <t xml:space="preserve">Is it possible to top-up automatically?</t>
  </si>
  <si>
    <t xml:space="preserve">What is the auto top-up limit?</t>
  </si>
  <si>
    <t xml:space="preserve">Do you have an auto-top function and how do I use it if so?</t>
  </si>
  <si>
    <t xml:space="preserve">I can't use my card because it is not working.</t>
  </si>
  <si>
    <t xml:space="preserve">I can't seem to be able to use my card</t>
  </si>
  <si>
    <t xml:space="preserve">My card isn't working at all, I need assistance. It's really frustrating.</t>
  </si>
  <si>
    <t xml:space="preserve">Can you tell me what the problem with my card is? It was declined at a restaurant today.</t>
  </si>
  <si>
    <t xml:space="preserve">How do I fix a broken card?</t>
  </si>
  <si>
    <t xml:space="preserve">My card was working but now it doesn't.</t>
  </si>
  <si>
    <t xml:space="preserve">I cannot seem to use my card.</t>
  </si>
  <si>
    <t xml:space="preserve">I think my card is broke it's not working anymore</t>
  </si>
  <si>
    <t xml:space="preserve">I have not been able to use this card.</t>
  </si>
  <si>
    <t xml:space="preserve">What do I do if i accidentally broke my card?</t>
  </si>
  <si>
    <t xml:space="preserve">How come my card doesn't work anymore?</t>
  </si>
  <si>
    <t xml:space="preserve">For a week now, I have tried to use my card and it is still not working.</t>
  </si>
  <si>
    <t xml:space="preserve">My actual card isn't functioning.</t>
  </si>
  <si>
    <t xml:space="preserve">I can't get the card itself to work.</t>
  </si>
  <si>
    <t xml:space="preserve">What should I do if my card doesn't work?</t>
  </si>
  <si>
    <t xml:space="preserve">Why won't my card work.</t>
  </si>
  <si>
    <t xml:space="preserve">My card will not work</t>
  </si>
  <si>
    <t xml:space="preserve">My card is not working.</t>
  </si>
  <si>
    <t xml:space="preserve">HOW LONG THE CARD VALIDITY</t>
  </si>
  <si>
    <t xml:space="preserve">My card seems to not be working at all.</t>
  </si>
  <si>
    <t xml:space="preserve">My card gets rejected when I try to use it</t>
  </si>
  <si>
    <t xml:space="preserve">I am unable to use my card for some reason.</t>
  </si>
  <si>
    <t xml:space="preserve">Why can't I use my card?</t>
  </si>
  <si>
    <t xml:space="preserve">I think my card is broke?</t>
  </si>
  <si>
    <t xml:space="preserve">What do I do?  My card is broken.</t>
  </si>
  <si>
    <t xml:space="preserve">My Netflix subscription says that there is an issue with my card information, but I thought everything was fine. Why would it be declined?</t>
  </si>
  <si>
    <t xml:space="preserve">My card was declined at a restaurant today and I don't know what the problem is.</t>
  </si>
  <si>
    <t xml:space="preserve">WHAT IS THE REASON FOR THAT</t>
  </si>
  <si>
    <t xml:space="preserve">My card is not working when I try to use it.</t>
  </si>
  <si>
    <t xml:space="preserve">How do I check security settings on my card?</t>
  </si>
  <si>
    <t xml:space="preserve">My card isn't working at all. What happened?</t>
  </si>
  <si>
    <t xml:space="preserve">Today I was out eating and my card was declined. Why's that?</t>
  </si>
  <si>
    <t xml:space="preserve">What are ways to test why my card might not be working?</t>
  </si>
  <si>
    <t xml:space="preserve">Currently my card is broken.</t>
  </si>
  <si>
    <t xml:space="preserve">My card won't work at all for anything.</t>
  </si>
  <si>
    <t xml:space="preserve">How do I fix my card if it is broken?</t>
  </si>
  <si>
    <t xml:space="preserve">Why doesn't my card work for any transactions?</t>
  </si>
  <si>
    <t xml:space="preserve">I tried using my card, but it doesn't work.</t>
  </si>
  <si>
    <t xml:space="preserve">My card hasn't been working for even small transactions today.</t>
  </si>
  <si>
    <t xml:space="preserve">What do I do if the machine rejects my card?</t>
  </si>
  <si>
    <t xml:space="preserve">Something's wrong my card won't work.</t>
  </si>
  <si>
    <t xml:space="preserve">I tried to use my card today in the restaurant but it didn't work and just got declined. What's wrong?</t>
  </si>
  <si>
    <t xml:space="preserve">Suddenly, my card won't work.</t>
  </si>
  <si>
    <t xml:space="preserve">My card hasn't been working when I try to use it.</t>
  </si>
  <si>
    <t xml:space="preserve">My physical card is not working</t>
  </si>
  <si>
    <t xml:space="preserve">
I can't seem to be able to use my card
</t>
  </si>
  <si>
    <t xml:space="preserve">Why is my physical card not working?</t>
  </si>
  <si>
    <t xml:space="preserve">Help.  My card is broken.</t>
  </si>
  <si>
    <t xml:space="preserve">I am unable to use my card.</t>
  </si>
  <si>
    <t xml:space="preserve">No transactions are being accepted, what's wrong with my card?</t>
  </si>
  <si>
    <t xml:space="preserve">Is my card frozen?</t>
  </si>
  <si>
    <t xml:space="preserve">My card was declined at a restaurant today and I am not sure why.</t>
  </si>
  <si>
    <t xml:space="preserve">What do I do now that I can't use this card?</t>
  </si>
  <si>
    <t xml:space="preserve">My card doesn't seem to work anymore</t>
  </si>
  <si>
    <t xml:space="preserve">Out of the blue, my card stopped working.</t>
  </si>
  <si>
    <t xml:space="preserve">I can't seem to use my card. Can you help?</t>
  </si>
  <si>
    <t xml:space="preserve">How do I re-order a damaged card?</t>
  </si>
  <si>
    <t xml:space="preserve">Why is my card not working anymore?</t>
  </si>
  <si>
    <t xml:space="preserve">I can't use my card for anything</t>
  </si>
  <si>
    <t xml:space="preserve">What's wrong with my card? The clerk at the grocery store said it was declined.</t>
  </si>
  <si>
    <t xml:space="preserve">What should I do if I can't use my card?</t>
  </si>
  <si>
    <t xml:space="preserve">Can I use app to reset PIN attempts?</t>
  </si>
  <si>
    <t xml:space="preserve">Please help.  The card won't work.</t>
  </si>
  <si>
    <t xml:space="preserve">I wasn't able to use my card today when I went out for lunch. Wondering why that is?</t>
  </si>
  <si>
    <t xml:space="preserve">My card doesn't seem to work.</t>
  </si>
  <si>
    <t xml:space="preserve">Currently I can't get my card to work.</t>
  </si>
  <si>
    <t xml:space="preserve">WHAT IS THE MAIN REASON OF THIS PROBLEM</t>
  </si>
  <si>
    <t xml:space="preserve">How do I get my card to work?</t>
  </si>
  <si>
    <t xml:space="preserve">What can I do to make my physical card work?</t>
  </si>
  <si>
    <t xml:space="preserve">Can you tell me why I can't make any transactions?</t>
  </si>
  <si>
    <t xml:space="preserve">There is something wrong with my card. Tried to use it a few times today in different places and it just didn't work. The transactions I tried to make were really small so not sure what's going on</t>
  </si>
  <si>
    <t xml:space="preserve">Can you tell me whats going on with my card it seems to be not working?</t>
  </si>
  <si>
    <t xml:space="preserve">How do I check security settings using the app?</t>
  </si>
  <si>
    <t xml:space="preserve">I tried using my card at multiple vendors and now it's not working.</t>
  </si>
  <si>
    <t xml:space="preserve">Can you help me with my card, I think it's broke.</t>
  </si>
  <si>
    <t xml:space="preserve">The card is non-functional.</t>
  </si>
  <si>
    <t xml:space="preserve">I haven't been able to complete any transactions on my card today. Do you know what's wrong?</t>
  </si>
  <si>
    <t xml:space="preserve">Today I used my card at a restaurant and it was declined. Why?</t>
  </si>
  <si>
    <t xml:space="preserve">Did you deactivate my card it's not working anymore</t>
  </si>
  <si>
    <t xml:space="preserve">Need help to get my card to work.</t>
  </si>
  <si>
    <t xml:space="preserve">Why isn't my card working anymore?</t>
  </si>
  <si>
    <t xml:space="preserve">Why won't my card work anymore?</t>
  </si>
  <si>
    <t xml:space="preserve">Why won't the machine accept my card anymore?</t>
  </si>
  <si>
    <t xml:space="preserve">When I was in a restaurant today my card was declined and payment wouldn't go through and I need help. Can you fix this?</t>
  </si>
  <si>
    <t xml:space="preserve">What to do if my physical card is not working?</t>
  </si>
  <si>
    <t xml:space="preserve">My card stopped working after multiple transactions. Why?</t>
  </si>
  <si>
    <t xml:space="preserve">Why won't my card accept any transactions?</t>
  </si>
  <si>
    <t xml:space="preserve">I think my card is broken or something. I tried using it and it wouldn't go through, please help.</t>
  </si>
  <si>
    <t xml:space="preserve">My card is broken</t>
  </si>
  <si>
    <t xml:space="preserve">I tried to purchase airline tickets online this morning and my card information isn't working. Is there something going on with my account?</t>
  </si>
  <si>
    <t xml:space="preserve">My card no longer works.</t>
  </si>
  <si>
    <t xml:space="preserve">I seem to be unable to make any transactions.</t>
  </si>
  <si>
    <t xml:space="preserve">I can't get my actual card to work</t>
  </si>
  <si>
    <t xml:space="preserve">My card doesn't work when I use it.</t>
  </si>
  <si>
    <t xml:space="preserve">What do I do if my card gets broken?</t>
  </si>
  <si>
    <t xml:space="preserve">I am having problems with my physical card.</t>
  </si>
  <si>
    <t xml:space="preserve">How can I get my card to work?</t>
  </si>
  <si>
    <t xml:space="preserve">I need help with understanding why my card is not working.</t>
  </si>
  <si>
    <t xml:space="preserve">Please help me!  My physical card isn't working right.</t>
  </si>
  <si>
    <t xml:space="preserve">My card stopped working. How do I check if there is a freeze on it?</t>
  </si>
  <si>
    <t xml:space="preserve">I don't know what's wrong with my card, but it has not worked at multiple places today.</t>
  </si>
  <si>
    <t xml:space="preserve">I need clarity on why my card is not working.</t>
  </si>
  <si>
    <t xml:space="preserve">My card won't physically work.</t>
  </si>
  <si>
    <t xml:space="preserve">What's going on? My card wont accept any transactions.</t>
  </si>
  <si>
    <t xml:space="preserve">My card don't work.</t>
  </si>
  <si>
    <t xml:space="preserve">My card won't work right now.</t>
  </si>
  <si>
    <t xml:space="preserve">How can it be that my Card is not functioning anymore?</t>
  </si>
  <si>
    <t xml:space="preserve">What's going on with my card? I've tried multiple times and it never goes through.</t>
  </si>
  <si>
    <t xml:space="preserve">HOW LONG TO TAKE THE TIME TO SOLVE</t>
  </si>
  <si>
    <t xml:space="preserve">What do I do if my card is not working?</t>
  </si>
  <si>
    <t xml:space="preserve">What should I do if my physical card isn't working?</t>
  </si>
  <si>
    <t xml:space="preserve">The card that I have isn't working. This is the physical card.</t>
  </si>
  <si>
    <t xml:space="preserve">Can I change from AUD to GBP?</t>
  </si>
  <si>
    <t xml:space="preserve">I need to exchange between different currencies, like GBP and USD. Can I do that with your app?</t>
  </si>
  <si>
    <t xml:space="preserve">How can I change to another currency?</t>
  </si>
  <si>
    <t xml:space="preserve">Does the app allowing exchanges between USD and GBP</t>
  </si>
  <si>
    <t xml:space="preserve">What if I need to use GBP instead of USD?</t>
  </si>
  <si>
    <t xml:space="preserve">I am from X but am traveling to Y - how do I get currency for Y?</t>
  </si>
  <si>
    <t xml:space="preserve">Is it possible to change from AUD to GBP?</t>
  </si>
  <si>
    <t xml:space="preserve">Can money be exchanged from one currency to another?</t>
  </si>
  <si>
    <t xml:space="preserve">How can I change USD to GBP?</t>
  </si>
  <si>
    <t xml:space="preserve">What currencies can be exchanged in the app?</t>
  </si>
  <si>
    <t xml:space="preserve">Can i add a new currency to my account?</t>
  </si>
  <si>
    <t xml:space="preserve">How can I exchange AUD for GBP?</t>
  </si>
  <si>
    <t xml:space="preserve">Can I possibly change my currency to another?</t>
  </si>
  <si>
    <t xml:space="preserve">I would like to exchange currencies on the app. How do I do this?</t>
  </si>
  <si>
    <t xml:space="preserve">What do I do to exchange currency?</t>
  </si>
  <si>
    <t xml:space="preserve">Is it possible to exchange currencies?</t>
  </si>
  <si>
    <t xml:space="preserve">Can turn my money into another currency?</t>
  </si>
  <si>
    <t xml:space="preserve">I would like to change to a different currency.</t>
  </si>
  <si>
    <t xml:space="preserve">How can I change currency type?</t>
  </si>
  <si>
    <t xml:space="preserve">I do not need GBP, I need AUD, how do I convert it?</t>
  </si>
  <si>
    <t xml:space="preserve">Instead of GBP, how do I exchange for AUD?</t>
  </si>
  <si>
    <t xml:space="preserve">Is currency exchange possible?</t>
  </si>
  <si>
    <t xml:space="preserve">Using your app, would I be able to exchange between USD and GBP?</t>
  </si>
  <si>
    <t xml:space="preserve">Can I use this app for both USD and GBP?</t>
  </si>
  <si>
    <t xml:space="preserve">I am trying to find out how to exchange currency X with currency Y.</t>
  </si>
  <si>
    <t xml:space="preserve">Does your app allow currency exchanges between USD and GBP?</t>
  </si>
  <si>
    <t xml:space="preserve">With this app, will I be able to exchange currency?</t>
  </si>
  <si>
    <t xml:space="preserve">How do I change my currency to another?</t>
  </si>
  <si>
    <t xml:space="preserve">How do I exchange currencies using the app?</t>
  </si>
  <si>
    <t xml:space="preserve">Does this app allow currencies to be exchanged?</t>
  </si>
  <si>
    <t xml:space="preserve">Can I exchange USD for GBP in your app?</t>
  </si>
  <si>
    <t xml:space="preserve">Is it possible to exchange currencies using the app?</t>
  </si>
  <si>
    <t xml:space="preserve">How do I exchange currencies using this app?</t>
  </si>
  <si>
    <t xml:space="preserve">I want to exchange USD and GBP with the app</t>
  </si>
  <si>
    <t xml:space="preserve">How do I change my AUD into GBP?</t>
  </si>
  <si>
    <t xml:space="preserve">How can I convert currencies?</t>
  </si>
  <si>
    <t xml:space="preserve">Can I use your app to exchange between USD and GBP</t>
  </si>
  <si>
    <t xml:space="preserve">I need to get some Euros for my holiday. Am I able to exchange some of my money?</t>
  </si>
  <si>
    <t xml:space="preserve">Can currencies be exchanged on this app?</t>
  </si>
  <si>
    <t xml:space="preserve">How do I change to a different currency?</t>
  </si>
  <si>
    <t xml:space="preserve">Is exchanging currencies a feature of the app?</t>
  </si>
  <si>
    <t xml:space="preserve">Where can I get my currencies exchanged?</t>
  </si>
  <si>
    <t xml:space="preserve">Is exchanging currencies one of your app services?</t>
  </si>
  <si>
    <t xml:space="preserve">Can I convert currency with the app?</t>
  </si>
  <si>
    <t xml:space="preserve">I might need to exchange between USD and GBP, is this possible with your app?</t>
  </si>
  <si>
    <t xml:space="preserve">I need to exchange my GBP to AUD, how would I do this?</t>
  </si>
  <si>
    <t xml:space="preserve">Do you support changing the currency I use?</t>
  </si>
  <si>
    <t xml:space="preserve">Can I convert money into different currencies?</t>
  </si>
  <si>
    <t xml:space="preserve">Where can i exchange between GBP and USD</t>
  </si>
  <si>
    <t xml:space="preserve">How to exchange my currency</t>
  </si>
  <si>
    <t xml:space="preserve">How do I use the app to exchange currencies?</t>
  </si>
  <si>
    <t xml:space="preserve">I no longer need AUD, I need GBP instead, how can I make this happen?</t>
  </si>
  <si>
    <t xml:space="preserve">I am trying to exchange AUD for GBP, how do I do that?</t>
  </si>
  <si>
    <t xml:space="preserve">How do I exchange USD to GBP?</t>
  </si>
  <si>
    <t xml:space="preserve">Is there a way to make my money usable in another country?</t>
  </si>
  <si>
    <t xml:space="preserve">How do I exchange AUD for GBP?</t>
  </si>
  <si>
    <t xml:space="preserve">Can I use this app to exchange currencies?</t>
  </si>
  <si>
    <t xml:space="preserve">How can I exchange currencies using your app?</t>
  </si>
  <si>
    <t xml:space="preserve">How do I go about exchanging currencies with this app?</t>
  </si>
  <si>
    <t xml:space="preserve">Can I exchange from USD to GBP?</t>
  </si>
  <si>
    <t xml:space="preserve">Does your app allow currency exchange from USD to GBP?</t>
  </si>
  <si>
    <t xml:space="preserve">What currences are available for exchange?</t>
  </si>
  <si>
    <t xml:space="preserve">Is this app capable of exchanging currencies?</t>
  </si>
  <si>
    <t xml:space="preserve">Is it possible to change from USD to GBP with your App?</t>
  </si>
  <si>
    <t xml:space="preserve">If I need to make an exchange from USD to GBP, how can I do so in the app?</t>
  </si>
  <si>
    <t xml:space="preserve">Can I use this app to exchange between dollars and pounds?</t>
  </si>
  <si>
    <t xml:space="preserve">Will this app allow me to exchange currencies?</t>
  </si>
  <si>
    <t xml:space="preserve">Is it possible to exchange USD and GBP on the app?</t>
  </si>
  <si>
    <t xml:space="preserve">I may need to exchange my USD for GBP, can your app do that?</t>
  </si>
  <si>
    <t xml:space="preserve">How do I exchange currencies with this</t>
  </si>
  <si>
    <t xml:space="preserve">I need Australian dollars instead of UK currency.</t>
  </si>
  <si>
    <t xml:space="preserve">I'm having difficulties changing AUD for GBP. How do I do this?</t>
  </si>
  <si>
    <t xml:space="preserve">Can I exchange currencies with the app?</t>
  </si>
  <si>
    <t xml:space="preserve">Will you tell me how to exchange USD for GBP in the app?</t>
  </si>
  <si>
    <t xml:space="preserve">How do you exchange currencies</t>
  </si>
  <si>
    <t xml:space="preserve">How can I exchange currencies with this app?</t>
  </si>
  <si>
    <t xml:space="preserve">How can I exchange GBP for AUD?</t>
  </si>
  <si>
    <t xml:space="preserve">Can I exchange currency for different types?</t>
  </si>
  <si>
    <t xml:space="preserve">Does this app exchange currencies?</t>
  </si>
  <si>
    <t xml:space="preserve">Is it possible to exchange currencies on the app?</t>
  </si>
  <si>
    <t xml:space="preserve">What's the process of changing from GBP to AUD?</t>
  </si>
  <si>
    <t xml:space="preserve">How do I switch to a different currency?</t>
  </si>
  <si>
    <t xml:space="preserve">What's the procedure with currency exchange?</t>
  </si>
  <si>
    <t xml:space="preserve">How to I switch my money for the money used in another country?</t>
  </si>
  <si>
    <t xml:space="preserve">Will it be possible to change from USD to GBP with this App?</t>
  </si>
  <si>
    <t xml:space="preserve">I would like to change currency</t>
  </si>
  <si>
    <t xml:space="preserve">How do I make a currency exchange?</t>
  </si>
  <si>
    <t xml:space="preserve">I can't figure out how to change GBP to AUD, what do I do?</t>
  </si>
  <si>
    <t xml:space="preserve">I accidentally chose to exchange GBP, but I need to pick AUD. How can I change it?</t>
  </si>
  <si>
    <t xml:space="preserve">How can I exchange USD and GBP in the app?</t>
  </si>
  <si>
    <t xml:space="preserve">How can I exchange currencies in the app?</t>
  </si>
  <si>
    <t xml:space="preserve">I need to exchange a currency - can I do that here?</t>
  </si>
  <si>
    <t xml:space="preserve">How can I change the currency I'm exchanging from AUD to GBP?</t>
  </si>
  <si>
    <t xml:space="preserve">What do I need to do to exchange my money?</t>
  </si>
  <si>
    <t xml:space="preserve">I would like to exchange currencies, how do I go upon it?</t>
  </si>
  <si>
    <t xml:space="preserve">What different currencies can I get?</t>
  </si>
  <si>
    <t xml:space="preserve">I would like to exchange currency  What types are there?</t>
  </si>
  <si>
    <t xml:space="preserve">how to exchange currencies</t>
  </si>
  <si>
    <t xml:space="preserve">Can I use your app to exchange USD for GBP?</t>
  </si>
  <si>
    <t xml:space="preserve">Can this convert money?</t>
  </si>
  <si>
    <t xml:space="preserve">Can you  tell me how to get AUD not GBP?</t>
  </si>
  <si>
    <t xml:space="preserve">How can I trade currencies with this app?</t>
  </si>
  <si>
    <t xml:space="preserve">Can I exchange currencies usign this app?</t>
  </si>
  <si>
    <t xml:space="preserve">Can this app be used to exchange currencies?</t>
  </si>
  <si>
    <t xml:space="preserve">need to exchange currencies</t>
  </si>
  <si>
    <t xml:space="preserve">How do I change to AUD from GBP?</t>
  </si>
  <si>
    <t xml:space="preserve">How do I start an exchange between GBP and AUD?</t>
  </si>
  <si>
    <t xml:space="preserve">Whats types of currency can I exchange?</t>
  </si>
  <si>
    <t xml:space="preserve">how can i exchange currencies</t>
  </si>
  <si>
    <t xml:space="preserve">Can I exchange USD and GBP from the app?</t>
  </si>
  <si>
    <t xml:space="preserve">What steps do I need to take to exchange currencies?</t>
  </si>
  <si>
    <t xml:space="preserve">What other currencies are available to change to?</t>
  </si>
  <si>
    <t xml:space="preserve">what currencies can i exchange between on your app?</t>
  </si>
  <si>
    <t xml:space="preserve">Can this app exchange American and English currency?</t>
  </si>
  <si>
    <t xml:space="preserve">My plans may change so I may need to change from GBP to AUD.</t>
  </si>
  <si>
    <t xml:space="preserve">Does the app allow for exchanges between currencies?</t>
  </si>
  <si>
    <t xml:space="preserve">I may no longer need GBP, but instead I will need AUD, how can I go about making this change?</t>
  </si>
  <si>
    <t xml:space="preserve">Can I use this app to change money?</t>
  </si>
  <si>
    <t xml:space="preserve">Has there been any activity on my card today?</t>
  </si>
  <si>
    <t xml:space="preserve">I lost my wallet and all my cards were in it.</t>
  </si>
  <si>
    <t xml:space="preserve">I'm panicking!  I lost my card!  Help!</t>
  </si>
  <si>
    <t xml:space="preserve">I need to report a stolen card</t>
  </si>
  <si>
    <t xml:space="preserve">How do I replace a stolen card?</t>
  </si>
  <si>
    <t xml:space="preserve">Can you provide information for freezing my card immediately?</t>
  </si>
  <si>
    <t xml:space="preserve">What's the phone number to freeze a card?</t>
  </si>
  <si>
    <t xml:space="preserve">I can't find my card! Can you help?</t>
  </si>
  <si>
    <t xml:space="preserve">Hi, I am on vacation in Spain and someone stole my bag with my phone and wallet with cards and everything. Can you block it ASAP and then I want to order a new one also ASAP.</t>
  </si>
  <si>
    <t xml:space="preserve">Help! I lost my card!</t>
  </si>
  <si>
    <t xml:space="preserve">My card is missing.  Please help.</t>
  </si>
  <si>
    <t xml:space="preserve">I think that my card has been stolen!</t>
  </si>
  <si>
    <t xml:space="preserve">My card was stolen</t>
  </si>
  <si>
    <t xml:space="preserve">A fee shouldn't apply to me if my card was stolen.</t>
  </si>
  <si>
    <t xml:space="preserve">My card has been stolen. I reported it with the police, but I need to report it with you as well.</t>
  </si>
  <si>
    <t xml:space="preserve">Can you tell me the status of my new card?</t>
  </si>
  <si>
    <t xml:space="preserve">My card has been stolen what do I do?</t>
  </si>
  <si>
    <t xml:space="preserve">I can't find my card, it is lost.</t>
  </si>
  <si>
    <t xml:space="preserve">My card is lost!  Please help me!</t>
  </si>
  <si>
    <t xml:space="preserve">I believe that my card has been stolen!</t>
  </si>
  <si>
    <t xml:space="preserve">What should I do if I think my card was stolen?</t>
  </si>
  <si>
    <t xml:space="preserve">Can you send me a new card and block my current one. I'm in Spain and my wallet was stolen.</t>
  </si>
  <si>
    <t xml:space="preserve">I thought I left my card at a restaurant, but they claim not to have it and now I don't have any idea where it is. I'm so worried that someone might be using it fraudulently. Is there any way to look into this?</t>
  </si>
  <si>
    <t xml:space="preserve">My bag got stolen with all my cards. Can you please cancel my card and send a new one?</t>
  </si>
  <si>
    <t xml:space="preserve">I think my card is stolen!</t>
  </si>
  <si>
    <t xml:space="preserve">Help!  I fear that my card was stolen,</t>
  </si>
  <si>
    <t xml:space="preserve">Someone stole my card!</t>
  </si>
  <si>
    <t xml:space="preserve">Are you able to guide me to my card's location?</t>
  </si>
  <si>
    <t xml:space="preserve">How can I report that my card was stolen? I made a police report first.</t>
  </si>
  <si>
    <t xml:space="preserve">My card is missing!  Help!</t>
  </si>
  <si>
    <t xml:space="preserve">My wallet was stolen, along with my cards. How do I put a freeze on my cards and order a new one?</t>
  </si>
  <si>
    <t xml:space="preserve">Could you please freeze my card immediately?</t>
  </si>
  <si>
    <t xml:space="preserve">i need help, i lost my card</t>
  </si>
  <si>
    <t xml:space="preserve">What can I do if I lost my card?</t>
  </si>
  <si>
    <t xml:space="preserve">I think that the card is stolen.  What are my next steps?</t>
  </si>
  <si>
    <t xml:space="preserve">What do I do if my card is stolen?</t>
  </si>
  <si>
    <t xml:space="preserve">My card is stolen.  Help!</t>
  </si>
  <si>
    <t xml:space="preserve">I lost track of my card</t>
  </si>
  <si>
    <t xml:space="preserve">Report stolen card</t>
  </si>
  <si>
    <t xml:space="preserve">Help!  My card is stolen.</t>
  </si>
  <si>
    <t xml:space="preserve">My card was lost on vacation, I don't know where it is. Can you help me take care of this immediately?</t>
  </si>
  <si>
    <t xml:space="preserve">I have lost my card! What is my next step?</t>
  </si>
  <si>
    <t xml:space="preserve">My card has been lost! help!</t>
  </si>
  <si>
    <t xml:space="preserve">What do I do if my card has been lost or stolen?</t>
  </si>
  <si>
    <t xml:space="preserve">Help Me!  I lost my card.  What should I do?</t>
  </si>
  <si>
    <t xml:space="preserve">Someone stole my wallet with my card in it while vacationing in Spain. I really need my card blocked and a new one ordered.</t>
  </si>
  <si>
    <t xml:space="preserve">Who can I speak with regarding a lost card?</t>
  </si>
  <si>
    <t xml:space="preserve">My card has gone missing.</t>
  </si>
  <si>
    <t xml:space="preserve">oh my god I lost my card! what should I do?</t>
  </si>
  <si>
    <t xml:space="preserve">I can't find my card!  What should I do?</t>
  </si>
  <si>
    <t xml:space="preserve">What is the first step that I should take after my card has been stolen?</t>
  </si>
  <si>
    <t xml:space="preserve">I seem to have lost my card.</t>
  </si>
  <si>
    <t xml:space="preserve">My card was stolen. What do I need to do?</t>
  </si>
  <si>
    <t xml:space="preserve">Someone took my card without permission</t>
  </si>
  <si>
    <t xml:space="preserve">I lost my card n need a new one.</t>
  </si>
  <si>
    <t xml:space="preserve">My card has been lost / stolen</t>
  </si>
  <si>
    <t xml:space="preserve">I misplaced my card and I dont know where the last place is where I used the card last. Can you look at my account and tell me the last place I used the card?</t>
  </si>
  <si>
    <t xml:space="preserve">Please help me.  My card is missing.</t>
  </si>
  <si>
    <t xml:space="preserve">I lost my card, what do I do now?</t>
  </si>
  <si>
    <t xml:space="preserve">I need to order a new card as my other one was stolen.</t>
  </si>
  <si>
    <t xml:space="preserve">I think someone stole my card because I can't find it.</t>
  </si>
  <si>
    <t xml:space="preserve">What are the steps I need to do if I have a stolen card?</t>
  </si>
  <si>
    <t xml:space="preserve">I cant find my card.</t>
  </si>
  <si>
    <t xml:space="preserve">I think my card is lost.  What do I do?</t>
  </si>
  <si>
    <t xml:space="preserve">What should I do if my card is stolen?</t>
  </si>
  <si>
    <t xml:space="preserve">How do I deactivate a stolen card?</t>
  </si>
  <si>
    <t xml:space="preserve">I want to block my card or deactivate it or something, it's been stolen and I don't want it misused. I want this handled right away.</t>
  </si>
  <si>
    <t xml:space="preserve">Someone took my card without my permission.</t>
  </si>
  <si>
    <t xml:space="preserve">Need help with a stolen card.</t>
  </si>
  <si>
    <t xml:space="preserve">help, lost my card</t>
  </si>
  <si>
    <t xml:space="preserve">What do I do if my card was stolen.</t>
  </si>
  <si>
    <t xml:space="preserve">I think my wallet fell out on the Tube today! I realized as soon as I got to my desk. How do I cut off the card?</t>
  </si>
  <si>
    <t xml:space="preserve">My card is missing.</t>
  </si>
  <si>
    <t xml:space="preserve">How do I report my card as lost or stolen?</t>
  </si>
  <si>
    <t xml:space="preserve">Is there any way for you to find my card?</t>
  </si>
  <si>
    <t xml:space="preserve">I've lost my card. What can I do about that?</t>
  </si>
  <si>
    <t xml:space="preserve">I left my card at a restaurant and now its missing.</t>
  </si>
  <si>
    <t xml:space="preserve">Can you help me retrieve my card?</t>
  </si>
  <si>
    <t xml:space="preserve">I lost my card. Can you help me?</t>
  </si>
  <si>
    <t xml:space="preserve">What should I do?  My card has been stolen!</t>
  </si>
  <si>
    <t xml:space="preserve">My card was stolen last night.</t>
  </si>
  <si>
    <t xml:space="preserve">Could you assist me in finding my lost card?</t>
  </si>
  <si>
    <t xml:space="preserve">I want to open an account for my children</t>
  </si>
  <si>
    <t xml:space="preserve">How old do you need to be to use the banks services?</t>
  </si>
  <si>
    <t xml:space="preserve">Whats the minimum age to have an account</t>
  </si>
  <si>
    <t xml:space="preserve">Can my children open an account?</t>
  </si>
  <si>
    <t xml:space="preserve">How old do I need to be?</t>
  </si>
  <si>
    <t xml:space="preserve">What are age requirements for opening an account?</t>
  </si>
  <si>
    <t xml:space="preserve">Is there any age limit?</t>
  </si>
  <si>
    <t xml:space="preserve">We want to start a college fund for my daughter.</t>
  </si>
  <si>
    <t xml:space="preserve">Hold old do my kids have to be to use the service?</t>
  </si>
  <si>
    <t xml:space="preserve">Can I start an account for my kids?</t>
  </si>
  <si>
    <t xml:space="preserve">How old does my daughter have to be to open an account?</t>
  </si>
  <si>
    <t xml:space="preserve">What is minimum age for an account?</t>
  </si>
  <si>
    <t xml:space="preserve">What is needed for my daughter to open an account?</t>
  </si>
  <si>
    <t xml:space="preserve">What about my children?</t>
  </si>
  <si>
    <t xml:space="preserve">What is the process for setting up and account for my child?</t>
  </si>
  <si>
    <t xml:space="preserve">Is there an age limit to open an account</t>
  </si>
  <si>
    <t xml:space="preserve">How old do my kids have to be use this?</t>
  </si>
  <si>
    <t xml:space="preserve">Can I make an account for my kids?</t>
  </si>
  <si>
    <t xml:space="preserve">I'd like to open an account for my kids can I do that?</t>
  </si>
  <si>
    <t xml:space="preserve">Would it be possible to open up an account for children?</t>
  </si>
  <si>
    <t xml:space="preserve">Do you have any age limit?</t>
  </si>
  <si>
    <t xml:space="preserve">If I want my son to have his own account is that possible?</t>
  </si>
  <si>
    <t xml:space="preserve">Could I open an account for children?</t>
  </si>
  <si>
    <t xml:space="preserve">What does my daughter need to open an account?</t>
  </si>
  <si>
    <t xml:space="preserve">Can my children get an account?</t>
  </si>
  <si>
    <t xml:space="preserve">What is the age limit for an account?</t>
  </si>
  <si>
    <t xml:space="preserve">What age do you have to be?</t>
  </si>
  <si>
    <t xml:space="preserve">What is the appropriate age for my child to be able to open an account?</t>
  </si>
  <si>
    <t xml:space="preserve">How do I open an account for my children?</t>
  </si>
  <si>
    <t xml:space="preserve">What are the requirements to open an account for a minor?</t>
  </si>
  <si>
    <t xml:space="preserve">are there age requirements</t>
  </si>
  <si>
    <t xml:space="preserve">Is there an age limit for opening an account?</t>
  </si>
  <si>
    <t xml:space="preserve">Can my 8 year old grandson open an account at the bank?</t>
  </si>
  <si>
    <t xml:space="preserve">What is the minimum age required to open an account with your service?</t>
  </si>
  <si>
    <t xml:space="preserve">If I want to get an account for my daughter, can I do that?</t>
  </si>
  <si>
    <t xml:space="preserve">How old do you have to be to open an account?</t>
  </si>
  <si>
    <t xml:space="preserve">I have young kids. Can they use this service?</t>
  </si>
  <si>
    <t xml:space="preserve">Do you have an age limit?</t>
  </si>
  <si>
    <t xml:space="preserve">How old do you have to be?</t>
  </si>
  <si>
    <t xml:space="preserve">Could my daughter open an account?</t>
  </si>
  <si>
    <t xml:space="preserve">Can I open an account for my children?</t>
  </si>
  <si>
    <t xml:space="preserve">What would the age limit be?</t>
  </si>
  <si>
    <t xml:space="preserve">What are the age requirements for service?</t>
  </si>
  <si>
    <t xml:space="preserve">I am 16 and just started working at McDonalds can I deposit my checks at your bank?</t>
  </si>
  <si>
    <t xml:space="preserve">Is there a possibility to open an account for my sons and daughters?</t>
  </si>
  <si>
    <t xml:space="preserve">Is there an age limit to get an account?</t>
  </si>
  <si>
    <t xml:space="preserve">what is the age limit for opening a new account</t>
  </si>
  <si>
    <t xml:space="preserve">Is my daughter eligible to open an account?</t>
  </si>
  <si>
    <t xml:space="preserve">How do I set up an account for my children?</t>
  </si>
  <si>
    <t xml:space="preserve">May I get an account for my daughter?</t>
  </si>
  <si>
    <t xml:space="preserve">What is the minimum age limit?</t>
  </si>
  <si>
    <t xml:space="preserve">How old must I be to open an account?</t>
  </si>
  <si>
    <t xml:space="preserve">What is the age limit?</t>
  </si>
  <si>
    <t xml:space="preserve">Can my children have an account?</t>
  </si>
  <si>
    <t xml:space="preserve">Is there any way I could open an account for my daughter?</t>
  </si>
  <si>
    <t xml:space="preserve">Can I get an account for my daughter?</t>
  </si>
  <si>
    <t xml:space="preserve">How old do you need to be to open an account?</t>
  </si>
  <si>
    <t xml:space="preserve">Do you offer account services for children and teens?</t>
  </si>
  <si>
    <t xml:space="preserve">From which age can my kids use your service?</t>
  </si>
  <si>
    <t xml:space="preserve">What is the youngest age for an account?</t>
  </si>
  <si>
    <t xml:space="preserve">I have kids and I'm curious at what age could they start to use your service.</t>
  </si>
  <si>
    <t xml:space="preserve">At what age can I open an account?</t>
  </si>
  <si>
    <t xml:space="preserve">I'd like to open an account for my children. How can I do that?</t>
  </si>
  <si>
    <t xml:space="preserve">Can I open up an account for my child?</t>
  </si>
  <si>
    <t xml:space="preserve">Is there a limit for age?</t>
  </si>
  <si>
    <t xml:space="preserve">How can I open an account for my children?</t>
  </si>
  <si>
    <t xml:space="preserve">Do you have a children account available?</t>
  </si>
  <si>
    <t xml:space="preserve">At what age can my children use your service?</t>
  </si>
  <si>
    <t xml:space="preserve">I want to open an account for my child.</t>
  </si>
  <si>
    <t xml:space="preserve">At what age can a person open an account?</t>
  </si>
  <si>
    <t xml:space="preserve">How old do kids have to be to open an account?</t>
  </si>
  <si>
    <t xml:space="preserve">What is your age limit?</t>
  </si>
  <si>
    <t xml:space="preserve">How old do my kids need to be to use your service?</t>
  </si>
  <si>
    <t xml:space="preserve">I would like to get an account for my child.</t>
  </si>
  <si>
    <t xml:space="preserve">Would I be able to open an account for my daughter?</t>
  </si>
  <si>
    <t xml:space="preserve">Can my teenager have an account?</t>
  </si>
  <si>
    <t xml:space="preserve">What age do you have to be to open an account?</t>
  </si>
  <si>
    <t xml:space="preserve">How old do my kids need to be to open an account?</t>
  </si>
  <si>
    <t xml:space="preserve">As my kids get older are they able to get set up with their own accounts?</t>
  </si>
  <si>
    <t xml:space="preserve">Is there an age limit to when my child can use these services?</t>
  </si>
  <si>
    <t xml:space="preserve">How many years old do I have to be?</t>
  </si>
  <si>
    <t xml:space="preserve">Do you have a limit for someone's age?</t>
  </si>
  <si>
    <t xml:space="preserve">Do you have any accounts for children ?</t>
  </si>
  <si>
    <t xml:space="preserve">Can my daughter make an account?</t>
  </si>
  <si>
    <t xml:space="preserve">I need to set up an account for my daughter, how would I do that?</t>
  </si>
  <si>
    <t xml:space="preserve">How old can one use your service?</t>
  </si>
  <si>
    <t xml:space="preserve">Do you have to be 18 to make an account?</t>
  </si>
  <si>
    <t xml:space="preserve">Would I be able to get an account for my child?</t>
  </si>
  <si>
    <t xml:space="preserve">Can I get an account for my son?</t>
  </si>
  <si>
    <t xml:space="preserve">DO I have to be 18 to open an account?</t>
  </si>
  <si>
    <t xml:space="preserve">Am I allowed to get an account for my daughter?</t>
  </si>
  <si>
    <t xml:space="preserve">My daughter needs to open account.</t>
  </si>
  <si>
    <t xml:space="preserve">Can I open an account for my offspring?</t>
  </si>
  <si>
    <t xml:space="preserve">Do you offer account's for minors?</t>
  </si>
  <si>
    <t xml:space="preserve">What are the age limits for your service?</t>
  </si>
  <si>
    <t xml:space="preserve">How old do you need to be to have an account?</t>
  </si>
  <si>
    <t xml:space="preserve">How old does my daughter need to be to have her own account?</t>
  </si>
  <si>
    <t xml:space="preserve">My son has just turned 13, is he old enough for an account?</t>
  </si>
  <si>
    <t xml:space="preserve">Do you guys have any age restrictions?</t>
  </si>
  <si>
    <t xml:space="preserve">Is there a minimum age for having an account?</t>
  </si>
  <si>
    <t xml:space="preserve">How old does one need to be?</t>
  </si>
  <si>
    <t xml:space="preserve">My daughter needs an acount.</t>
  </si>
  <si>
    <t xml:space="preserve">What is the age requirement?</t>
  </si>
  <si>
    <t xml:space="preserve">Is there a certain age I need to be?</t>
  </si>
  <si>
    <t xml:space="preserve">Is my child too young to sign up?</t>
  </si>
  <si>
    <t xml:space="preserve">Am I able to open an account for my children?</t>
  </si>
  <si>
    <t xml:space="preserve">Can I make an account for my daughter?</t>
  </si>
  <si>
    <t xml:space="preserve">What's the youngest I can be to open an account?</t>
  </si>
  <si>
    <t xml:space="preserve">Do you have an age requirement when opening an account with your service?</t>
  </si>
  <si>
    <t xml:space="preserve">Is it possible for me to set up separate accounts for my kids?</t>
  </si>
  <si>
    <t xml:space="preserve">I have exceeded the number of PIN attempts</t>
  </si>
  <si>
    <t xml:space="preserve">I mistook my pin and now I am locked.  Can you unlock me?</t>
  </si>
  <si>
    <t xml:space="preserve">Please help me unblock my pin which I put the wrong one too many times.</t>
  </si>
  <si>
    <t xml:space="preserve">Help me unblock my account.  I entered the PIN wrong too many times.</t>
  </si>
  <si>
    <t xml:space="preserve">I locked myself out of my account, how do I unblock my PIN?</t>
  </si>
  <si>
    <t xml:space="preserve">My PIN tries have run out. Now what?</t>
  </si>
  <si>
    <t xml:space="preserve">Can I reset my PIN if it is blocked?</t>
  </si>
  <si>
    <t xml:space="preserve">After inputting the wrong pin too many times, can you now help me unblock my pin?</t>
  </si>
  <si>
    <t xml:space="preserve">Where do I find PIN for my card?</t>
  </si>
  <si>
    <t xml:space="preserve">Can someone help me unblock my pin?</t>
  </si>
  <si>
    <t xml:space="preserve">I attempted to enter my pin to many times.</t>
  </si>
  <si>
    <t xml:space="preserve">I forgot my PIN and now it is blocked.</t>
  </si>
  <si>
    <t xml:space="preserve">Can someone assist me with explaining how I can unblock my pin?</t>
  </si>
  <si>
    <t xml:space="preserve">My pin needs unblocking, unblock it please?</t>
  </si>
  <si>
    <t xml:space="preserve">What do I have to do to get my PIN unblocked?</t>
  </si>
  <si>
    <t xml:space="preserve">I tried my PIN too many times and now my card won't work!</t>
  </si>
  <si>
    <t xml:space="preserve">I entered a wrong PIN too many times. How can I fix this?</t>
  </si>
  <si>
    <t xml:space="preserve">How can I unblock my PIN?</t>
  </si>
  <si>
    <t xml:space="preserve">When I was drunk I got my card stuck in your machine because i mis-typed my PIN. What do I need to do to get it restored?</t>
  </si>
  <si>
    <t xml:space="preserve">I cannot try my PIN anymore.</t>
  </si>
  <si>
    <t xml:space="preserve">What's the web address to unblock my pin?</t>
  </si>
  <si>
    <t xml:space="preserve">How do I make my PIN work again?</t>
  </si>
  <si>
    <t xml:space="preserve">What steps do I take to unblock my PIN?</t>
  </si>
  <si>
    <t xml:space="preserve">My PIN was entered wrong and now I am blocked.  Please unblock.</t>
  </si>
  <si>
    <t xml:space="preserve">Can I use app to unblock my card?</t>
  </si>
  <si>
    <t xml:space="preserve">I tried the wrong PIN too many times.</t>
  </si>
  <si>
    <t xml:space="preserve">Help me unblock my PIN.</t>
  </si>
  <si>
    <t xml:space="preserve">Can I unblock my PIN in the app?</t>
  </si>
  <si>
    <t xml:space="preserve">How can I get my PIN unblocked?</t>
  </si>
  <si>
    <t xml:space="preserve">I forgot my PIN number.</t>
  </si>
  <si>
    <t xml:space="preserve">I tried entering my pin several times incorrectly. Why isn't my pin working?</t>
  </si>
  <si>
    <t xml:space="preserve">I need my PIN unlocked.</t>
  </si>
  <si>
    <t xml:space="preserve">I can't input my pin again.</t>
  </si>
  <si>
    <t xml:space="preserve">How do I take a block off my card?</t>
  </si>
  <si>
    <t xml:space="preserve">Will you help me unblock my pin after putting in the wrong pin too many times?</t>
  </si>
  <si>
    <t xml:space="preserve">What do I do if I forgot my PIN?</t>
  </si>
  <si>
    <t xml:space="preserve">What is the process for unlocking the pin?</t>
  </si>
  <si>
    <t xml:space="preserve">How do I go about unlocking a pin?</t>
  </si>
  <si>
    <t xml:space="preserve">I enetered the wrong information, I need my account unblocked How do I do that?</t>
  </si>
  <si>
    <t xml:space="preserve">My PIN is locked, how do I unlock it?</t>
  </si>
  <si>
    <t xml:space="preserve">I entered in the wrong PIN.  Please help me unlock my account.</t>
  </si>
  <si>
    <t xml:space="preserve">If my PIN number is rejected, how do I solve it?</t>
  </si>
  <si>
    <t xml:space="preserve">Why was my PIN blocked?</t>
  </si>
  <si>
    <t xml:space="preserve">
I put the wrong pin too many times and now it is blocked. Can you help me unblock it?</t>
  </si>
  <si>
    <t xml:space="preserve">Where can I go to get my PIN unblocked?</t>
  </si>
  <si>
    <t xml:space="preserve">What is the procedure of unblocking my PIN?</t>
  </si>
  <si>
    <t xml:space="preserve">I accidentally exceeded my PIN tries.  Please advise.</t>
  </si>
  <si>
    <t xml:space="preserve">I logged in wrong and am blocked, how do I log in?</t>
  </si>
  <si>
    <t xml:space="preserve">While I was drunk, I goofed my PIN number and your machine ate my card. How can I get it back?</t>
  </si>
  <si>
    <t xml:space="preserve">Can you unblock my blocked pin?</t>
  </si>
  <si>
    <t xml:space="preserve">How can I reset my darned PIN number?</t>
  </si>
  <si>
    <t xml:space="preserve">My PIN is unlocked, what do I do?</t>
  </si>
  <si>
    <t xml:space="preserve">My account is locked because I used the wrong pin too many times.  Please help.p</t>
  </si>
  <si>
    <t xml:space="preserve">My PIN can't access my card, can you help?.</t>
  </si>
  <si>
    <t xml:space="preserve">After putting in the wrong PIN too many times, I was blocked. Can you assist me in changing it?</t>
  </si>
  <si>
    <t xml:space="preserve">
How do I unblock my PIN?</t>
  </si>
  <si>
    <t xml:space="preserve">What happens if I forget my PIN?</t>
  </si>
  <si>
    <t xml:space="preserve">I put the wrong pin too many times and now it is blocked. Can you help me unblock it?</t>
  </si>
  <si>
    <t xml:space="preserve">I managed to drunken block my card :(( Help!</t>
  </si>
  <si>
    <t xml:space="preserve">Why is my PIN blocked?</t>
  </si>
  <si>
    <t xml:space="preserve">I used my pin too many times.</t>
  </si>
  <si>
    <t xml:space="preserve">My PIN has been blocked.</t>
  </si>
  <si>
    <t xml:space="preserve">My card got blocked, how do I reset?</t>
  </si>
  <si>
    <t xml:space="preserve">My PIN number was incorrect, and I can't access it.</t>
  </si>
  <si>
    <t xml:space="preserve">Is there a way to reset my PIN?</t>
  </si>
  <si>
    <t xml:space="preserve">What do I do if I have exceeded all my PIN tries?</t>
  </si>
  <si>
    <t xml:space="preserve">How do I get unblocked?</t>
  </si>
  <si>
    <t xml:space="preserve">I blocked my card by mistake, how do I unblock it?</t>
  </si>
  <si>
    <t xml:space="preserve">What should I do if I exceed my PIN tries?</t>
  </si>
  <si>
    <t xml:space="preserve">How come I got blocked for entering wrong pins?</t>
  </si>
  <si>
    <t xml:space="preserve">What should I do if I have used all of my PIN tries?</t>
  </si>
  <si>
    <t xml:space="preserve">My PIN isn't working.</t>
  </si>
  <si>
    <t xml:space="preserve">I forgot what my pin number is and now am blocked can you help me get in?</t>
  </si>
  <si>
    <t xml:space="preserve">Where am I able to get my PIN unblocked?</t>
  </si>
  <si>
    <t xml:space="preserve">I forgot my pin and am blocked now. Can I reset it somewhere?</t>
  </si>
  <si>
    <t xml:space="preserve">I must have entered my PIN wrong.</t>
  </si>
  <si>
    <t xml:space="preserve">I am locked out from entering my pin.</t>
  </si>
  <si>
    <t xml:space="preserve">What do I do to unblock my PIN?</t>
  </si>
  <si>
    <t xml:space="preserve">I entered my pin wrong  too many times.</t>
  </si>
  <si>
    <t xml:space="preserve">I have used all my PIN tries, what now?</t>
  </si>
  <si>
    <t xml:space="preserve">Where do I go to unblock my PIN?</t>
  </si>
  <si>
    <t xml:space="preserve">What if I type in the wrong PIN too many times?</t>
  </si>
  <si>
    <t xml:space="preserve">What do I do if my PIN was blocked?</t>
  </si>
  <si>
    <t xml:space="preserve">Can I unblock my pin using the app?</t>
  </si>
  <si>
    <t xml:space="preserve">How many times can I enter a wrong PIN before it is blocked?</t>
  </si>
  <si>
    <t xml:space="preserve">My PIN was blocked.</t>
  </si>
  <si>
    <t xml:space="preserve">I accidentally put in the wrong pin too many times and now I need to unblock it. Can you assist with this?</t>
  </si>
  <si>
    <t xml:space="preserve">I have exceeded all my PIN tries</t>
  </si>
  <si>
    <t xml:space="preserve">How to unblock my PIN?</t>
  </si>
  <si>
    <t xml:space="preserve">How many incorrect attempts cause card to be blocked?</t>
  </si>
  <si>
    <t xml:space="preserve">Guide me on how to unblock my PIN</t>
  </si>
  <si>
    <t xml:space="preserve">Would you please unblock my pin? I don't know why, but it's blocked.</t>
  </si>
  <si>
    <t xml:space="preserve">I have used all of my PIN tries. What should I do now?</t>
  </si>
  <si>
    <t xml:space="preserve">Is there a number to call to get my pin unblocked?</t>
  </si>
  <si>
    <t xml:space="preserve">My PIN seems to be blocked, help me access it?</t>
  </si>
  <si>
    <t xml:space="preserve">How do I unblock my card?</t>
  </si>
  <si>
    <t xml:space="preserve">I may have entered the PIN wrong and the account is blocked.  What do I have to do to get it unblocked.</t>
  </si>
  <si>
    <t xml:space="preserve">I cannot use my PIN.</t>
  </si>
  <si>
    <t xml:space="preserve">My PIN got blocked, help.</t>
  </si>
  <si>
    <t xml:space="preserve">Where do I unblock my PIN?</t>
  </si>
  <si>
    <t xml:space="preserve">I am blocked now because I entered the wrong pin, need help.</t>
  </si>
  <si>
    <t xml:space="preserve">My PIN has been blocked, what should I do?</t>
  </si>
  <si>
    <t xml:space="preserve">Too many times I entered the incorrect PIN.  How can I get my account unblocked?</t>
  </si>
  <si>
    <t xml:space="preserve">My account is blocked because I entered the wrong pin too many times.  Help me unblock.</t>
  </si>
  <si>
    <t xml:space="preserve">I entered the wrong pin too many times and now I think it's blocked. What do I do?</t>
  </si>
  <si>
    <t xml:space="preserve">I was blocked by using the wrong pin too many times, can you help me?</t>
  </si>
  <si>
    <t xml:space="preserve">My PIN is not working, can you help?</t>
  </si>
  <si>
    <t xml:space="preserve">How do I unlock my account after typing in the wrong PIN too many times?</t>
  </si>
  <si>
    <t xml:space="preserve">I entered the pin incorrectly too many times and now it is blocked. Can you help?</t>
  </si>
  <si>
    <t xml:space="preserve">Can you unblock my pin because I put the wrong one too many times.</t>
  </si>
  <si>
    <t xml:space="preserve">I need a new PIN number.</t>
  </si>
  <si>
    <t xml:space="preserve">Can you unblock my account?  I entered the PIN wrong.</t>
  </si>
  <si>
    <t xml:space="preserve">I tried my PIN too many times</t>
  </si>
  <si>
    <t xml:space="preserve">I punched in the wrong pin too many times and I'm locked out.</t>
  </si>
  <si>
    <t xml:space="preserve">I can't figure out how to unblock my pin number. Can you help me?</t>
  </si>
  <si>
    <t xml:space="preserve">Should i uninstall the app before i try it again?</t>
  </si>
  <si>
    <t xml:space="preserve">How come when I tried to pay contactless at the bus it didnt work?</t>
  </si>
  <si>
    <t xml:space="preserve">Why is my contactless not working?</t>
  </si>
  <si>
    <t xml:space="preserve">My contactless payments don't work.</t>
  </si>
  <si>
    <t xml:space="preserve">how many days processing new card?</t>
  </si>
  <si>
    <t xml:space="preserve">I'm confused. My contactless is suddenly not working anywhere that I try to use it. How do I fix it?</t>
  </si>
  <si>
    <t xml:space="preserve">Would reinstalling the app solve the problem?</t>
  </si>
  <si>
    <t xml:space="preserve">I've tried using my contactless in several locations today and it's not working anywhere. It seemed fine before. How do I get it to work again?</t>
  </si>
  <si>
    <t xml:space="preserve">What do I have to do to get the contactless to work?</t>
  </si>
  <si>
    <t xml:space="preserve">The terminal I paid at wouldn't take my card. Is something wrong?</t>
  </si>
  <si>
    <t xml:space="preserve">Why wasn't my contactless accepted at the metro?</t>
  </si>
  <si>
    <t xml:space="preserve">Can I make a contactless payments?</t>
  </si>
  <si>
    <t xml:space="preserve">I can't get a contactless payment to work.</t>
  </si>
  <si>
    <t xml:space="preserve">Contactless payments need to be enabled for my card.</t>
  </si>
  <si>
    <t xml:space="preserve">Help me to set up contactless payments.</t>
  </si>
  <si>
    <t xml:space="preserve">My contactless stopped working today for no good reason. It's not working no matter where I try to use it. Can you please help me fix it?</t>
  </si>
  <si>
    <t xml:space="preserve">I'm confused ass to why my contactless is not working.</t>
  </si>
  <si>
    <t xml:space="preserve">I need help fixing my contactless. It's not working anywhere I go today.</t>
  </si>
  <si>
    <t xml:space="preserve">The contactless payments are not working.</t>
  </si>
  <si>
    <t xml:space="preserve">how to get new card?</t>
  </si>
  <si>
    <t xml:space="preserve">How do I troubleshoot my contactless?</t>
  </si>
  <si>
    <t xml:space="preserve">How can I fix my contactless?</t>
  </si>
  <si>
    <t xml:space="preserve">Any charges applicable for new card?</t>
  </si>
  <si>
    <t xml:space="preserve">I have a contactless that's broken.</t>
  </si>
  <si>
    <t xml:space="preserve">My contactless is non-functional.</t>
  </si>
  <si>
    <t xml:space="preserve">How can i get new card?</t>
  </si>
  <si>
    <t xml:space="preserve">My contactless stopped working today no matter where I try to use it. How do I get it to start working again?</t>
  </si>
  <si>
    <t xml:space="preserve">How do I troubleshoot when contactless doesn't work?</t>
  </si>
  <si>
    <t xml:space="preserve">How can I fix my card if the contactless function didn't work this morning?</t>
  </si>
  <si>
    <t xml:space="preserve">I was trying to use contactless earlier, but it didn't work.</t>
  </si>
  <si>
    <t xml:space="preserve">Why wouldn't my contactless work for the metro?</t>
  </si>
  <si>
    <t xml:space="preserve">Are my contactless settings correct? I tried to use it today but it wasn't working.</t>
  </si>
  <si>
    <t xml:space="preserve">I am having problems with my contactless.</t>
  </si>
  <si>
    <t xml:space="preserve">I am having issues using contactless payments, could my card be damaged?</t>
  </si>
  <si>
    <t xml:space="preserve">What is the reason when I tried to pay contactless at the bus, it didnt work?</t>
  </si>
  <si>
    <t xml:space="preserve">Is there a top up fee for transfer?</t>
  </si>
  <si>
    <t xml:space="preserve">Will there be a charge for topping up by account with a SEPA transfer?</t>
  </si>
  <si>
    <t xml:space="preserve">What are the charges for receiving a SEPA transfer?</t>
  </si>
  <si>
    <t xml:space="preserve">Is there a charge for SEPA transfers?</t>
  </si>
  <si>
    <t xml:space="preserve">Will I be charged a fee for a SEPA transfer?</t>
  </si>
  <si>
    <t xml:space="preserve">What is the fee to top-up my account</t>
  </si>
  <si>
    <t xml:space="preserve">Will you guys charge me for topping up by transfer?</t>
  </si>
  <si>
    <t xml:space="preserve">Can you tell me the cost of a transfer?</t>
  </si>
  <si>
    <t xml:space="preserve">Do you receive SWIFT transfers?</t>
  </si>
  <si>
    <t xml:space="preserve">What is the charge for receiving a SEPA transfer?</t>
  </si>
  <si>
    <t xml:space="preserve">Will I receive all the money sent to my account by SEPA transfer?</t>
  </si>
  <si>
    <t xml:space="preserve">Am I going to see a charge for a SEPA transfer?</t>
  </si>
  <si>
    <t xml:space="preserve">Can I do a SWIFT transfer?</t>
  </si>
  <si>
    <t xml:space="preserve">What would I be charged in receiving a SEPA transfer?</t>
  </si>
  <si>
    <t xml:space="preserve">How much is it to receive money?</t>
  </si>
  <si>
    <t xml:space="preserve">Is there a charge for using transfers for top ups?</t>
  </si>
  <si>
    <t xml:space="preserve">If someone sends me money, will I be charged?</t>
  </si>
  <si>
    <t xml:space="preserve">Do you accept SWIFT transfers?</t>
  </si>
  <si>
    <t xml:space="preserve">Am I charged for receiving money?</t>
  </si>
  <si>
    <t xml:space="preserve">Will I be charged for topping up by transfer?</t>
  </si>
  <si>
    <t xml:space="preserve">Will I be charged any fee for receiving money?</t>
  </si>
  <si>
    <t xml:space="preserve">Are there fees for receiving a SEPA transfer?</t>
  </si>
  <si>
    <t xml:space="preserve">Is there a fee to top up by bank transfers?</t>
  </si>
  <si>
    <t xml:space="preserve">Do you offer SWIFT transfers?</t>
  </si>
  <si>
    <t xml:space="preserve">Will I be charged for a top off transfer?</t>
  </si>
  <si>
    <t xml:space="preserve">Will I be charged for receiving money?</t>
  </si>
  <si>
    <t xml:space="preserve">To receive money are there charges?</t>
  </si>
  <si>
    <t xml:space="preserve">Will there be a charge when money is added to my account?</t>
  </si>
  <si>
    <t xml:space="preserve">What are the fees associated with top up via transfer?</t>
  </si>
  <si>
    <t xml:space="preserve">Can I use SWIFT transfers?</t>
  </si>
  <si>
    <t xml:space="preserve">How much does a transfer cost?</t>
  </si>
  <si>
    <t xml:space="preserve">Is there a fee for a SEPA transfer</t>
  </si>
  <si>
    <t xml:space="preserve">why do you charge for transfers?</t>
  </si>
  <si>
    <t xml:space="preserve">Is there a fee to make a transfer?</t>
  </si>
  <si>
    <t xml:space="preserve">What is the charge to make a transfer</t>
  </si>
  <si>
    <t xml:space="preserve">If I were to transfer, what would the cost be?</t>
  </si>
  <si>
    <t xml:space="preserve">Does it cost anything to transfer money for a top-up?</t>
  </si>
  <si>
    <t xml:space="preserve">Will I be fined for topping up by transfer?</t>
  </si>
  <si>
    <t xml:space="preserve">what is the price of a transfer?</t>
  </si>
  <si>
    <t xml:space="preserve">If I top-up by using a trasfer are there charges that applied?</t>
  </si>
  <si>
    <t xml:space="preserve">Do I get charged if I get money?</t>
  </si>
  <si>
    <t xml:space="preserve">Would I be able to use SWIFT transfers?</t>
  </si>
  <si>
    <t xml:space="preserve">Are there any charges for receiving money?</t>
  </si>
  <si>
    <t xml:space="preserve">how much will I be charged for making a transfer?</t>
  </si>
  <si>
    <t xml:space="preserve">For topping-up is there a charge?</t>
  </si>
  <si>
    <t xml:space="preserve">Can I transfer money using the SWIFT service?</t>
  </si>
  <si>
    <t xml:space="preserve">Is there a charge for transfers?</t>
  </si>
  <si>
    <t xml:space="preserve">is there a fee for swift transfer</t>
  </si>
  <si>
    <t xml:space="preserve">How much does it cost to top up by transfer?</t>
  </si>
  <si>
    <t xml:space="preserve">What are the fees for using transfer to top off my account?</t>
  </si>
  <si>
    <t xml:space="preserve">Do you charge anything for topping up?</t>
  </si>
  <si>
    <t xml:space="preserve">Are SWIFT Transfers available at this bank?</t>
  </si>
  <si>
    <t xml:space="preserve">If I were to do a transfer, what is the rate for that?</t>
  </si>
  <si>
    <t xml:space="preserve">How much do I need to pay for a transfer?</t>
  </si>
  <si>
    <t xml:space="preserve">Is there a charge for getting my money?</t>
  </si>
  <si>
    <t xml:space="preserve">Does this program take SWIFT transfers?</t>
  </si>
  <si>
    <t xml:space="preserve">What does it cost to receive a SEPA transfer?</t>
  </si>
  <si>
    <t xml:space="preserve">How much will it be in order to pay with a bank transfer using SEPA?</t>
  </si>
  <si>
    <t xml:space="preserve">Will there be a fee if I receive a SEPA transfer</t>
  </si>
  <si>
    <t xml:space="preserve">Am I charged if I make a top-up?</t>
  </si>
  <si>
    <t xml:space="preserve">do you have a fee for receiving a SEPA transfer?</t>
  </si>
  <si>
    <t xml:space="preserve">What does a transfer cost?</t>
  </si>
  <si>
    <t xml:space="preserve">Am I able to do a SWIFT transfer with you?</t>
  </si>
  <si>
    <t xml:space="preserve">Is a SWIFT transfer acceptable?</t>
  </si>
  <si>
    <t xml:space="preserve">Will I be charged for adding money by transfer?</t>
  </si>
  <si>
    <t xml:space="preserve">How much will it cost me for a SEPA transfer?</t>
  </si>
  <si>
    <t xml:space="preserve">How much would it cost me if I transfer?</t>
  </si>
  <si>
    <t xml:space="preserve">What should I expect to be charged on a SEPA transfer?</t>
  </si>
  <si>
    <t xml:space="preserve">What is the cost of a transfer?</t>
  </si>
  <si>
    <t xml:space="preserve">I want to top up my account by a bank transfer, but will I be charged?</t>
  </si>
  <si>
    <t xml:space="preserve">Am I able to do a SWIFT transfer?</t>
  </si>
  <si>
    <t xml:space="preserve">Are you aware of any charges for receiving money?</t>
  </si>
  <si>
    <t xml:space="preserve">Are SWIFT transfers supported?</t>
  </si>
  <si>
    <t xml:space="preserve">Is there a charge for receiving money?</t>
  </si>
  <si>
    <t xml:space="preserve">Can I transfer using SWIFT?</t>
  </si>
  <si>
    <t xml:space="preserve">Am I going to be charged for receiving  money?</t>
  </si>
  <si>
    <t xml:space="preserve">What are the additional charges for a SWIFT transfer?</t>
  </si>
  <si>
    <t xml:space="preserve">Does it cost me anything to top up my account via bank transfer?</t>
  </si>
  <si>
    <t xml:space="preserve">How much does it cost to make transfers?</t>
  </si>
  <si>
    <t xml:space="preserve">How much would it cost me for a bank transfer to top up my account?</t>
  </si>
  <si>
    <t xml:space="preserve">Do you take SWIFT transfers?</t>
  </si>
  <si>
    <t xml:space="preserve">Is there a fee for topping off by transfer?</t>
  </si>
  <si>
    <t xml:space="preserve">Will I be charged for receiving the money?</t>
  </si>
  <si>
    <t xml:space="preserve">For SEPA transfers, what kind of charge will be applied?</t>
  </si>
  <si>
    <t xml:space="preserve">Are there topping up fees if I have to transfer?</t>
  </si>
  <si>
    <t xml:space="preserve">Am I going to be charged for topping up by transfer?</t>
  </si>
  <si>
    <t xml:space="preserve">What is the handling fee for transfer?</t>
  </si>
  <si>
    <t xml:space="preserve">Does it cost me to add cash?</t>
  </si>
  <si>
    <t xml:space="preserve">Do I get charged if I am receiving money?</t>
  </si>
  <si>
    <t xml:space="preserve">Are you going to charge me to collect the money?</t>
  </si>
  <si>
    <t xml:space="preserve">Can I Transfer from SWIFT?</t>
  </si>
  <si>
    <t xml:space="preserve">what is the fee for a transfer into my account</t>
  </si>
  <si>
    <t xml:space="preserve">Do I pay a fee for SEPA transfers?</t>
  </si>
  <si>
    <t xml:space="preserve">Is there a cost to receive money?</t>
  </si>
  <si>
    <t xml:space="preserve">I'd like to make a SEPA transfer to my account, but will I be charged?</t>
  </si>
  <si>
    <t xml:space="preserve">Can third party fees affect a transfer?</t>
  </si>
  <si>
    <t xml:space="preserve">Do you charge for transfers?</t>
  </si>
  <si>
    <t xml:space="preserve">Will I be charged for topping up my account using a bank transfer?</t>
  </si>
  <si>
    <t xml:space="preserve">How much would I be charged for a transfer?</t>
  </si>
  <si>
    <t xml:space="preserve">Is there a top up fee?</t>
  </si>
  <si>
    <t xml:space="preserve">are SWIFT transfers an option?</t>
  </si>
  <si>
    <t xml:space="preserve">How much does it cost to do a transfer?</t>
  </si>
  <si>
    <t xml:space="preserve">If I top up by transfer, am I going to be charged?</t>
  </si>
  <si>
    <t xml:space="preserve">What are the charges for recieving SEPA transfers?</t>
  </si>
  <si>
    <t xml:space="preserve">Are there any fees associated with receiving money?</t>
  </si>
  <si>
    <t xml:space="preserve">How much does each transfer cost?</t>
  </si>
  <si>
    <t xml:space="preserve">Is there any fees associated with receiving money with this account?</t>
  </si>
  <si>
    <t xml:space="preserve">Will I be charged to top off my account?</t>
  </si>
  <si>
    <t xml:space="preserve">What kind of fee is there to top-up my account?</t>
  </si>
  <si>
    <t xml:space="preserve">Do you process SWIFT transfers?</t>
  </si>
  <si>
    <t xml:space="preserve">I want to do a swift transfer</t>
  </si>
  <si>
    <t xml:space="preserve">How long does a top-up take to go through?</t>
  </si>
  <si>
    <t xml:space="preserve">I am under the impression that my top up is still pending</t>
  </si>
  <si>
    <t xml:space="preserve">How long will it take for my money to be deposited?</t>
  </si>
  <si>
    <t xml:space="preserve">i put money on my card and i dont see it on the balance</t>
  </si>
  <si>
    <t xml:space="preserve">I have a top-up that's still pending and wanted to know about it.</t>
  </si>
  <si>
    <t xml:space="preserve">It is still pending, I am still waiting. Your system just shows my top-up as pending. What is happening?</t>
  </si>
  <si>
    <t xml:space="preserve">Why is my top up not completing?</t>
  </si>
  <si>
    <t xml:space="preserve">What if my top up doesn't go through?</t>
  </si>
  <si>
    <t xml:space="preserve">Sort your top up out please! It's been pending since an hour already, can you please make this go through asap I really need the money</t>
  </si>
  <si>
    <t xml:space="preserve">Says that my top-up is incomplete?</t>
  </si>
  <si>
    <t xml:space="preserve">It appears my top-up is still pending.</t>
  </si>
  <si>
    <t xml:space="preserve">My top up did not go through yet.</t>
  </si>
  <si>
    <t xml:space="preserve">Seems like my top-up has not gone through</t>
  </si>
  <si>
    <t xml:space="preserve">How long will my top-up stay pending?</t>
  </si>
  <si>
    <t xml:space="preserve">I think my top up is still pending?</t>
  </si>
  <si>
    <t xml:space="preserve">Something is wrong with the top up! I'm a regular customer and use your service all the time, usually this works but now it just shows up as pending</t>
  </si>
  <si>
    <t xml:space="preserve">why isn't my top-up going through?</t>
  </si>
  <si>
    <t xml:space="preserve">I topped up but it isn't in my account</t>
  </si>
  <si>
    <t xml:space="preserve">When will my top-up happen?</t>
  </si>
  <si>
    <t xml:space="preserve">My top up has been pending for an hour already, and I really need this to go through as soon as possible.  Can you help?</t>
  </si>
  <si>
    <t xml:space="preserve">What is the reason my top-up is still pending?</t>
  </si>
  <si>
    <t xml:space="preserve">how long does it take to reflect in my balance a top up</t>
  </si>
  <si>
    <t xml:space="preserve">My top-up is taking a while to process!</t>
  </si>
  <si>
    <t xml:space="preserve">My top up is incomplete.</t>
  </si>
  <si>
    <t xml:space="preserve">My top-up funds aren't available yet.</t>
  </si>
  <si>
    <t xml:space="preserve">Why hasn't my top-up finished pending yet?</t>
  </si>
  <si>
    <t xml:space="preserve">Where are my funds? I topped off my car but it didn't seem to complete.</t>
  </si>
  <si>
    <t xml:space="preserve">I tried to top up, but the funds show up as pending. I thought it was instant?</t>
  </si>
  <si>
    <t xml:space="preserve">I tried to top up, but it didn't finish.</t>
  </si>
  <si>
    <t xml:space="preserve">Should my top-up be completed by now?</t>
  </si>
  <si>
    <t xml:space="preserve">My top up did not complete.</t>
  </si>
  <si>
    <t xml:space="preserve">Why hasnt my top up gone through yet?? I thought it was suppose to be instant? Am I wrong? Why is it still pending?</t>
  </si>
  <si>
    <t xml:space="preserve">I topped up and went to buy something, but it says that my funds are pending. Is there a way to quicken this process?</t>
  </si>
  <si>
    <t xml:space="preserve">When will my top up be approved?</t>
  </si>
  <si>
    <t xml:space="preserve">My top-up didn't go through; it still says pending. What's up with that?</t>
  </si>
  <si>
    <t xml:space="preserve">I can't find the money I just added to my account.</t>
  </si>
  <si>
    <t xml:space="preserve">What does it mean if my top-up has not gone through?</t>
  </si>
  <si>
    <t xml:space="preserve">My top up hasn't gone through yet, why?</t>
  </si>
  <si>
    <t xml:space="preserve">I've been waiting for a top up to come through for over an hour and I need the funds now.</t>
  </si>
  <si>
    <t xml:space="preserve">Hello, I am a new customer, and just tried topping up for the first time. According to your information, the transaction should be instant - why does it still show as pending?</t>
  </si>
  <si>
    <t xml:space="preserve">I attempted to top up my account but it's been frozen in a pending state for well over an hour now! Is this normal? I'm a new customer and this is my first time doing this. I assumed it would be done quicker than this.</t>
  </si>
  <si>
    <t xml:space="preserve">My account is  new  why can I  not top up</t>
  </si>
  <si>
    <t xml:space="preserve">Help, I don't see my money i just added.</t>
  </si>
  <si>
    <t xml:space="preserve">What happened to my Top-Up? It's not reflected.</t>
  </si>
  <si>
    <t xml:space="preserve">I'm waiting on a top-up, its still pending</t>
  </si>
  <si>
    <t xml:space="preserve">I'm a new customer and tried topping up today for the first time. It's still pending and doesn't seem to be working. I need to get this fixed.</t>
  </si>
  <si>
    <t xml:space="preserve">Needed gas, been delayed for half an hour.Please fix it!</t>
  </si>
  <si>
    <t xml:space="preserve">Yesterday I topped up my card. Why didn't it complete as it still pending?</t>
  </si>
  <si>
    <t xml:space="preserve">Tell my why my top-up is pending.</t>
  </si>
  <si>
    <t xml:space="preserve">How long should I wait for top up go go through ?</t>
  </si>
  <si>
    <t xml:space="preserve">Top-up is loaded into the card and no update.</t>
  </si>
  <si>
    <t xml:space="preserve">My top-up seems to be pending for a long time?</t>
  </si>
  <si>
    <t xml:space="preserve">I already paid to top-up but the funds aren't available yet, where are they?</t>
  </si>
  <si>
    <t xml:space="preserve">What do I do if my top-up has not gone through?</t>
  </si>
  <si>
    <t xml:space="preserve">My top-up hasn't gone through</t>
  </si>
  <si>
    <t xml:space="preserve">Is my top up not working?</t>
  </si>
  <si>
    <t xml:space="preserve">My top up is pending still</t>
  </si>
  <si>
    <t xml:space="preserve">Why has my top up not gone through yet?</t>
  </si>
  <si>
    <t xml:space="preserve">Hi, I tried topping up for the first time today (I'm a new customer), and the transaction has shown as pending for the last half an hour. Can you fix it?</t>
  </si>
  <si>
    <t xml:space="preserve">My top up says it is still pending</t>
  </si>
  <si>
    <t xml:space="preserve">I topped up about half an hour ago and the charge is still pending. I'm a new customer and today is my first time doing this. Can you fix it? It doesn't seem to be working.</t>
  </si>
  <si>
    <t xml:space="preserve">How long does it take for my top up to clear?</t>
  </si>
  <si>
    <t xml:space="preserve">how long should i expect to wait when i add money</t>
  </si>
  <si>
    <t xml:space="preserve">I'm still waiting for the top-up!</t>
  </si>
  <si>
    <t xml:space="preserve">Is there a problem with the top up system? My transaction hasn't gone through properly</t>
  </si>
  <si>
    <t xml:space="preserve">How long will my top-up be pending?</t>
  </si>
  <si>
    <t xml:space="preserve">I believe my top up is still pending</t>
  </si>
  <si>
    <t xml:space="preserve">Why hasn't my top up gone through?</t>
  </si>
  <si>
    <t xml:space="preserve">Why is  my  top  up for  my  new account  not  instant</t>
  </si>
  <si>
    <t xml:space="preserve">My money hasn't been deposited yet. When will it be?</t>
  </si>
  <si>
    <t xml:space="preserve">I'm still waiting for my top-up to go through</t>
  </si>
  <si>
    <t xml:space="preserve">How long after a failed topup will funds refurn to account</t>
  </si>
  <si>
    <t xml:space="preserve">My top is still pending.</t>
  </si>
  <si>
    <t xml:space="preserve">My top-up hasn't happened yet.</t>
  </si>
  <si>
    <t xml:space="preserve">Has my top up gone through?</t>
  </si>
  <si>
    <t xml:space="preserve">How long does it take for a top-up?</t>
  </si>
  <si>
    <t xml:space="preserve">I used my card to top up but it's saying it is still pending. What does this mean?</t>
  </si>
  <si>
    <t xml:space="preserve">When will my top-up go through?</t>
  </si>
  <si>
    <t xml:space="preserve">How long does it take for a top up to go through</t>
  </si>
  <si>
    <t xml:space="preserve">i have a pending top-up</t>
  </si>
  <si>
    <t xml:space="preserve">Why is the top-up I made still pending.</t>
  </si>
  <si>
    <t xml:space="preserve">My top-up is still pending</t>
  </si>
  <si>
    <t xml:space="preserve">My top up is still pending</t>
  </si>
  <si>
    <t xml:space="preserve">My top-up is taking a very long time to complete.</t>
  </si>
  <si>
    <t xml:space="preserve">I do not think the pop up went through yet.</t>
  </si>
  <si>
    <t xml:space="preserve">how long are my top ups pending</t>
  </si>
  <si>
    <t xml:space="preserve">Did I do something incorrectly? Where is my top-up?</t>
  </si>
  <si>
    <t xml:space="preserve">Why hasn't my top-up gone through?</t>
  </si>
  <si>
    <t xml:space="preserve">Should my top up still be pending?</t>
  </si>
  <si>
    <t xml:space="preserve">top up is still pending</t>
  </si>
  <si>
    <t xml:space="preserve">I have been waiting for my top-up to complete and it still hasn't gone through.</t>
  </si>
  <si>
    <t xml:space="preserve">Im trying to top up my card but it's still pending and it's been an hour. Is there any way to make it go through faster? Do I not have enough?</t>
  </si>
  <si>
    <t xml:space="preserve">Please explain why my top-up hasn't been processed yet?</t>
  </si>
  <si>
    <t xml:space="preserve">Why can't I see my funds after I topped up?</t>
  </si>
  <si>
    <t xml:space="preserve">My top up hasn't gone through</t>
  </si>
  <si>
    <t xml:space="preserve">I'm pretty sure my top up is still pending.</t>
  </si>
  <si>
    <t xml:space="preserve">When will my top-up be completed?</t>
  </si>
  <si>
    <t xml:space="preserve">My top up keeps showing pending?  How long will things be like this?  Days, weeks, months?  I need the money quite urgently for an important coffee purchase, can you please let me know when top up will work?</t>
  </si>
  <si>
    <t xml:space="preserve">I think something is wrong with your top up.  I've been waiting a little over an hour for this to go through, can you send it through for me?</t>
  </si>
  <si>
    <t xml:space="preserve">How long do top-ups take to go through</t>
  </si>
  <si>
    <t xml:space="preserve">I tried topping up for the first time today since I am a new customer. It doesn't appear that it's working. It has been pending for at least half an hour. Please take care of this.</t>
  </si>
  <si>
    <t xml:space="preserve">How long is a top up supposed to be pending, because an hour is too long! Can you fix this to go through?</t>
  </si>
  <si>
    <t xml:space="preserve">There is a top up that has been pending for an hour and I don't know why.  I was expecting it immediately and need it now!</t>
  </si>
  <si>
    <t xml:space="preserve">Can you tell me what is wrong ? I top-up with you all the time but this time it just shows my top-up as pending. What is happening?</t>
  </si>
  <si>
    <t xml:space="preserve">My top-up appears to be pending.</t>
  </si>
  <si>
    <t xml:space="preserve">Is there a reason that my top-up is still pending?</t>
  </si>
  <si>
    <t xml:space="preserve">why is top up pending</t>
  </si>
  <si>
    <t xml:space="preserve">I topped-up my account, but I don't think it went through.</t>
  </si>
  <si>
    <t xml:space="preserve">The top-up is broken.</t>
  </si>
  <si>
    <t xml:space="preserve">Is there something wrong with my top up I did an hour ago? it's still pending. I need that money, i cant afford to wait or have it come back to me.</t>
  </si>
  <si>
    <t xml:space="preserve">Why is my top-up pending?</t>
  </si>
  <si>
    <t xml:space="preserve">How come my top-up didn't go through instantly, like it usually does?</t>
  </si>
  <si>
    <t xml:space="preserve">It's been some time since refilled the top-up.</t>
  </si>
  <si>
    <t xml:space="preserve">I added money to the card but the transaction didn't go through</t>
  </si>
  <si>
    <t xml:space="preserve">How long do I need to wait til my top up isn't pending?</t>
  </si>
  <si>
    <t xml:space="preserve">top up not completed</t>
  </si>
  <si>
    <t xml:space="preserve">It appears my top-up has not gone through.</t>
  </si>
  <si>
    <t xml:space="preserve">Even though I added money ey to the card, I couldn't use it</t>
  </si>
  <si>
    <t xml:space="preserve">How long does it take for a top up to be approved?</t>
  </si>
  <si>
    <t xml:space="preserve">How do I make my top up complete?</t>
  </si>
  <si>
    <t xml:space="preserve">What is taking so long with my top up?</t>
  </si>
  <si>
    <t xml:space="preserve">When will my top up be applied?</t>
  </si>
  <si>
    <t xml:space="preserve">Can you look into why my most recent top-up is showing as pending? I thought it was supposed to be instantaneous.</t>
  </si>
  <si>
    <t xml:space="preserve">I just made a top-up but it shows as pending! I use your service all the time and have never had a problem before. Why does it keep showing up as pending?</t>
  </si>
  <si>
    <t xml:space="preserve">How long does my top up pending last?</t>
  </si>
  <si>
    <t xml:space="preserve">I topped up last night but don't have any funds, why not?</t>
  </si>
  <si>
    <t xml:space="preserve">How long should it take for my top-up to finish? I've been waiting a while.</t>
  </si>
  <si>
    <t xml:space="preserve">Is there a reason my top-up has not gone through?</t>
  </si>
  <si>
    <t xml:space="preserve">Problem with my top up going through</t>
  </si>
  <si>
    <t xml:space="preserve">How do I know if my top-up went through?</t>
  </si>
  <si>
    <t xml:space="preserve">Can you please sort out your top up? I need this to go through asap because I really need the money. It's already been pending for an hour.</t>
  </si>
  <si>
    <t xml:space="preserve">Can you tell me why my pop-up is still pending?</t>
  </si>
  <si>
    <t xml:space="preserve">new customer and filling gas for the first time today, not working,</t>
  </si>
  <si>
    <t xml:space="preserve">What's taking my top-up so long?</t>
  </si>
  <si>
    <t xml:space="preserve">What is wrong with my top-up?</t>
  </si>
  <si>
    <t xml:space="preserve">When will my top up process?</t>
  </si>
  <si>
    <t xml:space="preserve">Can you explain to me why a top-up would still be pending?</t>
  </si>
  <si>
    <t xml:space="preserve">How long will it take for my top up to work? It's still pending</t>
  </si>
  <si>
    <t xml:space="preserve">Isn't my top-up supposed to mean its complete?</t>
  </si>
  <si>
    <t xml:space="preserve">What is the reason that my top-up is still pending?</t>
  </si>
  <si>
    <t xml:space="preserve">When will my top up go through?</t>
  </si>
  <si>
    <t xml:space="preserve">Please sort your top up! My top up has been pending for an hour already. Can you please make it go through as soon as possible. I really need the money.</t>
  </si>
  <si>
    <t xml:space="preserve">My top-up has not posted.</t>
  </si>
  <si>
    <t xml:space="preserve">I made a top up yesterday but it's still pending.</t>
  </si>
  <si>
    <t xml:space="preserve">Hello, I'm a brand new customer and tried topping up for the first time today. It has been pending for half an hour and doesn't seem to be working. Please resolve this.</t>
  </si>
  <si>
    <t xml:space="preserve">I have a new card and I can't add money to it.  I tried about 30 minutes ago and it is still pending.  What do I do?</t>
  </si>
  <si>
    <t xml:space="preserve">I'm not certain my top-up went through yet.</t>
  </si>
  <si>
    <t xml:space="preserve">I've been waiting for over an hour for a top up to go through.  How long is this supposed to take?  I really need this money.</t>
  </si>
  <si>
    <t xml:space="preserve">Where to check top ups pending?</t>
  </si>
  <si>
    <t xml:space="preserve">Cancel a transaction</t>
  </si>
  <si>
    <t xml:space="preserve">Am I able to cancel a transfer I just made</t>
  </si>
  <si>
    <t xml:space="preserve">I needed to make a payment on my account, but I typed in the incorrect number.  The app won't allow me to cancel this transaction.  I need it cancelled ASAP!!</t>
  </si>
  <si>
    <t xml:space="preserve">I made a mistake this morning when I did a transfer. How do I reverse it?</t>
  </si>
  <si>
    <t xml:space="preserve">Can I cancel a transaction?</t>
  </si>
  <si>
    <t xml:space="preserve">Hi, I sent a payment to the wrong account number - can you cancel it as soon as possible?</t>
  </si>
  <si>
    <t xml:space="preserve">How do I revert a transaction?</t>
  </si>
  <si>
    <t xml:space="preserve">I just realized I made the wrong transaction yesterday. Would  you please make it correct?I need it by tomorrow Please.</t>
  </si>
  <si>
    <t xml:space="preserve">How do i cancel a charge?</t>
  </si>
  <si>
    <t xml:space="preserve">I didn't want to make a transaction, I want to revert it</t>
  </si>
  <si>
    <t xml:space="preserve">Is there a way to undo a transaction?</t>
  </si>
  <si>
    <t xml:space="preserve">I accidentally made a payment from the wrong account yesterday. It's my rent payment, and it's very large, so the account I paid from won't be able to cover the amount. It's really important that the payment be made from the right account?</t>
  </si>
  <si>
    <t xml:space="preserve">I would like help to revert a transaction I did this morning</t>
  </si>
  <si>
    <t xml:space="preserve">Please help revert my transaction from this morning.</t>
  </si>
  <si>
    <t xml:space="preserve">Is there any way to cancel my transfer</t>
  </si>
  <si>
    <t xml:space="preserve">I messed up a transfer and need to reverse it.</t>
  </si>
  <si>
    <t xml:space="preserve">Please cancel my most recent transfer, it was a mistake. This is an emergency. It needs to be canceled before it goes through.</t>
  </si>
  <si>
    <t xml:space="preserve">I made a mistake and performed a transaction on the wrong account!</t>
  </si>
  <si>
    <t xml:space="preserve">I want to revert a transaction I did this morning</t>
  </si>
  <si>
    <t xml:space="preserve">I need to change a transfer.</t>
  </si>
  <si>
    <t xml:space="preserve">How do I cancel a transaction?</t>
  </si>
  <si>
    <t xml:space="preserve">I need to cancel a transaction please!</t>
  </si>
  <si>
    <t xml:space="preserve">I want to revert a transaction I did</t>
  </si>
  <si>
    <t xml:space="preserve">Could I please cancel my transfer, I paid it into the wrong account. I need to pay it into the right account by tomorrow.</t>
  </si>
  <si>
    <t xml:space="preserve">I need a transfer cancelled.</t>
  </si>
  <si>
    <t xml:space="preserve">I did a transaction this morning and now I want to cancel it.</t>
  </si>
  <si>
    <t xml:space="preserve">A transfer has to be cancelled.</t>
  </si>
  <si>
    <t xml:space="preserve">Is it possible to cancel a transaction?</t>
  </si>
  <si>
    <t xml:space="preserve">I messed up and made a transaction using the wrong account.</t>
  </si>
  <si>
    <t xml:space="preserve">One of my transactions needs to be canceled.</t>
  </si>
  <si>
    <t xml:space="preserve">I need to stop a transaction that I made.</t>
  </si>
  <si>
    <t xml:space="preserve">I need to cancel a transfer I made.</t>
  </si>
  <si>
    <t xml:space="preserve">My transfer was wrong, are you able to stop it before it goes through please?</t>
  </si>
  <si>
    <t xml:space="preserve">I used the wrong account.</t>
  </si>
  <si>
    <t xml:space="preserve">I've made a horrible mistake!  I transferred money to the wrong account by accident!  I entered one of the digits wrong.  I need this cancelled immediately please.</t>
  </si>
  <si>
    <t xml:space="preserve">What are the steps I need to take to cancel a transaction?</t>
  </si>
  <si>
    <t xml:space="preserve">I would like to cancel a transfer...is this possible?</t>
  </si>
  <si>
    <t xml:space="preserve">I want to cancel the transaction I made earlier</t>
  </si>
  <si>
    <t xml:space="preserve">I submitted a transaction but it was for the incorrect account.</t>
  </si>
  <si>
    <t xml:space="preserve">I stupidly initiated a rent payment from the wrong account yesterday. It can't be paid from that account, but it really needs to get paid on time. Am I able to move the payment to the right account?</t>
  </si>
  <si>
    <t xml:space="preserve">Can you help me to quickly cancel a transaction I accidentally did to the wrong account?</t>
  </si>
  <si>
    <t xml:space="preserve">I don't think the transaction has gone through, so can I cancel a transfer?</t>
  </si>
  <si>
    <t xml:space="preserve">I wanna revert a transaction i did this morning.</t>
  </si>
  <si>
    <t xml:space="preserve">I did a transaction to a wrong account!</t>
  </si>
  <si>
    <t xml:space="preserve">Please help me cancel a transaction.</t>
  </si>
  <si>
    <t xml:space="preserve">I entered a typo when I was transferring money and now I've sent it to an incorrect account.  This is so bad!  I need it cancelled now.</t>
  </si>
  <si>
    <t xml:space="preserve">How fast can you fix an error in payment?  I made a payment in the wrong account yesterday and it needs to be adjusted by tomorrow for my rent.</t>
  </si>
  <si>
    <t xml:space="preserve">Please cancel my last transaction.</t>
  </si>
  <si>
    <t xml:space="preserve">How to cancel a transaction</t>
  </si>
  <si>
    <t xml:space="preserve">I need to cancel a transfer</t>
  </si>
  <si>
    <t xml:space="preserve">Help me cancel a transfer.</t>
  </si>
  <si>
    <t xml:space="preserve">who do I talk to, to cancel a transfer?</t>
  </si>
  <si>
    <t xml:space="preserve">Help! I need to cancel a transaction.</t>
  </si>
  <si>
    <t xml:space="preserve">I made a mistake and need to cancel a transfer.</t>
  </si>
  <si>
    <t xml:space="preserve">If I make a mistake can I cancel the transaction?</t>
  </si>
  <si>
    <t xml:space="preserve">I need to cancel a transaction.</t>
  </si>
  <si>
    <t xml:space="preserve">I don't need to transfer anymore and I want to cancel it.</t>
  </si>
  <si>
    <t xml:space="preserve">How do I cancel a transfer?</t>
  </si>
  <si>
    <t xml:space="preserve">I made a mistake on the last transfer I made, who must I speak with to cancel?</t>
  </si>
  <si>
    <t xml:space="preserve">Who do I call to cancel a transfer?</t>
  </si>
  <si>
    <t xml:space="preserve">It is extremely important that I cancel the transfer I made yesterday and put the money into a different account.  Is this possible?</t>
  </si>
  <si>
    <t xml:space="preserve">I made a transaction to the wrong account!</t>
  </si>
  <si>
    <t xml:space="preserve">Is there any way to cancel a recent transfer?  I did not mean to make it and need to make sure it does not go through.</t>
  </si>
  <si>
    <t xml:space="preserve">Is there a way to revert a transaction?</t>
  </si>
  <si>
    <t xml:space="preserve">I have a transaction and would like to know if I it's cancelable?</t>
  </si>
  <si>
    <t xml:space="preserve">I accidentally made a payment to a wrong account. What should I do?</t>
  </si>
  <si>
    <t xml:space="preserve">How can I cancel my transfer?</t>
  </si>
  <si>
    <t xml:space="preserve">I just realized I made the wrong transaction  yesterday. Would  you please make it correct?I need it by tomorrow.</t>
  </si>
  <si>
    <t xml:space="preserve">Am I able to stop a transfer?</t>
  </si>
  <si>
    <t xml:space="preserve">I made a transaction, but I made it to an account I didn't mean to make it to.</t>
  </si>
  <si>
    <t xml:space="preserve">stop the transaction</t>
  </si>
  <si>
    <t xml:space="preserve">I need to reverse a transaction</t>
  </si>
  <si>
    <t xml:space="preserve">I just realised I made the wrong payment yesterday. Can you please change it to the right account? It's my rent payment and really really needs to be in the right account by tomorrow</t>
  </si>
  <si>
    <t xml:space="preserve">I've just made a money transfer to the wrong account, I need to stop the money from being moved as it may be going to someone I don't know.  Please can you help?</t>
  </si>
  <si>
    <t xml:space="preserve">Please help!  The app won't let me cancel a money transfer.  I accidently sent money to an account that wasn't mine.  I need this cancelled immediately.</t>
  </si>
  <si>
    <t xml:space="preserve">Help me cancel a transaction.</t>
  </si>
  <si>
    <t xml:space="preserve">I already made a transfer and want to cancel it, how do I do that?</t>
  </si>
  <si>
    <t xml:space="preserve">Hi , I just came to know I made the wrong transaction  yesterday. Would  you please make it correct?I need it by tomorrow.</t>
  </si>
  <si>
    <t xml:space="preserve">I sent a payment to the wrong account number - can that transaction be reversed? I am worried about accidentally giving my money away.</t>
  </si>
  <si>
    <t xml:space="preserve">I want to reverse a transaction I did this morning</t>
  </si>
  <si>
    <t xml:space="preserve">I need you to stop the transfer I just started as soon as possible, I just realized it's not correct!</t>
  </si>
  <si>
    <t xml:space="preserve">I would like to cancel my previous transaction</t>
  </si>
  <si>
    <t xml:space="preserve">I need urgent help. I realize I sent my payment to the wrong account number. I made a typo. Please cancel the transfer now. There isn't an option from the app.</t>
  </si>
  <si>
    <t xml:space="preserve">I made a mistake and did a transaction to a wrong account, can I cancel?</t>
  </si>
  <si>
    <t xml:space="preserve">Hi, I made a transfer yesterday that I need to reverse.  I need to put the money in a different account.</t>
  </si>
  <si>
    <t xml:space="preserve">I need urgent help. I realize I sent my payment to the wrong account number. I made a typo. Please cancel the transfer immediately. I cannot do anything from the app.</t>
  </si>
  <si>
    <t xml:space="preserve">I want to cancel a transaction.</t>
  </si>
  <si>
    <t xml:space="preserve">I made a rent payment from the wrong account yesterday. It absolutely has to go through tomorrow, so can you please reroute the payment to the right account?</t>
  </si>
  <si>
    <t xml:space="preserve">I no longer want to transfer funds, can we cancel that transaction?</t>
  </si>
  <si>
    <t xml:space="preserve">I made a mistake when sending a payment, sending it to the wrong account number (with a typo) - can you please cancel the transaction?</t>
  </si>
  <si>
    <t xml:space="preserve">I need to cancel my recent transfer as soon as possible. I made an error there. Please help before it goes through.</t>
  </si>
  <si>
    <t xml:space="preserve">I am trying to revert a transcation I did this morning</t>
  </si>
  <si>
    <t xml:space="preserve">A payment I made is for a wrong amount can you help me correct the mistake.</t>
  </si>
  <si>
    <t xml:space="preserve">I inadvertently completed a transaction on a wrong account.</t>
  </si>
  <si>
    <t xml:space="preserve">I used the wrong account number!</t>
  </si>
  <si>
    <t xml:space="preserve">How can I cancel a transfer I made</t>
  </si>
  <si>
    <t xml:space="preserve">I made a mistake of transferring, can I cancel my previous transfer?</t>
  </si>
  <si>
    <t xml:space="preserve">I made a mistake when making my last transfer, please cancel before it goes thru.</t>
  </si>
  <si>
    <t xml:space="preserve">Can I stop a transaction?</t>
  </si>
  <si>
    <t xml:space="preserve">I wish to cancel a transfer</t>
  </si>
  <si>
    <t xml:space="preserve">I want to take back my transaction</t>
  </si>
  <si>
    <t xml:space="preserve">Is it possible for a transaction to be cancelled?</t>
  </si>
  <si>
    <t xml:space="preserve">Hey i need help urgently. I just realised I sent my payment to the wrong account number, there is a typo! Please cancel it immediately, I can't do it anymore from the app</t>
  </si>
  <si>
    <t xml:space="preserve">is it possible to cancel transactions?</t>
  </si>
  <si>
    <t xml:space="preserve">Help! I made a transfer in error and need to cancel it before it's complete!</t>
  </si>
  <si>
    <t xml:space="preserve">I made a terrible mistake when typing in my account number.  I accidently sent money to the wrong account.  I noticed the app won't allow me to void the transaction.  Can someone help me with this immediately?</t>
  </si>
  <si>
    <t xml:space="preserve">Is it possible to cancel my transfer?</t>
  </si>
  <si>
    <t xml:space="preserve">How do I fix a transaction to the wrong account?</t>
  </si>
  <si>
    <t xml:space="preserve">I goofed up and used the wrong account.  Please help.</t>
  </si>
  <si>
    <t xml:space="preserve">I want to cancel a transfer I just made.</t>
  </si>
  <si>
    <t xml:space="preserve">Cancel Transaction</t>
  </si>
  <si>
    <t xml:space="preserve">Could you refund my transaction, I paid it into the wrong account. I need to be able to pay it into the right account by tomorrow.</t>
  </si>
  <si>
    <t xml:space="preserve">My transaction is on the wrong account.</t>
  </si>
  <si>
    <t xml:space="preserve">I paid my rent into the wrong account, could you please pay it into the right account, it needs to be done by tomorrow.</t>
  </si>
  <si>
    <t xml:space="preserve">How do I go about cancelling a transaction?</t>
  </si>
  <si>
    <t xml:space="preserve">I have arranged a transfer, but no longer need to send it. How do I stop the transfer?</t>
  </si>
  <si>
    <t xml:space="preserve">I would like to cancel a transfer</t>
  </si>
  <si>
    <t xml:space="preserve">Please help me, there is a transaction in the incorrect account.</t>
  </si>
  <si>
    <t xml:space="preserve">How can I revert a transaction from this morning?</t>
  </si>
  <si>
    <t xml:space="preserve">How do I cancel a recent transfer?</t>
  </si>
  <si>
    <t xml:space="preserve">Please can you block the transaction I just sent from my account? It was a payment but I accidently typed in the wrong details and think it might have gone to the wrong place.</t>
  </si>
  <si>
    <t xml:space="preserve">I made a transaction this morning but I need to revert it now.</t>
  </si>
  <si>
    <t xml:space="preserve">I made the incorrect payment for my rent yesterday and this needs to be fixed by no later than tomorrow. How can you help?</t>
  </si>
  <si>
    <t xml:space="preserve">I recently made a transfer but I need to cancel it as soon as possible.  Please let me know when this happens.</t>
  </si>
  <si>
    <t xml:space="preserve">I made a transfer into my account and now I need to cancel it</t>
  </si>
  <si>
    <t xml:space="preserve">Cancel my transfer, please.</t>
  </si>
  <si>
    <t xml:space="preserve">I need to cancel a transaction immediately.</t>
  </si>
  <si>
    <t xml:space="preserve">Please help me!  A payment I made had an error on the account number and I can't cancel on my side.  Can you cancel it?</t>
  </si>
  <si>
    <t xml:space="preserve">I need to cancel my recent transfer quickly since I made a mistake. Please help before it goes through.</t>
  </si>
  <si>
    <t xml:space="preserve">Can I cancel a transfer I made</t>
  </si>
  <si>
    <t xml:space="preserve">Where do I go to cancel a transaction?</t>
  </si>
  <si>
    <t xml:space="preserve">How can I cancel a transaction to a wrong account?</t>
  </si>
  <si>
    <t xml:space="preserve">There's been a transaction to the wrong account.</t>
  </si>
  <si>
    <t xml:space="preserve">Please cancel the transfer I just made.  I put in the wrong account number and can't seem to stop it on the app.</t>
  </si>
  <si>
    <t xml:space="preserve">I want to revert this mornings transaction.</t>
  </si>
  <si>
    <t xml:space="preserve">I didn't mean to do the transfer, is there any way to cancel it?</t>
  </si>
  <si>
    <t xml:space="preserve">I need immediate assistance in canceling a transfer which was a mistake. Please help me quickly so this does not go through.</t>
  </si>
  <si>
    <t xml:space="preserve">Cancelling a transaction</t>
  </si>
  <si>
    <t xml:space="preserve">The wrong account was used during a transaction.</t>
  </si>
  <si>
    <t xml:space="preserve">I just initiated a transfer but I'd like to cancel it.</t>
  </si>
  <si>
    <t xml:space="preserve">My morning transaction needs to be canceled.</t>
  </si>
  <si>
    <t xml:space="preserve">My transaction from earlier needs to be reversed.</t>
  </si>
  <si>
    <t xml:space="preserve">I recently made a transfer that I would like to cancel</t>
  </si>
  <si>
    <t xml:space="preserve">Yesterday, I made an incorrect payment to the wrong account for my rent payment. I need this addressed as soon as possible and the funds transferred to the correct account by no later than tomorrow.</t>
  </si>
  <si>
    <t xml:space="preserve">What do I need to do to cancel a transaction?</t>
  </si>
  <si>
    <t xml:space="preserve">How can I cancel this transaction?</t>
  </si>
  <si>
    <t xml:space="preserve">Help please!  My rent payment is coming out tomorrow and I made a payment mistake yesterday! Can you put in in the correct account?</t>
  </si>
  <si>
    <t xml:space="preserve">I need help right now. I realize I sent my payment to the wrong account number after making a typo. Please cancel the transfer now since I can't do it from the app.</t>
  </si>
  <si>
    <t xml:space="preserve">I need help as fast as possible! I made a mistake on my most recent transfer; can you please stop it before it goes through?</t>
  </si>
  <si>
    <t xml:space="preserve">I want to cancel a transaction from this morning.</t>
  </si>
  <si>
    <t xml:space="preserve">A transfer has been made in my account that I need to cancel.  This was a mistake on my part and I hope we can get this resolved quickly.</t>
  </si>
  <si>
    <t xml:space="preserve">I need to cancel my recent transfer. I made a mistake. Please help quickly before the transfer goes through.</t>
  </si>
  <si>
    <t xml:space="preserve">I'm really upset because I made a typo during a transfer and now I've sent money to the wrong account.  I can't fix this with the app.  Please help me immediately!</t>
  </si>
  <si>
    <t xml:space="preserve">There was a transaction this morning that I'd like to reverse.</t>
  </si>
  <si>
    <t xml:space="preserve">What do I have to do to cancel a transfer?</t>
  </si>
  <si>
    <t xml:space="preserve">I wanted to transfer money to another account, but now I don't have to so I'd like to cancel said transfer. How can I do that?</t>
  </si>
  <si>
    <t xml:space="preserve">please cancel the transaction</t>
  </si>
  <si>
    <t xml:space="preserve">What is the max amount of top-ups?</t>
  </si>
  <si>
    <t xml:space="preserve">Are top-ups unlimited?</t>
  </si>
  <si>
    <t xml:space="preserve">Can I increase my top-up maximum?</t>
  </si>
  <si>
    <t xml:space="preserve">Can I top-up any amount?</t>
  </si>
  <si>
    <t xml:space="preserve">What's the limit to how much I can top up?</t>
  </si>
  <si>
    <t xml:space="preserve">Would I be able to top up as much as I can?</t>
  </si>
  <si>
    <t xml:space="preserve">Do I have a limit to the number of top-ups per day?</t>
  </si>
  <si>
    <t xml:space="preserve">need to know if there is a maximum i can top up</t>
  </si>
  <si>
    <t xml:space="preserve">How many top-ups am I allowed to do?</t>
  </si>
  <si>
    <t xml:space="preserve">How much is ok for me to top up with?</t>
  </si>
  <si>
    <t xml:space="preserve">What is the maximum I can top up?</t>
  </si>
  <si>
    <t xml:space="preserve">what is the most money i can top up?</t>
  </si>
  <si>
    <t xml:space="preserve">Are there any top-up limits?</t>
  </si>
  <si>
    <t xml:space="preserve">Is there a limit to the top-ups someone can do?</t>
  </si>
  <si>
    <t xml:space="preserve">What is the greatest number of times that I can top-up?</t>
  </si>
  <si>
    <t xml:space="preserve">Tell me if there is a limit to top-up.</t>
  </si>
  <si>
    <t xml:space="preserve">Is there a top-up limit that I have to stay under during a given period of time?</t>
  </si>
  <si>
    <t xml:space="preserve">How much am I allowed to top-up?</t>
  </si>
  <si>
    <t xml:space="preserve">Is there a limit on how much I can top up?</t>
  </si>
  <si>
    <t xml:space="preserve">Is there a limit to how much I can top-up?</t>
  </si>
  <si>
    <t xml:space="preserve">Is there a limit for the amount I can top up?</t>
  </si>
  <si>
    <t xml:space="preserve">what is the limit for top-ups?</t>
  </si>
  <si>
    <t xml:space="preserve">How much can I top up in a day?</t>
  </si>
  <si>
    <t xml:space="preserve">Do top-ups have limits?</t>
  </si>
  <si>
    <t xml:space="preserve">Is there a limit to how much I can top up?</t>
  </si>
  <si>
    <t xml:space="preserve">Please tell me the limit to topping-up.</t>
  </si>
  <si>
    <t xml:space="preserve">Do top-up limits exist?</t>
  </si>
  <si>
    <t xml:space="preserve">I would like to know how much I can top-up.</t>
  </si>
  <si>
    <t xml:space="preserve">Whats the limit on my top up</t>
  </si>
  <si>
    <t xml:space="preserve">Are there any top-up limits that I must follow?</t>
  </si>
  <si>
    <t xml:space="preserve">Can I top-up any amount I wish on any given day?</t>
  </si>
  <si>
    <t xml:space="preserve">Is topping up unlimited?</t>
  </si>
  <si>
    <t xml:space="preserve">What is the highest amount of top ups I'm allowed?</t>
  </si>
  <si>
    <t xml:space="preserve">is there a limit for top up?</t>
  </si>
  <si>
    <t xml:space="preserve">Can I set my own top-up limit?</t>
  </si>
  <si>
    <t xml:space="preserve">What are the rules for a top-up?</t>
  </si>
  <si>
    <t xml:space="preserve">How often can I top up?</t>
  </si>
  <si>
    <t xml:space="preserve">What is the highest amount I can top-up?</t>
  </si>
  <si>
    <t xml:space="preserve">What is the most that I can top-up to a card?</t>
  </si>
  <si>
    <t xml:space="preserve">What limits are the to top-ups?</t>
  </si>
  <si>
    <t xml:space="preserve">How many times can I make a top-up?</t>
  </si>
  <si>
    <t xml:space="preserve">Whats the max I can top up</t>
  </si>
  <si>
    <t xml:space="preserve">What is the maximum top up?</t>
  </si>
  <si>
    <t xml:space="preserve">What is the top-up limit for my card?</t>
  </si>
  <si>
    <t xml:space="preserve">Tell me if there is a top-up limit.</t>
  </si>
  <si>
    <t xml:space="preserve">What number of times can I top-up?</t>
  </si>
  <si>
    <t xml:space="preserve">is there a limit to top up</t>
  </si>
  <si>
    <t xml:space="preserve">What's the maximum amount I can top up my card with please?</t>
  </si>
  <si>
    <t xml:space="preserve">How can I information on my limit for top-ups?</t>
  </si>
  <si>
    <t xml:space="preserve">It seems I need to get information on limits for top-ups.</t>
  </si>
  <si>
    <t xml:space="preserve">Are there any top-up limits involved?</t>
  </si>
  <si>
    <t xml:space="preserve">What is my top-up limit?</t>
  </si>
  <si>
    <t xml:space="preserve">Are there limits with top-up?</t>
  </si>
  <si>
    <t xml:space="preserve">What is the max top-up?</t>
  </si>
  <si>
    <t xml:space="preserve">What is your maximum top up limit per day?</t>
  </si>
  <si>
    <t xml:space="preserve">I need to add a serious amount of cash to my card, how do I do that?</t>
  </si>
  <si>
    <t xml:space="preserve">Tell me about the limit for top ups.</t>
  </si>
  <si>
    <t xml:space="preserve">Is there a limit to my top-up?</t>
  </si>
  <si>
    <t xml:space="preserve">Is there a topping up limit?</t>
  </si>
  <si>
    <t xml:space="preserve">Can I create my own top-up limit?</t>
  </si>
  <si>
    <t xml:space="preserve">Can I top up?</t>
  </si>
  <si>
    <t xml:space="preserve">How much could I top up?</t>
  </si>
  <si>
    <t xml:space="preserve">How many top-ups can be approved?</t>
  </si>
  <si>
    <t xml:space="preserve">What is the top-up limit?</t>
  </si>
  <si>
    <t xml:space="preserve">Do you limit my top-offs?</t>
  </si>
  <si>
    <t xml:space="preserve">Is the top-up amount unlimited?</t>
  </si>
  <si>
    <t xml:space="preserve">How many top-ups can I use?</t>
  </si>
  <si>
    <t xml:space="preserve">Is there a maximum for top-ups?</t>
  </si>
  <si>
    <t xml:space="preserve">Will you set a limit to my top-up?</t>
  </si>
  <si>
    <t xml:space="preserve">Is there a top-up limit?</t>
  </si>
  <si>
    <t xml:space="preserve">How often am I able to top-up?</t>
  </si>
  <si>
    <t xml:space="preserve">Can someone please tell me how much I can top-up?</t>
  </si>
  <si>
    <t xml:space="preserve">What is the maximum for top-ups?</t>
  </si>
  <si>
    <t xml:space="preserve">Do you have any top-up limits?</t>
  </si>
  <si>
    <t xml:space="preserve">Do top-ups have a limit?</t>
  </si>
  <si>
    <t xml:space="preserve">Can I top up any amount?</t>
  </si>
  <si>
    <t xml:space="preserve">Can I use as many top-ups as I want?</t>
  </si>
  <si>
    <t xml:space="preserve">Do I need to use a limit on top-ups?</t>
  </si>
  <si>
    <t xml:space="preserve">What amount can I top-up?</t>
  </si>
  <si>
    <t xml:space="preserve">Can you tell me the limit for top ups?</t>
  </si>
  <si>
    <t xml:space="preserve">I need someone to assist me with explaining how much I can top-up.</t>
  </si>
  <si>
    <t xml:space="preserve">What is the most I can top-up?</t>
  </si>
  <si>
    <t xml:space="preserve">Is there a limit for top ups?</t>
  </si>
  <si>
    <t xml:space="preserve">What is the max I can top up?</t>
  </si>
  <si>
    <t xml:space="preserve">How often can I top up my account?</t>
  </si>
  <si>
    <t xml:space="preserve">What's the amount that I can top-up?</t>
  </si>
  <si>
    <t xml:space="preserve">Do you limit my top-ups?</t>
  </si>
  <si>
    <t xml:space="preserve">is there a limit on top ups</t>
  </si>
  <si>
    <t xml:space="preserve">What is the top-up limit on my cards?</t>
  </si>
  <si>
    <t xml:space="preserve">What's my limit for topping up?</t>
  </si>
  <si>
    <t xml:space="preserve">what are limits to top up</t>
  </si>
  <si>
    <t xml:space="preserve">Is there any amount in which I would get cut off from topping up?</t>
  </si>
  <si>
    <t xml:space="preserve">How much is the limit for top-ups?</t>
  </si>
  <si>
    <t xml:space="preserve">How much can I top up on my card?</t>
  </si>
  <si>
    <t xml:space="preserve">limits on top ups</t>
  </si>
  <si>
    <t xml:space="preserve">What is the daily limit on my card?</t>
  </si>
  <si>
    <t xml:space="preserve">What's the top-up limit?</t>
  </si>
  <si>
    <t xml:space="preserve">Why did I only receive a partial amount of what I tried to withdraw?</t>
  </si>
  <si>
    <t xml:space="preserve">my atm transaction was wrong</t>
  </si>
  <si>
    <t xml:space="preserve">why did i only get 20.00</t>
  </si>
  <si>
    <t xml:space="preserve">Why is my cash request and the amount I received different?</t>
  </si>
  <si>
    <t xml:space="preserve">I tried to withdraw $100, all it gave me was $20.</t>
  </si>
  <si>
    <t xml:space="preserve">The ATM didn't give me enough money.</t>
  </si>
  <si>
    <t xml:space="preserve">When I went to withdraw cash today the ATM gave me the wrong amount of cash. The app is showing a larger amount.</t>
  </si>
  <si>
    <t xml:space="preserve">I didn't get the all the cash i wanted from the atm</t>
  </si>
  <si>
    <t xml:space="preserve">I received $20 but I entered $100</t>
  </si>
  <si>
    <t xml:space="preserve">Hi, I used an ATM today to take money out of my account, but the amount it gave me is not the amount I requested. What should I do?</t>
  </si>
  <si>
    <t xml:space="preserve">Did a WD earlier at an ATM.  The amount showing in the App is more than I got though.</t>
  </si>
  <si>
    <t xml:space="preserve">I didn't get the correct amount of money from the ATM machine</t>
  </si>
  <si>
    <t xml:space="preserve">Some cash was missing at ATM.</t>
  </si>
  <si>
    <t xml:space="preserve">I didn't get all the cash I asked for</t>
  </si>
  <si>
    <t xml:space="preserve">I tried to withdraw $100 but only got $20. What happened?</t>
  </si>
  <si>
    <t xml:space="preserve">how come when i asked for 100 it only gave me 20.00 in the app</t>
  </si>
  <si>
    <t xml:space="preserve">Asked for $100 but only got $20. Why would this happen?</t>
  </si>
  <si>
    <t xml:space="preserve">I wanted to withdraw $100 from the ATM but I only got $20</t>
  </si>
  <si>
    <t xml:space="preserve">I got less money than I asked for.</t>
  </si>
  <si>
    <t xml:space="preserve">Hi, Please help me to request cash back. As i have been withdrawn money from ATM, but i got wrong amount. in Application its showing the amount i have been charged through.</t>
  </si>
  <si>
    <t xml:space="preserve">The cash I wanted wasn't there.</t>
  </si>
  <si>
    <t xml:space="preserve">I requested a higher amount for my cash withdrawal</t>
  </si>
  <si>
    <t xml:space="preserve">The amount of cash I received did not match the amount I requested</t>
  </si>
  <si>
    <t xml:space="preserve">The ATM didn't give me the full requested amount</t>
  </si>
  <si>
    <t xml:space="preserve">The amount of cash I received was not the full amount</t>
  </si>
  <si>
    <t xml:space="preserve">How can I request cash back? The ATM just gave me the wrong amount that I've been charged though...</t>
  </si>
  <si>
    <t xml:space="preserve">I was only given $20 after trying to withdraw $100</t>
  </si>
  <si>
    <t xml:space="preserve">I received less cash than the amount I specified in the ATM.</t>
  </si>
  <si>
    <t xml:space="preserve">I went tot the ATM earlier today and didn't realize this till now but I did not get all the money I requested.  I believe my account was charged for 100 but I only got 80.  Is there any way we can solve this problem?</t>
  </si>
  <si>
    <t xml:space="preserve">I got less cash than what I specified at the ATM.</t>
  </si>
  <si>
    <t xml:space="preserve">Why did I not get the amount of money I requested?</t>
  </si>
  <si>
    <t xml:space="preserve">I'm at the ATM right now and it only allowed me to withdraw 10 pounds instead of my requested 30. What's going on? How can I fix this?</t>
  </si>
  <si>
    <t xml:space="preserve">I got $20 when I should've gotten $100</t>
  </si>
  <si>
    <t xml:space="preserve">How can I request cash back? The ATM gave me the wrong amount that I've been charged though...</t>
  </si>
  <si>
    <t xml:space="preserve">I didn't receive the amount of cash I requested for the ATM.</t>
  </si>
  <si>
    <t xml:space="preserve">my cash balance less than what I thought</t>
  </si>
  <si>
    <t xml:space="preserve">It didn't give me my cash</t>
  </si>
  <si>
    <t xml:space="preserve">It kept my cash</t>
  </si>
  <si>
    <t xml:space="preserve">I only got $20 of the $100 that I attempted to withdraw.</t>
  </si>
  <si>
    <t xml:space="preserve">Hi, I draw out some money from the ATM today. The ATM has given me wrong amount and the application is displaying more amount than i withdraw.</t>
  </si>
  <si>
    <t xml:space="preserve">I tried taking out 30 pounds from the ATM just now and it only gave me 10. Why would it do that? I need the 30 pounds now!</t>
  </si>
  <si>
    <t xml:space="preserve">HELP! I tried to get cash and it gave me some, but not the right amount!</t>
  </si>
  <si>
    <t xml:space="preserve">I am calling because the ATM didn't give me the right amount of cash, but my app shows the actual amount I wanted to withdraw. What should I do to get my money back?</t>
  </si>
  <si>
    <t xml:space="preserve">Why didn't I receive the right amount of cash?</t>
  </si>
  <si>
    <t xml:space="preserve">Why didn't I receive the right amount of cash at the ATM?</t>
  </si>
  <si>
    <t xml:space="preserve">I received the wrong amount of cash back</t>
  </si>
  <si>
    <t xml:space="preserve">Why did I only get $20 now the full amount I wanted?</t>
  </si>
  <si>
    <t xml:space="preserve">The amount of cash I selected to withdraw is different than what I received.</t>
  </si>
  <si>
    <t xml:space="preserve">What do I need to do to get cash back? The ATM gave me the wrong amount that I requested but the app is showing the amount to be correct.</t>
  </si>
  <si>
    <t xml:space="preserve">What do I need to do to request cash back? The ATM actually just gave me the wrong amount. The app I actually chose the right amount.</t>
  </si>
  <si>
    <t xml:space="preserve">I was just giving the wrong amount by the ATM. How do I request cash back at this point? The app is showing the amount that I actually requested even though that's not what I got.</t>
  </si>
  <si>
    <t xml:space="preserve">I normally don't use ATMs, but I was in a rush today and had to withdraw some cash. The ATM gave me the wrong amount of money and now my app is not showing the same amount as it should. What do I do?</t>
  </si>
  <si>
    <t xml:space="preserve">I received incorrect amount of cash from an ATM today. It was more than I wanted. What do I do now?</t>
  </si>
  <si>
    <t xml:space="preserve">ATM is broken. It did not give me the full amount (30 pounds.)  I'm standing here with only 10 pounds and it's telling me it gave me 30 pounds. I need assistance now!</t>
  </si>
  <si>
    <t xml:space="preserve">Why didn't the ATM give me all my money</t>
  </si>
  <si>
    <t xml:space="preserve">I did not get the right amount of cash from the ATM.</t>
  </si>
  <si>
    <t xml:space="preserve">Why did I get less from the ATM?</t>
  </si>
  <si>
    <t xml:space="preserve">The ATM only gave me 10 pounds when I withdrew 30. What do I do?</t>
  </si>
  <si>
    <t xml:space="preserve">Machines make mistakes too! The ATM gave me the wrong amount of money. Too much!</t>
  </si>
  <si>
    <t xml:space="preserve">I could only take the amount of money that was available to me which was less then I expected.</t>
  </si>
  <si>
    <t xml:space="preserve">I was given less cash then I wanted.</t>
  </si>
  <si>
    <t xml:space="preserve">Hello, I didn't receive the right amount on my ATM transaction,  the app shows the correct amount how can we fix this</t>
  </si>
  <si>
    <t xml:space="preserve">I did not receive my full withdrawal amount</t>
  </si>
  <si>
    <t xml:space="preserve">I received a different amount of cash than what I entered.</t>
  </si>
  <si>
    <t xml:space="preserve">I only received $20, but I requested $100.</t>
  </si>
  <si>
    <t xml:space="preserve">Help, your app is showing a larger WD than I actually did earlier at an ATM.</t>
  </si>
  <si>
    <t xml:space="preserve">I think something went wrong, I didn't get the right amount.</t>
  </si>
  <si>
    <t xml:space="preserve">What do I do if I got the wrong amount at the ATM?</t>
  </si>
  <si>
    <t xml:space="preserve">I did not receive the right amount of cash I requested</t>
  </si>
  <si>
    <t xml:space="preserve">I attempted to withdraw some money from an ATM this morning and received the wrong amount. Your app says I have enough money available in the account. Can someone tell me what's wrong?</t>
  </si>
  <si>
    <t xml:space="preserve">What happens if the ATM doesn't give the right amount of money?</t>
  </si>
  <si>
    <t xml:space="preserve">I asked for more cash than what was received</t>
  </si>
  <si>
    <t xml:space="preserve">Why can't I take $100 out</t>
  </si>
  <si>
    <t xml:space="preserve">I requested $100 but only got $20</t>
  </si>
  <si>
    <t xml:space="preserve">I took out cash from the ATM, but something must have went wrong, My account shows the correct amount of cash I took out, but the ATM didn't give me that amount. How do I get my money back?</t>
  </si>
  <si>
    <t xml:space="preserve">I tried withdrawing but my cash is not showing up?</t>
  </si>
  <si>
    <t xml:space="preserve">I was not able to receive the correct amount of cash.</t>
  </si>
  <si>
    <t xml:space="preserve">I didn't receive the correct amount of cash</t>
  </si>
  <si>
    <t xml:space="preserve">I did not get enough cash</t>
  </si>
  <si>
    <t xml:space="preserve">I tried to withdraw some money from an ATM this morning but wasn't able to get the amount of cash I needed. The amount in the app says what I was trying to withdraw was deducted, but I don't have any money. What do I do about this?</t>
  </si>
  <si>
    <t xml:space="preserve">The ATM is showing it gave me the money I requested but I didn't get that amount.</t>
  </si>
  <si>
    <t xml:space="preserve">The correct amount of cash was not received.</t>
  </si>
  <si>
    <t xml:space="preserve">I am so angry right now!  I went to the ATM and did not get the correct amount of money I chose to withdraw.  How could this happen?  I need my money and want to know how I can get it ASAP!</t>
  </si>
  <si>
    <t xml:space="preserve">I was given the wrong amount of cash</t>
  </si>
  <si>
    <t xml:space="preserve">The atm didn't give me all my cash</t>
  </si>
  <si>
    <t xml:space="preserve">Why did I not get all the money that I asked for? I asked for all the cash in my my account, but I only got about half. Why is that??</t>
  </si>
  <si>
    <t xml:space="preserve">I did not ask for the amount of cash that I received.</t>
  </si>
  <si>
    <t xml:space="preserve">Got only $20 when I tried to withdraw $100.</t>
  </si>
  <si>
    <t xml:space="preserve">The app is showing that I received alot more money than I actually received from the ATM. This occurred earlier today.</t>
  </si>
  <si>
    <t xml:space="preserve">The ATM gave me less cash than requested</t>
  </si>
  <si>
    <t xml:space="preserve">Why didn't I receive all the cash I requested?</t>
  </si>
  <si>
    <t xml:space="preserve">I tried to withdraw 40 pounds but only 20 came out. Did you steal my money?</t>
  </si>
  <si>
    <t xml:space="preserve">Yikes!  I didn't get the amount of money that I requested.  What do I do now?</t>
  </si>
  <si>
    <t xml:space="preserve">How can I request cash back? The ATM just gave me a different amount than what I've been charged though...</t>
  </si>
  <si>
    <t xml:space="preserve">I selected to withdrawal 30 pounds but only received 10. I'm still standing in front of the ATM. The app shows i took out 30 pounds also. How do i fix this?</t>
  </si>
  <si>
    <t xml:space="preserve">My cash received does not match what has been requested</t>
  </si>
  <si>
    <t xml:space="preserve">I was not given the amount of cash I withdrew</t>
  </si>
  <si>
    <t xml:space="preserve">I was not distributed all of cash that I requested</t>
  </si>
  <si>
    <t xml:space="preserve">The machine gave me the wrong amount of cash.</t>
  </si>
  <si>
    <t xml:space="preserve">I asked for a certain amount of money from the ATM, but it gave me a different amount. Less than what I asked for.</t>
  </si>
  <si>
    <t xml:space="preserve">I asked for $40 and I only received $20, what happened?</t>
  </si>
  <si>
    <t xml:space="preserve">Why didn't I get the amount I requested at the ATM?</t>
  </si>
  <si>
    <t xml:space="preserve">The ATM didn't give me enough money! I asked for more than it gave. What do I do?</t>
  </si>
  <si>
    <t xml:space="preserve">I received the wrong amount of cash.</t>
  </si>
  <si>
    <t xml:space="preserve">I haven't received my cash yet.</t>
  </si>
  <si>
    <t xml:space="preserve">I did not get all the cash at ATM.</t>
  </si>
  <si>
    <t xml:space="preserve">If the ATM only gave me 10 pounds instead of the 30 I requested, what do I do?</t>
  </si>
  <si>
    <t xml:space="preserve">Earlier today I took money out the ATM. After checking the app the amount is so much higher than the amount I received.</t>
  </si>
  <si>
    <t xml:space="preserve">Why did I get less cash than what I asked in the ATM?</t>
  </si>
  <si>
    <t xml:space="preserve">My cash withdrawal was short.</t>
  </si>
  <si>
    <t xml:space="preserve">I was not distributed the correct amount of cash that I asked for</t>
  </si>
  <si>
    <t xml:space="preserve">The ATM shows a withdraw of the amount of money I requested but I didn't revieve that amount in cash.</t>
  </si>
  <si>
    <t xml:space="preserve">When I went to $100, all the machine would give me was $20.</t>
  </si>
  <si>
    <t xml:space="preserve">What happens if the ATM gives me the wrong amount of money?</t>
  </si>
  <si>
    <t xml:space="preserve">i did not get any money but still was charged</t>
  </si>
  <si>
    <t xml:space="preserve">You shorted me money when I tried to make a withdrawal.</t>
  </si>
  <si>
    <t xml:space="preserve">i asked for 100 only got 80</t>
  </si>
  <si>
    <t xml:space="preserve">I got some cash at an ATM earlier, but now app is showing that I withdrew more than I did.  Help!</t>
  </si>
  <si>
    <t xml:space="preserve">Cash withdrawal was incorrect at ATM.</t>
  </si>
  <si>
    <t xml:space="preserve">I withdrew money from an ATM today, and now my account is showing a different amount than what I withdrew. I checked the amount the ATM gave me, and it looks like it gave me the wrong amount of money. What is the best thin for me to do to get this fixed?</t>
  </si>
  <si>
    <t xml:space="preserve">Why did the ATM give me less money than what I requested?</t>
  </si>
  <si>
    <t xml:space="preserve">I did not receive the right amount of cash.</t>
  </si>
  <si>
    <t xml:space="preserve">How can we correct a mistake on an ATM transaction?  The app shows what I should have gotten.</t>
  </si>
  <si>
    <t xml:space="preserve">Why did I not get the amount I specified at the ATM?</t>
  </si>
  <si>
    <t xml:space="preserve">The ATM didn't give me what I asked for but my balance says it did</t>
  </si>
  <si>
    <t xml:space="preserve">I got less cash than what I specified for through the ATM.</t>
  </si>
  <si>
    <t xml:space="preserve">What happened! I asked for 30 pounds at your ATM and only go 10. The machine lied about it too. It said I received the full 30 pounds. Someone better help me asap on this.</t>
  </si>
  <si>
    <t xml:space="preserve">A wrong amount of cash we sent to me.</t>
  </si>
  <si>
    <t xml:space="preserve">I took out money, and didn't get all of it.</t>
  </si>
  <si>
    <t xml:space="preserve">How can I get cash back? The ATM just gave me the wrong amount that I've been actually charged though...</t>
  </si>
  <si>
    <t xml:space="preserve">Please help me with the amount that i have withdrawn from the ATM today, the ATM has given me wrong sum of amount, and i could see that the app is displaying the greater amount than taken out.</t>
  </si>
  <si>
    <t xml:space="preserve">I withdrew $100 but only received $20</t>
  </si>
  <si>
    <t xml:space="preserve">I requested money from the ATM and it didn't give me as much as I requested.</t>
  </si>
  <si>
    <t xml:space="preserve">Hey I am standing in front of an ATM here, it only gave me 10 pounds even though I wanted to withdraw 30! Seems like the app has 30 pounds, what do I do??</t>
  </si>
  <si>
    <t xml:space="preserve">$20 came out instead of $100</t>
  </si>
  <si>
    <t xml:space="preserve">How can I fix this? The ATM gave me more cash than I'd asked for.</t>
  </si>
  <si>
    <t xml:space="preserve">I could not get the cash I wanted</t>
  </si>
  <si>
    <t xml:space="preserve">I wanted to take out $100 but I only got $20.</t>
  </si>
  <si>
    <t xml:space="preserve">Help, the ATM didn't give me all the money I requested</t>
  </si>
  <si>
    <t xml:space="preserve">The cash I asked for still hasn't been received</t>
  </si>
  <si>
    <t xml:space="preserve">I wanted $100 but only got $20</t>
  </si>
  <si>
    <t xml:space="preserve">The ATM didn't give me the amount I asked for</t>
  </si>
  <si>
    <t xml:space="preserve">Where'd the rest of my cash go from the ATM</t>
  </si>
  <si>
    <t xml:space="preserve">I got less cash at the ATM than I asked for. Why?</t>
  </si>
  <si>
    <t xml:space="preserve">There was a limited amount of money available at the time of my transaction.</t>
  </si>
  <si>
    <t xml:space="preserve">My cash withdrawal was not entirely complete</t>
  </si>
  <si>
    <t xml:space="preserve">The atm didn'y give me all the cash</t>
  </si>
  <si>
    <t xml:space="preserve">The ATM is messed up. It gave me less than I wanted.</t>
  </si>
  <si>
    <t xml:space="preserve">I received the wrong amount of cash from the ATM. Can you help?</t>
  </si>
  <si>
    <t xml:space="preserve">ATM only gave me $20 instead of $100</t>
  </si>
  <si>
    <t xml:space="preserve">I was only given $20 when I tried to get $100</t>
  </si>
  <si>
    <t xml:space="preserve">I needed $100 but all it gave me was $20.</t>
  </si>
  <si>
    <t xml:space="preserve">I tried pulling out money at the ATM and it gave me an incorrect amount back.</t>
  </si>
  <si>
    <t xml:space="preserve">Why did I only get $20 when I asked for $100?</t>
  </si>
  <si>
    <t xml:space="preserve">The amount of cash i have received is not correct.</t>
  </si>
  <si>
    <t xml:space="preserve">How can I get my money that I didn't get from the ATM?</t>
  </si>
  <si>
    <t xml:space="preserve">Hi, Today i have withdrawn cash from ATM but i got wrong amount and in the app it is showing much more amount than that.</t>
  </si>
  <si>
    <t xml:space="preserve">I didn't get all the money I asked for</t>
  </si>
  <si>
    <t xml:space="preserve">The ATM did not give me as much cash as I requested.</t>
  </si>
  <si>
    <t xml:space="preserve">How can I request cash back? The ATM just gave me a different amount than what I've been actually charged though...</t>
  </si>
  <si>
    <t xml:space="preserve">Why is my withdrawal wrong? I took out $100 but only received $20.</t>
  </si>
  <si>
    <t xml:space="preserve">I asked for cash but I did not receive all the funds</t>
  </si>
  <si>
    <t xml:space="preserve">The ATM I'm standing in front of only gave me 10 pounds rather than the 30 pounds I wanted. The app shows I took out 30 pounds also. What do I need to do to fix this?</t>
  </si>
  <si>
    <t xml:space="preserve">I only got some of the cash I requested from the ATM</t>
  </si>
  <si>
    <t xml:space="preserve">I am at the ATM and tried to withdraw 30 pounds and it only gave me 10 pounds, what do I do?</t>
  </si>
  <si>
    <t xml:space="preserve">I got the incorrect amount of money given to me from my account</t>
  </si>
  <si>
    <t xml:space="preserve">I did not receive the correct amount of cash.</t>
  </si>
  <si>
    <t xml:space="preserve">I did not receive all of my cash back</t>
  </si>
  <si>
    <t xml:space="preserve">I got some cash but it wasn't the right amount.</t>
  </si>
  <si>
    <t xml:space="preserve">Can you explain why the ATM is giving me less money than what I asked for?</t>
  </si>
  <si>
    <t xml:space="preserve">I tried to withdraw 50 pounds but it only gave me 30. Where is the rest of my money?</t>
  </si>
  <si>
    <t xml:space="preserve">I visited the ATM but got less money than what I requested. Why?</t>
  </si>
  <si>
    <t xml:space="preserve">I couldn't get the money I needed.</t>
  </si>
  <si>
    <t xml:space="preserve">Who should I contact if the amount of my withdrawal doesn't correspond to the amount that I tried to take out of my account?</t>
  </si>
  <si>
    <t xml:space="preserve">I made an ATM withdraw it didn't give me the amount I asked for but is showing a withdraw for that amount.</t>
  </si>
  <si>
    <t xml:space="preserve">So I just went to the ATM to get some cash.  I input that I needed 100 pounds but I only got 80.  I have the receipt  and I am in need of the extra money.  How do I go about obtaining the missing amount?</t>
  </si>
  <si>
    <t xml:space="preserve">The amount of money I pushed at the atm machine did not come out of the machine.</t>
  </si>
  <si>
    <t xml:space="preserve">I got less than what i asked for in the ATM, why?</t>
  </si>
  <si>
    <t xml:space="preserve">I'm stuck here at your broken ATM and I don't know what to do next. Asked for 30 pounds, got 10. ATM said I got 30. Something very wrong here and I want my money now!</t>
  </si>
  <si>
    <t xml:space="preserve">The machine only paid me a hundred when I wanted 20</t>
  </si>
  <si>
    <t xml:space="preserve">There was a fee charged when I paid with my card.</t>
  </si>
  <si>
    <t xml:space="preserve">I received a fee I should not have.</t>
  </si>
  <si>
    <t xml:space="preserve">Why am I being a charged for using my card?</t>
  </si>
  <si>
    <t xml:space="preserve">Tell me why there is a fee for a card payment.</t>
  </si>
  <si>
    <t xml:space="preserve">I don't understand why I'm being charged for using my card.</t>
  </si>
  <si>
    <t xml:space="preserve">I paid with my card so so why was I charged a transaction fee?</t>
  </si>
  <si>
    <t xml:space="preserve">I shouldn't have been charged but I see a fee, why?</t>
  </si>
  <si>
    <t xml:space="preserve">i made a payment with my card and was charged a fee, why would you do that</t>
  </si>
  <si>
    <t xml:space="preserve">A fee came along with me paying with card</t>
  </si>
  <si>
    <t xml:space="preserve">I had to pay a fee when buying items with my card.</t>
  </si>
  <si>
    <t xml:space="preserve">Why is there a fee when I thought there would be no fees?</t>
  </si>
  <si>
    <t xml:space="preserve">Why are there fees for using a card?</t>
  </si>
  <si>
    <t xml:space="preserve">I had to pay money for paying with my card.</t>
  </si>
  <si>
    <t xml:space="preserve">I'm going on holiday to France for 6 weeks with my family and the cat, Fluffy.  I just purchased €10,000 from a currency exchange to ensure we don't run short but there appears to be a fee.  What is this for?</t>
  </si>
  <si>
    <t xml:space="preserve">What are the reasons to be charged a fee on card payments?</t>
  </si>
  <si>
    <t xml:space="preserve">I paid with card and was charged a fee that shouldn't be there!</t>
  </si>
  <si>
    <t xml:space="preserve">Why was I charged an extra fee when paying with card?</t>
  </si>
  <si>
    <t xml:space="preserve">I noticed a new fee on my account. I didn't know there were fees for these payments. What is the policy?</t>
  </si>
  <si>
    <t xml:space="preserve">I don't understand why I was charged an additional fee for this service. Can you clarify?</t>
  </si>
  <si>
    <t xml:space="preserve">Why is there a fee for using my card?</t>
  </si>
  <si>
    <t xml:space="preserve">Why was my transaction charged an extra fee when paying with my card?</t>
  </si>
  <si>
    <t xml:space="preserve">Where can I find out the fee structure for my account? I have been charged fees for some transactions, but not for other ones. I can't find a pattern in these fees.</t>
  </si>
  <si>
    <t xml:space="preserve">On a card payment, why is there a fee?</t>
  </si>
  <si>
    <t xml:space="preserve">Why did I get charged a fee for my card payment?</t>
  </si>
  <si>
    <t xml:space="preserve">Why are you charging me fees for using my card?</t>
  </si>
  <si>
    <t xml:space="preserve">What is the extra fee that showed up on my card?</t>
  </si>
  <si>
    <t xml:space="preserve">Why was I charged a fee for using my card</t>
  </si>
  <si>
    <t xml:space="preserve">Let me know when I get charged extra for payments. I saw on the app a fee I wasn't forewarned about.</t>
  </si>
  <si>
    <t xml:space="preserve">I was charged a fee for using my card. Can I check that in any way? It seems like there are occasions that I am charge for fees. Can you elaborate this?</t>
  </si>
  <si>
    <t xml:space="preserve">I got charged a service fee on my account. Can it be waived since I didn't know about it before?</t>
  </si>
  <si>
    <t xml:space="preserve">I think a fee was applied for paying with a card.</t>
  </si>
  <si>
    <t xml:space="preserve">I'm being charged for using my card!</t>
  </si>
  <si>
    <t xml:space="preserve">I bought something with my card and I was charged a fee</t>
  </si>
  <si>
    <t xml:space="preserve">I received an extra charge for using the card. Why?</t>
  </si>
  <si>
    <t xml:space="preserve">Can you explain why my payment was charged a fee?</t>
  </si>
  <si>
    <t xml:space="preserve">Is there a fee for paying by card?</t>
  </si>
  <si>
    <t xml:space="preserve">Who charged me a fee for paying by card?</t>
  </si>
  <si>
    <t xml:space="preserve">I have a fee showing from last time I used my card.</t>
  </si>
  <si>
    <t xml:space="preserve">Why is this fee being charged to me after using my card?</t>
  </si>
  <si>
    <t xml:space="preserve">Why wasn't it obvious that you charge for payments? If you put the fees in an easy to read format, this could have been avoided.</t>
  </si>
  <si>
    <t xml:space="preserve">Why am I being charged fees on some transactions but not on others? What am I missing here? I cannot find where to see the fee structure on my account. Help!</t>
  </si>
  <si>
    <t xml:space="preserve">I payed with the card and there was an extra fee?</t>
  </si>
  <si>
    <t xml:space="preserve">Is it normal to be charged an extra fee when paying with my card?</t>
  </si>
  <si>
    <t xml:space="preserve">Why was there a fee for paying by card?</t>
  </si>
  <si>
    <t xml:space="preserve">How did the extra charge on my card come in effect?</t>
  </si>
  <si>
    <t xml:space="preserve">Please tell me why I was charged additionally when I used the card.</t>
  </si>
  <si>
    <t xml:space="preserve">I made a purchase with my card and I was charged a fee for using it</t>
  </si>
  <si>
    <t xml:space="preserve">I was made to pay a fee for making a transaction with card.</t>
  </si>
  <si>
    <t xml:space="preserve">Why, when paying with the card, was I charged an extra fee?</t>
  </si>
  <si>
    <t xml:space="preserve">I have never been charged a card payment fee before. Why did this change?</t>
  </si>
  <si>
    <t xml:space="preserve">What can i pay with out  fees</t>
  </si>
  <si>
    <t xml:space="preserve">Why and I being charged this fee?</t>
  </si>
  <si>
    <t xml:space="preserve">Why was I charged a fee? I thought shopping was free?</t>
  </si>
  <si>
    <t xml:space="preserve">There was an extra charge when I used my card</t>
  </si>
  <si>
    <t xml:space="preserve">What is this fee for card payment?</t>
  </si>
  <si>
    <t xml:space="preserve">I saw a fee on my app from one of my payments and I wasn't sure where it came from. Is there a way you can tell me when there's an additional fee for my payments?</t>
  </si>
  <si>
    <t xml:space="preserve">Why was I charged for payments? You didn't warn me about additional fees.</t>
  </si>
  <si>
    <t xml:space="preserve">i have used my card online before and wasn't charged, why am i charged now</t>
  </si>
  <si>
    <t xml:space="preserve">I paid with my card and got charged an extra fee, what's up with that?</t>
  </si>
  <si>
    <t xml:space="preserve">I used my card and there was a fee</t>
  </si>
  <si>
    <t xml:space="preserve">I am tired of getting charged fees, and I have no idea why, please let me know what/when you charge fees for.</t>
  </si>
  <si>
    <t xml:space="preserve">Why am I getting a fee on a card payment?</t>
  </si>
  <si>
    <t xml:space="preserve">Hi, I am new to this. Are there any additional fees or charges that I should be aware of? I was looking through the app and I thought I saw something in regards to fee-free allowances.</t>
  </si>
  <si>
    <t xml:space="preserve">I noticed that i got charged extra for using the card.</t>
  </si>
  <si>
    <t xml:space="preserve">I paid with a card and there is an extra charge. Why?</t>
  </si>
  <si>
    <t xml:space="preserve">Can you explain why I am now getting charged a fee for using my card?</t>
  </si>
  <si>
    <t xml:space="preserve">There are multiple instances where you added a fee to the payment, as well as some where you didn't. Do you have an outline of when a fee will be added?</t>
  </si>
  <si>
    <t xml:space="preserve">I have been charged a fee that I didn't know about. Why have you charged me extra for card payments?</t>
  </si>
  <si>
    <t xml:space="preserve">I got a fee when paying with my card</t>
  </si>
  <si>
    <t xml:space="preserve">why is there a fee for a payment on my card?</t>
  </si>
  <si>
    <t xml:space="preserve">When using my card I was charged a fee for doing so, why?</t>
  </si>
  <si>
    <t xml:space="preserve">What was I charged a fee for card payment?</t>
  </si>
  <si>
    <t xml:space="preserve">What is this extra fee?</t>
  </si>
  <si>
    <t xml:space="preserve">Why did I have to pay extra because I paid with my card?</t>
  </si>
  <si>
    <t xml:space="preserve">I want to see what this fee is on my card payment.</t>
  </si>
  <si>
    <t xml:space="preserve">Let me know when you charge extra for payments please. I just checked the app earlier when I saw that there was an additional fee on one of the payments that I wasn't warned about before.</t>
  </si>
  <si>
    <t xml:space="preserve">how do i avoid charges in the future</t>
  </si>
  <si>
    <t xml:space="preserve">An extra fee has been added to my card payment is this correct?</t>
  </si>
  <si>
    <t xml:space="preserve">Why was there an extra charge because I used my card to pay?</t>
  </si>
  <si>
    <t xml:space="preserve">Why do I have to pay extra for using my card?</t>
  </si>
  <si>
    <t xml:space="preserve">Unbeknownst to me, there was an additional charge on my prior transaction. A notification of sorts should be required and explained before future payments are made.</t>
  </si>
  <si>
    <t xml:space="preserve">I paid with my card and was charged extra</t>
  </si>
  <si>
    <t xml:space="preserve">My account was charged a fee. When did you start charging extra for card payments?</t>
  </si>
  <si>
    <t xml:space="preserve">Explain the extra fee on my card when paying.</t>
  </si>
  <si>
    <t xml:space="preserve">I was charged and shouldn't have been charged when using my card!</t>
  </si>
  <si>
    <t xml:space="preserve">I have a fee and I don't know why</t>
  </si>
  <si>
    <t xml:space="preserve">I was mistakenly charged a fee for using my card.</t>
  </si>
  <si>
    <t xml:space="preserve">tell me why I was charged more with my card?</t>
  </si>
  <si>
    <t xml:space="preserve">My card is showing a fee from when I used it, but I thought this card was supposed to be fee free?</t>
  </si>
  <si>
    <t xml:space="preserve">There was an extra fee when I paid with the card.</t>
  </si>
  <si>
    <t xml:space="preserve">I think I was wrongly charged in a recent transaction when I used my card.</t>
  </si>
  <si>
    <t xml:space="preserve">I have been charged a fee, I didn't know about this fee before! When do you charge extra for card payments?</t>
  </si>
  <si>
    <t xml:space="preserve">I was spending cash with my card and got a fee.</t>
  </si>
  <si>
    <t xml:space="preserve">What are these fees i am paying?</t>
  </si>
  <si>
    <t xml:space="preserve">Why have I been charged a fee for card payment?</t>
  </si>
  <si>
    <t xml:space="preserve">How come I was charged an extra fee when paying with the card?</t>
  </si>
  <si>
    <t xml:space="preserve">Why is there a charged fee for debit or credit card payment?</t>
  </si>
  <si>
    <t xml:space="preserve">Am I getting charged for making a payment?</t>
  </si>
  <si>
    <t xml:space="preserve">Why do some of my payments have fees?  I don't understand.</t>
  </si>
  <si>
    <t xml:space="preserve">Why did I have to pay an additional amount when using my card to pay?</t>
  </si>
  <si>
    <t xml:space="preserve">I paid with my card and I was charged a fee</t>
  </si>
  <si>
    <t xml:space="preserve">There was a charge applied when I used my card.</t>
  </si>
  <si>
    <t xml:space="preserve">I was charged a hidden fee when I paid with card.</t>
  </si>
  <si>
    <t xml:space="preserve">Why does it cost more to pay with my card?</t>
  </si>
  <si>
    <t xml:space="preserve">Is there a place to check for fee for payments? I feel like I'm getting charged too much at times.</t>
  </si>
  <si>
    <t xml:space="preserve">I need to be made aware when I am being charged an extra amount for payments please. I looked over the app earlier and noticed an additional feel related to one of the payments. I was not warned about this before.</t>
  </si>
  <si>
    <t xml:space="preserve">Why was I charged extra when paying with card?</t>
  </si>
  <si>
    <t xml:space="preserve">Why am I charged a fee when using my debit or credit card?</t>
  </si>
  <si>
    <t xml:space="preserve">I am getting charged fees on some payments.  Please help me understand, where are these fees disclosed?</t>
  </si>
  <si>
    <t xml:space="preserve">Why was the price higher when I paid with my card?</t>
  </si>
  <si>
    <t xml:space="preserve">I just made an order and noticed an extra fee. Why have you charged me this without informing me?</t>
  </si>
  <si>
    <t xml:space="preserve">I didn't know I was going to get charged to use my card.</t>
  </si>
  <si>
    <t xml:space="preserve">I have been charged an extra fee when buying from your store. Why is this?</t>
  </si>
  <si>
    <t xml:space="preserve">What is this extra fee that I got when I used my card to pay?</t>
  </si>
  <si>
    <t xml:space="preserve">Was I charged extra for using my card?</t>
  </si>
  <si>
    <t xml:space="preserve">Let me know when applying extra charges for payments. I just checked the app and saw a fee that I wasn't warned about.</t>
  </si>
  <si>
    <t xml:space="preserve">Why was I charged an additional fee when paying with card?</t>
  </si>
  <si>
    <t xml:space="preserve">Why did I get charged extra?</t>
  </si>
  <si>
    <t xml:space="preserve">I paid with card and I was charged a fee</t>
  </si>
  <si>
    <t xml:space="preserve">I made a purchase but never expected to see a fee charged for the transaction.</t>
  </si>
  <si>
    <t xml:space="preserve">I was charged for using my card?</t>
  </si>
  <si>
    <t xml:space="preserve">My card was charged more than expected.</t>
  </si>
  <si>
    <t xml:space="preserve">Where can I check to see if there will be a fee added to my payment? Are there specific instances that will result in a fee added?</t>
  </si>
  <si>
    <t xml:space="preserve">Why have i been charged a fee for using my card?</t>
  </si>
  <si>
    <t xml:space="preserve">Why was I charged extra using my card?</t>
  </si>
  <si>
    <t xml:space="preserve">How was I charged extra when I used my card to pay?</t>
  </si>
  <si>
    <t xml:space="preserve">When do i get charged a fee for using the card?</t>
  </si>
  <si>
    <t xml:space="preserve">I see I was charged extra when I used the card.  I am not sure why, please tell me why.</t>
  </si>
  <si>
    <t xml:space="preserve">Why was I charged a fee for my card payment?</t>
  </si>
  <si>
    <t xml:space="preserve">Why was I charged an extra fee when using the card?</t>
  </si>
  <si>
    <t xml:space="preserve">Let me know when you charge for payments. I just checked the app and saw a fee that I wasn't warned about.</t>
  </si>
  <si>
    <t xml:space="preserve">What is the charge for paying with my card?</t>
  </si>
  <si>
    <t xml:space="preserve">I paid with my card and ended up being charged a fee.</t>
  </si>
  <si>
    <t xml:space="preserve">Why is there a fee on a card payment?</t>
  </si>
  <si>
    <t xml:space="preserve">I was unaware of the additional charge that was added onto my previous payment. A notification of extra charges would be appreciated in the future.</t>
  </si>
  <si>
    <t xml:space="preserve">I don't think I should have been charged a fee to use my card.</t>
  </si>
  <si>
    <t xml:space="preserve">A fee that shouldn't be there is there after using my card!</t>
  </si>
  <si>
    <t xml:space="preserve">How do I see what fees I am supposed to be charged on my account? I've noticed fees on some transactions, but not on others. This is very confusing and I cannot find a pattern to what I am being charged?</t>
  </si>
  <si>
    <t xml:space="preserve">Why am I getting charged more for using my card?</t>
  </si>
  <si>
    <t xml:space="preserve">I see a fee that I think was charged because I paid by card.</t>
  </si>
  <si>
    <t xml:space="preserve">What are the fees imposed when I make a transaction?</t>
  </si>
  <si>
    <t xml:space="preserve">What was the extra charge for using my card?</t>
  </si>
  <si>
    <t xml:space="preserve">Why was a fee added to my bill when I used my card?</t>
  </si>
  <si>
    <t xml:space="preserve">Please tell my why I was charged a fee for using my card?</t>
  </si>
  <si>
    <t xml:space="preserve">How can I check how much free spending I have left? I have some big purchases coming up and want to know where I can look for any info.</t>
  </si>
  <si>
    <t xml:space="preserve">I was charged a fee when buying stuff with my card.</t>
  </si>
  <si>
    <t xml:space="preserve">I was charged an additional amount of money for making a purchase with my card</t>
  </si>
  <si>
    <t xml:space="preserve">What is the fee charged for using my card?</t>
  </si>
  <si>
    <t xml:space="preserve">I just saw a fee on my account. When do these get charged?</t>
  </si>
  <si>
    <t xml:space="preserve">Is it normal to get charged extra when i use my card?</t>
  </si>
  <si>
    <t xml:space="preserve">This fee shouldn't be there after I paid with a card.</t>
  </si>
  <si>
    <t xml:space="preserve">Why am I charged an extra fee on my card?</t>
  </si>
  <si>
    <t xml:space="preserve">Why did I get charged more for using my card?</t>
  </si>
  <si>
    <t xml:space="preserve">I recently bought an item using my card and I was charged an extra fee why is this?</t>
  </si>
  <si>
    <t xml:space="preserve">I am angry that I got charged for using my card.</t>
  </si>
  <si>
    <t xml:space="preserve">I wanted to know why i got an additional fee when i use my card.</t>
  </si>
  <si>
    <t xml:space="preserve">Is there a fee for making a payment? If so, let me know why.</t>
  </si>
  <si>
    <t xml:space="preserve">Please tell me why I would have to pay a fee for a recent payment. Thanks.</t>
  </si>
  <si>
    <t xml:space="preserve">Why was I charged a fee for debit or credit card payment?</t>
  </si>
  <si>
    <t xml:space="preserve">Why was an extra charge added when I used my card?</t>
  </si>
  <si>
    <t xml:space="preserve">Why have I been charged a small fee to use my card?</t>
  </si>
  <si>
    <t xml:space="preserve">I was charged an extra fee for a card payment. I was unaware of these fees beforehand.</t>
  </si>
  <si>
    <t xml:space="preserve">Why is there a fee associated with card use?</t>
  </si>
  <si>
    <t xml:space="preserve">What is this fee showing up in my account for?</t>
  </si>
  <si>
    <t xml:space="preserve">I got charged for with a fee for paying with my card.</t>
  </si>
  <si>
    <t xml:space="preserve">Why am I being charged a fee on a card payment?</t>
  </si>
  <si>
    <t xml:space="preserve">Is there a  way to  get around fees</t>
  </si>
  <si>
    <t xml:space="preserve">I noticed an extra fee when I paid with my card.</t>
  </si>
  <si>
    <t xml:space="preserve">You advertise no fee when paying with a card then my statement shows a fee.</t>
  </si>
  <si>
    <t xml:space="preserve">There was an extra fee when I paid with my card, why was i charged this extra fee?</t>
  </si>
  <si>
    <t xml:space="preserve">Why was there an additional fee on the payment I just made? I don't usually have additional fees applied to my payments.</t>
  </si>
  <si>
    <t xml:space="preserve">what is this extra charge with my purchase?</t>
  </si>
  <si>
    <t xml:space="preserve">Hello! I randomly got charged an extra fee today as i was shopping online and i have no idea why! Are there extra fees for card payments? Or am i missing something here?</t>
  </si>
  <si>
    <t xml:space="preserve">Please explain the extra fee when I paid with the card.</t>
  </si>
  <si>
    <t xml:space="preserve">When do you charge fees on accounts? I just saw a charge on my statement.</t>
  </si>
  <si>
    <t xml:space="preserve">After I used my card I saw I was charged a fee for using it</t>
  </si>
  <si>
    <t xml:space="preserve">Is there an allowance on cards?</t>
  </si>
  <si>
    <t xml:space="preserve">Why am I being charged a hidden fee?</t>
  </si>
  <si>
    <t xml:space="preserve">Can you explain why I was charged extra when I used the card?</t>
  </si>
  <si>
    <t xml:space="preserve">Why did I get charged a fee on my card?</t>
  </si>
  <si>
    <t xml:space="preserve">Do you have charges now when you pay with a card?</t>
  </si>
  <si>
    <t xml:space="preserve">What is the extra fee that was added when I used the card?</t>
  </si>
  <si>
    <t xml:space="preserve">Why am I charged a fee for using my card on some purchases?</t>
  </si>
  <si>
    <t xml:space="preserve">Why am I being charged a fee for using my card? If there is some print out of places that charge me can you please send me that?</t>
  </si>
  <si>
    <t xml:space="preserve">How can I tell if there will be a fee added to my payment or not?</t>
  </si>
  <si>
    <t xml:space="preserve">You promised no fees but now I've got one. What the hell!?</t>
  </si>
  <si>
    <t xml:space="preserve">How do I know which payments I make will have additional fees? Where can I find this information online?</t>
  </si>
  <si>
    <t xml:space="preserve">I am worried that too much time has gone by for a transfer to be completed.</t>
  </si>
  <si>
    <t xml:space="preserve">What is the time frame that it usually takes for a transfer to come through? I have a friend needing it immediately but it has yet to come through.</t>
  </si>
  <si>
    <t xml:space="preserve">My money transaction can't be seen by the person I sent it to</t>
  </si>
  <si>
    <t xml:space="preserve">How long does it typically take a transfer to go through?  I sent some money to a friend earlier today, and she really needs it.  It still is a pending transfer, even though I sent it a few hours ago.</t>
  </si>
  <si>
    <t xml:space="preserve">I have done a transfer within the country the day before yesterday, but it's still not there yet. Can you please check what's going on with that, the account number definitely is the right one, I've checked that already.</t>
  </si>
  <si>
    <t xml:space="preserve">I have done a transfer within the country the day before yesterday, but it's still not there yet. Can you please check what's going on with that, the account number is the right one, I've checked that several times already.</t>
  </si>
  <si>
    <t xml:space="preserve">My money transaction hasn't arrived.</t>
  </si>
  <si>
    <t xml:space="preserve">I sent money to a person and they haven't received the payment yet.</t>
  </si>
  <si>
    <t xml:space="preserve">I do not know where the transaction is.</t>
  </si>
  <si>
    <t xml:space="preserve">I transferred money but the recipient does not see the funds in their account?</t>
  </si>
  <si>
    <t xml:space="preserve">why hasn't a transaction to a friend cleared yet?</t>
  </si>
  <si>
    <t xml:space="preserve">The app isn't showing my transactions</t>
  </si>
  <si>
    <t xml:space="preserve">Why isn't the recipient seeing the transaction? I just sent the money.</t>
  </si>
  <si>
    <t xml:space="preserve">I transferred money and it didn't get there.</t>
  </si>
  <si>
    <t xml:space="preserve">Is there a reason why a recipient might not see my money transaction</t>
  </si>
  <si>
    <t xml:space="preserve">I don't see the transaction I made to a friend on my account.</t>
  </si>
  <si>
    <t xml:space="preserve">why has a transaction to a friend been delayed?</t>
  </si>
  <si>
    <t xml:space="preserve">A transaction I did to my friend hasn't arrived yet, why?</t>
  </si>
  <si>
    <t xml:space="preserve">Where is my last money transaction</t>
  </si>
  <si>
    <t xml:space="preserve">I am having an issue with an in country transfer I did a few days ago. It has yet to appear in my account. I have checked to be sure that all account information is correct multiple times. What is taking the transfer so long?</t>
  </si>
  <si>
    <t xml:space="preserve">I made a transfer the day before yesterday within this country. It is still not showing up at all. I have double-checked and the account number is certainly right. I've actually type this multiple times. can you look into what is going on here?</t>
  </si>
  <si>
    <t xml:space="preserve">How much time do transfers typically take? I sent money to a friend who needs it urgently. It's been hours and has not gone through.</t>
  </si>
  <si>
    <t xml:space="preserve">A transaction to a friend still hasn't shown up.</t>
  </si>
  <si>
    <t xml:space="preserve">I sent money and the recipient has not received their money after two weeks.</t>
  </si>
  <si>
    <t xml:space="preserve">How long will it take for my transfer to arrive?</t>
  </si>
  <si>
    <t xml:space="preserve">Why did the funds not transfer to another recipient?</t>
  </si>
  <si>
    <t xml:space="preserve">I sent a payment but it isn't showing up in the app</t>
  </si>
  <si>
    <t xml:space="preserve">I tried to transfer some money and it hasn't done it yet - what's going on?</t>
  </si>
  <si>
    <t xml:space="preserve">I made a transfer and they haven't received the money I sent them.</t>
  </si>
  <si>
    <t xml:space="preserve">how long does it take to transfer money, my retailer is waiting</t>
  </si>
  <si>
    <t xml:space="preserve">I sent money to someone but they haven't gotten it, what's going on?</t>
  </si>
  <si>
    <t xml:space="preserve">How long does it take for transfers to process?  I sent funds to a friend, and she says that she has not yet received anything.</t>
  </si>
  <si>
    <t xml:space="preserve">Why hasn't the transaction I did to my friend arrive yet?</t>
  </si>
  <si>
    <t xml:space="preserve">I sent money about 5 days ago and the recipient has not received the money yet.</t>
  </si>
  <si>
    <t xml:space="preserve">I am just waiting on the completion of the transaction.</t>
  </si>
  <si>
    <t xml:space="preserve">My cash transaction isn't showing on my account</t>
  </si>
  <si>
    <t xml:space="preserve">Why hasn't my transaction arrived?</t>
  </si>
  <si>
    <t xml:space="preserve">When are you going to transfer the money?</t>
  </si>
  <si>
    <t xml:space="preserve">I have moved to a new house and set up a rent payment to my landlord, it was supposed to be in her account a few days ago but it hasn't arrived.  I definitely sent it to the right place, can you confirm where the money is?</t>
  </si>
  <si>
    <t xml:space="preserve">I need to check status as my friend hasn't got money I sent.</t>
  </si>
  <si>
    <t xml:space="preserve">How long do transfers typically take? Is there a way of speeding the process up? My friend needs the money I sent her desperately.</t>
  </si>
  <si>
    <t xml:space="preserve">wheres my money receipt</t>
  </si>
  <si>
    <t xml:space="preserve">Money is not in recipients account.</t>
  </si>
  <si>
    <t xml:space="preserve">How long does it take for money to transfer?  I sent some to a friend and it hasn't gone through yet.</t>
  </si>
  <si>
    <t xml:space="preserve">Why hasn't the transaction I did to my friend arrived yet?</t>
  </si>
  <si>
    <t xml:space="preserve">How much time do transfers take? I sent money to a friend who needs it fast. It's been hours, and the money has not gone through.</t>
  </si>
  <si>
    <t xml:space="preserve">How long should a transfer normally take to process completely? I have a friend that needs it right away, but it's already been 2 hours and she hasn't received it.</t>
  </si>
  <si>
    <t xml:space="preserve">My friend says he hasn't received my transaction</t>
  </si>
  <si>
    <t xml:space="preserve">What is the length of a transaction completion?</t>
  </si>
  <si>
    <t xml:space="preserve">I transferred some cash and it has not arrived yet.</t>
  </si>
  <si>
    <t xml:space="preserve">I need to transfer some money to a friend who is in urgent need of some fast cash. How long will it take before she can use that money?</t>
  </si>
  <si>
    <t xml:space="preserve">Two days ago I did a transfer to another account within the country.  It doesn't appear the transfer went through.  I have verified the account number several times.  Could you please check on this for me?</t>
  </si>
  <si>
    <t xml:space="preserve">Where did the money transfer go?</t>
  </si>
  <si>
    <t xml:space="preserve">When will the transaction be done?</t>
  </si>
  <si>
    <t xml:space="preserve">I transferred some money to my mom 2 days ago and she has not received it. I double checked the information and it looks right. Can you help me?</t>
  </si>
  <si>
    <t xml:space="preserve">Why is it taking so long for a transfer to complete!</t>
  </si>
  <si>
    <t xml:space="preserve">Why is my transfer taking so long to complete?</t>
  </si>
  <si>
    <t xml:space="preserve">I am just waiting for the transaction to be completed.</t>
  </si>
  <si>
    <t xml:space="preserve">How long do I have  to wait for my transaction to be completed?</t>
  </si>
  <si>
    <t xml:space="preserve">I did a money transaction and the recipient doesn't see it</t>
  </si>
  <si>
    <t xml:space="preserve">Why hasn't my friend received the money i sent them yet?</t>
  </si>
  <si>
    <t xml:space="preserve">I sent money for my rent to my landlord but she is claiming it hasn't arrived in her account  Can you trace the transfer I made to make sure it arrived so I can provide proof I sent it and that it has been deposited?</t>
  </si>
  <si>
    <t xml:space="preserve">Why didn't my friend's transaction arrive yet?</t>
  </si>
  <si>
    <t xml:space="preserve">Still waiting for transfer to be completed.</t>
  </si>
  <si>
    <t xml:space="preserve">I transferred some money but it is not here yet</t>
  </si>
  <si>
    <t xml:space="preserve">What do I do if I completed a money transfer but the recipient hasn't received it?</t>
  </si>
  <si>
    <t xml:space="preserve">I have done a transfer within the country a couple days ago, but it's still not there yet. Can you please check what's going on with that, the account number definitely is the right one, I've checked that several times already.</t>
  </si>
  <si>
    <t xml:space="preserve">I'm still waiting for my transaction.</t>
  </si>
  <si>
    <t xml:space="preserve">Why hasn't a transaction I did to my friend arrived yet?</t>
  </si>
  <si>
    <t xml:space="preserve">I set up a payment to a new payee and sent some money but the person I'm sending it to has not received it.  Can you check where the money is?</t>
  </si>
  <si>
    <t xml:space="preserve">My new landlord says he hasn't received the rent payment that I transferred a couple days ago. I've already checked the account numbers and they are correct. Can you tell me what's going on with this transaction that the transfer isn't showing up on my landlord's end?</t>
  </si>
  <si>
    <t xml:space="preserve">I can't see if the transfer I did a couple days ago is in my account yet. I double checked my info before sending, too. Can you check this?</t>
  </si>
  <si>
    <t xml:space="preserve">My transfer has not arrived.</t>
  </si>
  <si>
    <t xml:space="preserve">How long does it take for the transfer to go through?</t>
  </si>
  <si>
    <t xml:space="preserve">What happens when I money transaction doesn't show up on the receiving side?</t>
  </si>
  <si>
    <t xml:space="preserve">I'm trying to make a payment to my new landlord. Even though the payment was sent a few days ago, it isn't clearing on their side. Can you verify that payment has been made?</t>
  </si>
  <si>
    <t xml:space="preserve">i've waited 2 days for a transfer to reach a retailers account, am i going to have to wait longer.</t>
  </si>
  <si>
    <t xml:space="preserve">my friend has not got the money I sent last week.</t>
  </si>
  <si>
    <t xml:space="preserve">Why can't the person I sent the money transfer to see it?</t>
  </si>
  <si>
    <t xml:space="preserve">The money has not yet been placed in recipients account.</t>
  </si>
  <si>
    <t xml:space="preserve">I'm getting concerned here.  I sent a friend some money and she isn't seeing it.  What's going on?</t>
  </si>
  <si>
    <t xml:space="preserve">I completed I transfer the day before yesterday in this country. The transfer still is not complete. I've checked on the account number multiple times to make sure that it is the right one. Can you check to see what's going on with this?</t>
  </si>
  <si>
    <t xml:space="preserve">I made a transfer for my rent payment about 2 days ago, but my landlord hasn't received it yet. It shows as done on my  side, and I've double check all account numbers and they are correct. Can you verify that the transaction was actually made?</t>
  </si>
  <si>
    <t xml:space="preserve">Why hasn't arrived yet a transaction I did to my friend?</t>
  </si>
  <si>
    <t xml:space="preserve">I'm waiting for my transaction to complete.</t>
  </si>
  <si>
    <t xml:space="preserve">Why hasn't my friend received the transaction?</t>
  </si>
  <si>
    <t xml:space="preserve">I transferred money and it hasn't come yet</t>
  </si>
  <si>
    <t xml:space="preserve">Why hasn't my son received the transfer I sent to him earlier?</t>
  </si>
  <si>
    <t xml:space="preserve">How long do money transfers take? My friend really needs the money i sent a couple of hours ago but it's not there yet.</t>
  </si>
  <si>
    <t xml:space="preserve">Why hasn't the money transfer arrived yet?</t>
  </si>
  <si>
    <t xml:space="preserve">I have not received the completed transaction.</t>
  </si>
  <si>
    <t xml:space="preserve">how long does it take for a transfer to arrive</t>
  </si>
  <si>
    <t xml:space="preserve">How come my money hasn't shown up yet?</t>
  </si>
  <si>
    <t xml:space="preserve">Hello, a few days ago I transferred my rent check to my landlord, however, he is saying that it has not gone though. On my end everything looks fine and I double checked the account number. Is there anything else that could be holding up the check?</t>
  </si>
  <si>
    <t xml:space="preserve">Why can't the recepient of my money transaction see it?</t>
  </si>
  <si>
    <t xml:space="preserve">The recipient doesn't see the money transaction I made</t>
  </si>
  <si>
    <t xml:space="preserve">How long will my transaction take?</t>
  </si>
  <si>
    <t xml:space="preserve">How long should it take for a transfer to go through? I have been waiting a while.</t>
  </si>
  <si>
    <t xml:space="preserve">i accidentally entered in my retailers information, what should i do next</t>
  </si>
  <si>
    <t xml:space="preserve">I transferred some cash and it didn't arrive</t>
  </si>
  <si>
    <t xml:space="preserve">where has my transferred money gone?</t>
  </si>
  <si>
    <t xml:space="preserve">I tried doing an in country transfer earlier this week. I thought it would be there by now but I still don't see the money. Can you check the status on my transfer?</t>
  </si>
  <si>
    <t xml:space="preserve">Is there a reason a payment is showing complete on my side but the person who is receiving it has not gotten it?</t>
  </si>
  <si>
    <t xml:space="preserve">I've checked multiple times to make sure the account number listed is the right one after attempting to make a transfer within the country the day before yesterday. The transfer is still not available so can you please find out what is going on?</t>
  </si>
  <si>
    <t xml:space="preserve">I transferred some money but it hasn't arrived.</t>
  </si>
  <si>
    <t xml:space="preserve">Why is my transaction taking so long to complete?</t>
  </si>
  <si>
    <t xml:space="preserve">My transfer isn't in</t>
  </si>
  <si>
    <t xml:space="preserve">I sent money to my family last Friday but they don't have it.</t>
  </si>
  <si>
    <t xml:space="preserve">When will I get my money? It's been too long.</t>
  </si>
  <si>
    <t xml:space="preserve">Why didn't my transfer get to the recipient?</t>
  </si>
  <si>
    <t xml:space="preserve">I haven't received money from a transfer?</t>
  </si>
  <si>
    <t xml:space="preserve">I transferred a payment a couple days ago and it shows done, but it has not been received.  Could you please help me?</t>
  </si>
  <si>
    <t xml:space="preserve">I payed my rent to my landlord a few days ago and he is saying the it never went though. Everything looks good to me and I even double checked the account number. I don't know what could be causing the confusion. Can you help me please?</t>
  </si>
  <si>
    <t xml:space="preserve">My transaction has not been received. When are you going to process it?</t>
  </si>
  <si>
    <t xml:space="preserve">Hi, I sent my landlord my rent money a few days ago and while everything seems good on my end he says that he never got the money. I double checked the account number and it's correct. Can you help me figure this out?</t>
  </si>
  <si>
    <t xml:space="preserve">My cash transaction isn't showing on my receipt</t>
  </si>
  <si>
    <t xml:space="preserve">My transfer hasn't arrived</t>
  </si>
  <si>
    <t xml:space="preserve">I did a money transaction and dont have a receipt</t>
  </si>
  <si>
    <t xml:space="preserve">I have a friend who needs money as soon as possibly. If I were to transfer it how long will it take to get to her?</t>
  </si>
  <si>
    <t xml:space="preserve">Why hasn't my friend's transaction arrive yet?</t>
  </si>
  <si>
    <t xml:space="preserve">Hi - I have made a transaction to my new landlord but unfortunately it shows on my end but not on the landlord's end. The numbers are correct. Can you confirm when that will go through?</t>
  </si>
  <si>
    <t xml:space="preserve">I sent money to someone but they haven't gotten it yet</t>
  </si>
  <si>
    <t xml:space="preserve">How long will it take to receive my money from my transfer transaction?</t>
  </si>
  <si>
    <t xml:space="preserve">My transfer didn't arrive to the recipient</t>
  </si>
  <si>
    <t xml:space="preserve">Recipient has not received the money</t>
  </si>
  <si>
    <t xml:space="preserve">The recipient can not locate funds.</t>
  </si>
  <si>
    <t xml:space="preserve">Why has my transfer not arrived yet?</t>
  </si>
  <si>
    <t xml:space="preserve">My new landlord is a lier and is trying to rip me off by saying I've not paid my rent when I have paid my rent.  What is going on?  They say the money hasn't got to them but I see it going out of my account.  Can you check that the money went to the right place?</t>
  </si>
  <si>
    <t xml:space="preserve">I made a transfer to my friend earlier and she hasn't received it yet.  What's the hold up?</t>
  </si>
  <si>
    <t xml:space="preserve">|I moved out of my old house two weeks ago and cancelled my direct debit to my old landlord, this direct debit was working fine.  Now I've moved in to a new place and set up a transfer to a new landlord but it's not reached her yet, can you check it please?</t>
  </si>
  <si>
    <t xml:space="preserve">Why is the transaction to my friend still pending?</t>
  </si>
  <si>
    <t xml:space="preserve">The day before yesterday, I performed a transfer within the country. It still has not completed. Can you check on that? The account number is definitely correct, as I've checked.</t>
  </si>
  <si>
    <t xml:space="preserve">I have checked the account information several times to be sure that it is correct, but the in country transfer I did a few days ago still has not appeared! What is the hold up?</t>
  </si>
  <si>
    <t xml:space="preserve">I performed a transfer within the country the day before yesterday, but it has not gone through? Can you check on that? The account number is definitely correct, as I've checked.</t>
  </si>
  <si>
    <t xml:space="preserve">The day before yesterday I transferred funds to another account within the country.  The funds have not yet arrived.  I double and triple checked the account number and it was correct.  Why hasn't the transfer been completed yet?</t>
  </si>
  <si>
    <t xml:space="preserve">Why doesn't the person I sent money to see that transfer yet?</t>
  </si>
  <si>
    <t xml:space="preserve">How long does it take for transfers to be approved?  I sent funds to my girlfriend, and she says that she has not seen any approved funds in her account.</t>
  </si>
  <si>
    <t xml:space="preserve">How long will it be  before the person I sent money to is able to see it?</t>
  </si>
  <si>
    <t xml:space="preserve">I'm still awaiting for the completion of the transaction.</t>
  </si>
  <si>
    <t xml:space="preserve">What is the time for a transfer?</t>
  </si>
  <si>
    <t xml:space="preserve">I dont see my reciept</t>
  </si>
  <si>
    <t xml:space="preserve">Why hasn't my transaction been completed?</t>
  </si>
  <si>
    <t xml:space="preserve">I sent some money and the account hasn't recived the transfer I made.</t>
  </si>
  <si>
    <t xml:space="preserve">I'm still expecting the transaction to be finished</t>
  </si>
  <si>
    <t xml:space="preserve">I transferred some money to a friend of mine who urgently needs some money right now. How long will it take to get to her?</t>
  </si>
  <si>
    <t xml:space="preserve">I sent a payment, but the person I sent it to says they don't have it</t>
  </si>
  <si>
    <t xml:space="preserve">I have done a transfer within the country the day before yesterday, but it's still not there yet. Can you please check what's going on with that, the account number definitely is the right one, I've checked that several times already.</t>
  </si>
  <si>
    <t xml:space="preserve">I need to verify a payment to my new landlord. I transferred the first rent payment a few days ago. While it shows on my side, the landlord is saying he hasn't received it yet. Can you verify that it has processed?</t>
  </si>
  <si>
    <t xml:space="preserve">I've been waiting since Friday, where is my money?</t>
  </si>
  <si>
    <t xml:space="preserve">I sent some money but the intended recipient says it hasn't arrived</t>
  </si>
  <si>
    <t xml:space="preserve">Could you please help me?  I made my rent payment and have double checked that I sent it to the right account.  The person receiving it says he has not received it but it shows complete on my side.</t>
  </si>
  <si>
    <t xml:space="preserve">I just did a money transaction but its not showing they received it</t>
  </si>
  <si>
    <t xml:space="preserve">Why hasn't my transaction arrived to my friend yet?</t>
  </si>
  <si>
    <t xml:space="preserve">I just transferred my friend money, but she hasn't received it yet, and it's been a few hours. Can you tell me when to expect it to go through?</t>
  </si>
  <si>
    <t xml:space="preserve">How long will my most recent transfer take to go through? The recipient needs the money urgently.</t>
  </si>
  <si>
    <t xml:space="preserve">My recipient hasn't received the money</t>
  </si>
  <si>
    <t xml:space="preserve">when will my transfer arrive</t>
  </si>
  <si>
    <t xml:space="preserve">I just sent money but the person I sent it to doesn't see it. What happened?</t>
  </si>
  <si>
    <t xml:space="preserve">Why hasn't my transaction completed?</t>
  </si>
  <si>
    <t xml:space="preserve">Why hasn't the transaction I did arrive yet?</t>
  </si>
  <si>
    <t xml:space="preserve">Why isn't the transfer I made to a friend showing?</t>
  </si>
  <si>
    <t xml:space="preserve">Why is my friend not getting a transaction arrival yet?</t>
  </si>
  <si>
    <t xml:space="preserve">How long will a transaction to a friend take?</t>
  </si>
  <si>
    <t xml:space="preserve">Why hasn't my in country transfer gone through yet? I confirmed the account info a couple days ago but the payment hasn't been posted yet.</t>
  </si>
  <si>
    <t xml:space="preserve">I completed a transfer within the UK two days ago, but it is still not showing received.  I have verified the account number is correct already.  Is there anything else I need to do or is there a problem?</t>
  </si>
  <si>
    <t xml:space="preserve">How can I the person see my money transaction?</t>
  </si>
  <si>
    <t xml:space="preserve">I sent a transfer to a friend that needs it urgently. It has already been 2 hours and still hasn't come through to her. How long does it normally take?</t>
  </si>
  <si>
    <t xml:space="preserve">the money i transferred didnt arrive</t>
  </si>
  <si>
    <t xml:space="preserve">Why is my transfer taking so long. I thought it was supposed to only take 1 day if I made a transfer to someone. Can you wee what went wrong?</t>
  </si>
  <si>
    <t xml:space="preserve">I sent some money to somebody a couple of hours ago, and they still have yet to receive it.  They really need the money, how much longer are they going to have to wait?</t>
  </si>
  <si>
    <t xml:space="preserve">How long do transfers take? I sent money to a friend who needs it urgently. It's been hours and has not gone through.</t>
  </si>
  <si>
    <t xml:space="preserve">How do I use American express to top up my account?</t>
  </si>
  <si>
    <t xml:space="preserve">Which currencies do you accept for adding money?</t>
  </si>
  <si>
    <t xml:space="preserve">Is my credit card supported for top-ups?</t>
  </si>
  <si>
    <t xml:space="preserve">Am I able to add money into my account using my American Express?</t>
  </si>
  <si>
    <t xml:space="preserve">Can I use my American Express card to add money into my account?</t>
  </si>
  <si>
    <t xml:space="preserve">Can you tell me what currencies I can use to add money?</t>
  </si>
  <si>
    <t xml:space="preserve">I want to use my American Express for adding money into my account.</t>
  </si>
  <si>
    <t xml:space="preserve">With what currencies can I add money?</t>
  </si>
  <si>
    <t xml:space="preserve">What are the acceptable currencies for adding funds?</t>
  </si>
  <si>
    <t xml:space="preserve">how can i transfer money from american express card</t>
  </si>
  <si>
    <t xml:space="preserve">what cards and currencies are accepted?</t>
  </si>
  <si>
    <t xml:space="preserve">How can I top up my card with another card?</t>
  </si>
  <si>
    <t xml:space="preserve">use my credit to add money</t>
  </si>
  <si>
    <t xml:space="preserve">What types of currencies do you accept?</t>
  </si>
  <si>
    <t xml:space="preserve">Do you accept any card and currency?</t>
  </si>
  <si>
    <t xml:space="preserve">can i use my mastercard to add money to my account</t>
  </si>
  <si>
    <t xml:space="preserve">What types of cards and money do you accept?</t>
  </si>
  <si>
    <t xml:space="preserve">How can I fund another account with my American Express?</t>
  </si>
  <si>
    <t xml:space="preserve">What currencies do you accept to add money?</t>
  </si>
  <si>
    <t xml:space="preserve">How can I top up my account and which currency can I use?</t>
  </si>
  <si>
    <t xml:space="preserve">Will my other US credit card be accepted?</t>
  </si>
  <si>
    <t xml:space="preserve">can i top up from a usa credit card</t>
  </si>
  <si>
    <t xml:space="preserve">How can I get funds into my account from my American Express?</t>
  </si>
  <si>
    <t xml:space="preserve">Which cards and currencies are supported?</t>
  </si>
  <si>
    <t xml:space="preserve">What are the currencies and cards that are supported with my account?</t>
  </si>
  <si>
    <t xml:space="preserve">What currency can I use to add money?</t>
  </si>
  <si>
    <t xml:space="preserve">Can I use a credit card from the US to top up?</t>
  </si>
  <si>
    <t xml:space="preserve">why don't you accept american express for adding money to my account</t>
  </si>
  <si>
    <t xml:space="preserve">Can you tell me what cards and currencies you support?</t>
  </si>
  <si>
    <t xml:space="preserve">Which foreign currencies do you accept for adding money?</t>
  </si>
  <si>
    <t xml:space="preserve">I only have one other credit card from the US. Do you accept that?</t>
  </si>
  <si>
    <t xml:space="preserve">What currencies are approved to add money?</t>
  </si>
  <si>
    <t xml:space="preserve">I wish to use my American Express to put funds into my account.</t>
  </si>
  <si>
    <t xml:space="preserve">I have another card from the U.S. Will you be able to accept that one?</t>
  </si>
  <si>
    <t xml:space="preserve">I want to use a payment card to top up my account. How can I do this?</t>
  </si>
  <si>
    <t xml:space="preserve">Can I use American Express?</t>
  </si>
  <si>
    <t xml:space="preserve">I'd prefer to use my American Express when putting funds into my account.</t>
  </si>
  <si>
    <t xml:space="preserve">What currencies can I use?</t>
  </si>
  <si>
    <t xml:space="preserve">what cards can i use to add money to my account</t>
  </si>
  <si>
    <t xml:space="preserve">What currencies and methods can i use to top up my account?</t>
  </si>
  <si>
    <t xml:space="preserve">Is American Express supported for adding funds?</t>
  </si>
  <si>
    <t xml:space="preserve">Do you accept credit cards from the US</t>
  </si>
  <si>
    <t xml:space="preserve">Can you accept my other card from the U.S.?  It is the only other one I have.</t>
  </si>
  <si>
    <t xml:space="preserve">Do you accept Mastercard?</t>
  </si>
  <si>
    <t xml:space="preserve">I am adding money, what currencies do you accept to do this?</t>
  </si>
  <si>
    <t xml:space="preserve">Which currencies do you handle?</t>
  </si>
  <si>
    <t xml:space="preserve">what currencies can i use to add money to my account</t>
  </si>
  <si>
    <t xml:space="preserve">Are there certain cards and currencies you support?</t>
  </si>
  <si>
    <t xml:space="preserve">why wont my american express work to add money</t>
  </si>
  <si>
    <t xml:space="preserve">Which currencies can I use to add money?</t>
  </si>
  <si>
    <t xml:space="preserve">Can I use any card and currency?</t>
  </si>
  <si>
    <t xml:space="preserve">What kind of cards are supported?  What currency?</t>
  </si>
  <si>
    <t xml:space="preserve">What US cards do you accept?  I only have 1 other.</t>
  </si>
  <si>
    <t xml:space="preserve">I have a second credit card from the US. Will you take it?</t>
  </si>
  <si>
    <t xml:space="preserve">What cards do you accept to top up my account?</t>
  </si>
  <si>
    <t xml:space="preserve">What currencies do you accept for adding money?</t>
  </si>
  <si>
    <t xml:space="preserve">Can I top off with a debit card?</t>
  </si>
  <si>
    <t xml:space="preserve">I want to deposit funds, what payments are accepted?</t>
  </si>
  <si>
    <t xml:space="preserve">Are cards from the US accepted?</t>
  </si>
  <si>
    <t xml:space="preserve">I'd like to use my American Express to place money into my account.</t>
  </si>
  <si>
    <t xml:space="preserve">Please let me know what currency I can use to top up my account?</t>
  </si>
  <si>
    <t xml:space="preserve">Do you accept all cards and currencies?</t>
  </si>
  <si>
    <t xml:space="preserve">I have one other credit card from the US. Do you take that?</t>
  </si>
  <si>
    <t xml:space="preserve">Which credit card top-ups do you accept?</t>
  </si>
  <si>
    <t xml:space="preserve">If I top up by card, what options do I have re: currency and card type?</t>
  </si>
  <si>
    <t xml:space="preserve">What currencies are accepted to add money?</t>
  </si>
  <si>
    <t xml:space="preserve">I want to add money to my card, what payments do you accept?</t>
  </si>
  <si>
    <t xml:space="preserve">What are my payment options?</t>
  </si>
  <si>
    <t xml:space="preserve">Can I electronically transfer funds into my account from my American Express?</t>
  </si>
  <si>
    <t xml:space="preserve">Can I top up my card with other cards?</t>
  </si>
  <si>
    <t xml:space="preserve">I have one other credit card from the US. Do you take it?</t>
  </si>
  <si>
    <t xml:space="preserve">Am I able to use my American Express to add money to my account balance?</t>
  </si>
  <si>
    <t xml:space="preserve">What are the cards and currencies that you support?</t>
  </si>
  <si>
    <t xml:space="preserve">What US credit cards do you accept?</t>
  </si>
  <si>
    <t xml:space="preserve">What currencies do you accept for adding money to my account?</t>
  </si>
  <si>
    <t xml:space="preserve">I have an American Express that I'd like to add money to my account with.</t>
  </si>
  <si>
    <t xml:space="preserve">What forms of payment do you accept?</t>
  </si>
  <si>
    <t xml:space="preserve">What type of card can I use to top up?</t>
  </si>
  <si>
    <t xml:space="preserve">Do you have a list of cards and currencies you support?</t>
  </si>
  <si>
    <t xml:space="preserve">I want to top up by using a credit card, which ones do you support?</t>
  </si>
  <si>
    <t xml:space="preserve">I have a US credit card, will you accept it?</t>
  </si>
  <si>
    <t xml:space="preserve">What currencies and cards do you support?</t>
  </si>
  <si>
    <t xml:space="preserve">how do i add money from my amex card to top up</t>
  </si>
  <si>
    <t xml:space="preserve">What cards and currencies can I use to top up my account?</t>
  </si>
  <si>
    <t xml:space="preserve">Will you accept my credit card?</t>
  </si>
  <si>
    <t xml:space="preserve">Will you accept my credit card, it my only one.</t>
  </si>
  <si>
    <t xml:space="preserve">If I want to add funds to the account using American Express, how do I do that?</t>
  </si>
  <si>
    <t xml:space="preserve">I just have one additional card from the USA. Do you support that?</t>
  </si>
  <si>
    <t xml:space="preserve">Why doesn't it work when I use American Express to try to add money to my account?</t>
  </si>
  <si>
    <t xml:space="preserve">Which cards are accepted for topping up?</t>
  </si>
  <si>
    <t xml:space="preserve">What kinds of cards can I use to top up?</t>
  </si>
  <si>
    <t xml:space="preserve">Help me use American Express to add money to the account.</t>
  </si>
  <si>
    <t xml:space="preserve">What cards and currencies can I use?</t>
  </si>
  <si>
    <t xml:space="preserve">What currency is acceptable for a top up?</t>
  </si>
  <si>
    <t xml:space="preserve">What other credit cards can I use?</t>
  </si>
  <si>
    <t xml:space="preserve">What payment methods are used to top up?</t>
  </si>
  <si>
    <t xml:space="preserve">how can i add money from my amex card</t>
  </si>
  <si>
    <t xml:space="preserve">I only have a card from the US is that okay?</t>
  </si>
  <si>
    <t xml:space="preserve">Is American Express accepted?</t>
  </si>
  <si>
    <t xml:space="preserve">Which currencies do you work with?</t>
  </si>
  <si>
    <t xml:space="preserve">Can I use this app for any currency?</t>
  </si>
  <si>
    <t xml:space="preserve">For adding money, which currencies do you accept?</t>
  </si>
  <si>
    <t xml:space="preserve">How can I pay for top-ups?</t>
  </si>
  <si>
    <t xml:space="preserve">Is American Express supported for adding money into my account?</t>
  </si>
  <si>
    <t xml:space="preserve">Can you tell me which cards and currencies are supported?</t>
  </si>
  <si>
    <t xml:space="preserve">I would like to top up via credit card, which credit cards do you support?</t>
  </si>
  <si>
    <t xml:space="preserve">I only have one more US credit card, is it accepted?</t>
  </si>
  <si>
    <t xml:space="preserve">If I want to topup by card, how do I do it?</t>
  </si>
  <si>
    <t xml:space="preserve">I want to know which currencies and cards are supported, can you provide a list?</t>
  </si>
  <si>
    <t xml:space="preserve">I want to top up by card, what do you support?</t>
  </si>
  <si>
    <t xml:space="preserve">can i add funds  with a card from the united states</t>
  </si>
  <si>
    <t xml:space="preserve">I want to top up my account. What payment methods are supported?</t>
  </si>
  <si>
    <t xml:space="preserve">How can I use my American Express to add money into my account?</t>
  </si>
  <si>
    <t xml:space="preserve">What card or currency can I use to pay?</t>
  </si>
  <si>
    <t xml:space="preserve">My card wants to be topped what do you guys support?</t>
  </si>
  <si>
    <t xml:space="preserve">do you accept from usa credit card?</t>
  </si>
  <si>
    <t xml:space="preserve">What currency can I use to pay for a top up?</t>
  </si>
  <si>
    <t xml:space="preserve">Do you have a list of the cards and currencies supported?</t>
  </si>
  <si>
    <t xml:space="preserve">What are the various currencies and cards that you offer support for?</t>
  </si>
  <si>
    <t xml:space="preserve">What currencies can be used for top up?</t>
  </si>
  <si>
    <t xml:space="preserve">Do I have to top up in euros if I use a card, or can I use a different currency?</t>
  </si>
  <si>
    <t xml:space="preserve">What cards do you support</t>
  </si>
  <si>
    <t xml:space="preserve">What are the currencies that are accepted to add money?</t>
  </si>
  <si>
    <t xml:space="preserve">What kind of cards an currency do you support?</t>
  </si>
  <si>
    <t xml:space="preserve">Which cards do you support for top up?</t>
  </si>
  <si>
    <t xml:space="preserve">Top up my card please, which y'all support?</t>
  </si>
  <si>
    <t xml:space="preserve">Do you accept US credit cards?</t>
  </si>
  <si>
    <t xml:space="preserve">I need to know if you will accept my credit card.</t>
  </si>
  <si>
    <t xml:space="preserve">I want to add funds to my account. What payment methods are accepted?</t>
  </si>
  <si>
    <t xml:space="preserve">I would like to order a virtual card, where can I get one?</t>
  </si>
  <si>
    <t xml:space="preserve">I need to order a new virtual card, how do I do that?</t>
  </si>
  <si>
    <t xml:space="preserve">How can I sign up for a virtual card?</t>
  </si>
  <si>
    <t xml:space="preserve">I haven't received my virtual card yet!!</t>
  </si>
  <si>
    <t xml:space="preserve">Can you give me a virtual card?</t>
  </si>
  <si>
    <t xml:space="preserve">I want to get my hands on one of those virtual cards!</t>
  </si>
  <si>
    <t xml:space="preserve">i need a virtual card</t>
  </si>
  <si>
    <t xml:space="preserve">How do I get to the virtual cards?</t>
  </si>
  <si>
    <t xml:space="preserve">want to know how to get virtual card</t>
  </si>
  <si>
    <t xml:space="preserve">Where is my virtual card?</t>
  </si>
  <si>
    <t xml:space="preserve">Where are the virtual cards?</t>
  </si>
  <si>
    <t xml:space="preserve">Is it possible to order a virtual card?</t>
  </si>
  <si>
    <t xml:space="preserve">how to i go about getting my virtual card</t>
  </si>
  <si>
    <t xml:space="preserve">I don't have a virtual card - how do I get one?</t>
  </si>
  <si>
    <t xml:space="preserve">How to receive virtual card?</t>
  </si>
  <si>
    <t xml:space="preserve">Why haven't I gotten a virtual card yet?</t>
  </si>
  <si>
    <t xml:space="preserve">Where do I order a virtual card?</t>
  </si>
  <si>
    <t xml:space="preserve">Can i have a virtual card?</t>
  </si>
  <si>
    <t xml:space="preserve">Please explain to me the process of getting a virtual card.</t>
  </si>
  <si>
    <t xml:space="preserve">my virtual card has not came yet!</t>
  </si>
  <si>
    <t xml:space="preserve">Which part of the app do I order virtual cards from?</t>
  </si>
  <si>
    <t xml:space="preserve">Where do I have access to a virtual card?</t>
  </si>
  <si>
    <t xml:space="preserve">How to order a virtual card</t>
  </si>
  <si>
    <t xml:space="preserve">Where do I get a virtual card?</t>
  </si>
  <si>
    <t xml:space="preserve">Why haven't I been given a virtual card yet?</t>
  </si>
  <si>
    <t xml:space="preserve">Can you help me find the virtual card?</t>
  </si>
  <si>
    <t xml:space="preserve">How do I go about getting hold of a virtual card?</t>
  </si>
  <si>
    <t xml:space="preserve">Where's my virtual card</t>
  </si>
  <si>
    <t xml:space="preserve">How can I go about ordering a virtual card?</t>
  </si>
  <si>
    <t xml:space="preserve">Where can i find the virtual card?</t>
  </si>
  <si>
    <t xml:space="preserve">I'd rather not use my physical card, how can I get a virtual card?</t>
  </si>
  <si>
    <t xml:space="preserve">What do I have to do to get my virtual card?</t>
  </si>
  <si>
    <t xml:space="preserve">can i use my app to get a virtual card</t>
  </si>
  <si>
    <t xml:space="preserve">How can I obtain a virtual card?</t>
  </si>
  <si>
    <t xml:space="preserve">I'm interested in getting a virtual card.  How do I get one?</t>
  </si>
  <si>
    <t xml:space="preserve">What is the way to go about getting a virtual card?</t>
  </si>
  <si>
    <t xml:space="preserve">How can I receive a virtual card?</t>
  </si>
  <si>
    <t xml:space="preserve">When will my virtual card arrive?</t>
  </si>
  <si>
    <t xml:space="preserve">How do I get my virtual card?</t>
  </si>
  <si>
    <t xml:space="preserve">how to get virtual card</t>
  </si>
  <si>
    <t xml:space="preserve">What is the best way to get my virtual card?</t>
  </si>
  <si>
    <t xml:space="preserve">I need to make a purchase online, where is my virtual card?</t>
  </si>
  <si>
    <t xml:space="preserve">I look but I see no virtual card. Why is that?</t>
  </si>
  <si>
    <t xml:space="preserve">Hello, what is a virtual card and how do I get one?</t>
  </si>
  <si>
    <t xml:space="preserve">How come I did not get a virtual card yet?</t>
  </si>
  <si>
    <t xml:space="preserve">how many virtual cards can i have, i want 8</t>
  </si>
  <si>
    <t xml:space="preserve">How do I get a virtual card on my device?</t>
  </si>
  <si>
    <t xml:space="preserve">How do I access the virtual card?</t>
  </si>
  <si>
    <t xml:space="preserve">I'd like more info on getting a virtual card.</t>
  </si>
  <si>
    <t xml:space="preserve">Do I get to have one of those virtual cards I've heard about?</t>
  </si>
  <si>
    <t xml:space="preserve">where can i have a virtual card</t>
  </si>
  <si>
    <t xml:space="preserve">I would love one of the virtual cards!</t>
  </si>
  <si>
    <t xml:space="preserve">I would like to order a virtual card.</t>
  </si>
  <si>
    <t xml:space="preserve">I have yet to receive my virtual card</t>
  </si>
  <si>
    <t xml:space="preserve">How long will it take to receive a virtual card?</t>
  </si>
  <si>
    <t xml:space="preserve">Why have I not received a virtual card yet?</t>
  </si>
  <si>
    <t xml:space="preserve">I can't find the virtual card</t>
  </si>
  <si>
    <t xml:space="preserve">Can you assist me in acquiring a virtual card?</t>
  </si>
  <si>
    <t xml:space="preserve">I want one of the virtual cards!</t>
  </si>
  <si>
    <t xml:space="preserve">How come I didn't get a virtual card yet?</t>
  </si>
  <si>
    <t xml:space="preserve">And do you have virtual cards instead of physical ones?</t>
  </si>
  <si>
    <t xml:space="preserve">How do I go about getting a virtual card?</t>
  </si>
  <si>
    <t xml:space="preserve">When will I get a virtual card? I haven't gotten one yet</t>
  </si>
  <si>
    <t xml:space="preserve">Where can I order my virtual card?</t>
  </si>
  <si>
    <t xml:space="preserve">Where can virtual cards be ordered?</t>
  </si>
  <si>
    <t xml:space="preserve">How can I locate the virtual card?</t>
  </si>
  <si>
    <t xml:space="preserve">How long do you have to wait to see your virtual card your ordered?</t>
  </si>
  <si>
    <t xml:space="preserve">I want to get a virtual card!</t>
  </si>
  <si>
    <t xml:space="preserve">How to access my virtual card</t>
  </si>
  <si>
    <t xml:space="preserve">Where can I sign up for a virtual card?</t>
  </si>
  <si>
    <t xml:space="preserve">Where do i go to receive a virtual card</t>
  </si>
  <si>
    <t xml:space="preserve">Are there virtual cards</t>
  </si>
  <si>
    <t xml:space="preserve">Please let me know how to place an order for a virtual card</t>
  </si>
  <si>
    <t xml:space="preserve">I ordered a virtual card but it hasn't come through yet</t>
  </si>
  <si>
    <t xml:space="preserve">Is there a way to get a virtual card?</t>
  </si>
  <si>
    <t xml:space="preserve">I haven't received my virtual card yet, do yo know why?</t>
  </si>
  <si>
    <t xml:space="preserve">why hasn't my virtual card arrived?</t>
  </si>
  <si>
    <t xml:space="preserve">What is the virtual card and how can i get one?</t>
  </si>
  <si>
    <t xml:space="preserve">I have lost my card, but need to place an online order! How do I get a virtual card instantly?</t>
  </si>
  <si>
    <t xml:space="preserve">I've got to have one of those virtual cards.</t>
  </si>
  <si>
    <t xml:space="preserve">Where is my virtual card located?</t>
  </si>
  <si>
    <t xml:space="preserve">Why have I not yet received my virtual card?</t>
  </si>
  <si>
    <t xml:space="preserve">Where would I order a virtual card?</t>
  </si>
  <si>
    <t xml:space="preserve">I need to order a new card, can you please direct me to the virtual cards?</t>
  </si>
  <si>
    <t xml:space="preserve">I need my virtual card</t>
  </si>
  <si>
    <t xml:space="preserve">I haven't received my virtual card.</t>
  </si>
  <si>
    <t xml:space="preserve">How do I receive a virtual card?</t>
  </si>
  <si>
    <t xml:space="preserve">I heard you have virtual cards. How do I get one?</t>
  </si>
  <si>
    <t xml:space="preserve">I would like a virtual card...how do I get one?</t>
  </si>
  <si>
    <t xml:space="preserve">explain the virtual card</t>
  </si>
  <si>
    <t xml:space="preserve">I'd like like to know where I can order a virtual card?</t>
  </si>
  <si>
    <t xml:space="preserve">what is a virtual and how do i get one</t>
  </si>
  <si>
    <t xml:space="preserve">why hasn't my virtual card come yet?</t>
  </si>
  <si>
    <t xml:space="preserve">Is there a way to order a virtual card on the website?</t>
  </si>
  <si>
    <t xml:space="preserve">Is there an alternative to a physical card?</t>
  </si>
  <si>
    <t xml:space="preserve">Please tell me how I can get a virtual card.</t>
  </si>
  <si>
    <t xml:space="preserve">I did not get my virtual card yet, Why?</t>
  </si>
  <si>
    <t xml:space="preserve">Where do I find a virtual card?</t>
  </si>
  <si>
    <t xml:space="preserve">Is there anywhere I can't use my card?</t>
  </si>
  <si>
    <t xml:space="preserve">In which stores can I shop with this card?</t>
  </si>
  <si>
    <t xml:space="preserve">How do I know where I can use my card?</t>
  </si>
  <si>
    <t xml:space="preserve">Can I tell what business will take this card?</t>
  </si>
  <si>
    <t xml:space="preserve">Are there businesses that don't accept this card?</t>
  </si>
  <si>
    <t xml:space="preserve">Is the card welcomed by everybody?</t>
  </si>
  <si>
    <t xml:space="preserve">Do you have a list of businesses that accept this card?</t>
  </si>
  <si>
    <t xml:space="preserve">What businesses accept this card?</t>
  </si>
  <si>
    <t xml:space="preserve">What retailers accept my card?</t>
  </si>
  <si>
    <t xml:space="preserve">This card is accepted by what businesses?</t>
  </si>
  <si>
    <t xml:space="preserve">Will this card work all over the world?</t>
  </si>
  <si>
    <t xml:space="preserve">WHAT IS THE ATMOSPHERE OF IT</t>
  </si>
  <si>
    <t xml:space="preserve">What kind of businesses will take my card?</t>
  </si>
  <si>
    <t xml:space="preserve">Where do I pay with my debit or credit card?</t>
  </si>
  <si>
    <t xml:space="preserve">Can I pay online with my card?</t>
  </si>
  <si>
    <t xml:space="preserve">Do you know which businesses will accept my card?</t>
  </si>
  <si>
    <t xml:space="preserve">Who accepts the card?</t>
  </si>
  <si>
    <t xml:space="preserve">You accepts my card?</t>
  </si>
  <si>
    <t xml:space="preserve">Is my card accepted anywhere?</t>
  </si>
  <si>
    <t xml:space="preserve">Is my card denied anywhere?</t>
  </si>
  <si>
    <t xml:space="preserve">
Where can I use my card?</t>
  </si>
  <si>
    <t xml:space="preserve">Where can I use my Mastercard?</t>
  </si>
  <si>
    <t xml:space="preserve">where is card accepted</t>
  </si>
  <si>
    <t xml:space="preserve">Where can I pay with my card?</t>
  </si>
  <si>
    <t xml:space="preserve">Where can my card be used?</t>
  </si>
  <si>
    <t xml:space="preserve">Is my card valid everywhere?</t>
  </si>
  <si>
    <t xml:space="preserve">Which establishments will accept my card?</t>
  </si>
  <si>
    <t xml:space="preserve">Are there limits to businesses that will accept this card?</t>
  </si>
  <si>
    <t xml:space="preserve">Any place that takes Mastercard would be fine.</t>
  </si>
  <si>
    <t xml:space="preserve">Is there a list of where I can use my card?</t>
  </si>
  <si>
    <t xml:space="preserve">What are the limits to where my card will be accepted?</t>
  </si>
  <si>
    <t xml:space="preserve">Can I use my card wherever I want?</t>
  </si>
  <si>
    <t xml:space="preserve">Where can I use my card to pay?</t>
  </si>
  <si>
    <t xml:space="preserve">Are there any limits to were my card is accepted?</t>
  </si>
  <si>
    <t xml:space="preserve">Can I use my card while on vacation overseas?</t>
  </si>
  <si>
    <t xml:space="preserve">Are there any places that won't take my card?</t>
  </si>
  <si>
    <t xml:space="preserve">Which merchants accept my card?</t>
  </si>
  <si>
    <t xml:space="preserve">You can use it anywhere that accepts Mastercard.</t>
  </si>
  <si>
    <t xml:space="preserve">Is there restrictions on where I can use my card?</t>
  </si>
  <si>
    <t xml:space="preserve">Can I use my card for online payments?</t>
  </si>
  <si>
    <t xml:space="preserve">Are there limits as to where my card will be accepted?</t>
  </si>
  <si>
    <t xml:space="preserve">Where do I pay with my card?</t>
  </si>
  <si>
    <t xml:space="preserve">Which merchants accept this card?</t>
  </si>
  <si>
    <t xml:space="preserve">Are there any restrictions to where I can use my card?</t>
  </si>
  <si>
    <t xml:space="preserve">At what places accept my card?</t>
  </si>
  <si>
    <t xml:space="preserve">In what places can I use my card?</t>
  </si>
  <si>
    <t xml:space="preserve">What places accept my card?</t>
  </si>
  <si>
    <t xml:space="preserve">Can I use my card no matter where I go?</t>
  </si>
  <si>
    <t xml:space="preserve">Will my card work at all merchant locations?</t>
  </si>
  <si>
    <t xml:space="preserve">How can I know where my card will be accepted?</t>
  </si>
  <si>
    <t xml:space="preserve">Can I pay with my card anywhere?</t>
  </si>
  <si>
    <t xml:space="preserve">Can I use my card anywhere?</t>
  </si>
  <si>
    <t xml:space="preserve">Where can I use this card?</t>
  </si>
  <si>
    <t xml:space="preserve">What businesses can I use this card with?</t>
  </si>
  <si>
    <t xml:space="preserve">Do all businesses take this card?</t>
  </si>
  <si>
    <t xml:space="preserve">Where is this card accepted?</t>
  </si>
  <si>
    <t xml:space="preserve">What businesses accept my card?</t>
  </si>
  <si>
    <t xml:space="preserve">Can i use this card at any store?</t>
  </si>
  <si>
    <t xml:space="preserve">Are there any restrictions on where I use this card?</t>
  </si>
  <si>
    <t xml:space="preserve">My top up did not show up as shown and my money has disappeared, can you help me fix this glitch problem?</t>
  </si>
  <si>
    <t xml:space="preserve">Has my top-up been cancelled?</t>
  </si>
  <si>
    <t xml:space="preserve">I topped up recently and saw the money go through, but now it's just gone? What's going on</t>
  </si>
  <si>
    <t xml:space="preserve">For what reason did my top-up get cancelled?</t>
  </si>
  <si>
    <t xml:space="preserve">I think my top up has been reverted</t>
  </si>
  <si>
    <t xml:space="preserve">Has my top-up gone through?</t>
  </si>
  <si>
    <t xml:space="preserve">I went to top up my card and it was cancelled.</t>
  </si>
  <si>
    <t xml:space="preserve">I didn't cancel my top-up.</t>
  </si>
  <si>
    <t xml:space="preserve">I have a reverted top up I made and wanted to know why it didn't go through.</t>
  </si>
  <si>
    <t xml:space="preserve">I believe my top up was reverted.</t>
  </si>
  <si>
    <t xml:space="preserve">My money is gone. I had topped up recently and saw it was there and went through, but now it's disappeared, what's going on?</t>
  </si>
  <si>
    <t xml:space="preserve">Hello, I have tried using crypto top up but it is not working. I had some money in my account but I'm not sure what happened</t>
  </si>
  <si>
    <t xml:space="preserve">Why did my top up get reverted?</t>
  </si>
  <si>
    <t xml:space="preserve">What caused my top-up to be returned?</t>
  </si>
  <si>
    <t xml:space="preserve">What happened to my top-up? It was all done and now it's gone! Are you having problems with your system?</t>
  </si>
  <si>
    <t xml:space="preserve">Why was my top up reverted?</t>
  </si>
  <si>
    <t xml:space="preserve">Seems like my top-up has been cancelled</t>
  </si>
  <si>
    <t xml:space="preserve">Seems like my top up has been cancelled</t>
  </si>
  <si>
    <t xml:space="preserve">My money has disappeared. I had recently added money in, and saw it was there and went through. Now it's gone. What is happening?</t>
  </si>
  <si>
    <t xml:space="preserve">Something is wrong, my top-up is gone and I don't know what happened to my money.</t>
  </si>
  <si>
    <t xml:space="preserve">My money is nowhere to be found? I talked up earlier and seen it. Now it has vanished. What is going on?</t>
  </si>
  <si>
    <t xml:space="preserve">My top-up was cancelled and I am writing to ask if I need to complete the 3D Secure authentication section before I submit it.</t>
  </si>
  <si>
    <t xml:space="preserve">How come I can't put money in my top up account?</t>
  </si>
  <si>
    <t xml:space="preserve">Why has my top-up been reverted?</t>
  </si>
  <si>
    <t xml:space="preserve">My top up was reverted. Can you help?</t>
  </si>
  <si>
    <t xml:space="preserve">My top-up was supposed to be done, but now the money is gone! Is there a glitch in your system?</t>
  </si>
  <si>
    <t xml:space="preserve">Why would my top up be reverted?</t>
  </si>
  <si>
    <t xml:space="preserve">I tried to make a top-up and it was canceled, why is that?</t>
  </si>
  <si>
    <t xml:space="preserve">Did you revert my top up?</t>
  </si>
  <si>
    <t xml:space="preserve">The app declined my top up. What did I do wrong?</t>
  </si>
  <si>
    <t xml:space="preserve">Is there a reason my top-up has been cancelled?</t>
  </si>
  <si>
    <t xml:space="preserve">I think you reverted my top up.</t>
  </si>
  <si>
    <t xml:space="preserve">I need someone to find out where my money has gone to? It has disappeared. I completed a top up earlier and seen it had went through. Since it has now disappeared I need to know what's going on.</t>
  </si>
  <si>
    <t xml:space="preserve">For some reason, the money I added was returned.</t>
  </si>
  <si>
    <t xml:space="preserve">Why didn't my top up work?</t>
  </si>
  <si>
    <t xml:space="preserve">I went to look at my top-up and it was canceled, can you tell me why this happend?</t>
  </si>
  <si>
    <t xml:space="preserve">How does my top-up got cancelled?</t>
  </si>
  <si>
    <t xml:space="preserve">Did you lose my money? I had added funds through top-up not long ago and I know they were in my account, but they seem to have disappeared. What happened?</t>
  </si>
  <si>
    <t xml:space="preserve">What happened to my top-up? I think it was cancelled.</t>
  </si>
  <si>
    <t xml:space="preserve">Why did my top-up get reverted?</t>
  </si>
  <si>
    <t xml:space="preserve">Why won't my top up go through?</t>
  </si>
  <si>
    <t xml:space="preserve">Please explain why the funds I added were returned to my account.</t>
  </si>
  <si>
    <t xml:space="preserve">Why isn't top-up working? My top-up money disappeared after I saw that it was successfully transferred. Is it gone? Where did it go?</t>
  </si>
  <si>
    <t xml:space="preserve">My money is gone. I had topped up recently and saw it was there and went through, but now it's disappeared, what is happening?</t>
  </si>
  <si>
    <t xml:space="preserve">I did a topup successfully but its not showing in balance. I think there is some problem in system.</t>
  </si>
  <si>
    <t xml:space="preserve">I put some money in my account the other day but now its gone? Why is this?</t>
  </si>
  <si>
    <t xml:space="preserve">My thoughts were that you offered crypto top up which does not seem to be working. The money has now been taken from my account. What is the problem here?</t>
  </si>
  <si>
    <t xml:space="preserve">My money is gone :( I had topped up recently and saw it was there and went through, but now it's disappeared, what's going on?</t>
  </si>
  <si>
    <t xml:space="preserve">I think my top up may have been reverted, what do I do?</t>
  </si>
  <si>
    <t xml:space="preserve">What is the status of my top up?</t>
  </si>
  <si>
    <t xml:space="preserve">When I top-up, the app reverts it.</t>
  </si>
  <si>
    <t xml:space="preserve">Why has my top up been cancelled</t>
  </si>
  <si>
    <t xml:space="preserve">What's the problem? I thought you offered crypto top up. This doesn't appear to be working at all. My money has now vanished from my account.</t>
  </si>
  <si>
    <t xml:space="preserve">I thought you offer crypto top up but it doesn't seem to be right ? Money just disappeared from my account, How it would work ?</t>
  </si>
  <si>
    <t xml:space="preserve">Why is my top-up showing as cancelled?</t>
  </si>
  <si>
    <t xml:space="preserve">Why does my top-up get cancelled?</t>
  </si>
  <si>
    <t xml:space="preserve">What I topped up was reverted by the app.</t>
  </si>
  <si>
    <t xml:space="preserve">I was checking my statement and my top-up has been reverted</t>
  </si>
  <si>
    <t xml:space="preserve">My money is gone. I had topped up recently and saw it was there, but now it's disappeared, what's going on?</t>
  </si>
  <si>
    <t xml:space="preserve">My top up was rejected. Why?</t>
  </si>
  <si>
    <t xml:space="preserve">I wanted to know why a top-up I made has been reverted.</t>
  </si>
  <si>
    <t xml:space="preserve">What should I do?  I topped off but the app reversed  it.</t>
  </si>
  <si>
    <t xml:space="preserve">I thought crypto top up with something you offer. This is not working. The money has been deducted from my account. Can you find out what's going on?</t>
  </si>
  <si>
    <t xml:space="preserve">Hi, I have done a topup, but my money was reverted. Please look into this issue.</t>
  </si>
  <si>
    <t xml:space="preserve">My top-up has been reverted and I would like to know why.</t>
  </si>
  <si>
    <t xml:space="preserve">How can I tell if my top-up has been cancelled?</t>
  </si>
  <si>
    <t xml:space="preserve">When I topped up the app has seemed to reverted it.</t>
  </si>
  <si>
    <t xml:space="preserve">I think my top up was reversed.</t>
  </si>
  <si>
    <t xml:space="preserve">I refilled my account balance but got an error message.</t>
  </si>
  <si>
    <t xml:space="preserve">My money's disappeared from my account! I topped up the other day and it was there, but now it's not. Help?</t>
  </si>
  <si>
    <t xml:space="preserve">Why is my top-up showing as reverted?</t>
  </si>
  <si>
    <t xml:space="preserve">My top-up was cancelled, could my bank be the problem?</t>
  </si>
  <si>
    <t xml:space="preserve">HI,Accordingly you offer crypto top up but it doesn't seem to be working? Money just disappeared from my account.What should be done now?</t>
  </si>
  <si>
    <t xml:space="preserve">Why did you revert my top-up?</t>
  </si>
  <si>
    <t xml:space="preserve">My topup got reverted. Please let me know if there is any issue in system.</t>
  </si>
  <si>
    <t xml:space="preserve">My top-up was reverted by the app.</t>
  </si>
  <si>
    <t xml:space="preserve">Why was my top up cancelled?</t>
  </si>
  <si>
    <t xml:space="preserve">How do I tell if my top up was reverted?</t>
  </si>
  <si>
    <t xml:space="preserve">top up cancellation</t>
  </si>
  <si>
    <t xml:space="preserve">I was under the impression that you offer crypto top up; however,  it doesn't appear to be working. The money has now disappeared from my account so I need to know what the deal is?</t>
  </si>
  <si>
    <t xml:space="preserve">I topped up and now my money is not there anymore! What happened to it?</t>
  </si>
  <si>
    <t xml:space="preserve">Explain why my top up has been reverted please.</t>
  </si>
  <si>
    <t xml:space="preserve">If my top-up didn't transfer, what went wrong?</t>
  </si>
  <si>
    <t xml:space="preserve">Why has my money disappeared? I topped up earlier and seen it was there and had went through. What seems to be the problem?</t>
  </si>
  <si>
    <t xml:space="preserve">My top up may have been reverted</t>
  </si>
  <si>
    <t xml:space="preserve">Hi there, I came across a problem with my top up and my money is missing, was there a system error?</t>
  </si>
  <si>
    <t xml:space="preserve">What caused my top up to be reverted?</t>
  </si>
  <si>
    <t xml:space="preserve">I got an cancellation error when I was topping up.</t>
  </si>
  <si>
    <t xml:space="preserve">Why didnt my top up go through</t>
  </si>
  <si>
    <t xml:space="preserve">When I topped up the app reverted it.</t>
  </si>
  <si>
    <t xml:space="preserve">Why was my top-up declined?</t>
  </si>
  <si>
    <t xml:space="preserve">Why wasn't my top-up accepted and where did that money go? At first it said it was confirmed but now I can't find it.</t>
  </si>
  <si>
    <t xml:space="preserve">The app reverted my top up</t>
  </si>
  <si>
    <t xml:space="preserve">Why has my top-up been returned to my account?</t>
  </si>
  <si>
    <t xml:space="preserve">I topped up but the app declined it</t>
  </si>
  <si>
    <t xml:space="preserve">The app reverted after I topped-up</t>
  </si>
  <si>
    <t xml:space="preserve">I'm having an issue with transaction. I topped up my account and saw it went through, but that was a few days ago and the money isn't in my account any more. What's up with that?</t>
  </si>
  <si>
    <t xml:space="preserve">Why did my money disappear when I topped up??</t>
  </si>
  <si>
    <t xml:space="preserve">I have a canceled top-up and wanted to know about it.</t>
  </si>
  <si>
    <t xml:space="preserve">What reasons could cause my top up to be reverted</t>
  </si>
  <si>
    <t xml:space="preserve">Why isn't my top up showing?  Was the money reversed?</t>
  </si>
  <si>
    <t xml:space="preserve">What if my top up is reverted?</t>
  </si>
  <si>
    <t xml:space="preserve">I need to know what's going on. I was under the impression you offered cryto top up which doesn't seem to be working and money has just vanished from my account.</t>
  </si>
  <si>
    <t xml:space="preserve">I got notified that my top up has been reverted. Why?</t>
  </si>
  <si>
    <t xml:space="preserve">I need some help, I thought you guys accepted crypto top ups?? It won't seem to let me do it. I put money in my account and now it's gone and I didn't spend it. Where did it go??</t>
  </si>
  <si>
    <t xml:space="preserve">My top-up was just cancelled.</t>
  </si>
  <si>
    <t xml:space="preserve">Can you explain to me why a top up would be reverted?</t>
  </si>
  <si>
    <t xml:space="preserve">I topped up but my money is not showing. Why is that?</t>
  </si>
  <si>
    <t xml:space="preserve">My automatic top-up was unsuccessful</t>
  </si>
  <si>
    <t xml:space="preserve">It looks like my top-up was cancelled</t>
  </si>
  <si>
    <t xml:space="preserve">Hello. I tried doing a topup and I thought it worked, but now the money is no longer in my account. Can you explain?</t>
  </si>
  <si>
    <t xml:space="preserve">Reasons for top up cancellation.</t>
  </si>
  <si>
    <t xml:space="preserve">Please help me, as my topup amount has been reverted, i did it correctly. I think there is some defect in system.</t>
  </si>
  <si>
    <t xml:space="preserve">Do you support top ups?</t>
  </si>
  <si>
    <t xml:space="preserve">Why did my top-up not go through?</t>
  </si>
  <si>
    <t xml:space="preserve">Explain why my top up would be reverted.</t>
  </si>
  <si>
    <t xml:space="preserve">Why did you revert my top up?</t>
  </si>
  <si>
    <t xml:space="preserve">I thought crypto top up with something you offered and it does not appear that it's working even though the money has disappeared out of my account. Can you tell me what's going on?</t>
  </si>
  <si>
    <t xml:space="preserve">Is there a reason for my top up to be cancelled?</t>
  </si>
  <si>
    <t xml:space="preserve">The app reversed a top off I had.  What should I do?</t>
  </si>
  <si>
    <t xml:space="preserve">What happened to the money that I deposited?</t>
  </si>
  <si>
    <t xml:space="preserve">What's the deal? Money has just disappeared out of my account. I thought you offered crypto top up and it doesn't seem to working.</t>
  </si>
  <si>
    <t xml:space="preserve">Tell me how a top up would be reverted.</t>
  </si>
  <si>
    <t xml:space="preserve">i noticed that the funds were returned to my bank account. What happened?</t>
  </si>
  <si>
    <t xml:space="preserve">Why have my top ups been canceled?</t>
  </si>
  <si>
    <t xml:space="preserve">What did you do with my money??? I just topped up, I saw the money was there, but now it's gone!! What did you do with it?</t>
  </si>
  <si>
    <t xml:space="preserve">I want to know why my top-up was reverted</t>
  </si>
  <si>
    <t xml:space="preserve">I am unable to use my top-up on the app. Could you explain this to me?</t>
  </si>
  <si>
    <t xml:space="preserve">So, I was under the impression that you have an offer for crypto top up. This doesn't seem to be working. Now, the money has just disappeared from my account. What is the deal?</t>
  </si>
  <si>
    <t xml:space="preserve">My money disappeared! Please help??</t>
  </si>
  <si>
    <t xml:space="preserve">Hello there, I tried using crypto top up today but it's not working for me, might it be due to the kind of bank I'm using or the country that I'm from?Money is also missing from my account</t>
  </si>
  <si>
    <t xml:space="preserve">It appears my top-ups have been canceled.</t>
  </si>
  <si>
    <t xml:space="preserve">Do you not accept crypto transfers from certain places? Because when I tried to do a top up the money just disappeared. Im not sure what to do or what I'm doing wrong, please help.</t>
  </si>
  <si>
    <t xml:space="preserve">I attempted to complete a topup, and I thought all was well, but now the money is gone again. Has there been a glitch?</t>
  </si>
  <si>
    <t xml:space="preserve">My money has gone missing. I had recently added money in, and saw it was there and went through. Now it's missing. What is happening?</t>
  </si>
  <si>
    <t xml:space="preserve">I tried to add a topup to my account but the money isn't there, anymore. Did I do something wrong?</t>
  </si>
  <si>
    <t xml:space="preserve">It's only been a few weeks my my top-up got cancelled</t>
  </si>
  <si>
    <t xml:space="preserve">Hi, i just topped up my phone and the money was deducted but it seems to have deducted the same amount again! please help!</t>
  </si>
  <si>
    <t xml:space="preserve">Explain top-up cancellation</t>
  </si>
  <si>
    <t xml:space="preserve">Why did my top up get pulled back out?</t>
  </si>
  <si>
    <t xml:space="preserve">Why has my top up been returned?</t>
  </si>
  <si>
    <t xml:space="preserve">Hello,  I have recharged topup but account is not credited. Please help me in this, i guess there is some defect in system.</t>
  </si>
  <si>
    <t xml:space="preserve">Reverted top up</t>
  </si>
  <si>
    <t xml:space="preserve">Hae, I already completed my 3D secure authentication when I tried the crypto top up but it's still not working for me. I also don't understand what happened to the money in my account</t>
  </si>
  <si>
    <t xml:space="preserve">Can you tell me why my top-up was canceled?</t>
  </si>
  <si>
    <t xml:space="preserve">Why did my top-up not get approved this time?</t>
  </si>
  <si>
    <t xml:space="preserve">Why is my last cheque deposit taking so long?</t>
  </si>
  <si>
    <t xml:space="preserve">I am still waiting for a the cash I deposited this morning</t>
  </si>
  <si>
    <t xml:space="preserve">I tried using a check to update my balance, but it isn't work? Is something wrong?</t>
  </si>
  <si>
    <t xml:space="preserve">I deposited cash but it isn't showing up in my account</t>
  </si>
  <si>
    <t xml:space="preserve">I put some cash into my account but it's not displaying that on my balance.</t>
  </si>
  <si>
    <t xml:space="preserve">Why hasn't my cash been deposited yet?</t>
  </si>
  <si>
    <t xml:space="preserve">Hi, I want to inquire about my balance. Some cash was deposited and it hasn't updated yet.</t>
  </si>
  <si>
    <t xml:space="preserve">I deposited a check yesterday and im not seeing it posted yet in my account. why is that? can you look into it?</t>
  </si>
  <si>
    <t xml:space="preserve">I made a deposit a couple of days back it's, as of yet, not gone in! It would be ideal if you assist me with this</t>
  </si>
  <si>
    <t xml:space="preserve">The cheque I sent a few days ago has not been deposited yet, what is the hold up?</t>
  </si>
  <si>
    <t xml:space="preserve">cash and check deposit has not gone thru</t>
  </si>
  <si>
    <t xml:space="preserve">my balance has not changed, despite depositing a cheque</t>
  </si>
  <si>
    <t xml:space="preserve">Why did my cash deposit not show up?</t>
  </si>
  <si>
    <t xml:space="preserve">Why is my money not in my account. I have already sent it out.</t>
  </si>
  <si>
    <t xml:space="preserve">I placed a cash deposit in my account but I can't see it yet.</t>
  </si>
  <si>
    <t xml:space="preserve">I'm not seeing my cash deposit showing up in my account.</t>
  </si>
  <si>
    <t xml:space="preserve">Last week I put a cash deposit into my account and it is still isn't there.</t>
  </si>
  <si>
    <t xml:space="preserve">I checked the app and my balance has not been updated for the cash or cheque deposit.</t>
  </si>
  <si>
    <t xml:space="preserve">I put some money in my account the other day and it's not gone in yet, can you help with this?</t>
  </si>
  <si>
    <t xml:space="preserve">I did a cash deposit to my account but it doesn't show up</t>
  </si>
  <si>
    <t xml:space="preserve">I can't see my cash deposit in my account.</t>
  </si>
  <si>
    <t xml:space="preserve">I deposited money in the form of a cheque, but my balance has not increased.</t>
  </si>
  <si>
    <t xml:space="preserve">Where is the cash deposit I made?</t>
  </si>
  <si>
    <t xml:space="preserve">I can't figure out why I haven't gotten my cash, when I already put the check in the bank.</t>
  </si>
  <si>
    <t xml:space="preserve">Why is my deposit still pending?</t>
  </si>
  <si>
    <t xml:space="preserve">I made a cash deposit and the balance wasn't updated.</t>
  </si>
  <si>
    <t xml:space="preserve">I did a cash deposit to my account but my balance is still the same. What happened?</t>
  </si>
  <si>
    <t xml:space="preserve">I just deposited cash to my account and can't find it!</t>
  </si>
  <si>
    <t xml:space="preserve">Online banking is not showing my cheque or cash deposit so the balance is incorrect.</t>
  </si>
  <si>
    <t xml:space="preserve">i need help. I updated my balance with a check yesterday and Im not seeing it. Can you look at my account to see what went wrong?</t>
  </si>
  <si>
    <t xml:space="preserve">When will my cheque be processed?</t>
  </si>
  <si>
    <t xml:space="preserve">What happens if I deposit a cheque accidentally?</t>
  </si>
  <si>
    <t xml:space="preserve">Why isn't my cheque deposit showing on my account?  I though it would be faster and would like to to look into it and help.</t>
  </si>
  <si>
    <t xml:space="preserve">When will my deposit from this morning show up?</t>
  </si>
  <si>
    <t xml:space="preserve">I tried updating my balance by cheque yesterday but it doesn't seem to be working. Shouldn't that be faster? Please check my account something has gone wrong there.</t>
  </si>
  <si>
    <t xml:space="preserve">Where is my missing cheque I deposited?</t>
  </si>
  <si>
    <t xml:space="preserve">My balance doesn't show my deposit.</t>
  </si>
  <si>
    <t xml:space="preserve">My account balance doesn't reflect an update I made by cheque yesterday. Is something wrong or is the system slow?</t>
  </si>
  <si>
    <t xml:space="preserve">I made a deposit and the balance hasn't been updated.</t>
  </si>
  <si>
    <t xml:space="preserve">I have yet to receive the cash I added to my account this morning.</t>
  </si>
  <si>
    <t xml:space="preserve">Why isn't my cash deposit showing up in my account?</t>
  </si>
  <si>
    <t xml:space="preserve">I deposited some cash but it hasn't shown up in my account yet, what's going on?</t>
  </si>
  <si>
    <t xml:space="preserve">I deposited a cheque but the cash hasn't arrived yet</t>
  </si>
  <si>
    <t xml:space="preserve">I've already sent the money out and still have not received money in my account.</t>
  </si>
  <si>
    <t xml:space="preserve">I have made a recent check and cash deposit that isn't reflected in my balance.</t>
  </si>
  <si>
    <t xml:space="preserve">I placed a cheque but the funds aren't there</t>
  </si>
  <si>
    <t xml:space="preserve">The cheque I sent to you to have deposited a couple days ago has not cleared in my account yet. What is the issue?</t>
  </si>
  <si>
    <t xml:space="preserve">the balance has not changed, but I have deposited some money</t>
  </si>
  <si>
    <t xml:space="preserve">I am worried about the amount of my cheque, which should be credited to my account few days before. As i have already sent you the cheque.</t>
  </si>
  <si>
    <t xml:space="preserve">I need my account checked because it appears there is a problem. I attempted to update my balance yesterday using cheque but it doesn't seem to have worked.  Should this not be faster than this?</t>
  </si>
  <si>
    <t xml:space="preserve">I've deposited a check but the cash isn't showing that it's there yet.</t>
  </si>
  <si>
    <t xml:space="preserve">Waiting for the cash I deposited this morning still</t>
  </si>
  <si>
    <t xml:space="preserve">I put cash in my account, but I don't see it.</t>
  </si>
  <si>
    <t xml:space="preserve">Where did the money I deposit go??</t>
  </si>
  <si>
    <t xml:space="preserve">I Submitted a cheque couple of days ago, nothing happened to my account yet.What could be the possible issue?</t>
  </si>
  <si>
    <t xml:space="preserve">I made a cash deposit a few days ago and it's still not reflected in my account. Do you know what might have happened?</t>
  </si>
  <si>
    <t xml:space="preserve">Why is the cash not showing in my account for the check I deposited?</t>
  </si>
  <si>
    <t xml:space="preserve">When will the check I deposited post to my account?</t>
  </si>
  <si>
    <t xml:space="preserve">How do I see my updated balance after I make a cheque or cash deposit?</t>
  </si>
  <si>
    <t xml:space="preserve">Why isn't my deposit in my account?</t>
  </si>
  <si>
    <t xml:space="preserve">Where is my cash deposit in my balance?</t>
  </si>
  <si>
    <t xml:space="preserve">Dude I put money in the ATM last week but it ain't there! I need the money now figure this out!</t>
  </si>
  <si>
    <t xml:space="preserve">I deposited cash this morning, but it's not showing up in my account. Can you tell me where's my money?</t>
  </si>
  <si>
    <t xml:space="preserve">How long does it take for a cheque to post to your account?</t>
  </si>
  <si>
    <t xml:space="preserve">Why has my account balance not changed after depositing a cheque?</t>
  </si>
  <si>
    <t xml:space="preserve">Where is the cash I deposited?</t>
  </si>
  <si>
    <t xml:space="preserve">Why is my balance still the same after a cheque deposit?</t>
  </si>
  <si>
    <t xml:space="preserve">Why is my check still not showing up on my account? It's been a week already</t>
  </si>
  <si>
    <t xml:space="preserve">Why isn't my balance updating after depositing cheques and cash.</t>
  </si>
  <si>
    <t xml:space="preserve">My cash deposit isn't in my account. What happened?</t>
  </si>
  <si>
    <t xml:space="preserve">I updated by balance with a cheque yesterday but it isn't showing on my account. Did something go wrong?</t>
  </si>
  <si>
    <t xml:space="preserve">I sent you a cheque a few days ago and I noticed that nothing has happened yet. Can you tell me the status of my cheque please?</t>
  </si>
  <si>
    <t xml:space="preserve">Why isn't my deposit showing up?</t>
  </si>
  <si>
    <t xml:space="preserve">My balance was not updated with my checque or cash deposit.</t>
  </si>
  <si>
    <t xml:space="preserve">Help! I'm missing money, I deposited a cheque but its not showing on my balance.</t>
  </si>
  <si>
    <t xml:space="preserve">My cash deposit from a week ago is still not in my account. Can you help me please?</t>
  </si>
  <si>
    <t xml:space="preserve">I made a deposit but it is not showing up in my balance.</t>
  </si>
  <si>
    <t xml:space="preserve">I sent a cheque a few days ago and i noticed that no money has been put on my account. Can you please tell me the situation of my account?</t>
  </si>
  <si>
    <t xml:space="preserve">The cheque I deposited isn't showing in my account</t>
  </si>
  <si>
    <t xml:space="preserve">my check or cash deposit has not shown up</t>
  </si>
  <si>
    <t xml:space="preserve">Why isn't my cash deposit showing up in my account? I deposited it this morning.</t>
  </si>
  <si>
    <t xml:space="preserve">I deposited a cheque, why isn't my balance showing that I did?</t>
  </si>
  <si>
    <t xml:space="preserve">Why hasn't my cash arrived from a deposited check?</t>
  </si>
  <si>
    <t xml:space="preserve">I put money in my account a week ago but its still not there, what is happening?</t>
  </si>
  <si>
    <t xml:space="preserve">I made a cash deposit, but it hasn't shown up in my balance yet.</t>
  </si>
  <si>
    <t xml:space="preserve">When will I see my cash, since I already deposited my check?</t>
  </si>
  <si>
    <t xml:space="preserve">Hi,  My money has not been credited to my account for which i have sent you cheque few days before. I am worried about the money please let me know the status.</t>
  </si>
  <si>
    <t xml:space="preserve">I haven't seen the cash yet from the cheque I deposited.</t>
  </si>
  <si>
    <t xml:space="preserve">I've deposited a check in my account but the cash isn't showing as available.</t>
  </si>
  <si>
    <t xml:space="preserve">I sent a cheque to you a few days ago and the deposit has yet to appear in my account. I need this money, what is the problem?</t>
  </si>
  <si>
    <t xml:space="preserve">What's going on with my balance? Shouldn't it be a bit higher since I deposited a cheque a day ago?</t>
  </si>
  <si>
    <t xml:space="preserve">Why am I not seeing the check I deposited this morning in my account?</t>
  </si>
  <si>
    <t xml:space="preserve">Do you guys accept cash? Because i deposited some this morning and I can't see it in my account.</t>
  </si>
  <si>
    <t xml:space="preserve">My cash deposit hasn't posted to my account.</t>
  </si>
  <si>
    <t xml:space="preserve">I had a cheque deposited, but I don't see my money yet?</t>
  </si>
  <si>
    <t xml:space="preserve">My balance is not right. It has not been updated for the cash or cheque deposit.</t>
  </si>
  <si>
    <t xml:space="preserve">After I deposited my cash, I still don't see it in my account.</t>
  </si>
  <si>
    <t xml:space="preserve">I made a cash deposit going to my account but it is not there</t>
  </si>
  <si>
    <t xml:space="preserve">I deposited a check yesterday and Im not seeing it in my account. i need the money, is there something wrong with my account? check it out please</t>
  </si>
  <si>
    <t xml:space="preserve">My cheque deposit didn't seem to work.</t>
  </si>
  <si>
    <t xml:space="preserve">I still do not see the cash deposit in my account from last week. Why?</t>
  </si>
  <si>
    <t xml:space="preserve">When will my cheque process?</t>
  </si>
  <si>
    <t xml:space="preserve">I deposited a check, but haven't received the funds for it.</t>
  </si>
  <si>
    <t xml:space="preserve">After depositing a cheque my balance did not change.</t>
  </si>
  <si>
    <t xml:space="preserve">Cash has been deposited this morning but it hasn't came through.</t>
  </si>
  <si>
    <t xml:space="preserve">I deposited a cheque a week ago but have yet to receive the cash.</t>
  </si>
  <si>
    <t xml:space="preserve">I put money into my account in the form of a cheque, but my balance did not change.</t>
  </si>
  <si>
    <t xml:space="preserve">I deposited cash into my account a week ago and it is still not available, please tell me why? I need the cash back now.</t>
  </si>
  <si>
    <t xml:space="preserve">My mother deposited a cheque into my account last week, why is it still not showing up?</t>
  </si>
  <si>
    <t xml:space="preserve">Why hasn't my balance been updated from the check deposit I made?</t>
  </si>
  <si>
    <t xml:space="preserve">Where is the money I put in the bank?</t>
  </si>
  <si>
    <t xml:space="preserve">I haven't received the cash from the check I deposited.</t>
  </si>
  <si>
    <t xml:space="preserve">After trying to update my account balance yesterday by cheque it doesn't seem to working. Shouldn't the process be quicker? I need my account looked at because there appears to be a problem.</t>
  </si>
  <si>
    <t xml:space="preserve">Is there an issue with my account?  I don't see a cheque deposit that I made yesterday.  Please assist.</t>
  </si>
  <si>
    <t xml:space="preserve">Even though I made a cash deposit, I am not seeing it in my account.</t>
  </si>
  <si>
    <t xml:space="preserve">I put money in my account a week ago but its still not there?? What happened to my money?</t>
  </si>
  <si>
    <t xml:space="preserve">Why did the cash deposit not show up in my account?</t>
  </si>
  <si>
    <t xml:space="preserve">What is going on? My balance still hasn't updated and it has been two weeks since I deposited my money!</t>
  </si>
  <si>
    <t xml:space="preserve">I deposited cash into my account, why do I not see it?</t>
  </si>
  <si>
    <t xml:space="preserve">Can you tell me why a cheque deposit isn't showing in my balance?</t>
  </si>
  <si>
    <t xml:space="preserve">Why is my cash deposit not in my account?</t>
  </si>
  <si>
    <t xml:space="preserve">Why isn't my money from a check deposit showing?</t>
  </si>
  <si>
    <t xml:space="preserve">I put my check in the bank, but I haven't gotten my cash yet?</t>
  </si>
  <si>
    <t xml:space="preserve">How long should a cheque deposit take to show? My account hasn't updated and I want to make sure everything is okay.</t>
  </si>
  <si>
    <t xml:space="preserve">i used a check check yesterday to balance my account and it isn't showing up?</t>
  </si>
  <si>
    <t xml:space="preserve">I recently deposited some money into my account, but it still isn't showing up. What's going on?</t>
  </si>
  <si>
    <t xml:space="preserve">My friend deposited $100 into my account, but it is not showing up!</t>
  </si>
  <si>
    <t xml:space="preserve">The cash deposit I made this morning has not been credited to my account</t>
  </si>
  <si>
    <t xml:space="preserve">I did a cash deposit to my account, but I am not seeing it on my statement.</t>
  </si>
  <si>
    <t xml:space="preserve">I deposited a cheque but I don't see the funds in my account.</t>
  </si>
  <si>
    <t xml:space="preserve">When will my deposit post to my account?</t>
  </si>
  <si>
    <t xml:space="preserve">I am still waiting for the cash to be returned from a cheque I deposited!</t>
  </si>
  <si>
    <t xml:space="preserve">How long does it take to show a deposit I made to my balance?</t>
  </si>
  <si>
    <t xml:space="preserve">I deposited cash into my account and I'm having trouble seeing it on my account.</t>
  </si>
  <si>
    <t xml:space="preserve">I wrote a check to the account yesterday to add to my balance, but I don't see the amount of the check reflected anywhere.  Is it being held up for some reason?  I should have seen a new balance by now!</t>
  </si>
  <si>
    <t xml:space="preserve">How long do cheques take to post to your account?</t>
  </si>
  <si>
    <t xml:space="preserve">I deposited money but my balance hasn't been updated yet.</t>
  </si>
  <si>
    <t xml:space="preserve">I deposited cash this morning, but it is not yet available.</t>
  </si>
  <si>
    <t xml:space="preserve">I have cash deposit to my account but it is experiencing a problem</t>
  </si>
  <si>
    <t xml:space="preserve">How long will it take for the cash I deposited this morning to show up?</t>
  </si>
  <si>
    <t xml:space="preserve">The cast deposit from a week ago still is not in my account. Why?</t>
  </si>
  <si>
    <t xml:space="preserve">Why is the check I deposited this morning not showing up?</t>
  </si>
  <si>
    <t xml:space="preserve">How long do deposits take to appear? I've been waiting for more than a week and need the money!</t>
  </si>
  <si>
    <t xml:space="preserve">When will my deposit be processed?</t>
  </si>
  <si>
    <t xml:space="preserve">I am still awaiting the money I put into my account this morning.</t>
  </si>
  <si>
    <t xml:space="preserve">Why am I still not able to see the money I deposited a week ago? This is urgent!!</t>
  </si>
  <si>
    <t xml:space="preserve">I deposited a check a few days ago and it's still not gone in! Please help me with this</t>
  </si>
  <si>
    <t xml:space="preserve">I made a check and cash deposit that wasn't credited to my account.</t>
  </si>
  <si>
    <t xml:space="preserve">I deposited a check yesterday to up my account balance, but that deposit hasn't shown up yet.  It's been a day already!</t>
  </si>
  <si>
    <t xml:space="preserve">Why hasn't my cheque processed?</t>
  </si>
  <si>
    <t xml:space="preserve">I am still currently waiting for the cash that has been deposited into the account this morning.</t>
  </si>
  <si>
    <t xml:space="preserve">I sent a check into the system but still haven't received the cash yet</t>
  </si>
  <si>
    <t xml:space="preserve">I recently deposited a cheque and cannot find the cash from it.</t>
  </si>
  <si>
    <t xml:space="preserve">When will I receive the cash payment from the check I deposited?</t>
  </si>
  <si>
    <t xml:space="preserve">My cheque is slow to cash</t>
  </si>
  <si>
    <t xml:space="preserve">I attempted to deposit a cheque yesterday but the balance isn't showing today. Is it still pending?</t>
  </si>
  <si>
    <t xml:space="preserve">Why haven't I seen the cash from the cheque I deposited yet?</t>
  </si>
  <si>
    <t xml:space="preserve">My cheque is taking a while</t>
  </si>
  <si>
    <t xml:space="preserve">I made a cash deposit to my account but i don't see it</t>
  </si>
  <si>
    <t xml:space="preserve">The check I deposited yesterday isn't listed yet.  Isn't that pretty slow?  I need to see the balance increased by that check.</t>
  </si>
  <si>
    <t xml:space="preserve">where is my money from this morning</t>
  </si>
  <si>
    <t xml:space="preserve">Why is it taking so long for my money to appear in my account? I have been waiting a week!</t>
  </si>
  <si>
    <t xml:space="preserve">I deposited a cheque, but the balance hasn't changed yet.</t>
  </si>
  <si>
    <t xml:space="preserve">My account balance has not updated since I deposited a cheque recently.</t>
  </si>
  <si>
    <t xml:space="preserve">How long does a check take to show up in the account balance?</t>
  </si>
  <si>
    <t xml:space="preserve">What is going on with my cash deposit. I'm looking at my account balance and it is not there. It has been almost a week. Someone better get back to me asap.</t>
  </si>
  <si>
    <t xml:space="preserve">Why hasn't my account updated?</t>
  </si>
  <si>
    <t xml:space="preserve">I haven't received the money from the check I deposited.</t>
  </si>
  <si>
    <t xml:space="preserve">I deposited a cheque with some money, but the balance hasn't changed.</t>
  </si>
  <si>
    <t xml:space="preserve">I deposited a cheque, but my account balance stayed the same.</t>
  </si>
  <si>
    <t xml:space="preserve">Why hasn't my balance been updated? I've deposited a few cheques some days ago!</t>
  </si>
  <si>
    <t xml:space="preserve">why hasn't my cash arrived yet from my cheque?!</t>
  </si>
  <si>
    <t xml:space="preserve">I made a check deposit but the cash hasn't arrived in my account yet.</t>
  </si>
  <si>
    <t xml:space="preserve">The balance hasn't changed yet after depositing a cheque with some money.</t>
  </si>
  <si>
    <t xml:space="preserve">What happened to my cash deposit?</t>
  </si>
  <si>
    <t xml:space="preserve">Please, tell me why I can't have the funds I deposited a week ago? I need the money now.</t>
  </si>
  <si>
    <t xml:space="preserve">After my checque or cash deposit, my balance didn't update.</t>
  </si>
  <si>
    <t xml:space="preserve">When will my balance reflect a deposit?</t>
  </si>
  <si>
    <t xml:space="preserve">I made a cash deposit to my account but it is not there</t>
  </si>
  <si>
    <t xml:space="preserve">I deposited a cheque and its been days and I still haven't received the cash!!</t>
  </si>
  <si>
    <t xml:space="preserve">I deposited some money, but the balance has not changed.</t>
  </si>
  <si>
    <t xml:space="preserve">There's a payment with my card that I didn't perform. I don't know that name shown.</t>
  </si>
  <si>
    <t xml:space="preserve">My statement indicates I made a payment to an unfamiliar merchant.</t>
  </si>
  <si>
    <t xml:space="preserve">There's a payment with my card that I definitely didn't do myself, never seen that name before.</t>
  </si>
  <si>
    <t xml:space="preserve">Help! In the app there is a payment that I don't remember.</t>
  </si>
  <si>
    <t xml:space="preserve">I don't understand where this charge came from.</t>
  </si>
  <si>
    <t xml:space="preserve">there is a charge i dont recognize</t>
  </si>
  <si>
    <t xml:space="preserve">I need to figure out what these charges are on my account. They've been coming out for a couple of days. Can i get all of this money back? Also, I need to freeze my card.</t>
  </si>
  <si>
    <t xml:space="preserve">Someone might have access to my card!  There are some strange payments showing up on my account.  What do I do?</t>
  </si>
  <si>
    <t xml:space="preserve">There are a couple payments with my card shown in the app that i really didn't make myself. What's going on with this, does someone has access to my card?!</t>
  </si>
  <si>
    <t xml:space="preserve">I'm using the app and I noticed a payment that I didn't make.</t>
  </si>
  <si>
    <t xml:space="preserve">A strange card payment, I do not recognize it.</t>
  </si>
  <si>
    <t xml:space="preserve">They is a payment I don't recognize on my statement.</t>
  </si>
  <si>
    <t xml:space="preserve">I have an unusual payment in my statement</t>
  </si>
  <si>
    <t xml:space="preserve">I do not recognize the card payment.</t>
  </si>
  <si>
    <t xml:space="preserve">Hi something is going on with the app.  I see some payments I didn't make?</t>
  </si>
  <si>
    <t xml:space="preserve">If I see a payment in the app that I don't recognize, what should I do?</t>
  </si>
  <si>
    <t xml:space="preserve">I do not recognise the card payment.</t>
  </si>
  <si>
    <t xml:space="preserve">There are a couple payments with my card shown in the app that i really didn't make myself. What's happenning with this, does someone has access to my card?!</t>
  </si>
  <si>
    <t xml:space="preserve">Just today there was a purchase on my card that wasn't done by me. Can this be reversed and my card be frozen? I can't have this continue!</t>
  </si>
  <si>
    <t xml:space="preserve">I need some help now please! There are some transactions on my account that I do not remember purchasing. Can they be reversed? Can you please cancel or freeze my card so I don't keep getting charged?!</t>
  </si>
  <si>
    <t xml:space="preserve">my statement contains an unknown payment</t>
  </si>
  <si>
    <t xml:space="preserve">I don't recognize what this payment on my statement would be for.</t>
  </si>
  <si>
    <t xml:space="preserve">There has been a payment  in the App that has not be done by me.</t>
  </si>
  <si>
    <t xml:space="preserve">I don't recognize a purchase that was made with my card.</t>
  </si>
  <si>
    <t xml:space="preserve">I'm checking the app and I see a payment that's not mine.</t>
  </si>
  <si>
    <t xml:space="preserve">I have a charge for something I didn't buy.</t>
  </si>
  <si>
    <t xml:space="preserve">A payment on my statement is wrong.</t>
  </si>
  <si>
    <t xml:space="preserve">There's a payment that isn't mine on my app</t>
  </si>
  <si>
    <t xml:space="preserve">What is this strange payment in my account?</t>
  </si>
  <si>
    <t xml:space="preserve">I'm not sure where this charge came from.</t>
  </si>
  <si>
    <t xml:space="preserve">I looked at my statement and found a payment I and found a mistake.</t>
  </si>
  <si>
    <t xml:space="preserve">A payment in my account was made by someone I don't know</t>
  </si>
  <si>
    <t xml:space="preserve">I don't recognize this payment on my app, I am sure I didn't spend any money there.</t>
  </si>
  <si>
    <t xml:space="preserve">There are a couple of payments with my card shown in the app that in reality I didn't make. Maybe someone has access to my card?Can you check whats the issue ?</t>
  </si>
  <si>
    <t xml:space="preserve">There is payment showing that I didn't do.</t>
  </si>
  <si>
    <t xml:space="preserve">Payment I didn't do.</t>
  </si>
  <si>
    <t xml:space="preserve">Why is there a random payment in my statement?</t>
  </si>
  <si>
    <t xml:space="preserve">Hi, there is a suspicious payment from my card. I definitely do not know who this is or who could have made this payment.</t>
  </si>
  <si>
    <t xml:space="preserve">A payment I didn't do shows in my app</t>
  </si>
  <si>
    <t xml:space="preserve">There is  a charge I don't recognize.</t>
  </si>
  <si>
    <t xml:space="preserve">I'm noticing a payment/purchase at a company that I don't recognise.</t>
  </si>
  <si>
    <t xml:space="preserve">There seems to be a couple of payments listed in the app I know weren't made by me. Is there a possibility someone has access to my card? Can you find out what's going on?</t>
  </si>
  <si>
    <t xml:space="preserve">I need to freeze my card as soon as possible. I just checked my account and saw that there have been several payments that I don't recognize over the course of a few days. Can we investigate and get my money back?</t>
  </si>
  <si>
    <t xml:space="preserve">There are some charges that I don't recognize.  It happened days ago.  Can I get these charges back?  Should I cancel my card?</t>
  </si>
  <si>
    <t xml:space="preserve">Please help.  There is a payment in the app that isn't mine.</t>
  </si>
  <si>
    <t xml:space="preserve">I am seeing in the App a payment that its not mine</t>
  </si>
  <si>
    <t xml:space="preserve">There's a payment in the app I don't recognize.</t>
  </si>
  <si>
    <t xml:space="preserve">Hello, i just checked my statement and there seems to be a payment from my card that I have never seen before.</t>
  </si>
  <si>
    <t xml:space="preserve">There is a card payment I'm not familiar with.</t>
  </si>
  <si>
    <t xml:space="preserve">There is a strange payment on my card and I don't know what to do.</t>
  </si>
  <si>
    <t xml:space="preserve">Is it possible someone has access to my card? I noticed that there are a couple of payments in the app I'm sure I did not make. Can you find out what's going on here?</t>
  </si>
  <si>
    <t xml:space="preserve">There are some card payments that I haven't done myself. What is going on with my card and does somebody else have access to my card?</t>
  </si>
  <si>
    <t xml:space="preserve">I have a payment in my statement that is off</t>
  </si>
  <si>
    <t xml:space="preserve">I did not do this payment</t>
  </si>
  <si>
    <t xml:space="preserve">I've never been to that store.  That's a fraudulent charge.</t>
  </si>
  <si>
    <t xml:space="preserve">There are charges on my card from the past few day I am pretty sure I didnt make, can you please freeze it for me? How do I get my money returned since it wasnt me?</t>
  </si>
  <si>
    <t xml:space="preserve">I have a payment I didnt make on my account</t>
  </si>
  <si>
    <t xml:space="preserve">There were a couple of payments that I have noticed on my account with my card that I didn't make. Is it possible that somebody else has my card information?</t>
  </si>
  <si>
    <t xml:space="preserve">There is an unauthorized payment in my statement.</t>
  </si>
  <si>
    <t xml:space="preserve">There are a couple payments with my card shown in the app that i really make myself. What's going on with this, maybe someone has access to my card?!</t>
  </si>
  <si>
    <t xml:space="preserve">I don't recognize this payment at all!  Help!</t>
  </si>
  <si>
    <t xml:space="preserve">There is a record of payment I never submitted on the app.</t>
  </si>
  <si>
    <t xml:space="preserve">I just looked over my statement and I don't recognize the name of a card payment.</t>
  </si>
  <si>
    <t xml:space="preserve">I didn't make a payment at this business.</t>
  </si>
  <si>
    <t xml:space="preserve">There is a payment on my card that I do not recognize.  I've never seen the name on the transaction before.</t>
  </si>
  <si>
    <t xml:space="preserve">Why do I have a strange payment on my statement?</t>
  </si>
  <si>
    <t xml:space="preserve">i didnt do this charge</t>
  </si>
  <si>
    <t xml:space="preserve">I did not charge my account for that transaction.  That's an error.</t>
  </si>
  <si>
    <t xml:space="preserve">There is a payment that is not mine in the App.</t>
  </si>
  <si>
    <t xml:space="preserve">I see an unfamiliar payment on my statement.</t>
  </si>
  <si>
    <t xml:space="preserve">Why is this payment on my app</t>
  </si>
  <si>
    <t xml:space="preserve">There is a payment I don't recognize</t>
  </si>
  <si>
    <t xml:space="preserve">This card payment isn't is recognition.</t>
  </si>
  <si>
    <t xml:space="preserve">why do I have an unknown payment?</t>
  </si>
  <si>
    <t xml:space="preserve">Payment I did not make.</t>
  </si>
  <si>
    <t xml:space="preserve">I just saw some charges on my card from the past days that I dont recognize, I need to freeze the card asap! Will I be able to get my money back?</t>
  </si>
  <si>
    <t xml:space="preserve">There are a couple of payments with my card shown in the app that I really didn't make myself. What's going on with this?</t>
  </si>
  <si>
    <t xml:space="preserve">Why is there a payment I didn't do in my app?</t>
  </si>
  <si>
    <t xml:space="preserve">I have a payment that I didn't make.</t>
  </si>
  <si>
    <t xml:space="preserve">The app is showing a payment I never made.</t>
  </si>
  <si>
    <t xml:space="preserve">I checked the app and there is a payment that I don't recognize.</t>
  </si>
  <si>
    <t xml:space="preserve">How do I find out how or where this transaction on my account came from?</t>
  </si>
  <si>
    <t xml:space="preserve">I need to figure out who has access to my card there are some payments I didn't make that are showing on the app.  Could you please help?</t>
  </si>
  <si>
    <t xml:space="preserve">There is a strange payment on my card.</t>
  </si>
  <si>
    <t xml:space="preserve">I've got charges on my account I did not authorize. Can I get this money back from the last couple of days that it's been coming out? I also need to freeze my card.</t>
  </si>
  <si>
    <t xml:space="preserve">There is a payment made with my card that I don't recognize at all.</t>
  </si>
  <si>
    <t xml:space="preserve">I saw a payment come out of my account for a merchant I don't remember.</t>
  </si>
  <si>
    <t xml:space="preserve">There's a payment with my card that I definitely didn't create. I don't know anyone by that name.</t>
  </si>
  <si>
    <t xml:space="preserve">The App shows a fraudulent payment made on my account.</t>
  </si>
  <si>
    <t xml:space="preserve">There's a payment in my history I don't recognize</t>
  </si>
  <si>
    <t xml:space="preserve">There is a payment on my card that I do not recognize.</t>
  </si>
  <si>
    <t xml:space="preserve">My app shows a payment I didn't make</t>
  </si>
  <si>
    <t xml:space="preserve">I don't know if I made this payment on my card.</t>
  </si>
  <si>
    <t xml:space="preserve">After looking at the app I noticed a couple of payments I know I did not make. Is it possible someone has accessed my card? What is actually going on?</t>
  </si>
  <si>
    <t xml:space="preserve">I do not recongize a payment in my account.</t>
  </si>
  <si>
    <t xml:space="preserve">A payment shows up on the app that I never made.</t>
  </si>
  <si>
    <t xml:space="preserve">I swear that there are 2 payments on the app that I didn't make.  Could my card me stolen?  Please advise what I should do.</t>
  </si>
  <si>
    <t xml:space="preserve">Is there any way to know how the transaction got on my account?</t>
  </si>
  <si>
    <t xml:space="preserve">I did not make this payment that I see in the App.</t>
  </si>
  <si>
    <t xml:space="preserve">I have a card payment I didn't make</t>
  </si>
  <si>
    <t xml:space="preserve">i disagree with a charge</t>
  </si>
  <si>
    <t xml:space="preserve">I didn't make this payment!</t>
  </si>
  <si>
    <t xml:space="preserve">There is a payment in the app I did not make</t>
  </si>
  <si>
    <t xml:space="preserve">There is a vendor name I don't recognize on a payment from my account. I don't think I made this payment.</t>
  </si>
  <si>
    <t xml:space="preserve">I don't think I made this payment that is showing up</t>
  </si>
  <si>
    <t xml:space="preserve">I think there's a purchase at a store that I didn't go to.</t>
  </si>
  <si>
    <t xml:space="preserve">Have a payment that I haven't done.</t>
  </si>
  <si>
    <t xml:space="preserve">There was a purchase on my card recently to a name that I don't recognize at all. What can be done about this? I need my money back.</t>
  </si>
  <si>
    <t xml:space="preserve">One of my card payments, I don't recognise the name of the merchant.</t>
  </si>
  <si>
    <t xml:space="preserve">Hello, I noticed there is a payment from my card to a business that I am not familiar with. I definitely did not make this payment.</t>
  </si>
  <si>
    <t xml:space="preserve">I do not recognise this card payment.</t>
  </si>
  <si>
    <t xml:space="preserve">I have a card payment that I don't recognize. What should I do?</t>
  </si>
  <si>
    <t xml:space="preserve">There are a couple payments with my card shown that I'm not responsible for. What is going on? Maybe someone has access to my account.</t>
  </si>
  <si>
    <t xml:space="preserve">There is a payment with my card which i definitely did not do.</t>
  </si>
  <si>
    <t xml:space="preserve">My app is displaying a payment I didn't make</t>
  </si>
  <si>
    <t xml:space="preserve">I just checked my account on the App and there is a payment on there that I did not make.</t>
  </si>
  <si>
    <t xml:space="preserve">Could you please put a freeze on my card?  There are some payments on it that I don't know where they came from.</t>
  </si>
  <si>
    <t xml:space="preserve">In the App I see a payment that is not mine.</t>
  </si>
  <si>
    <t xml:space="preserve">There is a payment with my card which i definitely did not make by me .Never seen that it before.</t>
  </si>
  <si>
    <t xml:space="preserve">I didn't make this payment and it's on my app</t>
  </si>
  <si>
    <t xml:space="preserve">Why is there an uknown charge showing on my account?</t>
  </si>
  <si>
    <t xml:space="preserve">I think that there is a payment on my card that I did not authorize.  I don't recognize the name attached to the transaction.</t>
  </si>
  <si>
    <t xml:space="preserve">I don't think I made this transaction on my statement</t>
  </si>
  <si>
    <t xml:space="preserve">There is a weird payment in my statement.</t>
  </si>
  <si>
    <t xml:space="preserve">A random charge got added to my card</t>
  </si>
  <si>
    <t xml:space="preserve">I need to freeze my card. There are charges on there that i did not authorize. They've been coming out for a couple of days. Can i get this money back?</t>
  </si>
  <si>
    <t xml:space="preserve">I see a strange payment in my account.</t>
  </si>
  <si>
    <t xml:space="preserve">where is my unknown payment from?</t>
  </si>
  <si>
    <t xml:space="preserve">I have just read my statement and there is a payment I don't recognise.</t>
  </si>
  <si>
    <t xml:space="preserve">There's a card payment I didn't make</t>
  </si>
  <si>
    <t xml:space="preserve">There are a couple payments with my card displayed in the app which I didn't make. What is happening? Maybe someone has access to my card.</t>
  </si>
  <si>
    <t xml:space="preserve">I'm worried that my card has been compromised because I see a payment that I didn't make.</t>
  </si>
  <si>
    <t xml:space="preserve">I didn't do a payment and I have it now.</t>
  </si>
  <si>
    <t xml:space="preserve">how do i dispute a payment I didnt make</t>
  </si>
  <si>
    <t xml:space="preserve">There is a payment in the app that I did not approve</t>
  </si>
  <si>
    <t xml:space="preserve">I don't recognize a charge on my statement.</t>
  </si>
  <si>
    <t xml:space="preserve">There is a strange card payment I don't recognise.</t>
  </si>
  <si>
    <t xml:space="preserve">I believe there is a mistake because a payment I didn't make shows in my app.</t>
  </si>
  <si>
    <t xml:space="preserve">There are a couple payments with my card in the app I see that I didn't create. What is happening? Maybe someone gained access to my account.</t>
  </si>
  <si>
    <t xml:space="preserve">I'm not recognizing the card payment.</t>
  </si>
  <si>
    <t xml:space="preserve">There's a card payment with a name I don't recognize</t>
  </si>
  <si>
    <t xml:space="preserve">There is a payment done with my card which i definitely did not do.Never seen that name before.</t>
  </si>
  <si>
    <t xml:space="preserve">Why is there a payment I didn't do?</t>
  </si>
  <si>
    <t xml:space="preserve">Someone else accessed my account and made a payment.</t>
  </si>
  <si>
    <t xml:space="preserve">I have an odd payment in my statement</t>
  </si>
  <si>
    <t xml:space="preserve">There is a fraudulent payment!</t>
  </si>
  <si>
    <t xml:space="preserve">Why is there an unknown card payment?</t>
  </si>
  <si>
    <t xml:space="preserve">I don't recognize this payment</t>
  </si>
  <si>
    <t xml:space="preserve">I need to know where this charge is coming from?</t>
  </si>
  <si>
    <t xml:space="preserve">I see a payment on my statement for  a place I didn't make a purchase at.</t>
  </si>
  <si>
    <t xml:space="preserve">There is an odd payment in my statement</t>
  </si>
  <si>
    <t xml:space="preserve">There are a few payments in the app that I didn't make! Does someone else have my card?  What should I do?</t>
  </si>
  <si>
    <t xml:space="preserve">I need help with some transactions in my account that I dont recognize or remember purchasing. Im not sure if the name is just different or what. Should my card be put on hold while the issue gets figured out to be safe or is it ok?</t>
  </si>
  <si>
    <t xml:space="preserve">I have a confusing payment appear on my statement and I don't recognise it!</t>
  </si>
  <si>
    <t xml:space="preserve">My statement has a payment that I do not recall making</t>
  </si>
  <si>
    <t xml:space="preserve">I think my card is being used by someone else to make purchases that I didn't authorize! I checked my account and see that there have been quite a few purchases over the last two days that I have no idea where they came from. We need to freeze my card now! And I need to find a way to get my money back.</t>
  </si>
  <si>
    <t xml:space="preserve">What is this card payment, I do not recognize it.</t>
  </si>
  <si>
    <t xml:space="preserve">I didn't make a payment that shows in my app.</t>
  </si>
  <si>
    <t xml:space="preserve">What do I do if I see a transaction on my card that I don't recall making?</t>
  </si>
  <si>
    <t xml:space="preserve">There's a payment in the app that I didn't authorize.</t>
  </si>
  <si>
    <t xml:space="preserve">I have a charge I did not make.</t>
  </si>
  <si>
    <t xml:space="preserve">on my statement there is a payment that I don't recognise</t>
  </si>
  <si>
    <t xml:space="preserve">I need to cancel my card.  There are a few charges from a couple days ago that I didn't make.  Can I get credit for these charges?</t>
  </si>
  <si>
    <t xml:space="preserve">It is listed in my app that I made a payment which I did not actually make</t>
  </si>
  <si>
    <t xml:space="preserve">i dont recognize a charge on my card</t>
  </si>
  <si>
    <t xml:space="preserve">There are a couple of payments with my card shown in the app that I really didn't make myself. Why is it happened?</t>
  </si>
  <si>
    <t xml:space="preserve">A payment that I didn't make appears in my app.</t>
  </si>
  <si>
    <t xml:space="preserve">There is a card payment that I'm not recognizing.</t>
  </si>
  <si>
    <t xml:space="preserve">I am interested in changing my personal details.</t>
  </si>
  <si>
    <t xml:space="preserve">I am here to change my adress.</t>
  </si>
  <si>
    <t xml:space="preserve">I'd like to make some changes to my personal information.</t>
  </si>
  <si>
    <t xml:space="preserve">I would like to change my name after marriage.</t>
  </si>
  <si>
    <t xml:space="preserve">I would like to change my adress</t>
  </si>
  <si>
    <t xml:space="preserve">My address is incorrect on my file.</t>
  </si>
  <si>
    <t xml:space="preserve">My address details have changed and I want to update them</t>
  </si>
  <si>
    <t xml:space="preserve">Where do I go to edit my personal details on my account?</t>
  </si>
  <si>
    <t xml:space="preserve">I need to change my name, since i just got married</t>
  </si>
  <si>
    <t xml:space="preserve">I moved to a new city and need to change my address</t>
  </si>
  <si>
    <t xml:space="preserve">How can I change my address?</t>
  </si>
  <si>
    <t xml:space="preserve">My last name has changed and I need to update my account details.</t>
  </si>
  <si>
    <t xml:space="preserve">where can I change my address?</t>
  </si>
  <si>
    <t xml:space="preserve">How do I edit the personal details on my account?</t>
  </si>
  <si>
    <t xml:space="preserve">details need to be modified</t>
  </si>
  <si>
    <t xml:space="preserve">Am I able to modify my account details?</t>
  </si>
  <si>
    <t xml:space="preserve">How can I change my name because I just got married?</t>
  </si>
  <si>
    <t xml:space="preserve">Where can I find how to change my name?</t>
  </si>
  <si>
    <t xml:space="preserve">I just moved. How do I give you my new address?</t>
  </si>
  <si>
    <t xml:space="preserve">I need to change my address in the personal details.</t>
  </si>
  <si>
    <t xml:space="preserve">Why can't I edit my personal details?</t>
  </si>
  <si>
    <t xml:space="preserve">I need to change details about my personal account.</t>
  </si>
  <si>
    <t xml:space="preserve">I need to change my phone number.</t>
  </si>
  <si>
    <t xml:space="preserve">How can I change my name in my profile?</t>
  </si>
  <si>
    <t xml:space="preserve">I have a new phone number and need to edit my contact information.</t>
  </si>
  <si>
    <t xml:space="preserve">How do I go about changing my address?</t>
  </si>
  <si>
    <t xml:space="preserve">I need to change my personal details in my account.</t>
  </si>
  <si>
    <t xml:space="preserve">My billing address changed and I need to update my information.</t>
  </si>
  <si>
    <t xml:space="preserve">Tell me how to change my details.</t>
  </si>
  <si>
    <t xml:space="preserve">How do I change my account details?</t>
  </si>
  <si>
    <t xml:space="preserve">How do I change the details in my account?</t>
  </si>
  <si>
    <t xml:space="preserve">I would like to change my address.</t>
  </si>
  <si>
    <t xml:space="preserve">I just had a wedding and I want to take my spouses name.</t>
  </si>
  <si>
    <t xml:space="preserve">I got married and need to change my name.</t>
  </si>
  <si>
    <t xml:space="preserve">need my details changed</t>
  </si>
  <si>
    <t xml:space="preserve">I've just got married and want to change my name.</t>
  </si>
  <si>
    <t xml:space="preserve">How do I edit my details?</t>
  </si>
  <si>
    <t xml:space="preserve">I am looking to change my adress.</t>
  </si>
  <si>
    <t xml:space="preserve">I need to change my last name on my account because I just got married.</t>
  </si>
  <si>
    <t xml:space="preserve">after i got married i need to change my name</t>
  </si>
  <si>
    <t xml:space="preserve">Since I just got married I need to change my name.</t>
  </si>
  <si>
    <t xml:space="preserve">I want to change my account details.</t>
  </si>
  <si>
    <t xml:space="preserve">should i contact customer support if i can't edit details</t>
  </si>
  <si>
    <t xml:space="preserve">Need to report a change of address.</t>
  </si>
  <si>
    <t xml:space="preserve">Changed details is essential, what steps do I take to do so?</t>
  </si>
  <si>
    <t xml:space="preserve">Please tell me how to edit my personal details.</t>
  </si>
  <si>
    <t xml:space="preserve">How would I change my details?</t>
  </si>
  <si>
    <t xml:space="preserve">How can I change my information?</t>
  </si>
  <si>
    <t xml:space="preserve">I need to add my new address now that I've moved.</t>
  </si>
  <si>
    <t xml:space="preserve">I moved, can I edit my personal details?</t>
  </si>
  <si>
    <t xml:space="preserve">How do I change my details?</t>
  </si>
  <si>
    <t xml:space="preserve">my identity hasn't been verified and i can't edit my details, what's next</t>
  </si>
  <si>
    <t xml:space="preserve">I need to change my home address.</t>
  </si>
  <si>
    <t xml:space="preserve">I would like to alter my personal details.</t>
  </si>
  <si>
    <t xml:space="preserve">Can I change my details because I moved?</t>
  </si>
  <si>
    <t xml:space="preserve">How to edit personal details?</t>
  </si>
  <si>
    <t xml:space="preserve">Please tell me where I can update my details since I moved.</t>
  </si>
  <si>
    <t xml:space="preserve">how to change name on account</t>
  </si>
  <si>
    <t xml:space="preserve">I need to update my demographics.</t>
  </si>
  <si>
    <t xml:space="preserve">Change of location, need to change details</t>
  </si>
  <si>
    <t xml:space="preserve">How can I edit my personal details in the app?</t>
  </si>
  <si>
    <t xml:space="preserve">I would like to change my personal details.</t>
  </si>
  <si>
    <t xml:space="preserve">Can you walk me through how I can edit some of my personal information?</t>
  </si>
  <si>
    <t xml:space="preserve">How do I change my address ?</t>
  </si>
  <si>
    <t xml:space="preserve">Can I change my name?  I am not married.</t>
  </si>
  <si>
    <t xml:space="preserve">Since I got married, I need to change my name.</t>
  </si>
  <si>
    <t xml:space="preserve">Is it possible to change my address?</t>
  </si>
  <si>
    <t xml:space="preserve">I need to modify my details.</t>
  </si>
  <si>
    <t xml:space="preserve">Is there a way to modify my details?</t>
  </si>
  <si>
    <t xml:space="preserve">Where can I modify my details?</t>
  </si>
  <si>
    <t xml:space="preserve">I got a new address and need to change my old one.</t>
  </si>
  <si>
    <t xml:space="preserve">How to modify my details.</t>
  </si>
  <si>
    <t xml:space="preserve">My marital status has change, I got to correct my name to reflect that.</t>
  </si>
  <si>
    <t xml:space="preserve">Can I change my address?</t>
  </si>
  <si>
    <t xml:space="preserve">I moved so I need to change my address. How do I do that?</t>
  </si>
  <si>
    <t xml:space="preserve">I've just moved and I need to change my details</t>
  </si>
  <si>
    <t xml:space="preserve">I've just been married and need to update my name</t>
  </si>
  <si>
    <t xml:space="preserve">How do I change my name after marriage</t>
  </si>
  <si>
    <t xml:space="preserve">I moved and would like to change my address.</t>
  </si>
  <si>
    <t xml:space="preserve">Talk me through modifying my details.</t>
  </si>
  <si>
    <t xml:space="preserve">I just got married and need to change my name on the account</t>
  </si>
  <si>
    <t xml:space="preserve">How do I update my address?</t>
  </si>
  <si>
    <t xml:space="preserve">I just got married and I need to change my name</t>
  </si>
  <si>
    <t xml:space="preserve">Can I update my details?</t>
  </si>
  <si>
    <t xml:space="preserve">I need to update my address.</t>
  </si>
  <si>
    <t xml:space="preserve">is there a way to change name?</t>
  </si>
  <si>
    <t xml:space="preserve">I must change my address.</t>
  </si>
  <si>
    <t xml:space="preserve">How do I modify my details?</t>
  </si>
  <si>
    <t xml:space="preserve">My address needs to be changed.</t>
  </si>
  <si>
    <t xml:space="preserve">How do I input a new address?</t>
  </si>
  <si>
    <t xml:space="preserve">Can someone assist me with updating my account details with changing my last name?</t>
  </si>
  <si>
    <t xml:space="preserve">How would I be able to make changes to my personal details?</t>
  </si>
  <si>
    <t xml:space="preserve">How do I edit my personal details?</t>
  </si>
  <si>
    <t xml:space="preserve">Not living in same place, need to change details</t>
  </si>
  <si>
    <t xml:space="preserve">How can I update my personal information after moving?</t>
  </si>
  <si>
    <t xml:space="preserve">I moved and need to change my address.</t>
  </si>
  <si>
    <t xml:space="preserve">I moved and need to change my personal information.</t>
  </si>
  <si>
    <t xml:space="preserve">Where do I go to change my account details?</t>
  </si>
  <si>
    <t xml:space="preserve">went somewhere else, need to change details</t>
  </si>
  <si>
    <t xml:space="preserve">My details need to be changed, how can I do so?</t>
  </si>
  <si>
    <t xml:space="preserve">How can I change to my married name?</t>
  </si>
  <si>
    <t xml:space="preserve">how do i get into my account and edit my details</t>
  </si>
  <si>
    <t xml:space="preserve">I would like to edit my personal information .</t>
  </si>
  <si>
    <t xml:space="preserve">How do I modify my account details?</t>
  </si>
  <si>
    <t xml:space="preserve">How do I change my name?</t>
  </si>
  <si>
    <t xml:space="preserve">Can I edit my personal details?</t>
  </si>
  <si>
    <t xml:space="preserve">I need to change my contact information.</t>
  </si>
  <si>
    <t xml:space="preserve">I need to update my phone number.</t>
  </si>
  <si>
    <t xml:space="preserve">Can I edit my details?</t>
  </si>
  <si>
    <t xml:space="preserve">I got a new address and need to change my information.</t>
  </si>
  <si>
    <t xml:space="preserve">I need to change my data.</t>
  </si>
  <si>
    <t xml:space="preserve">What should I do after I've moved and need to update my personal details?</t>
  </si>
  <si>
    <t xml:space="preserve">Editing my personal details</t>
  </si>
  <si>
    <t xml:space="preserve">Where can I edit personal details?</t>
  </si>
  <si>
    <t xml:space="preserve">How can I change my account details?</t>
  </si>
  <si>
    <t xml:space="preserve">Where do I go to update details?</t>
  </si>
  <si>
    <t xml:space="preserve">I need to change my address</t>
  </si>
  <si>
    <t xml:space="preserve">Where can I modify my information?</t>
  </si>
  <si>
    <t xml:space="preserve">How do I change my last name?</t>
  </si>
  <si>
    <t xml:space="preserve">I have a new email.</t>
  </si>
  <si>
    <t xml:space="preserve">How can I update my details since I moved?</t>
  </si>
  <si>
    <t xml:space="preserve">Why do you have an identity check?</t>
  </si>
  <si>
    <t xml:space="preserve">I do not feel comfortable verifying my identity.</t>
  </si>
  <si>
    <t xml:space="preserve">Why on earth do you need so much personal id info from me?</t>
  </si>
  <si>
    <t xml:space="preserve">DO you know the reason for the identity check?</t>
  </si>
  <si>
    <t xml:space="preserve">I answered so many questions about my identity. Why do you need this info?</t>
  </si>
  <si>
    <t xml:space="preserve">Why do you have the identity check</t>
  </si>
  <si>
    <t xml:space="preserve">Is getting my identity verified required before I can use my account?</t>
  </si>
  <si>
    <t xml:space="preserve">why are all my identity details required</t>
  </si>
  <si>
    <t xml:space="preserve">I would like to know why so much identity information is required?</t>
  </si>
  <si>
    <t xml:space="preserve">Why do you need verification for my identity?</t>
  </si>
  <si>
    <t xml:space="preserve">Is the identity check part of bank policy?</t>
  </si>
  <si>
    <t xml:space="preserve">Why is identity verification required?</t>
  </si>
  <si>
    <t xml:space="preserve">Why is my identification required?</t>
  </si>
  <si>
    <t xml:space="preserve">Why are you asking so many questions about who I am</t>
  </si>
  <si>
    <t xml:space="preserve">which identity details are required</t>
  </si>
  <si>
    <t xml:space="preserve">Can I use my account before the identity verification is complete?</t>
  </si>
  <si>
    <t xml:space="preserve">Should I complete my security verification before I can use my account?</t>
  </si>
  <si>
    <t xml:space="preserve">Why do you require identification documents</t>
  </si>
  <si>
    <t xml:space="preserve">I already have an account. Why can't I use it unless my identity is verified?</t>
  </si>
  <si>
    <t xml:space="preserve">Why does my identity need to be verified?</t>
  </si>
  <si>
    <t xml:space="preserve">Can I still use my account without verifying my identity?</t>
  </si>
  <si>
    <t xml:space="preserve">What is the reason for the identity check</t>
  </si>
  <si>
    <t xml:space="preserve">Can I use my account although my identity verification has yet to pass?</t>
  </si>
  <si>
    <t xml:space="preserve">I am not comfortable verifying my indentity.</t>
  </si>
  <si>
    <t xml:space="preserve">what I need to verify my account</t>
  </si>
  <si>
    <t xml:space="preserve">What if I don't verify my identity?</t>
  </si>
  <si>
    <t xml:space="preserve">what are the reasons I have to proof my identity to you?</t>
  </si>
  <si>
    <t xml:space="preserve">What's the reason for needing to verify my identity?</t>
  </si>
  <si>
    <t xml:space="preserve">Why does it matter that I prove my identity?</t>
  </si>
  <si>
    <t xml:space="preserve">Why should I have to prove my identity?</t>
  </si>
  <si>
    <t xml:space="preserve">Can I use my account before my Identity verification has passed?</t>
  </si>
  <si>
    <t xml:space="preserve">Why do I need to verify my account?</t>
  </si>
  <si>
    <t xml:space="preserve">Why do you guys need to verify my identity?</t>
  </si>
  <si>
    <t xml:space="preserve">Why do I need to verify my identity?</t>
  </si>
  <si>
    <t xml:space="preserve">If my identy verifacation hasn't gone through can I use my account?</t>
  </si>
  <si>
    <t xml:space="preserve">Is it really necessary to verify my Identity?</t>
  </si>
  <si>
    <t xml:space="preserve">Why do you need so much information about me</t>
  </si>
  <si>
    <t xml:space="preserve">Can I use my account now, even though my identity verification has not gone through yet?</t>
  </si>
  <si>
    <t xml:space="preserve">What is the function of the identity check</t>
  </si>
  <si>
    <t xml:space="preserve">Why is the identity check involved?</t>
  </si>
  <si>
    <t xml:space="preserve">What is the purpose of requiring my identification?</t>
  </si>
  <si>
    <t xml:space="preserve">My ID verification hasn't gone through yet, but can I use my account anyway?</t>
  </si>
  <si>
    <t xml:space="preserve">What is the first step I need to make for being able to access my account?</t>
  </si>
  <si>
    <t xml:space="preserve">I want to use my account before identity verification</t>
  </si>
  <si>
    <t xml:space="preserve">It's requiring me to verify my identity?</t>
  </si>
  <si>
    <t xml:space="preserve">I don't want to use this method to identify myself.</t>
  </si>
  <si>
    <t xml:space="preserve">Why do you need my name and ID</t>
  </si>
  <si>
    <t xml:space="preserve">do I need to verify my identity before I can use my card?</t>
  </si>
  <si>
    <t xml:space="preserve">Can I go ahead and use my account even though my identify hasn't been verified yet?</t>
  </si>
  <si>
    <t xml:space="preserve">Do you think you're asking for too much information about me?</t>
  </si>
  <si>
    <t xml:space="preserve">Is identity verification required for me to use my account?</t>
  </si>
  <si>
    <t xml:space="preserve">Can I use my account although the identity verification has not been accepted yet?</t>
  </si>
  <si>
    <t xml:space="preserve">I still want to use my account but haven't verified is that OK?</t>
  </si>
  <si>
    <t xml:space="preserve">Is my account accessible even though my verification of my identity has not passed yet?</t>
  </si>
  <si>
    <t xml:space="preserve">Why are you asking so many questions about me?</t>
  </si>
  <si>
    <t xml:space="preserve">Why do you need to know so much about me for my account?</t>
  </si>
  <si>
    <t xml:space="preserve">How does identity check work?</t>
  </si>
  <si>
    <t xml:space="preserve">Why is it required to verify my identity?</t>
  </si>
  <si>
    <t xml:space="preserve">What happens if I use my account and my identity verification hasn't finished?</t>
  </si>
  <si>
    <t xml:space="preserve">Can I make transfers before my identity verification?</t>
  </si>
  <si>
    <t xml:space="preserve">What do you need my identity details for?</t>
  </si>
  <si>
    <t xml:space="preserve">Why do I need to have my identity verified?</t>
  </si>
  <si>
    <t xml:space="preserve">Can I use my account even though the identity verification has not passed yet?</t>
  </si>
  <si>
    <t xml:space="preserve">What is with the need to have all my ID information?</t>
  </si>
  <si>
    <t xml:space="preserve">Why is there an identify check?</t>
  </si>
  <si>
    <t xml:space="preserve">Why is there a verification to identity</t>
  </si>
  <si>
    <t xml:space="preserve">Why do you need me to verify who I am?</t>
  </si>
  <si>
    <t xml:space="preserve">Why check my identity?</t>
  </si>
  <si>
    <t xml:space="preserve">I don't understand why you want so much of my personal info.</t>
  </si>
  <si>
    <t xml:space="preserve">I am still waiting for verification.  Can I use my account before I am verified?</t>
  </si>
  <si>
    <t xml:space="preserve">I refuse to verify my identity.</t>
  </si>
  <si>
    <t xml:space="preserve">Why do you need me to do an identity check?</t>
  </si>
  <si>
    <t xml:space="preserve">I can't do the verification.</t>
  </si>
  <si>
    <t xml:space="preserve">Am I able to use my account if the identity verification is not complete?</t>
  </si>
  <si>
    <t xml:space="preserve">Is it possible to go ahead and log in, although I have not been confirmed yet?</t>
  </si>
  <si>
    <t xml:space="preserve">Can you explain more about why should I verify my identity?</t>
  </si>
  <si>
    <t xml:space="preserve">can I use my card before identity verification?</t>
  </si>
  <si>
    <t xml:space="preserve">Why is there an identity check?</t>
  </si>
  <si>
    <t xml:space="preserve">Why do I have to give you my drivers license</t>
  </si>
  <si>
    <t xml:space="preserve">I don't want to give you all my identify details.</t>
  </si>
  <si>
    <t xml:space="preserve">Am I supposed to verify my identity?</t>
  </si>
  <si>
    <t xml:space="preserve">What is the purpose for verifying my identity?</t>
  </si>
  <si>
    <t xml:space="preserve">what are you going to use my identification details for?</t>
  </si>
  <si>
    <t xml:space="preserve">Can I use my account without verifying identity?</t>
  </si>
  <si>
    <t xml:space="preserve">Why is checking my identity important?</t>
  </si>
  <si>
    <t xml:space="preserve">Must I verify my identity?</t>
  </si>
  <si>
    <t xml:space="preserve">how do I speed up identity verification?</t>
  </si>
  <si>
    <t xml:space="preserve">Do i have to verify who I am?</t>
  </si>
  <si>
    <t xml:space="preserve">Why do you need to perform identity verification?</t>
  </si>
  <si>
    <t xml:space="preserve">Why am I being asked to verify my identity?</t>
  </si>
  <si>
    <t xml:space="preserve">Why is verifaction required for my Identity?</t>
  </si>
  <si>
    <t xml:space="preserve">Do you need to know my first and last name?</t>
  </si>
  <si>
    <t xml:space="preserve">I don't want to verify my identity</t>
  </si>
  <si>
    <t xml:space="preserve">How to verify my identity</t>
  </si>
  <si>
    <t xml:space="preserve">Why does my identity need verification?</t>
  </si>
  <si>
    <t xml:space="preserve">Can I already use my account although the identity verification has not passed yet?</t>
  </si>
  <si>
    <t xml:space="preserve">What is my identification used for?</t>
  </si>
  <si>
    <t xml:space="preserve">Is there anyway to bypass identity verification?</t>
  </si>
  <si>
    <t xml:space="preserve">Why do you need so much information about my identity?</t>
  </si>
  <si>
    <t xml:space="preserve">What if I don't want to disclose all of my identity details?</t>
  </si>
  <si>
    <t xml:space="preserve">My identity hasn't been verified.  Can I use my account?</t>
  </si>
  <si>
    <t xml:space="preserve">My Identity verification hasn't passed yet is it possible to use my account?</t>
  </si>
  <si>
    <t xml:space="preserve">Can we skip verifying?</t>
  </si>
  <si>
    <t xml:space="preserve">Why do you need to check my identity?</t>
  </si>
  <si>
    <t xml:space="preserve">Why do you need to verify my identity?</t>
  </si>
  <si>
    <t xml:space="preserve">I'm waiting for the ID verification to go through still, so is it too soon to use my account?</t>
  </si>
  <si>
    <t xml:space="preserve">What is the identity check for?</t>
  </si>
  <si>
    <t xml:space="preserve">I keep being asked to verify my identity. Is this normal?</t>
  </si>
  <si>
    <t xml:space="preserve">Why do you need so much id info from me?</t>
  </si>
  <si>
    <t xml:space="preserve">What do you do with all the identity information you're collecting from me?</t>
  </si>
  <si>
    <t xml:space="preserve">Why is verification for my identity needed?</t>
  </si>
  <si>
    <t xml:space="preserve">I'm not verifying my identity.</t>
  </si>
  <si>
    <t xml:space="preserve">Do you need my birthdate?</t>
  </si>
  <si>
    <t xml:space="preserve">Why is it important to verify my identity?</t>
  </si>
  <si>
    <t xml:space="preserve">i need to proof my identity to you why and how?</t>
  </si>
  <si>
    <t xml:space="preserve">Is verifying my identify important?</t>
  </si>
  <si>
    <t xml:space="preserve">why and how soon do I have to have proof of identity to you?</t>
  </si>
  <si>
    <t xml:space="preserve">Why do you need all these details about my identity?</t>
  </si>
  <si>
    <t xml:space="preserve">What is identity check?</t>
  </si>
  <si>
    <t xml:space="preserve">Can i make transactions before identity verification?</t>
  </si>
  <si>
    <t xml:space="preserve">I am afraid to give you all my identify details.</t>
  </si>
  <si>
    <t xml:space="preserve">Can you help me with proving my identity?</t>
  </si>
  <si>
    <t xml:space="preserve">What proof do you need for my identification?</t>
  </si>
  <si>
    <t xml:space="preserve">Are there any reasons that my identity wouldn't be accepted even though everything I've provided is factual?</t>
  </si>
  <si>
    <t xml:space="preserve">I am having some difficulty verifying my id.</t>
  </si>
  <si>
    <t xml:space="preserve">I am not able to verify my id. Why?</t>
  </si>
  <si>
    <t xml:space="preserve">Help me verify my identify?</t>
  </si>
  <si>
    <t xml:space="preserve">I can't verify identity through the app.</t>
  </si>
  <si>
    <t xml:space="preserve">I need help verifying my identity.</t>
  </si>
  <si>
    <t xml:space="preserve">I'm having trouble proving my identity</t>
  </si>
  <si>
    <t xml:space="preserve">Why isn't my id verified?</t>
  </si>
  <si>
    <t xml:space="preserve">This stupid system is not letting me prove my identity.</t>
  </si>
  <si>
    <t xml:space="preserve">The app is having trouble verifying my identity.</t>
  </si>
  <si>
    <t xml:space="preserve">Why is my identity not being verified?</t>
  </si>
  <si>
    <t xml:space="preserve">You will hear back from us about your verification results in 10 minutes to a one hour timeframe.  If these verification results do fail, please double-check to make sure your images are clear and have no glare or blur; your photos need to be fully readable.  You need to be 18 years of age or older and a resident of Switzerland or the European Economic Area to create an account.</t>
  </si>
  <si>
    <t xml:space="preserve">The app does not know it is me.</t>
  </si>
  <si>
    <t xml:space="preserve">My identity wasn't verified</t>
  </si>
  <si>
    <t xml:space="preserve">Help me verify my identification.</t>
  </si>
  <si>
    <t xml:space="preserve">Unsure how to provide my identity.</t>
  </si>
  <si>
    <t xml:space="preserve">It can take between 10 minutes to an hour before you hear back from us about the verification result.  Please try again if your verification fails.  Make sure you double check that images are clear and all document photos are readable without blur or glare. You have to be 18 or older and live in the European Economic area or live in Switzerland to be able to open an account.</t>
  </si>
  <si>
    <t xml:space="preserve">I can't upload my identification.</t>
  </si>
  <si>
    <t xml:space="preserve">Why isn't my id verifying?</t>
  </si>
  <si>
    <t xml:space="preserve">How long does it take to prove my identity?</t>
  </si>
  <si>
    <t xml:space="preserve">Why am I not allowed to verify my id?</t>
  </si>
  <si>
    <t xml:space="preserve">I am not able to prove my identity</t>
  </si>
  <si>
    <t xml:space="preserve">The app failed to verify my id.</t>
  </si>
  <si>
    <t xml:space="preserve">Hearing back from us regarding your important verification results may take 10 minutes to one hour time.  If verification results do fail, double-check to make sure all of your images are clear --  make sure your photos have no glare or blurring. Note: These photos need to be readable as well.  You also need to be 18 years of age or older.  You must be a resident of Switzerland or the European Economic Area to open a new account.</t>
  </si>
  <si>
    <t xml:space="preserve">I'm unable to verify my identity</t>
  </si>
  <si>
    <t xml:space="preserve">My identity verification didn't work</t>
  </si>
  <si>
    <t xml:space="preserve">I'm not able to verify my identity.</t>
  </si>
  <si>
    <t xml:space="preserve">The app is not able to realize that it is me.</t>
  </si>
  <si>
    <t xml:space="preserve">The app does not believe that I am myself</t>
  </si>
  <si>
    <t xml:space="preserve">It won't let me verify my identity.</t>
  </si>
  <si>
    <t xml:space="preserve">I am unable to prove my identity</t>
  </si>
  <si>
    <t xml:space="preserve">I dont have identification</t>
  </si>
  <si>
    <t xml:space="preserve">Why isn't this accepting my identity?</t>
  </si>
  <si>
    <t xml:space="preserve">The app won't identify me.</t>
  </si>
  <si>
    <t xml:space="preserve">My identity can't be verified for some reason</t>
  </si>
  <si>
    <t xml:space="preserve">My identity is unable to be verified.</t>
  </si>
  <si>
    <t xml:space="preserve">I have no way to prove my identity.</t>
  </si>
  <si>
    <t xml:space="preserve">The app does not recognize who I am.</t>
  </si>
  <si>
    <t xml:space="preserve">If you are waiting for verification, it can take 10 minutes to 60 minutes to get results.You will hear from us once we have it.  Please make sure your images are clear and photos of documents are readable. you have to be at least 18 years old and live withing the Economic Area of Europe or in Switzerland in order to open an account.</t>
  </si>
  <si>
    <t xml:space="preserve">Why am I unable to verify my id?</t>
  </si>
  <si>
    <t xml:space="preserve">Hearing about your verification results from us may take anywhere from 10 minutes to approximately one hour.  If this verification has in fact, failed, double-check to make sure that your images are clear.  Also make sure that your document photos have no blur or glare. They need to be readable.  You must also be 18 years of age or older and be a resident of Switzerland or the European Economic Area to open an account.</t>
  </si>
  <si>
    <t xml:space="preserve">I'm having a hard time proving my identity.</t>
  </si>
  <si>
    <t xml:space="preserve">I'm having problems with ID verification</t>
  </si>
  <si>
    <t xml:space="preserve">I am having a problem with verifying my identity.</t>
  </si>
  <si>
    <t xml:space="preserve">I cant prove who I am</t>
  </si>
  <si>
    <t xml:space="preserve">I am not recognized by the app.</t>
  </si>
  <si>
    <t xml:space="preserve">The app doesn't think that I am myself</t>
  </si>
  <si>
    <t xml:space="preserve">What do I have to do to prove my identity?</t>
  </si>
  <si>
    <t xml:space="preserve">What am i missing to verify my id?</t>
  </si>
  <si>
    <t xml:space="preserve">I do not have the information to verify my identify.</t>
  </si>
  <si>
    <t xml:space="preserve">There is no way for me to prove my identity.</t>
  </si>
  <si>
    <t xml:space="preserve">I will not be able to verify my identity.</t>
  </si>
  <si>
    <t xml:space="preserve">How long does it take for my id to verify?</t>
  </si>
  <si>
    <t xml:space="preserve">The app is telling me that I am not me.</t>
  </si>
  <si>
    <t xml:space="preserve">What do I do if I can't prove my identity?</t>
  </si>
  <si>
    <t xml:space="preserve">The app can't verify my information for identity proofing purposes.</t>
  </si>
  <si>
    <t xml:space="preserve">What should I do if I can't prove my identity.</t>
  </si>
  <si>
    <t xml:space="preserve">What's wrong with my ID? I can't verify it.</t>
  </si>
  <si>
    <t xml:space="preserve">Problem verifying my account</t>
  </si>
  <si>
    <t xml:space="preserve">The app doesn't believe its me.</t>
  </si>
  <si>
    <t xml:space="preserve">app malfunctioning, does not know its me</t>
  </si>
  <si>
    <t xml:space="preserve">I can get my identification verified.</t>
  </si>
  <si>
    <t xml:space="preserve">I am having trouble with the app recognizing me.</t>
  </si>
  <si>
    <t xml:space="preserve">How long will it take to verify my account?</t>
  </si>
  <si>
    <t xml:space="preserve">How come I can't seem to verify my id?</t>
  </si>
  <si>
    <t xml:space="preserve">I don't have the means to prove my identity.</t>
  </si>
  <si>
    <t xml:space="preserve">My app says that I'm not verified.</t>
  </si>
  <si>
    <t xml:space="preserve">I don't have a way to prove my identity.</t>
  </si>
  <si>
    <t xml:space="preserve">Why hasn't my ID been verified?</t>
  </si>
  <si>
    <t xml:space="preserve">The app doesn't think it's me.</t>
  </si>
  <si>
    <t xml:space="preserve">How long does it take to verify a person's identity?</t>
  </si>
  <si>
    <t xml:space="preserve">I'm not sure how to provide my identity.</t>
  </si>
  <si>
    <t xml:space="preserve">Why is my identity not verified?</t>
  </si>
  <si>
    <t xml:space="preserve">Why is my identity verification process not working?</t>
  </si>
  <si>
    <t xml:space="preserve">My identity verification is not working.</t>
  </si>
  <si>
    <t xml:space="preserve">I'm having trouble with proving my identity.</t>
  </si>
  <si>
    <t xml:space="preserve">I am having a problem proving who I am</t>
  </si>
  <si>
    <t xml:space="preserve">It won't let me prove my identity.</t>
  </si>
  <si>
    <t xml:space="preserve">I am having trouble verifying my id.</t>
  </si>
  <si>
    <t xml:space="preserve">Why am I unable verify my id?</t>
  </si>
  <si>
    <t xml:space="preserve">My identity can't be verified.</t>
  </si>
  <si>
    <t xml:space="preserve">I have trouble proving my identity.</t>
  </si>
  <si>
    <t xml:space="preserve">I can't verify my ID. Why?</t>
  </si>
  <si>
    <t xml:space="preserve">My identity isn't being accepted, what should I do?</t>
  </si>
  <si>
    <t xml:space="preserve">The app failed to verify me.</t>
  </si>
  <si>
    <t xml:space="preserve">Why hasn't the app verified my identity?</t>
  </si>
  <si>
    <t xml:space="preserve">The app doesn't believe that I am myself</t>
  </si>
  <si>
    <t xml:space="preserve">The app isn't letting me log in, but my info is correct.</t>
  </si>
  <si>
    <t xml:space="preserve">I need help proving that this is really me and to verify my identity.</t>
  </si>
  <si>
    <t xml:space="preserve">why does it take so long to verify my id</t>
  </si>
  <si>
    <t xml:space="preserve">My identity verification isn't working</t>
  </si>
  <si>
    <t xml:space="preserve">I am having trouble to verify my identity</t>
  </si>
  <si>
    <t xml:space="preserve">Everytime I try to prove my identity it won't let me.</t>
  </si>
  <si>
    <t xml:space="preserve">I'm having difficulty verifying my identity.</t>
  </si>
  <si>
    <t xml:space="preserve">Help me verify my identity.</t>
  </si>
  <si>
    <t xml:space="preserve">I'm still waiting on my identity verification.</t>
  </si>
  <si>
    <t xml:space="preserve">Why can't my ID be verified?</t>
  </si>
  <si>
    <t xml:space="preserve">Help my prove my identity.</t>
  </si>
  <si>
    <t xml:space="preserve">i am under 18 and i am trying to verify my id. why wont it work?</t>
  </si>
  <si>
    <t xml:space="preserve">What do I need to bring for identification?</t>
  </si>
  <si>
    <t xml:space="preserve">I'm not sure what to do about the PIN, because I don't have one yet.</t>
  </si>
  <si>
    <t xml:space="preserve">Is my PIN sent separably?</t>
  </si>
  <si>
    <t xml:space="preserve">Where can I get my card PIN?</t>
  </si>
  <si>
    <t xml:space="preserve">my pin hasn't arrived in the post! How do I cancel it or get a new one?</t>
  </si>
  <si>
    <t xml:space="preserve">Where is the card PIN located?</t>
  </si>
  <si>
    <t xml:space="preserve">I have my card, when whill my PIN be available?</t>
  </si>
  <si>
    <t xml:space="preserve">I dont have a pin</t>
  </si>
  <si>
    <t xml:space="preserve">i have yet to get my pin</t>
  </si>
  <si>
    <t xml:space="preserve">Where is my card PIN?</t>
  </si>
  <si>
    <t xml:space="preserve">The card PIN?</t>
  </si>
  <si>
    <t xml:space="preserve">I do not see the card PIN anywhere?</t>
  </si>
  <si>
    <t xml:space="preserve">My pin isn't here yet</t>
  </si>
  <si>
    <t xml:space="preserve">Is my PIN recorded anywhere?</t>
  </si>
  <si>
    <t xml:space="preserve">How will I know my pin number?</t>
  </si>
  <si>
    <t xml:space="preserve">I need my PIN, where is it?</t>
  </si>
  <si>
    <t xml:space="preserve">I haven't received my pin</t>
  </si>
  <si>
    <t xml:space="preserve">I am not able to see the card PIN anywhere?</t>
  </si>
  <si>
    <t xml:space="preserve">I don't know my PIN, how can I find that out?</t>
  </si>
  <si>
    <t xml:space="preserve">Where can the pin be located?</t>
  </si>
  <si>
    <t xml:space="preserve">How do I find my PIN?</t>
  </si>
  <si>
    <t xml:space="preserve">Why have I not received my PIN</t>
  </si>
  <si>
    <t xml:space="preserve">When do I get my PIN?</t>
  </si>
  <si>
    <t xml:space="preserve">Where can I locate my card PIN?</t>
  </si>
  <si>
    <t xml:space="preserve">Tell me about the card PIN?</t>
  </si>
  <si>
    <t xml:space="preserve">In the app, where do I find my card PIN?</t>
  </si>
  <si>
    <t xml:space="preserve">do i have to wait for a physical card before i get my pin</t>
  </si>
  <si>
    <t xml:space="preserve">The card PIN is not visible anywhere?</t>
  </si>
  <si>
    <t xml:space="preserve">I cannot see the card PIN anywhere?</t>
  </si>
  <si>
    <t xml:space="preserve">How will I receive my PIN?</t>
  </si>
  <si>
    <t xml:space="preserve">My card arrived but I don't know how to get my PIN.</t>
  </si>
  <si>
    <t xml:space="preserve">Where should I look for my PIN number at?</t>
  </si>
  <si>
    <t xml:space="preserve">Where can I locate my PIN at?</t>
  </si>
  <si>
    <t xml:space="preserve">Where is the PIN for my card located?</t>
  </si>
  <si>
    <t xml:space="preserve">I do not have my pin yet</t>
  </si>
  <si>
    <t xml:space="preserve">Do I have a card PIN?</t>
  </si>
  <si>
    <t xml:space="preserve">Where is my PIN located?</t>
  </si>
  <si>
    <t xml:space="preserve">I can't find the PIN.</t>
  </si>
  <si>
    <t xml:space="preserve">What can you tell me about the card PIN?</t>
  </si>
  <si>
    <t xml:space="preserve">Where can I find my card PIN?</t>
  </si>
  <si>
    <t xml:space="preserve">How do I find my PIN number?</t>
  </si>
  <si>
    <t xml:space="preserve">I am yet to receive my pin.</t>
  </si>
  <si>
    <t xml:space="preserve">i cannot find my card PIN</t>
  </si>
  <si>
    <t xml:space="preserve">How do I set up my card PIN?</t>
  </si>
  <si>
    <t xml:space="preserve">I cannot find my PIN.</t>
  </si>
  <si>
    <t xml:space="preserve">How do I request the PIN?</t>
  </si>
  <si>
    <t xml:space="preserve">I haven't received the PIN yet.</t>
  </si>
  <si>
    <t xml:space="preserve">I signed up, but don't have a PIN. Where can I find it?</t>
  </si>
  <si>
    <t xml:space="preserve">How is the PIN delivered?</t>
  </si>
  <si>
    <t xml:space="preserve">Help, I don't know what the PIN is to my card?</t>
  </si>
  <si>
    <t xml:space="preserve">I didn't get a PIN yet. What gives?</t>
  </si>
  <si>
    <t xml:space="preserve">Where's my card PIN?</t>
  </si>
  <si>
    <t xml:space="preserve">How do I set my physical card PIN?</t>
  </si>
  <si>
    <t xml:space="preserve">wheres my pin</t>
  </si>
  <si>
    <t xml:space="preserve">When will I have access to my pin number?</t>
  </si>
  <si>
    <t xml:space="preserve">What's my pin number?</t>
  </si>
  <si>
    <t xml:space="preserve">Where do i find my PIN?</t>
  </si>
  <si>
    <t xml:space="preserve">When do I set up my card PIN?</t>
  </si>
  <si>
    <t xml:space="preserve">Can you tell me how to locate my PIN?</t>
  </si>
  <si>
    <t xml:space="preserve">Do i have to wait to get the pin or can i set up a pin</t>
  </si>
  <si>
    <t xml:space="preserve">How do I locate my PIN now that I have my card?</t>
  </si>
  <si>
    <t xml:space="preserve">Where is my PIN?</t>
  </si>
  <si>
    <t xml:space="preserve">Explain the card PIN to me.</t>
  </si>
  <si>
    <t xml:space="preserve">How do I find the PIN?</t>
  </si>
  <si>
    <t xml:space="preserve">Will the PIN come separately?</t>
  </si>
  <si>
    <t xml:space="preserve">Where can I find my PIN? I haven't gotten it yet.</t>
  </si>
  <si>
    <t xml:space="preserve">Where is my pin? I don't have it yet</t>
  </si>
  <si>
    <t xml:space="preserve">How do I know what my PIN is?</t>
  </si>
  <si>
    <t xml:space="preserve">How long does it take for me to get my pin</t>
  </si>
  <si>
    <t xml:space="preserve">How long do I wait for my PIN</t>
  </si>
  <si>
    <t xml:space="preserve">still need to get card pin</t>
  </si>
  <si>
    <t xml:space="preserve">I have not received my pin yet</t>
  </si>
  <si>
    <t xml:space="preserve">How do I get my card PIN?</t>
  </si>
  <si>
    <t xml:space="preserve">I havn't received my PIN yet.</t>
  </si>
  <si>
    <t xml:space="preserve">I haven't received my PIN yet. Do I need to get it from you?</t>
  </si>
  <si>
    <t xml:space="preserve">In regards to the PIN of the card?</t>
  </si>
  <si>
    <t xml:space="preserve">Does the PIN come under separate cover?</t>
  </si>
  <si>
    <t xml:space="preserve">do i need to wait to get my card before getting a pin</t>
  </si>
  <si>
    <t xml:space="preserve">Will my pin number be sent with my card?</t>
  </si>
  <si>
    <t xml:space="preserve">I can't find my PIN anywhere.</t>
  </si>
  <si>
    <t xml:space="preserve">I have a question regarding the PIN of the card?</t>
  </si>
  <si>
    <t xml:space="preserve">How do I get a PIN?</t>
  </si>
  <si>
    <t xml:space="preserve">I haven't been sent my new pin!</t>
  </si>
  <si>
    <t xml:space="preserve">So, the card PIN?</t>
  </si>
  <si>
    <t xml:space="preserve">can i go into my app to find my pin</t>
  </si>
  <si>
    <t xml:space="preserve">Is the PIN separately delivered?</t>
  </si>
  <si>
    <t xml:space="preserve">I don't have a PIN at this point.</t>
  </si>
  <si>
    <t xml:space="preserve">do i need to wait for my card before i get pin</t>
  </si>
  <si>
    <t xml:space="preserve">Where do I find my card PIN?</t>
  </si>
  <si>
    <t xml:space="preserve">I can't find the card PIN.</t>
  </si>
  <si>
    <t xml:space="preserve">Where is the PIN number found?</t>
  </si>
  <si>
    <t xml:space="preserve">When do I get my card PIN?</t>
  </si>
  <si>
    <t xml:space="preserve">How is my PIN sent?</t>
  </si>
  <si>
    <t xml:space="preserve">Is the PIN sent in another message?</t>
  </si>
  <si>
    <t xml:space="preserve">Do you deliver the PIN separately?</t>
  </si>
  <si>
    <t xml:space="preserve">Is my PIN the same thing as my passcode?</t>
  </si>
  <si>
    <t xml:space="preserve">I'm looking in the App and can't find my PIN, where should I look?</t>
  </si>
  <si>
    <t xml:space="preserve">I've been waiting ages and my PIN hasn't gotten here.</t>
  </si>
  <si>
    <t xml:space="preserve">How do I get started when I get my card?</t>
  </si>
  <si>
    <t xml:space="preserve">Show me where I can see the PIN?</t>
  </si>
  <si>
    <t xml:space="preserve">How do I find my new pin?</t>
  </si>
  <si>
    <t xml:space="preserve">can i create my own pin right away</t>
  </si>
  <si>
    <t xml:space="preserve">how to get card pin?</t>
  </si>
  <si>
    <t xml:space="preserve">Where do I find my PIN for my new card?</t>
  </si>
  <si>
    <t xml:space="preserve">Can you deliver the PIN separately?</t>
  </si>
  <si>
    <t xml:space="preserve">is my pin the same as my passcode</t>
  </si>
  <si>
    <t xml:space="preserve">how do i get a pin for my card</t>
  </si>
  <si>
    <t xml:space="preserve">Is there a way I can have a mastercard?</t>
  </si>
  <si>
    <t xml:space="preserve">is it just visa or can i also use mastercard?</t>
  </si>
  <si>
    <t xml:space="preserve">I do not want a VISA card.</t>
  </si>
  <si>
    <t xml:space="preserve">I prefer using Mastercard, can I substitute?</t>
  </si>
  <si>
    <t xml:space="preserve">I prefer Mastecard.</t>
  </si>
  <si>
    <t xml:space="preserve">may I have a Visa and a Mastercard from you.</t>
  </si>
  <si>
    <t xml:space="preserve">I'd prefer Mastercard.</t>
  </si>
  <si>
    <t xml:space="preserve">Will my card be a MasterCard or a Visa?</t>
  </si>
  <si>
    <t xml:space="preserve">I want a mastercard</t>
  </si>
  <si>
    <t xml:space="preserve">I prefer mastercard.</t>
  </si>
  <si>
    <t xml:space="preserve">Please give me both a visa and a mastercard.</t>
  </si>
  <si>
    <t xml:space="preserve">Is it possible to get a Visa and Mastercard from you?</t>
  </si>
  <si>
    <t xml:space="preserve">If I can't choose my card type will I be able to use it everywhere?</t>
  </si>
  <si>
    <t xml:space="preserve">Do I get  a mastercard and visa?</t>
  </si>
  <si>
    <t xml:space="preserve">Why can I not choose the card i want?</t>
  </si>
  <si>
    <t xml:space="preserve">Can you send me a Mastercard, instead of a Visa?</t>
  </si>
  <si>
    <t xml:space="preserve">Can I pick between Visa and Mastercard?</t>
  </si>
  <si>
    <t xml:space="preserve">I have a Visa and Mastercard, can I use these?</t>
  </si>
  <si>
    <t xml:space="preserve">I want to apply for a Visa card.</t>
  </si>
  <si>
    <t xml:space="preserve">Can you issue both a Visa and a Mastercard to me?</t>
  </si>
  <si>
    <t xml:space="preserve">I would like a Visa card.</t>
  </si>
  <si>
    <t xml:space="preserve">I am looking to get a Visa credit card, what must I do to achieve this?</t>
  </si>
  <si>
    <t xml:space="preserve">Is there a way I can get a Visa card?</t>
  </si>
  <si>
    <t xml:space="preserve">Can I get the Mastercard?</t>
  </si>
  <si>
    <t xml:space="preserve">Do I have a Visa card as an option?</t>
  </si>
  <si>
    <t xml:space="preserve">Are visa and mastercard accepted</t>
  </si>
  <si>
    <t xml:space="preserve">What credit cards do you carry</t>
  </si>
  <si>
    <t xml:space="preserve">would a visa or mastercard be more suited to me?</t>
  </si>
  <si>
    <t xml:space="preserve">I am interested in a Visa or Mastercard. Do you offer them?</t>
  </si>
  <si>
    <t xml:space="preserve">is it ok if i use both visa and mastercard</t>
  </si>
  <si>
    <t xml:space="preserve">Do I have a choice for a Mastercard?</t>
  </si>
  <si>
    <t xml:space="preserve">Can I use visa or mastercard with your service</t>
  </si>
  <si>
    <t xml:space="preserve">Can I choose from either Visa or Mastercard?</t>
  </si>
  <si>
    <t xml:space="preserve">Can I have a Visa card?</t>
  </si>
  <si>
    <t xml:space="preserve">Would I get a Visa or Mastercard?</t>
  </si>
  <si>
    <t xml:space="preserve">Am I able to get both a Visa and MasterCard from you?</t>
  </si>
  <si>
    <t xml:space="preserve">Is it possible to get both a Visa and a Mastercard?</t>
  </si>
  <si>
    <t xml:space="preserve">Can I choose my Visa or Mastercard?</t>
  </si>
  <si>
    <t xml:space="preserve">My preference is Mastercard.</t>
  </si>
  <si>
    <t xml:space="preserve">What card types can I choose from?</t>
  </si>
  <si>
    <t xml:space="preserve">I want to get a Visa</t>
  </si>
  <si>
    <t xml:space="preserve">Can I choose whether I receive a Visa or a Mastercard card?</t>
  </si>
  <si>
    <t xml:space="preserve">Which type of card will I receive?</t>
  </si>
  <si>
    <t xml:space="preserve">I would like to have a Mastercard.</t>
  </si>
  <si>
    <t xml:space="preserve">Can I get a Visa or Mastercard?</t>
  </si>
  <si>
    <t xml:space="preserve">Do you give out Visa or Mastercards?</t>
  </si>
  <si>
    <t xml:space="preserve">Do I have to pick a creditcard brand?</t>
  </si>
  <si>
    <t xml:space="preserve">Please give me a Mastercard instead.</t>
  </si>
  <si>
    <t xml:space="preserve">Visa or Mastercard?</t>
  </si>
  <si>
    <t xml:space="preserve">Can both Visa and Mastercard be chosen?</t>
  </si>
  <si>
    <t xml:space="preserve">Do you let me choose between Visa and Mastercard?</t>
  </si>
  <si>
    <t xml:space="preserve">What cards do you offer?</t>
  </si>
  <si>
    <t xml:space="preserve">Does it matter if I use Visa or Mastercard?</t>
  </si>
  <si>
    <t xml:space="preserve">How can I choose between Visa and Mastercard?</t>
  </si>
  <si>
    <t xml:space="preserve">I'm happy with Mastercard and want to stick with just that credit card.</t>
  </si>
  <si>
    <t xml:space="preserve">Can both a Visa and Mastercard be received from you?</t>
  </si>
  <si>
    <t xml:space="preserve">I prefer to get a Mastercard.</t>
  </si>
  <si>
    <t xml:space="preserve">I'm wanting to get a Visa card today.</t>
  </si>
  <si>
    <t xml:space="preserve">What do I have to do to get a Visa card?</t>
  </si>
  <si>
    <t xml:space="preserve">I would like to get both a Visa and MasterCard?</t>
  </si>
  <si>
    <t xml:space="preserve">Would you give me a mastercard and visa?</t>
  </si>
  <si>
    <t xml:space="preserve">I'd like to apply for a Visa Card.</t>
  </si>
  <si>
    <t xml:space="preserve">My first choice would be Mastercard.</t>
  </si>
  <si>
    <t xml:space="preserve">I want to get a Visa and Mastercard, is it possible to get both from you?</t>
  </si>
  <si>
    <t xml:space="preserve">Are you Visa or Mastercard?</t>
  </si>
  <si>
    <t xml:space="preserve">Please help me get a Visa card.</t>
  </si>
  <si>
    <t xml:space="preserve">I won't be pleased unless I get a Mastercard.</t>
  </si>
  <si>
    <t xml:space="preserve">Can I select my card scheme or do you choose it for me?</t>
  </si>
  <si>
    <t xml:space="preserve">No Visa please. I want to continue with Mastercard.</t>
  </si>
  <si>
    <t xml:space="preserve">Will the card be a Mastercard or a Visa?</t>
  </si>
  <si>
    <t xml:space="preserve">Can I choose my card scheme?</t>
  </si>
  <si>
    <t xml:space="preserve">Does it matter which card I use</t>
  </si>
  <si>
    <t xml:space="preserve">What type of card will I receive?</t>
  </si>
  <si>
    <t xml:space="preserve">Can I get a Visa or does it have to be something else.</t>
  </si>
  <si>
    <t xml:space="preserve">I'd like to get a Visa card, please.</t>
  </si>
  <si>
    <t xml:space="preserve">Visa and Mastercard can both be received from you?</t>
  </si>
  <si>
    <t xml:space="preserve">Can I choose between Mastercard and Visa?</t>
  </si>
  <si>
    <t xml:space="preserve">I prefer Visa, can I get that instead?</t>
  </si>
  <si>
    <t xml:space="preserve">Will I be able to get both a visa and a mastercard?</t>
  </si>
  <si>
    <t xml:space="preserve">I anticipate getting a Visa card</t>
  </si>
  <si>
    <t xml:space="preserve">What type of card can I get?</t>
  </si>
  <si>
    <t xml:space="preserve">Will I get Visa or MasterCard?</t>
  </si>
  <si>
    <t xml:space="preserve">Visa and MasterCard, can I get them both?</t>
  </si>
  <si>
    <t xml:space="preserve">Can I choose between Visa or MasterCard?</t>
  </si>
  <si>
    <t xml:space="preserve">I need a Visa card</t>
  </si>
  <si>
    <t xml:space="preserve">Do you take both Visa and Mastercard?</t>
  </si>
  <si>
    <t xml:space="preserve">Which card would I get, Visa or Mastercard?</t>
  </si>
  <si>
    <t xml:space="preserve">Could I get a MasterCard and Visa from you?</t>
  </si>
  <si>
    <t xml:space="preserve">I want to get a Visa card</t>
  </si>
  <si>
    <t xml:space="preserve">Is it possible to get both Visa and Mastercard from you?</t>
  </si>
  <si>
    <t xml:space="preserve">Can I get both a Visa and a Mastercard from you?</t>
  </si>
  <si>
    <t xml:space="preserve">Do you accept Visa or Mastercard?</t>
  </si>
  <si>
    <t xml:space="preserve">Given a choice, I'd rather have Mastercard.</t>
  </si>
  <si>
    <t xml:space="preserve">can i use both visa and mastercard</t>
  </si>
  <si>
    <t xml:space="preserve">Is it possible to obtain both a Visa and a Mastercard from you?</t>
  </si>
  <si>
    <t xml:space="preserve">If I can, I would like to get both Mastercard and Visa from you.</t>
  </si>
  <si>
    <t xml:space="preserve">Mastercard is preferred to me.</t>
  </si>
  <si>
    <t xml:space="preserve">I need a Visa and a Mastercard from you.</t>
  </si>
  <si>
    <t xml:space="preserve">This transaction needs both a Visa and a Mastercard.</t>
  </si>
  <si>
    <t xml:space="preserve">I want a Mastercard, instead.</t>
  </si>
  <si>
    <t xml:space="preserve">I need to get visa and mastercard</t>
  </si>
  <si>
    <t xml:space="preserve">Could I get a mastercard if that's reasonable?</t>
  </si>
  <si>
    <t xml:space="preserve">I need mastercard as well as visa</t>
  </si>
  <si>
    <t xml:space="preserve">Will I get a Visa card or Mastercard?</t>
  </si>
  <si>
    <t xml:space="preserve">I would like to get a Visa card</t>
  </si>
  <si>
    <t xml:space="preserve">How can I get a Visa and Mastercard?</t>
  </si>
  <si>
    <t xml:space="preserve">Can I get a Visa instead of a MasterCard?</t>
  </si>
  <si>
    <t xml:space="preserve">Can I obtained a Visa Card</t>
  </si>
  <si>
    <t xml:space="preserve">Please give me both Visa and MasterCard, is it possible?</t>
  </si>
  <si>
    <t xml:space="preserve">Do I get Visa or Mastercard?</t>
  </si>
  <si>
    <t xml:space="preserve">Why did I get a different card then requested?</t>
  </si>
  <si>
    <t xml:space="preserve">Can I use a Visa or Mastercard?</t>
  </si>
  <si>
    <t xml:space="preserve">Can I choose between Visa and Mastercard?</t>
  </si>
  <si>
    <t xml:space="preserve">Mastercard is my preferred company.</t>
  </si>
  <si>
    <t xml:space="preserve">Is it possible to get both Mastercard and Visa card from you?</t>
  </si>
  <si>
    <t xml:space="preserve">I'd prefer a Mastercard.</t>
  </si>
  <si>
    <t xml:space="preserve">Can I have a mastercard?</t>
  </si>
  <si>
    <t xml:space="preserve">How do I get selected for a visa card?</t>
  </si>
  <si>
    <t xml:space="preserve">Do I have an option between Visa and MasterCard?</t>
  </si>
  <si>
    <t xml:space="preserve">Can I get a Visa from you?</t>
  </si>
  <si>
    <t xml:space="preserve">I hope to get a Visa card</t>
  </si>
  <si>
    <t xml:space="preserve">Which one are you?  Visa or Mastercard?</t>
  </si>
  <si>
    <t xml:space="preserve">How can get a Visa card?</t>
  </si>
  <si>
    <t xml:space="preserve">Can you make sure I get a MasterCard and not a Visa?</t>
  </si>
  <si>
    <t xml:space="preserve">I would prefer a Mastercard.</t>
  </si>
  <si>
    <t xml:space="preserve">I would like to get both Mastercard and Visa card from you if that's possible.</t>
  </si>
  <si>
    <t xml:space="preserve">Will I get a visa or Mastercard?</t>
  </si>
  <si>
    <t xml:space="preserve">Will you guys do Visa or Mastercard?</t>
  </si>
  <si>
    <t xml:space="preserve">Do you only use Visa or do you have Mastercard too?</t>
  </si>
  <si>
    <t xml:space="preserve">Can I get a Visa card?</t>
  </si>
  <si>
    <t xml:space="preserve">I would like to know if you use Visa or Mastercard.</t>
  </si>
  <si>
    <t xml:space="preserve">Is it acceptable to use either Visa or Mastercard?</t>
  </si>
  <si>
    <t xml:space="preserve">Please tell me, do you use Visa or Mastercard?</t>
  </si>
  <si>
    <t xml:space="preserve">Can I choose what card I can use</t>
  </si>
  <si>
    <t xml:space="preserve">Do you supply both Visa and Mastercard?</t>
  </si>
  <si>
    <t xml:space="preserve">My money I had was gone and I could not get gas!</t>
  </si>
  <si>
    <t xml:space="preserve">i can not see my top up</t>
  </si>
  <si>
    <t xml:space="preserve">I can't see my top up in my wallet!</t>
  </si>
  <si>
    <t xml:space="preserve">I want to transfer money using my credit card.</t>
  </si>
  <si>
    <t xml:space="preserve">I tried topping up using my card, but the money is gone?</t>
  </si>
  <si>
    <t xml:space="preserve">How can my friends top up my account?</t>
  </si>
  <si>
    <t xml:space="preserve">I used my card to top up, but the money is not there!</t>
  </si>
  <si>
    <t xml:space="preserve">My card needs to be topped up.</t>
  </si>
  <si>
    <t xml:space="preserve">Can my friends top up my account?</t>
  </si>
  <si>
    <t xml:space="preserve">What's the process for topping up by card?</t>
  </si>
  <si>
    <t xml:space="preserve">Is my account able to be topped up by my friends?</t>
  </si>
  <si>
    <t xml:space="preserve">Can anyone else top-up for me?</t>
  </si>
  <si>
    <t xml:space="preserve">I tried to top up and suddenly my money disappeared</t>
  </si>
  <si>
    <t xml:space="preserve">My wallet doesn't show my recent top up.</t>
  </si>
  <si>
    <t xml:space="preserve">Can I get my friends to add money to my account?</t>
  </si>
  <si>
    <t xml:space="preserve">I used my card top-up but all of the money is missing.</t>
  </si>
  <si>
    <t xml:space="preserve">Could you tell me why my top up isn't showing in my wallet?</t>
  </si>
  <si>
    <t xml:space="preserve">What do I do to Top up my card?</t>
  </si>
  <si>
    <t xml:space="preserve">I tried topping off my account with a card, but the money is not in my account despite the charge going through</t>
  </si>
  <si>
    <t xml:space="preserve">Is it possible to top up by card?</t>
  </si>
  <si>
    <t xml:space="preserve">I want to know how to transfer money with my credit card</t>
  </si>
  <si>
    <t xml:space="preserve">Hoe do i use my credit card to transfer money?</t>
  </si>
  <si>
    <t xml:space="preserve">I attempted to top up using my card, but now the money just disappeared?</t>
  </si>
  <si>
    <t xml:space="preserve">My top up isn't in my wallet.</t>
  </si>
  <si>
    <t xml:space="preserve">Can I let other people have access to my account in order to top up?</t>
  </si>
  <si>
    <t xml:space="preserve">How do I to up by card?</t>
  </si>
  <si>
    <t xml:space="preserve">How do I add money to my card?</t>
  </si>
  <si>
    <t xml:space="preserve">When I tried to top up using my card, all of the money disappeared.</t>
  </si>
  <si>
    <t xml:space="preserve">I used my card to top up, but now I don't see the money in my account.</t>
  </si>
  <si>
    <t xml:space="preserve">Can i top up by card?</t>
  </si>
  <si>
    <t xml:space="preserve">With my credit card i would like to transfer money.</t>
  </si>
  <si>
    <t xml:space="preserve">I want to top up by card</t>
  </si>
  <si>
    <t xml:space="preserve">I don't understanfd how to top up</t>
  </si>
  <si>
    <t xml:space="preserve">Why was my card charged when topping off my balance but it's not showing up in my wallet balance?</t>
  </si>
  <si>
    <t xml:space="preserve">Why can't I see my top up?</t>
  </si>
  <si>
    <t xml:space="preserve">Is it simple to transfer money using my credit card?</t>
  </si>
  <si>
    <t xml:space="preserve">Why can't I see the top up I made?</t>
  </si>
  <si>
    <t xml:space="preserve">Can a credit card be used to transfer money?</t>
  </si>
  <si>
    <t xml:space="preserve">Is it possible to transfer money to my credit card?</t>
  </si>
  <si>
    <t xml:space="preserve">My wallet isn't showing my top-up, did I do something wrong?</t>
  </si>
  <si>
    <t xml:space="preserve">How can I transfer money using my credit card?</t>
  </si>
  <si>
    <t xml:space="preserve">The money disappeared after I topped up my account.</t>
  </si>
  <si>
    <t xml:space="preserve">The money disappeared when I tried to use my card to top up.</t>
  </si>
  <si>
    <t xml:space="preserve">I wasn't able to use my top up card because the money I put on there wasn't there anymore</t>
  </si>
  <si>
    <t xml:space="preserve">Top up not available in my wallet.</t>
  </si>
  <si>
    <t xml:space="preserve">How do I transfer funds directly from my credit card?</t>
  </si>
  <si>
    <t xml:space="preserve">i need to top up by card.</t>
  </si>
  <si>
    <t xml:space="preserve">How do I top up on my card?</t>
  </si>
  <si>
    <t xml:space="preserve">top up by my card is that possible?</t>
  </si>
  <si>
    <t xml:space="preserve">I tried to get gas but my money was gone!</t>
  </si>
  <si>
    <t xml:space="preserve">How do I use a card to top up?</t>
  </si>
  <si>
    <t xml:space="preserve">Can my account be topped-up by friends of mine.</t>
  </si>
  <si>
    <t xml:space="preserve">Is it possible for friends to top up my account?</t>
  </si>
  <si>
    <t xml:space="preserve">How do I top up by card?</t>
  </si>
  <si>
    <t xml:space="preserve">My top up is not showing up in my wallet!</t>
  </si>
  <si>
    <t xml:space="preserve">Transferring money using credit card</t>
  </si>
  <si>
    <t xml:space="preserve">Will my friends be able to top up my account?</t>
  </si>
  <si>
    <t xml:space="preserve">I was attempting to top up with my card but the money has vanished!</t>
  </si>
  <si>
    <t xml:space="preserve">Can I allow other people to top up my account?</t>
  </si>
  <si>
    <t xml:space="preserve">can other people use the app to add money to my account</t>
  </si>
  <si>
    <t xml:space="preserve">I tried to top off using the card, but the money just disappeared?</t>
  </si>
  <si>
    <t xml:space="preserve">Show me how can my friends top up my account.</t>
  </si>
  <si>
    <t xml:space="preserve">How do i set up my credit card to send transfers?</t>
  </si>
  <si>
    <t xml:space="preserve">I don't see me 'top up' in my wallet</t>
  </si>
  <si>
    <t xml:space="preserve">What do I need to do to transfer money with my credit card?</t>
  </si>
  <si>
    <t xml:space="preserve">I used my card to top-up but the money is gone!</t>
  </si>
  <si>
    <t xml:space="preserve">what happened to the money after i put in the wrong info and it got declined</t>
  </si>
  <si>
    <t xml:space="preserve">Can I add other people to my account, so they can top up?</t>
  </si>
  <si>
    <t xml:space="preserve">show me how to top up</t>
  </si>
  <si>
    <t xml:space="preserve">My friends would like to add to my account. What is the procedure?</t>
  </si>
  <si>
    <t xml:space="preserve">I want to transfer money with my credit card.</t>
  </si>
  <si>
    <t xml:space="preserve">Something is wrong with my top up and I can't see it. How do I find it?</t>
  </si>
  <si>
    <t xml:space="preserve">Can my account be topped up by my friends?</t>
  </si>
  <si>
    <t xml:space="preserve">Am I the only one who can top-up my account?</t>
  </si>
  <si>
    <t xml:space="preserve">How do I top up using my card?</t>
  </si>
  <si>
    <t xml:space="preserve">Can a friend top up my account</t>
  </si>
  <si>
    <t xml:space="preserve">What information am I going to have to have in order to do a transfer with my card?</t>
  </si>
  <si>
    <t xml:space="preserve">top up with credit card</t>
  </si>
  <si>
    <t xml:space="preserve">What's the process for topping up my card?</t>
  </si>
  <si>
    <t xml:space="preserve">I don't see my top up in my wallet.</t>
  </si>
  <si>
    <t xml:space="preserve">Can friends I have top-up my account?</t>
  </si>
  <si>
    <t xml:space="preserve">I cannot tell what my top up currently is.</t>
  </si>
  <si>
    <t xml:space="preserve">How do I go about transferring money using my credit card?</t>
  </si>
  <si>
    <t xml:space="preserve">Can you tell me how to top up on my card?</t>
  </si>
  <si>
    <t xml:space="preserve">my top up isnt there yet where do i find it</t>
  </si>
  <si>
    <t xml:space="preserve">If I want a friend to top off my account, can they?</t>
  </si>
  <si>
    <t xml:space="preserve">My wallet is empty even though I topped it up an hour ago.</t>
  </si>
  <si>
    <t xml:space="preserve">Can somebody else top up my account?</t>
  </si>
  <si>
    <t xml:space="preserve">I'd like to transfer funds using my credit card.</t>
  </si>
  <si>
    <t xml:space="preserve">Where did my top-up go? I can't find it in my wallet</t>
  </si>
  <si>
    <t xml:space="preserve">My money disappeared right when I tried to top up</t>
  </si>
  <si>
    <t xml:space="preserve">How does someone else top up my account</t>
  </si>
  <si>
    <t xml:space="preserve">Who can have access to top up my account?</t>
  </si>
  <si>
    <t xml:space="preserve">I have a new card. How do i top it up?</t>
  </si>
  <si>
    <t xml:space="preserve">Do i have to top-up with my credit card before I can transfer?</t>
  </si>
  <si>
    <t xml:space="preserve">I need my card topped up,</t>
  </si>
  <si>
    <t xml:space="preserve">What steps do I do to transfer money using my credit card?</t>
  </si>
  <si>
    <t xml:space="preserve">I topped up my account but the money isn't there now.</t>
  </si>
  <si>
    <t xml:space="preserve">How can I use my credit card to transfer money?</t>
  </si>
  <si>
    <t xml:space="preserve">How do I use my card to top up?</t>
  </si>
  <si>
    <t xml:space="preserve">I need to transfer some money, can I use my credit card?</t>
  </si>
  <si>
    <t xml:space="preserve">Why is my 'top up' not showing up in my wallet?</t>
  </si>
  <si>
    <t xml:space="preserve">Can other people top up my account?</t>
  </si>
  <si>
    <t xml:space="preserve">Do the disposable cards have any restrictions on them?</t>
  </si>
  <si>
    <t xml:space="preserve">How many times can I use a virtual card?</t>
  </si>
  <si>
    <t xml:space="preserve">A friend was telling me about her disposable cards. What would I have to do to be able to get that feature?</t>
  </si>
  <si>
    <t xml:space="preserve">Can I have more disposable cards?</t>
  </si>
  <si>
    <t xml:space="preserve">i tried using a virtual card for a hotel but it didn't work, why not</t>
  </si>
  <si>
    <t xml:space="preserve">What are the guidelines for the disposable cards?</t>
  </si>
  <si>
    <t xml:space="preserve">Do the disposable cards have a transaction limit?</t>
  </si>
  <si>
    <t xml:space="preserve">Can you give me the restrictions of the disposable cards?</t>
  </si>
  <si>
    <t xml:space="preserve">Is there a limit on the number of times I can use a disposable card?</t>
  </si>
  <si>
    <t xml:space="preserve">How many disposable cards am I allowed to have?</t>
  </si>
  <si>
    <t xml:space="preserve">What are the restrictions of the disposable cards?</t>
  </si>
  <si>
    <t xml:space="preserve">What is the most amount of disposable cards allowable?</t>
  </si>
  <si>
    <t xml:space="preserve">Can I get a disposable card?  How many can I have?  How often can I use them?</t>
  </si>
  <si>
    <t xml:space="preserve">What number of transactions can i do with one disposable card?</t>
  </si>
  <si>
    <t xml:space="preserve">Whats the maximum disposable virtual cards?</t>
  </si>
  <si>
    <t xml:space="preserve">How limited is a virtual card?</t>
  </si>
  <si>
    <t xml:space="preserve">What are the disposable cards restrictions?</t>
  </si>
  <si>
    <t xml:space="preserve">I need multiple cards per day, and they all have to be disposable.</t>
  </si>
  <si>
    <t xml:space="preserve">Is there a limit to the number of disposable cards I can have?</t>
  </si>
  <si>
    <t xml:space="preserve">Can I have more than 2 disposable cards?</t>
  </si>
  <si>
    <t xml:space="preserve">What sort of restrictions are there for the disposable cards?</t>
  </si>
  <si>
    <t xml:space="preserve">What is the limit on disposable cards?</t>
  </si>
  <si>
    <t xml:space="preserve">Help me create several temp cards every day.</t>
  </si>
  <si>
    <t xml:space="preserve">Are there any limits to using disposable virtual cards?</t>
  </si>
  <si>
    <t xml:space="preserve">Are there a certain amount of transactions i can do with one disposable card?</t>
  </si>
  <si>
    <t xml:space="preserve">What are the limitations on the disposable cards?</t>
  </si>
  <si>
    <t xml:space="preserve">I have a disposable card, how many transactions can I make?</t>
  </si>
  <si>
    <t xml:space="preserve">What are the policies of disposable cards?</t>
  </si>
  <si>
    <t xml:space="preserve">Is there a limit on how many times I can use a disposable card?</t>
  </si>
  <si>
    <t xml:space="preserve">I need to make several disposable cards per day.</t>
  </si>
  <si>
    <t xml:space="preserve">What is the number of transactions I get with a disposable card?</t>
  </si>
  <si>
    <t xml:space="preserve">How many disposable virtual cards can you have?</t>
  </si>
  <si>
    <t xml:space="preserve">Can you tell me the restrictions for the disposable cards?</t>
  </si>
  <si>
    <t xml:space="preserve">How can many disposable cards can I have per day?</t>
  </si>
  <si>
    <t xml:space="preserve">Could you tell me about the restrictions that are on the disposable cards?</t>
  </si>
  <si>
    <t xml:space="preserve">Do the disposable cards have any restrictions?</t>
  </si>
  <si>
    <t xml:space="preserve">I need several cards per day. And I need to be able to throw away all of the cards I make.</t>
  </si>
  <si>
    <t xml:space="preserve">How many times can I use my disposable card?</t>
  </si>
  <si>
    <t xml:space="preserve">With one disposable card how many transactions can i do?</t>
  </si>
  <si>
    <t xml:space="preserve">Is there any limits I should know about if I'm going to use a disposable virtual card?</t>
  </si>
  <si>
    <t xml:space="preserve">I need a number of disposable cards everyday.</t>
  </si>
  <si>
    <t xml:space="preserve">Are there restrictions on disposable virtual cards?</t>
  </si>
  <si>
    <t xml:space="preserve">Please provide me with the restrictions of the disposable cards.</t>
  </si>
  <si>
    <t xml:space="preserve">I have to make several disposable cards per day.</t>
  </si>
  <si>
    <t xml:space="preserve">Am I limited on the amount of disposable cards I can possess?</t>
  </si>
  <si>
    <t xml:space="preserve">how many uses are the disposable cards good for?</t>
  </si>
  <si>
    <t xml:space="preserve">Whats the maximum number of disposable cards that I can get?</t>
  </si>
  <si>
    <t xml:space="preserve">What are some of the restrictions that the disposable cards have?</t>
  </si>
  <si>
    <t xml:space="preserve">What are the restrictions on the virtual cards?</t>
  </si>
  <si>
    <t xml:space="preserve">How many purchases can I make with one disposable card?</t>
  </si>
  <si>
    <t xml:space="preserve">Is it possible to have more than one disposable card?</t>
  </si>
  <si>
    <t xml:space="preserve">Can i make several disposable cardsper day?</t>
  </si>
  <si>
    <t xml:space="preserve">What is limit of disposable cards  I can make per day?</t>
  </si>
  <si>
    <t xml:space="preserve">What are the details of disposable card limitations?</t>
  </si>
  <si>
    <t xml:space="preserve">I need to make multiple disposable cards in a day.</t>
  </si>
  <si>
    <t xml:space="preserve">How many transactions can I do with my disposable card?</t>
  </si>
  <si>
    <t xml:space="preserve">Show me the amount of transactions I can do with a disposable card.</t>
  </si>
  <si>
    <t xml:space="preserve">What is the maximum transactions I can use on a disposable card?</t>
  </si>
  <si>
    <t xml:space="preserve">Are there any limits if I use these virtual cards?</t>
  </si>
  <si>
    <t xml:space="preserve">Are there any restrictions for the disposable cards that I need to be aware of?</t>
  </si>
  <si>
    <t xml:space="preserve">Where can I find a list of descriptions the disposable cards have?</t>
  </si>
  <si>
    <t xml:space="preserve">What limits are there on the virtual cards?</t>
  </si>
  <si>
    <t xml:space="preserve">What is the max amount of disposable cards I'm allowed.</t>
  </si>
  <si>
    <t xml:space="preserve">What stipulations do disposable cards entail?</t>
  </si>
  <si>
    <t xml:space="preserve">How many disposable cards per person?</t>
  </si>
  <si>
    <t xml:space="preserve">Is there a limit to a disposable virtual card?</t>
  </si>
  <si>
    <t xml:space="preserve">Why can't I use a disposable card?</t>
  </si>
  <si>
    <t xml:space="preserve">How many transactions can I make on my disposable card?</t>
  </si>
  <si>
    <t xml:space="preserve">What's the limit for disposable virtual cards?</t>
  </si>
  <si>
    <t xml:space="preserve">How many active transactions can I make with a disposable card?</t>
  </si>
  <si>
    <t xml:space="preserve">Please specify any limitations that come along with disposable cards.</t>
  </si>
  <si>
    <t xml:space="preserve">Are there downsides to using a disposable virtual cards?</t>
  </si>
  <si>
    <t xml:space="preserve">how many transactions can go on a disposable card?</t>
  </si>
  <si>
    <t xml:space="preserve">Is there a transaction limit for a disposable card?</t>
  </si>
  <si>
    <t xml:space="preserve">I need more than one disposable card</t>
  </si>
  <si>
    <t xml:space="preserve">What is the maximum number of transactions that I can put on a disposable card?</t>
  </si>
  <si>
    <t xml:space="preserve">I am required to make several disposable cards every day.</t>
  </si>
  <si>
    <t xml:space="preserve">I must make several disposable cards every day.</t>
  </si>
  <si>
    <t xml:space="preserve">Where can I use a disposable card?</t>
  </si>
  <si>
    <t xml:space="preserve">Are there limits on the virtual cards?</t>
  </si>
  <si>
    <t xml:space="preserve">How many disposable cards can you own?</t>
  </si>
  <si>
    <t xml:space="preserve">Can you tell me more about limits to disposable virtual cards?</t>
  </si>
  <si>
    <t xml:space="preserve">How many transactions can I do with a disposable card?</t>
  </si>
  <si>
    <t xml:space="preserve">How many payments can I make using a virtual card?</t>
  </si>
  <si>
    <t xml:space="preserve">What is the maximum number of transactions I can do with a disposable card?</t>
  </si>
  <si>
    <t xml:space="preserve">Can you tell me if there are limits to disposable virtual cards?</t>
  </si>
  <si>
    <t xml:space="preserve">What are the rules for using disposable virtual cards?</t>
  </si>
  <si>
    <t xml:space="preserve">What are the disposable virtual card limits?</t>
  </si>
  <si>
    <t xml:space="preserve">How many disposable cards can I have at one time?</t>
  </si>
  <si>
    <t xml:space="preserve">How many transactions can be made with a disposable card?</t>
  </si>
  <si>
    <t xml:space="preserve">i am not a premium customer but i want a virtual card, how do i get it</t>
  </si>
  <si>
    <t xml:space="preserve">I need several disposable cards made per day.</t>
  </si>
  <si>
    <t xml:space="preserve">What is the maximum transactions for one disposable card?</t>
  </si>
  <si>
    <t xml:space="preserve">For the disposable cards, what are the restrictions?</t>
  </si>
  <si>
    <t xml:space="preserve">Are there any restrictions for the disposable cards?</t>
  </si>
  <si>
    <t xml:space="preserve">Is there a limit on making disposable cards?</t>
  </si>
  <si>
    <t xml:space="preserve">Do the disposable cards have restrictions?</t>
  </si>
  <si>
    <t xml:space="preserve">Can I do more than 10 transactions with a disposable card?</t>
  </si>
  <si>
    <t xml:space="preserve">What are the disposable card limits?</t>
  </si>
  <si>
    <t xml:space="preserve">Is there a limit to using a disposable virtual card?</t>
  </si>
  <si>
    <t xml:space="preserve">I have a disposable virtual card. Is there a limit to how many times I can use it?</t>
  </si>
  <si>
    <t xml:space="preserve">Are there any places that I can't use the disposable cards at?</t>
  </si>
  <si>
    <t xml:space="preserve">Is there a limit to the number of disposable cards per day?</t>
  </si>
  <si>
    <t xml:space="preserve">How many disposable cards can I make in a day?</t>
  </si>
  <si>
    <t xml:space="preserve">let me know how many disposable cards I can have?</t>
  </si>
  <si>
    <t xml:space="preserve">I must make several disposable cards per day.</t>
  </si>
  <si>
    <t xml:space="preserve">Can you please inform me of the restrictions for the disposable cards.</t>
  </si>
  <si>
    <t xml:space="preserve">Is there a limit on disposable cards?</t>
  </si>
  <si>
    <t xml:space="preserve">I have to make more then a few disposable cards per day.</t>
  </si>
  <si>
    <t xml:space="preserve">Are there any restrictions on the disposable cards?</t>
  </si>
  <si>
    <t xml:space="preserve">What are my limits on disposable cards?</t>
  </si>
  <si>
    <t xml:space="preserve">I would like to know what the restrictions are for the disposable cards.</t>
  </si>
  <si>
    <t xml:space="preserve">What is the limits on the number of disposable cards I can have?</t>
  </si>
  <si>
    <t xml:space="preserve">what is the amount of disposable cards I can have?</t>
  </si>
  <si>
    <t xml:space="preserve">On my disposable card, is there a transaction limit?</t>
  </si>
  <si>
    <t xml:space="preserve">Who can request disposable cards?</t>
  </si>
  <si>
    <t xml:space="preserve">How much transactions do I get with a disposable card?</t>
  </si>
  <si>
    <t xml:space="preserve">What can I and can't do with the disposable cards?</t>
  </si>
  <si>
    <t xml:space="preserve">Is there a transaction limit on a disposable card?</t>
  </si>
  <si>
    <t xml:space="preserve">How many disposable  cards are available per account?</t>
  </si>
  <si>
    <t xml:space="preserve">What is the number of transactions for one disposable card?</t>
  </si>
  <si>
    <t xml:space="preserve">I think someone is using my card without my permission!</t>
  </si>
  <si>
    <t xml:space="preserve">What do I do if I detect fraudulent use on my car?</t>
  </si>
  <si>
    <t xml:space="preserve">I think my account has been hacked there are charges on there I don't recognize.</t>
  </si>
  <si>
    <t xml:space="preserve">I don't recognize some transactions.  Is someone else using it?</t>
  </si>
  <si>
    <t xml:space="preserve">I just got an email in confirming my purchase with my card. I login to the mobile app on the card and found out there are several purchase were made without me aware of it. Evidently someone had stole my card information and made these fraudulent purchase. I need the transaction to be reverse and have my card suspended.</t>
  </si>
  <si>
    <t xml:space="preserve">How do I stop fraud to my account?</t>
  </si>
  <si>
    <t xml:space="preserve">card is being used by someone else</t>
  </si>
  <si>
    <t xml:space="preserve">I think someone else is using my card.</t>
  </si>
  <si>
    <t xml:space="preserve">Someone might be using my card that is not me.</t>
  </si>
  <si>
    <t xml:space="preserve">There are strange transactions on my account.  What should I do if I think someone stole my details?</t>
  </si>
  <si>
    <t xml:space="preserve">I sees some suspicious spending on my credit card that I don't recall I had made. What should I do?</t>
  </si>
  <si>
    <t xml:space="preserve">It looks like someone besides me ordered something with my card, what should I do?</t>
  </si>
  <si>
    <t xml:space="preserve">There are charges on my card that I haven't purchased.</t>
  </si>
  <si>
    <t xml:space="preserve">Someone might be using my card.  What should I do?</t>
  </si>
  <si>
    <t xml:space="preserve">I suspect someone used my card.</t>
  </si>
  <si>
    <t xml:space="preserve">Please tell me how you can stop unauthorized payments from being made on my card since on this bill I see that this has happened. There are transactions that I never made from a place I've never been to.</t>
  </si>
  <si>
    <t xml:space="preserve">I think that somebody is utilizing my card without my authorization!</t>
  </si>
  <si>
    <t xml:space="preserve">There are a few transaction that I don't recognize, I think someone managed to get my card details and use it.
</t>
  </si>
  <si>
    <t xml:space="preserve">Someone has been using my card. There are unfamiliar transactions on there. Can you freeze the card to keep this from happening?</t>
  </si>
  <si>
    <t xml:space="preserve">What can I do if my card details where stolen from my car? I think they used my card to buy gas.</t>
  </si>
  <si>
    <t xml:space="preserve">I want to cancel my card. I think someone else is using it.</t>
  </si>
  <si>
    <t xml:space="preserve">I can't be sure, but I think that someone may be using my card.</t>
  </si>
  <si>
    <t xml:space="preserve">What should I do if I think someone is using my card without my permission?</t>
  </si>
  <si>
    <t xml:space="preserve">I believe that someone is using my card without my knowledge!</t>
  </si>
  <si>
    <t xml:space="preserve">There is unusual activity on my account and I believe someone took my card.</t>
  </si>
  <si>
    <t xml:space="preserve">Someone must have found my card details as I don't recognize these transactions.</t>
  </si>
  <si>
    <t xml:space="preserve">Should I order a new card before I freeze my original one?</t>
  </si>
  <si>
    <t xml:space="preserve">I think that someone may be using my card, but I'm not sure,.</t>
  </si>
  <si>
    <t xml:space="preserve">I think someone has hacked my card!</t>
  </si>
  <si>
    <t xml:space="preserve">My card has been compromised. I see a bunch of online shopping charges that I didn't make. I need to freeze it immediately.</t>
  </si>
  <si>
    <t xml:space="preserve">I think my card has been used by somebody else since I was never in the little town where some transactions on this bill have come from. Please stop this right away.</t>
  </si>
  <si>
    <t xml:space="preserve">am suspicious of my card's security</t>
  </si>
  <si>
    <t xml:space="preserve">Someone is making transactions on my account, I think they took my card information.</t>
  </si>
  <si>
    <t xml:space="preserve">I think someone stole my card number and brought stuff in different places that I have never been to. I need to suspend any further purchase on my credit card.</t>
  </si>
  <si>
    <t xml:space="preserve">There's a possibility that my card was compromised.</t>
  </si>
  <si>
    <t xml:space="preserve">What should I do if I think there are unauthorized transactions?</t>
  </si>
  <si>
    <t xml:space="preserve">How do I stop fraud to my card?</t>
  </si>
  <si>
    <t xml:space="preserve">am afraid someone may have gained access to the info on my card.</t>
  </si>
  <si>
    <t xml:space="preserve">My statement shows charges for things I never purchased. Were my account details stolen?</t>
  </si>
  <si>
    <t xml:space="preserve">What should I do if someone else used my card?</t>
  </si>
  <si>
    <t xml:space="preserve">What steps can I take if someone else is using my card?</t>
  </si>
  <si>
    <t xml:space="preserve">Someone might have had access to my card.</t>
  </si>
  <si>
    <t xml:space="preserve">What should I do if I think someone stole my details and used my information to make some transactions?</t>
  </si>
  <si>
    <t xml:space="preserve">I am not sure but someone else might be using my card</t>
  </si>
  <si>
    <t xml:space="preserve">What to do if my card has been used without my permission?</t>
  </si>
  <si>
    <t xml:space="preserve">Someone used my card without my permission.</t>
  </si>
  <si>
    <t xml:space="preserve">think someone is using my card with permission</t>
  </si>
  <si>
    <t xml:space="preserve">I see some transactions that I don't recognize.  I think someone stole my details.</t>
  </si>
  <si>
    <t xml:space="preserve">How can I tell if someone else is using my card?</t>
  </si>
  <si>
    <t xml:space="preserve">What do I do if I believe to be a victim of credit card fraud?</t>
  </si>
  <si>
    <t xml:space="preserve">My card info was stolen, what do I do?</t>
  </si>
  <si>
    <t xml:space="preserve">i didnt make these transactions, i think my card details might be stolen</t>
  </si>
  <si>
    <t xml:space="preserve">I have transactions that I don't recognize - I think someone is using my card.</t>
  </si>
  <si>
    <t xml:space="preserve">my card details could be stolen, as i didnt make these transactions</t>
  </si>
  <si>
    <t xml:space="preserve">What do I do if someone used my card without my permission?</t>
  </si>
  <si>
    <t xml:space="preserve">There are transactions that I don't recognize. What do I do if I think someone is using my card?</t>
  </si>
  <si>
    <t xml:space="preserve">Can you check about unauthorized use of my card, I think someone is using mine without my knowledge?</t>
  </si>
  <si>
    <t xml:space="preserve">I noticed my card was used in a small town that I have never been to. Can you stop the card from being used more?</t>
  </si>
  <si>
    <t xml:space="preserve">I froze my account, but how do I order a replacement card?</t>
  </si>
  <si>
    <t xml:space="preserve">What do I do if I think someone has used my card?</t>
  </si>
  <si>
    <t xml:space="preserve">My card was stolen and used to make several purchases. Please freeze my card so no one can use it.</t>
  </si>
  <si>
    <t xml:space="preserve">There are transactions that I don't remember making, i think someone might have gotten my card details and is now using it.</t>
  </si>
  <si>
    <t xml:space="preserve">My card information seems to have been stolen! I don't know where these transactions came from and I've never even been to the city where they were made. I need my card blocked ASAP so this person can't keep using my card.</t>
  </si>
  <si>
    <t xml:space="preserve">My card was used without my permission, what do I do?</t>
  </si>
  <si>
    <t xml:space="preserve">What do I do if I think someone has used my card without permission? I can see a few transactions I don't recognize.</t>
  </si>
  <si>
    <t xml:space="preserve">Questionable transactions on my account.</t>
  </si>
  <si>
    <t xml:space="preserve">I have some transactions on my account I did not make. Can you cancel my card and prevent further use.</t>
  </si>
  <si>
    <t xml:space="preserve">Someone besides me might be using my card.</t>
  </si>
  <si>
    <t xml:space="preserve">Someone hacked into my cards account.</t>
  </si>
  <si>
    <t xml:space="preserve">How do I report fraud on my card?</t>
  </si>
  <si>
    <t xml:space="preserve">How do I report possible fraudulent activity on my account?</t>
  </si>
  <si>
    <t xml:space="preserve">Someone else might be using my card without my permission.</t>
  </si>
  <si>
    <t xml:space="preserve">My card must have used my card as there are some transactions that I haven't done myself..</t>
  </si>
  <si>
    <t xml:space="preserve">How do I order a replacement for stolen card?</t>
  </si>
  <si>
    <t xml:space="preserve">i dont recognise some of these transactions, i think someone has my card details</t>
  </si>
  <si>
    <t xml:space="preserve">Somebody used my card without my knowledge!</t>
  </si>
  <si>
    <t xml:space="preserve">I think my card has been compromised in some way.</t>
  </si>
  <si>
    <t xml:space="preserve">What should I do if I think that someone might be using me card?</t>
  </si>
  <si>
    <t xml:space="preserve">I might be paranoid, but someone may be using my card.</t>
  </si>
  <si>
    <t xml:space="preserve">My wallet was stolen and all my credit cards were in there.  HELP?!!?</t>
  </si>
  <si>
    <t xml:space="preserve">There are fraudulent charges that I didn't make on my card. Can you please put in the safeguards necessary to stop this from happening anymore?</t>
  </si>
  <si>
    <t xml:space="preserve">The card has suffered a security breach.</t>
  </si>
  <si>
    <t xml:space="preserve">My card data has been exposed.</t>
  </si>
  <si>
    <t xml:space="preserve">There are transactions that I did not make on my account, I think someone has my information.</t>
  </si>
  <si>
    <t xml:space="preserve">I think someone may be using my card.</t>
  </si>
  <si>
    <t xml:space="preserve">I didn't make these transactions. Is someone else using my card?</t>
  </si>
  <si>
    <t xml:space="preserve">I can use this card at which ATMs?</t>
  </si>
  <si>
    <t xml:space="preserve">Can I use the card at any cash machine?</t>
  </si>
  <si>
    <t xml:space="preserve">What locations can I get money from?</t>
  </si>
  <si>
    <t xml:space="preserve">What ATMs take this card?</t>
  </si>
  <si>
    <t xml:space="preserve">Which ATM's can I use to make a withdrawal?</t>
  </si>
  <si>
    <t xml:space="preserve">Do all ATMs accept this card?</t>
  </si>
  <si>
    <t xml:space="preserve">Will this card work at any ATM?</t>
  </si>
  <si>
    <t xml:space="preserve">Which ATMs am I allowed to get money from?</t>
  </si>
  <si>
    <t xml:space="preserve">Where is the closest ATM to me?</t>
  </si>
  <si>
    <t xml:space="preserve">Which ATMs accept this bill of fare ?</t>
  </si>
  <si>
    <t xml:space="preserve">Do I have to use a bank approved ATM to withdraw money?</t>
  </si>
  <si>
    <t xml:space="preserve">How do I withdraw money?</t>
  </si>
  <si>
    <t xml:space="preserve">Can I use this card at any ATM?</t>
  </si>
  <si>
    <t xml:space="preserve">What locations allow me to withdraw money?</t>
  </si>
  <si>
    <t xml:space="preserve">What ATMs accept my card?</t>
  </si>
  <si>
    <t xml:space="preserve">Can I use my card to withdraw from my account?</t>
  </si>
  <si>
    <t xml:space="preserve">Can you tell me where I can withdraw money?</t>
  </si>
  <si>
    <t xml:space="preserve">What kind of ATMs would this card be accepted at?</t>
  </si>
  <si>
    <t xml:space="preserve">Are there specific ATM's that I can draw money from?</t>
  </si>
  <si>
    <t xml:space="preserve">Where can money withdrawals be made?</t>
  </si>
  <si>
    <t xml:space="preserve">Do I have to use bank approved ATM's</t>
  </si>
  <si>
    <t xml:space="preserve">Where can I find Mastercard ATMs?</t>
  </si>
  <si>
    <t xml:space="preserve">What ATMs can I use my card at?</t>
  </si>
  <si>
    <t xml:space="preserve">What ATM machines allow this card?</t>
  </si>
  <si>
    <t xml:space="preserve">Where can I do a cash withdrawal?</t>
  </si>
  <si>
    <t xml:space="preserve">Where should I withdraw money from?</t>
  </si>
  <si>
    <t xml:space="preserve">Where are the ATMs that accept this card?</t>
  </si>
  <si>
    <t xml:space="preserve">Is there a way to find an ATM around me?</t>
  </si>
  <si>
    <t xml:space="preserve">Will any ATM's decline my card?</t>
  </si>
  <si>
    <t xml:space="preserve">What ATMs can I use my card?</t>
  </si>
  <si>
    <t xml:space="preserve">What cash stations take this card?</t>
  </si>
  <si>
    <t xml:space="preserve">
At which ATMs can I use this card?</t>
  </si>
  <si>
    <t xml:space="preserve">Please provide me a list of ATMs that accept my card.</t>
  </si>
  <si>
    <t xml:space="preserve">Can I use my card at an ATM?</t>
  </si>
  <si>
    <t xml:space="preserve">Where is the closest ATM I can use?</t>
  </si>
  <si>
    <t xml:space="preserve">Where is the nearest Mastercard ATM?</t>
  </si>
  <si>
    <t xml:space="preserve">Where can I get money from my card?</t>
  </si>
  <si>
    <t xml:space="preserve">How can I find an ATM that accepts this card?</t>
  </si>
  <si>
    <t xml:space="preserve">I need an ATM right now!</t>
  </si>
  <si>
    <t xml:space="preserve">Which ATMs accept Mastercard?</t>
  </si>
  <si>
    <t xml:space="preserve">What is the closest ATM?</t>
  </si>
  <si>
    <t xml:space="preserve">What ATMs use this card?</t>
  </si>
  <si>
    <t xml:space="preserve">What ATMs can I use this card?</t>
  </si>
  <si>
    <t xml:space="preserve">Can I get money out of any machine?</t>
  </si>
  <si>
    <t xml:space="preserve">Is the closest ATM to me within 2 miles?</t>
  </si>
  <si>
    <t xml:space="preserve">I need to withdraw money. Where can I do that?</t>
  </si>
  <si>
    <t xml:space="preserve">Can I use my card in another institutions ATM?</t>
  </si>
  <si>
    <t xml:space="preserve">Where is a ATM that accepts Mastercard?</t>
  </si>
  <si>
    <t xml:space="preserve">Where are the Mastercard ATMs?</t>
  </si>
  <si>
    <t xml:space="preserve">Where can I withdraw money from?</t>
  </si>
  <si>
    <t xml:space="preserve">
Where can I withdraw money from?</t>
  </si>
  <si>
    <t xml:space="preserve">Can I use a different bank ATM than my own?</t>
  </si>
  <si>
    <t xml:space="preserve">need to know places i can withdraw money</t>
  </si>
  <si>
    <t xml:space="preserve">The card can be used at which ATMs?</t>
  </si>
  <si>
    <t xml:space="preserve">What's the closest place to withdraw money?</t>
  </si>
  <si>
    <t xml:space="preserve">Is there a list of ATMs that take this card?</t>
  </si>
  <si>
    <t xml:space="preserve">Is there a Mastercard ATM nearby?</t>
  </si>
  <si>
    <t xml:space="preserve">Am I limited to what ATM I can use my card?</t>
  </si>
  <si>
    <t xml:space="preserve">how do I know where I can get money withdrawn?</t>
  </si>
  <si>
    <t xml:space="preserve">Tell me what ATMs take this card.</t>
  </si>
  <si>
    <t xml:space="preserve">Where are the ATMs that I can use Mastercard?</t>
  </si>
  <si>
    <t xml:space="preserve">Where is an ATM?</t>
  </si>
  <si>
    <t xml:space="preserve">Which locations can I withdraw money from?</t>
  </si>
  <si>
    <t xml:space="preserve">Can this card be used at all ATMs?</t>
  </si>
  <si>
    <t xml:space="preserve">Are there any ATM's near me that accept this card?</t>
  </si>
  <si>
    <t xml:space="preserve">I need help from someone in your department with finding my nearest ATM.</t>
  </si>
  <si>
    <t xml:space="preserve">what are the locations i can withdraw money</t>
  </si>
  <si>
    <t xml:space="preserve">Which ATMs accept this circuit board ?</t>
  </si>
  <si>
    <t xml:space="preserve">How many ATMs will take this card?</t>
  </si>
  <si>
    <t xml:space="preserve">What ATMs can I use this card at?</t>
  </si>
  <si>
    <t xml:space="preserve">Is this card accepted by ATMs?</t>
  </si>
  <si>
    <t xml:space="preserve">Are there only certain ATM machines where I can use this card?</t>
  </si>
  <si>
    <t xml:space="preserve">Where can I find a Mastercard ATM?</t>
  </si>
  <si>
    <t xml:space="preserve">Tell me what ATMs use this card.</t>
  </si>
  <si>
    <t xml:space="preserve">Which ATMs take the card?</t>
  </si>
  <si>
    <t xml:space="preserve">How far is the closest ATM from me?</t>
  </si>
  <si>
    <t xml:space="preserve">Can you tell me the ATMs I can use with my card?</t>
  </si>
  <si>
    <t xml:space="preserve">Where is a Mastercard ATM?</t>
  </si>
  <si>
    <t xml:space="preserve">I need to know where I can withdraw money.</t>
  </si>
  <si>
    <t xml:space="preserve">Are there specific ATM's I can use with this card?</t>
  </si>
  <si>
    <t xml:space="preserve">Where can I find an ATM?</t>
  </si>
  <si>
    <t xml:space="preserve">How can I tell if an AMT will take this card?</t>
  </si>
  <si>
    <t xml:space="preserve">How do I know it is a Mastercard ATM?</t>
  </si>
  <si>
    <t xml:space="preserve">ATMs, which ones will accept this card?</t>
  </si>
  <si>
    <t xml:space="preserve">What ATM locations are near me?</t>
  </si>
  <si>
    <t xml:space="preserve">What ATM accepts Mastercard?</t>
  </si>
  <si>
    <t xml:space="preserve">Can I withdraw from any ATM?</t>
  </si>
  <si>
    <t xml:space="preserve">Hi, i found a large amount payment in my old statements which i am sure was not made by me. I am aware that the time has passed but is there a way to raise a dispute for this payment now?</t>
  </si>
  <si>
    <t xml:space="preserve">what is the word?</t>
  </si>
  <si>
    <t xml:space="preserve">Please help my find out why there is an odd direct debit in my records.</t>
  </si>
  <si>
    <t xml:space="preserve">I am seeing in the App a diret debit that its not mine</t>
  </si>
  <si>
    <t xml:space="preserve">There is a direct debit payment that I did not make.</t>
  </si>
  <si>
    <t xml:space="preserve">There is a strange charge on my debit statement</t>
  </si>
  <si>
    <t xml:space="preserve">There is a Direct Debit that looks suspicious.</t>
  </si>
  <si>
    <t xml:space="preserve">Is there a way for you to find out why my account was deducted from a seller when I didn't approve of it?</t>
  </si>
  <si>
    <t xml:space="preserve">Why is there a direct debit payment on my statement that I didn't do?</t>
  </si>
  <si>
    <t xml:space="preserve">A direct debit payment that I didn't authorise shows up in my app.</t>
  </si>
  <si>
    <t xml:space="preserve">My app is showing a payment that I know I did not do. Can you please cancel that transaction and credit my account please?</t>
  </si>
  <si>
    <t xml:space="preserve">i would like to dispute a direct debit payment</t>
  </si>
  <si>
    <t xml:space="preserve">Is it possible to dispute a debit payment from a couple of months ago.</t>
  </si>
  <si>
    <t xml:space="preserve">A direct debit payment I didn't do shows in my app</t>
  </si>
  <si>
    <t xml:space="preserve">I see a direct debit transaction in my history that I did not set up.</t>
  </si>
  <si>
    <t xml:space="preserve">A false direct debit payment is showing in my app</t>
  </si>
  <si>
    <t xml:space="preserve">I do not understand what this particular direct debit is ?</t>
  </si>
  <si>
    <t xml:space="preserve">There was some money taken from my account that I don't remember paying for. Am I able to look up this transaction which was a few weeks ago to see who took out the money? Im not sure I need a refund just want to check to make sure it's legit.</t>
  </si>
  <si>
    <t xml:space="preserve">Please tell me what this direct debit in my statement is</t>
  </si>
  <si>
    <t xml:space="preserve">what is this charge on my card?</t>
  </si>
  <si>
    <t xml:space="preserve">A few weeks ago, a strange transaction was made on my account by a seller I don't know. I am quite sure I didn't do it and will like for you to check it for me.</t>
  </si>
  <si>
    <t xml:space="preserve">Is there a strict timeline regarding disputing transactions made on my account? I just noticed a fraudulent charge on a statement from a couple months ago.</t>
  </si>
  <si>
    <t xml:space="preserve">There is a mysterious debit transaction on my statement</t>
  </si>
  <si>
    <t xml:space="preserve">what is the matter?</t>
  </si>
  <si>
    <t xml:space="preserve">My account shows I made a debit payment to someone that I can't recall and would like to find out who the payment was made to.</t>
  </si>
  <si>
    <t xml:space="preserve">I don't recognize the direct debit payment from the app.</t>
  </si>
  <si>
    <t xml:space="preserve">I need a refund on a direct debit that shows in the app because I did not make it.</t>
  </si>
  <si>
    <t xml:space="preserve">hey, I think someone stole my card numbers. There is a purchase showing up on my app from a store pretty far away from me.. I really need that money back to pay my rent.</t>
  </si>
  <si>
    <t xml:space="preserve">I was just going over my transactions for the past couple of months and noticed a large type charge that I know I did not make. Even though it's been a while can I please still dispute this?</t>
  </si>
  <si>
    <t xml:space="preserve">There was a charge made on my card from a couple weeks ago and I don't remember making the purchase. Nor do I remember the company itself. Can we trace this at all to confirm if I did it or not?</t>
  </si>
  <si>
    <t xml:space="preserve">There is a direct debit payment I don't recognize.</t>
  </si>
  <si>
    <t xml:space="preserve">What is this direct debit in my statement?</t>
  </si>
  <si>
    <t xml:space="preserve">This debit is not my transcation. How do I get my money out back?</t>
  </si>
  <si>
    <t xml:space="preserve">How can I get my money back for a payment i didnt make</t>
  </si>
  <si>
    <t xml:space="preserve">I don't recognize the direct debit payment on my account.</t>
  </si>
  <si>
    <t xml:space="preserve">A direct debit appears in the app but I didn't authorize it.</t>
  </si>
  <si>
    <t xml:space="preserve">I'm seeing a direct debit payment that is not me.</t>
  </si>
  <si>
    <t xml:space="preserve">I see a direct debit transaction that I didn't make.</t>
  </si>
  <si>
    <t xml:space="preserve">Could I raise a dispute for a large payment that i found out was not done by me in my couple of last statements? I am aware its delayed now. Please help me out.</t>
  </si>
  <si>
    <t xml:space="preserve">I don't know where a direct debit payment came from</t>
  </si>
  <si>
    <t xml:space="preserve">Who do I contact if there is a direct debit that I did not create.</t>
  </si>
  <si>
    <t xml:space="preserve">There was a direct debit from my account and I didn't authorise it</t>
  </si>
  <si>
    <t xml:space="preserve">I'm checking my statements and I saw a purchase from a couple weeks ago that I don't recall at all. Not only that, but I don't even know the business that charged it. I'm not sure if I did it or not, but can we check it and see if we can trace it back to make certain?</t>
  </si>
  <si>
    <t xml:space="preserve">I don't recognise a Direct Debit payment</t>
  </si>
  <si>
    <t xml:space="preserve">There is a direct debit transaction on my statement that I think is not mine. How do I remove?</t>
  </si>
  <si>
    <t xml:space="preserve">there is a debit i dont recognize</t>
  </si>
  <si>
    <t xml:space="preserve">There are automatic debits on my account that I did not make.</t>
  </si>
  <si>
    <t xml:space="preserve">I may need to dispute a Direct Debit payment.</t>
  </si>
  <si>
    <t xml:space="preserve">There's a weird payment showing in my app that I definitely haven't made myself, as I haven't used the card at all that day. Please cancel that and return my money.</t>
  </si>
  <si>
    <t xml:space="preserve">There is a direct debit fee in the App that I didn't do.</t>
  </si>
  <si>
    <t xml:space="preserve">What do I do about a debit on my account that I didn't make?</t>
  </si>
  <si>
    <t xml:space="preserve">I did not set up a direct debit I have</t>
  </si>
  <si>
    <t xml:space="preserve">If I found an error in my account for a transaction I didn't make, how long to I have to dispute it?</t>
  </si>
  <si>
    <t xml:space="preserve">There is a direct debit transaction that I did not authorize</t>
  </si>
  <si>
    <t xml:space="preserve">Can you help me figure out what is going on with a debit payment that is showing up on my account I am not sure is suppose to be there.</t>
  </si>
  <si>
    <t xml:space="preserve">I am seeing a direct debit I wasn't aware of.</t>
  </si>
  <si>
    <t xml:space="preserve">I found a charge on my debit that I did not make.</t>
  </si>
  <si>
    <t xml:space="preserve">How can I dispute a direct debit transaction?</t>
  </si>
  <si>
    <t xml:space="preserve">How can I dispute a debit transaction?</t>
  </si>
  <si>
    <t xml:space="preserve">My statement shows a strange direct debit.</t>
  </si>
  <si>
    <t xml:space="preserve">I have an unknown debit charge in my statement, why?</t>
  </si>
  <si>
    <t xml:space="preserve">I just noticed that I supposedly made a payment to a seller a while back. The problem is, I don't recognize the seller. There must be a way to see who it is or track the payment. Can you do that, because I don't remember this transaction?</t>
  </si>
  <si>
    <t xml:space="preserve">In my app, a direct debit payment that I didn't do shows up.</t>
  </si>
  <si>
    <t xml:space="preserve">There's an unauthorized direct debit in my app.</t>
  </si>
  <si>
    <t xml:space="preserve">I see a direct debit that isn't mine? How can I get my money back?</t>
  </si>
  <si>
    <t xml:space="preserve">My account statements show a debit payment that I didn't make it's from some time ago I need to know if it is disputable.</t>
  </si>
  <si>
    <t xml:space="preserve">There is a debit transaction on my statement that I did not make</t>
  </si>
  <si>
    <t xml:space="preserve">There is a direct debit payment on my account that I didn't authorize.</t>
  </si>
  <si>
    <t xml:space="preserve">I didn't set up the direct debit I have</t>
  </si>
  <si>
    <t xml:space="preserve">What do I do if I find a debit charge that I know I didn't do in my billing statement?</t>
  </si>
  <si>
    <t xml:space="preserve">i do not know what this charge is for</t>
  </si>
  <si>
    <t xml:space="preserve">What do I do if there is a direct debit on my account that shouldn't be there?</t>
  </si>
  <si>
    <t xml:space="preserve">I think I am a victim of fraud.  I noticed there was a charge on my account that I didn't do because I haven't touched my card today.  Can you please reverse the charge and refund my money?</t>
  </si>
  <si>
    <t xml:space="preserve">There is a direct debit charge on my account that I don't recognize.</t>
  </si>
  <si>
    <t xml:space="preserve">Recently, a few weeks ago there was a transaction made on my account by some seller that I don't recognize. I am very certain that didn't happen  and will like for you to trace back to make sure.</t>
  </si>
  <si>
    <t xml:space="preserve">Someone else charged my card!</t>
  </si>
  <si>
    <t xml:space="preserve">Am I able to look back at a transaction to see who with drawled some money from my account? I don't remember authorizing this a few weeks ago, but wanted to double check who took the money.</t>
  </si>
  <si>
    <t xml:space="preserve">How do I dispute a direct debit on my account?</t>
  </si>
  <si>
    <t xml:space="preserve">I did not make a direct debit payment as listed on my app</t>
  </si>
  <si>
    <t xml:space="preserve">There's a direct debit payment that I don't recognize.</t>
  </si>
  <si>
    <t xml:space="preserve">How do I dispute a debit that I didn't make?</t>
  </si>
  <si>
    <t xml:space="preserve">I don't know where this debit transaction on my statement came from.</t>
  </si>
  <si>
    <t xml:space="preserve">The app is showing a direct debit transaction that I did not perform</t>
  </si>
  <si>
    <t xml:space="preserve">The app is showing a direct debit payment that I never made</t>
  </si>
  <si>
    <t xml:space="preserve">I was checking the app for my account and I noticed there is an authorized charge on it.  I haven't used my card today, so I know I didn't do it.  I would like the transaction reversed and the money replaced.</t>
  </si>
  <si>
    <t xml:space="preserve">I want a refund on a direct debit.</t>
  </si>
  <si>
    <t xml:space="preserve">Hi, i was checking my old statements and found a discrepancy with a large amount transaction. I am sure it was not done by me. Please let me know if i could raise a dispute as its very late.</t>
  </si>
  <si>
    <t xml:space="preserve">There is a debit paymet that I don't recognize.</t>
  </si>
  <si>
    <t xml:space="preserve">What can I do about a direct debit transaction on my card that I didn't make?</t>
  </si>
  <si>
    <t xml:space="preserve">I need assistance addressing a direct debit that I did not do myself.</t>
  </si>
  <si>
    <t xml:space="preserve">I see a direct debit transaction in my app that I didn't make.</t>
  </si>
  <si>
    <t xml:space="preserve">I see a direct debit payment on my statement that wasn't me</t>
  </si>
  <si>
    <t xml:space="preserve">How long after I receive my statement can I dispute payments on it?</t>
  </si>
  <si>
    <t xml:space="preserve">How do I dispute a direct debit transaction?</t>
  </si>
  <si>
    <t xml:space="preserve">I notice a transaction a couple of weeks ago in my account, from a seller that I don't recognize. Is there a way we can trace back the information to make sure it was truly something I did?</t>
  </si>
  <si>
    <t xml:space="preserve">what is this charge i didnt do it what can i do</t>
  </si>
  <si>
    <t xml:space="preserve">I have a direct debit on my records that is strange and I need help.</t>
  </si>
  <si>
    <t xml:space="preserve">I would like to dispute a payment I didnt make</t>
  </si>
  <si>
    <t xml:space="preserve">I found a direct debit I would like to dispute</t>
  </si>
  <si>
    <t xml:space="preserve">I saw money was taken out of my account by a seller a while back. I do not recognize the seller, but I'm pretty certain I didn't make that payment. Can you track who the seller is?</t>
  </si>
  <si>
    <t xml:space="preserve">There is a direct debit patentp that I haven't authorized.</t>
  </si>
  <si>
    <t xml:space="preserve">I can't recognise this Direct Debit payment.</t>
  </si>
  <si>
    <t xml:space="preserve">I would like to dispute a direct debit transaction</t>
  </si>
  <si>
    <t xml:space="preserve">Please help! I was looking at my account and saw a transaction with a seller I don't remember. Is it possible for you to track the sale, because I really don't think I made a payment to them.</t>
  </si>
  <si>
    <t xml:space="preserve">Why is there a direct debit set up in my name?</t>
  </si>
  <si>
    <t xml:space="preserve">I don't recognize this debit transaction in my billing statement?</t>
  </si>
  <si>
    <t xml:space="preserve">I didn't set up a direct debit payment on my account.</t>
  </si>
  <si>
    <t xml:space="preserve">I need to dispute a direct debit.</t>
  </si>
  <si>
    <t xml:space="preserve">My account shows a direct debit charge that I have never seen before</t>
  </si>
  <si>
    <t xml:space="preserve">I might have been charged on my debit statement by fraud.</t>
  </si>
  <si>
    <t xml:space="preserve">I just went through a old statement and noticed that a very large payment went through and i did not make it. It was from a few months ago, can I still dispute the payment?</t>
  </si>
  <si>
    <t xml:space="preserve">I am not recognizing a debit payment from my account.</t>
  </si>
  <si>
    <t xml:space="preserve">I have a direct debit that I did not set up</t>
  </si>
  <si>
    <t xml:space="preserve">I have gone through my statements and noticed there is a large payment that I did not make. Can i still dispute the payment? its been a while</t>
  </si>
  <si>
    <t xml:space="preserve">I see a charge for a direct debit that was not me.</t>
  </si>
  <si>
    <t xml:space="preserve">There was a strange transaction made on my account a couple weeks ago by a seller I don't recognize. May you please check on this transaction for me.</t>
  </si>
  <si>
    <t xml:space="preserve">There is a potentially fraudulent direct debit on my account.</t>
  </si>
  <si>
    <t xml:space="preserve">I have a direct debit I didn't set up</t>
  </si>
  <si>
    <t xml:space="preserve">Help!  In the app there is a direct debit that I don't remember.</t>
  </si>
  <si>
    <t xml:space="preserve">Please help me regarding a direct debit in the app that I don't recognize.</t>
  </si>
  <si>
    <t xml:space="preserve">how do i get a refund for a direct debit payment i didn't make</t>
  </si>
  <si>
    <t xml:space="preserve">I need to cancel a transaction on my debit card.</t>
  </si>
  <si>
    <t xml:space="preserve">I think I was charged by mistake on my debit statement.</t>
  </si>
  <si>
    <t xml:space="preserve">Purchases I did not make are appearing in my bank statement?</t>
  </si>
  <si>
    <t xml:space="preserve">On my app I can see that a direct debit payment that I didn't do, appears.</t>
  </si>
  <si>
    <t xml:space="preserve">There's a payment showing in the app today even though I have not used my card at all. I want a refund.</t>
  </si>
  <si>
    <t xml:space="preserve">Unusual direct deposit</t>
  </si>
  <si>
    <t xml:space="preserve">I didn't make the direct debit payment on my account.</t>
  </si>
  <si>
    <t xml:space="preserve">People are using my debit card - help!</t>
  </si>
  <si>
    <t xml:space="preserve">I have an unfamiliar direct debit in my statement.</t>
  </si>
  <si>
    <t xml:space="preserve">How do I dispute a direct debit that I didn't do?</t>
  </si>
  <si>
    <t xml:space="preserve">Weird Direct Debit payment</t>
  </si>
  <si>
    <t xml:space="preserve">I have an unauthorized direct debit on my account</t>
  </si>
  <si>
    <t xml:space="preserve">I have an unknown charge.</t>
  </si>
  <si>
    <t xml:space="preserve">What do I do if there is an electronic debit that is not correct?</t>
  </si>
  <si>
    <t xml:space="preserve">There is a payment showing that I know I didn't make. I didn't use my card that day and I'm sure of it. Can you please cancel that transaction and return my money? Thankyou</t>
  </si>
  <si>
    <t xml:space="preserve">after going over my transactions for the last couple of months I noticed a pretty large charge that I know I did not make. I know it's been a while but can I still dispute this charge?</t>
  </si>
  <si>
    <t xml:space="preserve">Someone else made a Direct Debit transaction on my account</t>
  </si>
  <si>
    <t xml:space="preserve">How can I dispute a direct debit charge on my account?</t>
  </si>
  <si>
    <t xml:space="preserve">I have a direct debit I didn't make</t>
  </si>
  <si>
    <t xml:space="preserve">I have an unauthorized charge.</t>
  </si>
  <si>
    <t xml:space="preserve">A debit came through that I need to dispute.</t>
  </si>
  <si>
    <t xml:space="preserve">There is a payment in my app that I did not make.  I have not used that card all day  Please reimburse my money.</t>
  </si>
  <si>
    <t xml:space="preserve">I don't know what this Direct Debit payment is.</t>
  </si>
  <si>
    <t xml:space="preserve">I see a direct debit payment on my app that I did not do</t>
  </si>
  <si>
    <t xml:space="preserve">How do I get a refund for an unauthorized direct debit payment?</t>
  </si>
  <si>
    <t xml:space="preserve">There was a direct debit I don't recognize.</t>
  </si>
  <si>
    <t xml:space="preserve">I see an unfamiliar Direct Debit payment.</t>
  </si>
  <si>
    <t xml:space="preserve">In the app I see a direct debit that I don't recognize.</t>
  </si>
  <si>
    <t xml:space="preserve">Why am I seeing a direct debit thats not mine?</t>
  </si>
  <si>
    <t xml:space="preserve">Can I dispute a debit payment that I am seeing that I didn't make from a couple of months ago?</t>
  </si>
  <si>
    <t xml:space="preserve">There is a direct debit set up that I didn't create.</t>
  </si>
  <si>
    <t xml:space="preserve">There is a direct debit charge that I don't recognize, what can I do?</t>
  </si>
  <si>
    <t xml:space="preserve">I have not used my card all day, however, there is an unusual payment showing in my app.  I would like to have that amount reimbursed.</t>
  </si>
  <si>
    <t xml:space="preserve">I don't know what this Direct Debit payment on my account is for.</t>
  </si>
  <si>
    <t xml:space="preserve">There is a direct debit charge on my account that is not mine.</t>
  </si>
  <si>
    <t xml:space="preserve">I see a direct debit transaction in the app that is not mine</t>
  </si>
  <si>
    <t xml:space="preserve">There is a direct debit set up that was not authorized by me.</t>
  </si>
  <si>
    <t xml:space="preserve">I didn't initiate a direct debit that I see on my account</t>
  </si>
  <si>
    <t xml:space="preserve">Why is there a direct debit fee in the App when I didn't do it?</t>
  </si>
  <si>
    <t xml:space="preserve">There is a payment I don't recognise!</t>
  </si>
  <si>
    <t xml:space="preserve">A couple weeks ago there was a debit taken from my account from a transaction I don't recall. Is it possible to trace this transaction to make sure I'm not being scammed?</t>
  </si>
  <si>
    <t xml:space="preserve">What should I do about a direct debit that I did not set up?</t>
  </si>
  <si>
    <t xml:space="preserve">There was a direct debit transaction I have don't think should be there.</t>
  </si>
  <si>
    <t xml:space="preserve">I just found a payment from a while back in my account that I didn't make.  Can I still dispute it even though it was a couple of months ago?</t>
  </si>
  <si>
    <t xml:space="preserve">I do not recognize a direct debit payment that I see on my app</t>
  </si>
  <si>
    <t xml:space="preserve">My account was charged a debit payment I don't recognize.</t>
  </si>
  <si>
    <t xml:space="preserve">In my app, a direct debit payment I didn't do shows in my app</t>
  </si>
  <si>
    <t xml:space="preserve">My accounts been charged a payment for something I didn't make.</t>
  </si>
  <si>
    <t xml:space="preserve">looking back on my transactions from a couple of months ago I have noticed a charge that is fairly large that I'm certain was not completed by me. I know it has been a while but can I please dispute this charge?</t>
  </si>
  <si>
    <t xml:space="preserve">I see a direct debit charge that I did not approve</t>
  </si>
  <si>
    <t xml:space="preserve">The app shows Direct Debit payments that I didn't make</t>
  </si>
  <si>
    <t xml:space="preserve">I have an unknown direct debit payment on my account</t>
  </si>
  <si>
    <t xml:space="preserve">There is a direct debit that I didn't set up, what should I do?</t>
  </si>
  <si>
    <t xml:space="preserve">I see a direct debit that I didn't authorize</t>
  </si>
  <si>
    <t xml:space="preserve">I know this very late, but I just went through my statements from the last couple months and there's one quite large-ish payment that I definitely haven't made. Is it still possible to dispute it?</t>
  </si>
  <si>
    <t xml:space="preserve">I checked my account and see that funds were deducted from a seller I didn't approve of. Can you help me understand?</t>
  </si>
  <si>
    <t xml:space="preserve">There is a transaction showing in my app that I did not make as I have not used that card all day.  Please reimburse this amount to my account.</t>
  </si>
  <si>
    <t xml:space="preserve">My app shows a direct debit that isn't mine.</t>
  </si>
  <si>
    <t xml:space="preserve">I haven't used my card all day but there is a payment showing in the app. Please cancel it!</t>
  </si>
  <si>
    <t xml:space="preserve">There is a payment showing on my app that I didn't do. Will you please cancel this payment and refund my money ?</t>
  </si>
  <si>
    <t xml:space="preserve">Why is there a direct debit to my account? I didn't do that.</t>
  </si>
  <si>
    <t xml:space="preserve">Help me!  I don't know what my password is.</t>
  </si>
  <si>
    <t xml:space="preserve">I thought I knew my password but I guess I was wrong, what can I do now?</t>
  </si>
  <si>
    <t xml:space="preserve">I am unable to access my app due to forgetting my passcode.</t>
  </si>
  <si>
    <t xml:space="preserve">I can't recall my password.</t>
  </si>
  <si>
    <t xml:space="preserve">What should I do if I don't know my password?</t>
  </si>
  <si>
    <t xml:space="preserve">Need a new passcode.</t>
  </si>
  <si>
    <t xml:space="preserve">I can't log in with this passocde</t>
  </si>
  <si>
    <t xml:space="preserve">I forgot my passcode. Now what?</t>
  </si>
  <si>
    <t xml:space="preserve">What are the steps to reset my passcode?</t>
  </si>
  <si>
    <t xml:space="preserve">Where do I go to reset the passcode?</t>
  </si>
  <si>
    <t xml:space="preserve">I am unaware of what my password is.</t>
  </si>
  <si>
    <t xml:space="preserve">I can't remember my passcode.</t>
  </si>
  <si>
    <t xml:space="preserve">I forgot my code</t>
  </si>
  <si>
    <t xml:space="preserve">Help me.  The passcode doesn't work.</t>
  </si>
  <si>
    <t xml:space="preserve">The passcode isn't working for me.</t>
  </si>
  <si>
    <t xml:space="preserve">Is there a way to recover my password?</t>
  </si>
  <si>
    <t xml:space="preserve">Can you lookup my password?</t>
  </si>
  <si>
    <t xml:space="preserve">What is my password?</t>
  </si>
  <si>
    <t xml:space="preserve">I forgot my password to get into the app!</t>
  </si>
  <si>
    <t xml:space="preserve">Why doesn't my passcode work?</t>
  </si>
  <si>
    <t xml:space="preserve">I happened to forget my password</t>
  </si>
  <si>
    <t xml:space="preserve">I forgot the passcode on my app.</t>
  </si>
  <si>
    <t xml:space="preserve">I seem to of forgotten my passcode.</t>
  </si>
  <si>
    <t xml:space="preserve">I do not understand why my pass-code is not working.</t>
  </si>
  <si>
    <t xml:space="preserve">My passcode won't work.</t>
  </si>
  <si>
    <t xml:space="preserve">How do I reset my passcode?</t>
  </si>
  <si>
    <t xml:space="preserve">Not sure what my password is.</t>
  </si>
  <si>
    <t xml:space="preserve">how to recover my passcode</t>
  </si>
  <si>
    <t xml:space="preserve">I don't remember my login code</t>
  </si>
  <si>
    <t xml:space="preserve">I need a new login code</t>
  </si>
  <si>
    <t xml:space="preserve">Help!  I forgot my password.</t>
  </si>
  <si>
    <t xml:space="preserve">I happened to forget my passcode</t>
  </si>
  <si>
    <t xml:space="preserve">what is going on, i have entered my passcode and its not working</t>
  </si>
  <si>
    <t xml:space="preserve">passcode retrieval</t>
  </si>
  <si>
    <t xml:space="preserve">My passcode is not being accepted</t>
  </si>
  <si>
    <t xml:space="preserve">I would like to better understand why my pass-code is not working.</t>
  </si>
  <si>
    <t xml:space="preserve">I can't find my code</t>
  </si>
  <si>
    <t xml:space="preserve">My password doesn't work.</t>
  </si>
  <si>
    <t xml:space="preserve">My passcode was denied.</t>
  </si>
  <si>
    <t xml:space="preserve">I don't know the code for the app.</t>
  </si>
  <si>
    <t xml:space="preserve">I can't remember my password.</t>
  </si>
  <si>
    <t xml:space="preserve">Please help me.  I don't know my code to get into the app.</t>
  </si>
  <si>
    <t xml:space="preserve">I used to know my password, but not anymore.</t>
  </si>
  <si>
    <t xml:space="preserve">I've forgotten my passcode. Can I reset?</t>
  </si>
  <si>
    <t xml:space="preserve">I am entering my passcode but getting an error.</t>
  </si>
  <si>
    <t xml:space="preserve">I don't remember my password</t>
  </si>
  <si>
    <t xml:space="preserve">Where can I get a new passcode?</t>
  </si>
  <si>
    <t xml:space="preserve">What are the steps for changing my passcode?</t>
  </si>
  <si>
    <t xml:space="preserve">I lost the code and can not get into the app. Help!</t>
  </si>
  <si>
    <t xml:space="preserve">I think my passcode was changed</t>
  </si>
  <si>
    <t xml:space="preserve">How can I reset the passcode if I need to do that?</t>
  </si>
  <si>
    <t xml:space="preserve">I can't log into my account because I lost my password</t>
  </si>
  <si>
    <t xml:space="preserve">What do I do if I can't access my passcode?</t>
  </si>
  <si>
    <t xml:space="preserve">The app passcode has completely slipped my mind.</t>
  </si>
  <si>
    <t xml:space="preserve">Can you help me reset my passcode? I forgot it.</t>
  </si>
  <si>
    <t xml:space="preserve">How do I change my passcode?</t>
  </si>
  <si>
    <t xml:space="preserve">I cannot remember my passcode.</t>
  </si>
  <si>
    <t xml:space="preserve">I don't have a password.</t>
  </si>
  <si>
    <t xml:space="preserve">Where do I go to reset my passcode?</t>
  </si>
  <si>
    <t xml:space="preserve">What do I do if I forgot my passcode?</t>
  </si>
  <si>
    <t xml:space="preserve">I've completely forgot the code to get into the app.</t>
  </si>
  <si>
    <t xml:space="preserve">How can I go about resetting my passcode?</t>
  </si>
  <si>
    <t xml:space="preserve">How can I change my password?</t>
  </si>
  <si>
    <t xml:space="preserve">Is there a way to reset the passcode?</t>
  </si>
  <si>
    <t xml:space="preserve">I can't log in</t>
  </si>
  <si>
    <t xml:space="preserve">Help! I've forgot my app passcode!</t>
  </si>
  <si>
    <t xml:space="preserve">I need to reset my passcode, this one isn't working</t>
  </si>
  <si>
    <t xml:space="preserve">I don't remember my passcode?</t>
  </si>
  <si>
    <t xml:space="preserve">What do I do if I have forgotten my passcode?</t>
  </si>
  <si>
    <t xml:space="preserve">Can you tell me my code to get into the app?</t>
  </si>
  <si>
    <t xml:space="preserve">I cannot remember my passcode, is there a way to retrieve it?</t>
  </si>
  <si>
    <t xml:space="preserve">What should I do if my passcode won't work?</t>
  </si>
  <si>
    <t xml:space="preserve">I have forgotten my passcode</t>
  </si>
  <si>
    <t xml:space="preserve">Can my password be reset if I do not have it?</t>
  </si>
  <si>
    <t xml:space="preserve">I can't access my account.</t>
  </si>
  <si>
    <t xml:space="preserve">Lost password</t>
  </si>
  <si>
    <t xml:space="preserve">I'm locked out of my account as I can't remember my code, what do I do now?</t>
  </si>
  <si>
    <t xml:space="preserve">Disaster, I've totally forgotten my passcode, can you help me?</t>
  </si>
  <si>
    <t xml:space="preserve">I want to reset my passcode, how can I do that?</t>
  </si>
  <si>
    <t xml:space="preserve">I tried entering my passcode and it isn't working. Can you help?</t>
  </si>
  <si>
    <t xml:space="preserve">I can't get into the app with the passcode.</t>
  </si>
  <si>
    <t xml:space="preserve">For some reason I forgot the passcode I have.</t>
  </si>
  <si>
    <t xml:space="preserve">I've forgotten my app passcode completely.</t>
  </si>
  <si>
    <t xml:space="preserve">How do I reset my password?</t>
  </si>
  <si>
    <t xml:space="preserve">I lost my passcode.</t>
  </si>
  <si>
    <t xml:space="preserve">I don't know my password anymore.</t>
  </si>
  <si>
    <t xml:space="preserve">Instruct me how to reset the passcode.</t>
  </si>
  <si>
    <t xml:space="preserve">I can't remember what my password is</t>
  </si>
  <si>
    <t xml:space="preserve">I need to reset my passcode. Where do I go to do that?</t>
  </si>
  <si>
    <t xml:space="preserve">How can I reset my passcode?</t>
  </si>
  <si>
    <t xml:space="preserve">How do I get the passcode reset?</t>
  </si>
  <si>
    <t xml:space="preserve">Can someone please help assist me by explaining to me why my pass-code is not working?</t>
  </si>
  <si>
    <t xml:space="preserve">I don't have my passcode to access the app.</t>
  </si>
  <si>
    <t xml:space="preserve">Can I reset the passcode?</t>
  </si>
  <si>
    <t xml:space="preserve">Are there directions to get a new passcode if I forgot mine?</t>
  </si>
  <si>
    <t xml:space="preserve">I need to reset the passcode.</t>
  </si>
  <si>
    <t xml:space="preserve">I can't enter my passcode.</t>
  </si>
  <si>
    <t xml:space="preserve">I think I forgot my passcode</t>
  </si>
  <si>
    <t xml:space="preserve">I don't know my password</t>
  </si>
  <si>
    <t xml:space="preserve">I forgot the code I need to get into the app.</t>
  </si>
  <si>
    <t xml:space="preserve">I don't know what my passcode is, can you help?</t>
  </si>
  <si>
    <t xml:space="preserve">How can i reset my passcode ?</t>
  </si>
  <si>
    <t xml:space="preserve">What can I do if my passcode won't work?</t>
  </si>
  <si>
    <t xml:space="preserve">I can't remember my app code, can you reset it?</t>
  </si>
  <si>
    <t xml:space="preserve">Can someone help with my passcode?</t>
  </si>
  <si>
    <t xml:space="preserve">I tried to withdraw cash and got declined, why is that?</t>
  </si>
  <si>
    <t xml:space="preserve">Why was I declined when I tried to get my money?</t>
  </si>
  <si>
    <t xml:space="preserve">I could not access my money at the ATM</t>
  </si>
  <si>
    <t xml:space="preserve">i needed money for a night out with the girls but i was declined, why?</t>
  </si>
  <si>
    <t xml:space="preserve">Why was I blocked from withdrawing from the ATM?</t>
  </si>
  <si>
    <t xml:space="preserve">I tried to get funds in hard cash but it was rejected!</t>
  </si>
  <si>
    <t xml:space="preserve">Why won't cash come out of the ATM?</t>
  </si>
  <si>
    <t xml:space="preserve">My withdrawals were going smooth until I got declined today. What is going on?</t>
  </si>
  <si>
    <t xml:space="preserve">I tried to use my card to withdrawal money from the ATM in Notting Hill but it didn't work. This is the first time I've tried using it. Is my card working?</t>
  </si>
  <si>
    <t xml:space="preserve">Why was my request for cash declined?</t>
  </si>
  <si>
    <t xml:space="preserve">Where did my money go? I'm not able to withdraw it from my ATM.</t>
  </si>
  <si>
    <t xml:space="preserve">Why was my withdrawal declined</t>
  </si>
  <si>
    <t xml:space="preserve">How come I can't get money at the ATM</t>
  </si>
  <si>
    <t xml:space="preserve">Why was my ATM withdrawal cancelled?</t>
  </si>
  <si>
    <t xml:space="preserve">I couldnt get cash in an ATM</t>
  </si>
  <si>
    <t xml:space="preserve">Why can't I get cash out?</t>
  </si>
  <si>
    <t xml:space="preserve">Why can't I take cash out of the ATM?</t>
  </si>
  <si>
    <t xml:space="preserve">Every ATM I visit is rejecting my card and I don't know why. There should be money on it. Can you check it to see if something is wrong or if I'm doing something wrong?</t>
  </si>
  <si>
    <t xml:space="preserve">I can't get money out of the ATM. Is my card actually working? It's the first time I tried using it</t>
  </si>
  <si>
    <t xml:space="preserve">The ATM keeps declining my Transaction . I tried two different ATMs already Would you please check if everything is okay with my account?</t>
  </si>
  <si>
    <t xml:space="preserve">Is there a reason my cash withdrawal was declined?</t>
  </si>
  <si>
    <t xml:space="preserve">My card won't let me withdraw money.</t>
  </si>
  <si>
    <t xml:space="preserve">I can't withdraw money</t>
  </si>
  <si>
    <t xml:space="preserve">Could you tell me why my cash withdrawal was declined?</t>
  </si>
  <si>
    <t xml:space="preserve">The ATM would not give me cash,why?</t>
  </si>
  <si>
    <t xml:space="preserve">My ATM transaction was cancelled.</t>
  </si>
  <si>
    <t xml:space="preserve">I was denied cash at an ATM</t>
  </si>
  <si>
    <t xml:space="preserve">I was not able to use the ATM to get cash</t>
  </si>
  <si>
    <t xml:space="preserve">Why did I get declined when trying to get cash?</t>
  </si>
  <si>
    <t xml:space="preserve">The ATM keeps declining my card! I tried two different ATMs already can you please check if everything is alright with my account??</t>
  </si>
  <si>
    <t xml:space="preserve">Why wouldn't the ATM give me my money?</t>
  </si>
  <si>
    <t xml:space="preserve">Why are my withdrawals suddenly being declined?</t>
  </si>
  <si>
    <t xml:space="preserve">Can you tell me why I was declined from getting cash?</t>
  </si>
  <si>
    <t xml:space="preserve">Why couldn't I make a withdrawal from the ATM?</t>
  </si>
  <si>
    <t xml:space="preserve">Why is my ATM cash withdrawal not working?</t>
  </si>
  <si>
    <t xml:space="preserve">Is my card broken? I can't get cash out of the ATM</t>
  </si>
  <si>
    <t xml:space="preserve">I went to the Notting Hill ATM to use my card the first time for a cash withdrawal but it didn't work. Does this mean that my card isn't working yet?</t>
  </si>
  <si>
    <t xml:space="preserve">i tried to withdraw money but was told i didn't have funds</t>
  </si>
  <si>
    <t xml:space="preserve">The ATM keeps declining my Transaction . I tried two different ATMs already can you please check if everything is okay with my account?</t>
  </si>
  <si>
    <t xml:space="preserve">Please double check my card - withdrawal was working fine so far, but this morning on the way to work it suddenly got declined!</t>
  </si>
  <si>
    <t xml:space="preserve">I was declined when trying to withdrawal cash!</t>
  </si>
  <si>
    <t xml:space="preserve">I needed cash from the ATM but I couldn't get it.</t>
  </si>
  <si>
    <t xml:space="preserve">My ATM withdrawal was declined.</t>
  </si>
  <si>
    <t xml:space="preserve">When I went to get cash, it was declined!</t>
  </si>
  <si>
    <t xml:space="preserve">Is my card working? It's the first time I tried using it I tried to get money out of an ATM, but got nothing.</t>
  </si>
  <si>
    <t xml:space="preserve">The ATM machines keep declining my card and I don't know why. I thought I had money in my account. Why is this happening?</t>
  </si>
  <si>
    <t xml:space="preserve">Why was my withdrawal requested cancelled by the ATM?</t>
  </si>
  <si>
    <t xml:space="preserve">I have tried using my card for the first time at the ATM of Notting Hill to withdrawal cash but it didn't work. Does this mean my card isn't working?</t>
  </si>
  <si>
    <t xml:space="preserve">A withdraw I tried to make at the ATM was declined I don't know why.</t>
  </si>
  <si>
    <t xml:space="preserve">Tried using my ATM card earlier at one of your locations for the first time.  It didn't work.  What is going on?</t>
  </si>
  <si>
    <t xml:space="preserve">Why can't I take money from my account?</t>
  </si>
  <si>
    <t xml:space="preserve">This morning I wanted to make a withdrawal before work, but my card was declined! Please double check it for me as this is the first time it was declined.</t>
  </si>
  <si>
    <t xml:space="preserve">Why was I declined from getting cash?</t>
  </si>
  <si>
    <t xml:space="preserve">I tried to get money out of the Notting Hill ATM earlier, but wasn't able to. Is my card working okay? It's the first time I tried using it.</t>
  </si>
  <si>
    <t xml:space="preserve">My ATM card isn't working for a withdrawl</t>
  </si>
  <si>
    <t xml:space="preserve">Is my card actually working? It's the first time I tried using it</t>
  </si>
  <si>
    <t xml:space="preserve">Is there a reason why my card was declined when I attempted to withdraw money?</t>
  </si>
  <si>
    <t xml:space="preserve">Is the ATM broken? I can't get cash from it.</t>
  </si>
  <si>
    <t xml:space="preserve">what is my monthly spending limit because i was refused my money at an atm</t>
  </si>
  <si>
    <t xml:space="preserve">I can't get cash from the ATM!</t>
  </si>
  <si>
    <t xml:space="preserve">When I tried to access my cash, I wasn't allowed!</t>
  </si>
  <si>
    <t xml:space="preserve">My card has been declined by two separate ATM, and I'm worried something is wrong with my account. Would you please see if my account is okay?</t>
  </si>
  <si>
    <t xml:space="preserve">Has my account been frozen?  I tried to use my card but the ATM would not dispense cash.</t>
  </si>
  <si>
    <t xml:space="preserve">I tried to withdraw cash from the ATM machine and it did not work. Can you tell me why?</t>
  </si>
  <si>
    <t xml:space="preserve">ATM withdrawal not working.</t>
  </si>
  <si>
    <t xml:space="preserve">I tried using my ATM card at your Notting Hill location today.  It did not work.  Am I doing something wrong?</t>
  </si>
  <si>
    <t xml:space="preserve">I tried to get money out of an ATM in Notting Hill earlier, but it didn't work. Is my card actually working? It's the first time I tried using it</t>
  </si>
  <si>
    <t xml:space="preserve">I cannot withdraw money from the ATM</t>
  </si>
  <si>
    <t xml:space="preserve">My withdrawal from the ATM was cancelled.</t>
  </si>
  <si>
    <t xml:space="preserve">I'm trying to take money from my account but its not letting me. Help!</t>
  </si>
  <si>
    <t xml:space="preserve">Why won't the ATM let me withdraw money?</t>
  </si>
  <si>
    <t xml:space="preserve">My cash withdrawal was declined.  Why?</t>
  </si>
  <si>
    <t xml:space="preserve">Why couldn't I get cash from an ATM?</t>
  </si>
  <si>
    <t xml:space="preserve">I attempted to get cash in the ATM but it was not authorized</t>
  </si>
  <si>
    <t xml:space="preserve">Is there something wrong with my ATM Card?  Tried using it earlier and it did not work.</t>
  </si>
  <si>
    <t xml:space="preserve">The ATM keeps rejecting my Payment. I tried two different ATMs but did not work .Can you please check if everything is okay with my account?</t>
  </si>
  <si>
    <t xml:space="preserve">Why can't I withdraw cash from this ATM?</t>
  </si>
  <si>
    <t xml:space="preserve">I was getting some cash out of the ATM but it cancelled on me without warning.</t>
  </si>
  <si>
    <t xml:space="preserve">I wasn't able to withdraw money at an ATM</t>
  </si>
  <si>
    <t xml:space="preserve">Why can't I withdraw funds from my account?</t>
  </si>
  <si>
    <t xml:space="preserve">I tried to get cash in the ATM but it was not approved</t>
  </si>
  <si>
    <t xml:space="preserve">My card rejected a cash withdrawal. Why?</t>
  </si>
  <si>
    <t xml:space="preserve">Why was my cash withdrawal declined by the ATM?</t>
  </si>
  <si>
    <t xml:space="preserve">I could not get the ATM to work</t>
  </si>
  <si>
    <t xml:space="preserve">totally unacceptable.  I'm stranded with no cash because the ATM wouldn't give me any money!</t>
  </si>
  <si>
    <t xml:space="preserve">Help! My card isn't working at the ATM and I know I used the right PIN. Trying to get my money.</t>
  </si>
  <si>
    <t xml:space="preserve">I tried to pull cash from an ATM but it wouldn't let me.</t>
  </si>
  <si>
    <t xml:space="preserve">I tried to get money out of the Notting Hill ATM earlier, but I wasn't able to get it to work. Is my card with issue? It's the first time I tried using it.</t>
  </si>
  <si>
    <t xml:space="preserve">Can you please tell me why I cant get money from the ATM?</t>
  </si>
  <si>
    <t xml:space="preserve">How do I get money from an ATM using my card? I can't seem to get it to work? I used the pin I had, but maybe it's wrong? What do I need to do to fix this?</t>
  </si>
  <si>
    <t xml:space="preserve">Hello, is there any way to double check my card? I have never had issues with withdraws in the past, but this morning on the way to work it was unexpectedly declined.</t>
  </si>
  <si>
    <t xml:space="preserve">My card didn't work at the ATM in Notting Hill.  Is my card working?</t>
  </si>
  <si>
    <t xml:space="preserve">Why am I not able to get cash from the ATM?</t>
  </si>
  <si>
    <t xml:space="preserve">my card was frozen due to putting in the wrong pin too much.  how many tries do i have</t>
  </si>
  <si>
    <t xml:space="preserve">I cant get money out of the ATM with my card.  I just put my card in the ATM but it will not allow me to take any money out.  What do I need to do to fix this?</t>
  </si>
  <si>
    <t xml:space="preserve">Why was I not able to take cash from the ATM?</t>
  </si>
  <si>
    <t xml:space="preserve">Would you please check my Card. As Withdrawal was working fine so far, but this morning suddenly got declined. Can you please check the problem?</t>
  </si>
  <si>
    <t xml:space="preserve">Why would the ATM machine fail to give me the cash withdrawal I requested?</t>
  </si>
  <si>
    <t xml:space="preserve">I am having trouble withdrawing cash.</t>
  </si>
  <si>
    <t xml:space="preserve">Why is the ATM not allowing me to get cash?</t>
  </si>
  <si>
    <t xml:space="preserve">Why can I not take out cash?</t>
  </si>
  <si>
    <t xml:space="preserve">I tried to get cash but it was declined!</t>
  </si>
  <si>
    <t xml:space="preserve">Hi, I am unable to use my card in ATM. I had tried my card in two ATMs but both ATMs declined it. Could you please check my account?</t>
  </si>
  <si>
    <t xml:space="preserve">The ATM won't let me take out cash</t>
  </si>
  <si>
    <t xml:space="preserve">I'm not able to withdraw money from the ATM but I'm not sure why.</t>
  </si>
  <si>
    <t xml:space="preserve">why wouldnt the atm give me money</t>
  </si>
  <si>
    <t xml:space="preserve">My cash withdrawal was declined, why?</t>
  </si>
  <si>
    <t xml:space="preserve">I think there may be something wrong with my card. I have never had issues with withdraws before, but this morning on the way to work it was suddenly declined.</t>
  </si>
  <si>
    <t xml:space="preserve">Why can I not get cash from the ATM?</t>
  </si>
  <si>
    <t xml:space="preserve">Why was I not able to get cash from the ATM?</t>
  </si>
  <si>
    <t xml:space="preserve">My card doesn't work. I can't get cash out at an ATM</t>
  </si>
  <si>
    <t xml:space="preserve">Why am I not able to withdraw cash from this ATM?</t>
  </si>
  <si>
    <t xml:space="preserve">Why can't I withdraw money?</t>
  </si>
  <si>
    <t xml:space="preserve">The atm wouldn't give out cash</t>
  </si>
  <si>
    <t xml:space="preserve">What caused my cash withdrawal to be declined?</t>
  </si>
  <si>
    <t xml:space="preserve">Why wont the ATM give me cash?</t>
  </si>
  <si>
    <t xml:space="preserve">Why do I get declined when I try to withdraw cash?</t>
  </si>
  <si>
    <t xml:space="preserve">What was the cause for my card to be declined?</t>
  </si>
  <si>
    <t xml:space="preserve">The ATM cancelled a transaction on me when I was trying to get some cash out.</t>
  </si>
  <si>
    <t xml:space="preserve">Why can't I get cash from the ATM?</t>
  </si>
  <si>
    <t xml:space="preserve">atm refused to give me money</t>
  </si>
  <si>
    <t xml:space="preserve">I was declined when I tried to withdraw cash!</t>
  </si>
  <si>
    <t xml:space="preserve">I couldn't get money from the ATM</t>
  </si>
  <si>
    <t xml:space="preserve">I tried to use the ATM today but it would not accept my card.</t>
  </si>
  <si>
    <t xml:space="preserve">The ATM wouldn't let me withdraw cash.</t>
  </si>
  <si>
    <t xml:space="preserve">I tried to get money out of the Notting Hill ATM earlier, but I wasn't able to get anything out. Is there a problem with my card? It's the first time I tried using it.</t>
  </si>
  <si>
    <t xml:space="preserve">Please help me with my card. As i have tried to use my card in two different ATMs but repeatedly it was declining by ATM.</t>
  </si>
  <si>
    <t xml:space="preserve">The ATM wouldn't allow me to withdraw money</t>
  </si>
  <si>
    <t xml:space="preserve">Why am I unable to withdraw my money through this card?</t>
  </si>
  <si>
    <t xml:space="preserve">Is there a problem with my account? When I tried to withdraw cash at an ATM I was denied.</t>
  </si>
  <si>
    <t xml:space="preserve">ATM apparently not working?  Couldn't access funds in my account?</t>
  </si>
  <si>
    <t xml:space="preserve">Why is my card being declined at the ATM? I have tried multiple ATMs and i keep running into the same problem. Could you verify that everything is okay with my account?</t>
  </si>
  <si>
    <t xml:space="preserve">The ATM wouldn't let me have my money.</t>
  </si>
  <si>
    <t xml:space="preserve">I tired to get cash in the ATM but it was cancelled</t>
  </si>
  <si>
    <t xml:space="preserve">Is there something wrong with the ATM? It would not let me pull cash out of my account.</t>
  </si>
  <si>
    <t xml:space="preserve">Hi, In morning, i was trying to withdraw money from my card, but it got declined. So far it was working fine. Could you please check my card.</t>
  </si>
  <si>
    <t xml:space="preserve">When going to the ATM to take out some cash today my withdrawal was  declined.  I need to fix this problem as soon as possible. whats going on?</t>
  </si>
  <si>
    <t xml:space="preserve">I can't get any money from my account.</t>
  </si>
  <si>
    <t xml:space="preserve">I tried to withdraw cash, but got declined!</t>
  </si>
  <si>
    <t xml:space="preserve">The ATM will not let me get cash, WHY?</t>
  </si>
  <si>
    <t xml:space="preserve">I can't withdraw any money from my account. Ive tried a couple different ATM machines and both of them wouldn't give me my money. What's going on? Is my account frozen or something?</t>
  </si>
  <si>
    <t xml:space="preserve">Why was my atm withdrawl declined</t>
  </si>
  <si>
    <t xml:space="preserve">why would i be declined if i had money iin my account</t>
  </si>
  <si>
    <t xml:space="preserve">Why was my cash withdrawal cancelled at the ATM?</t>
  </si>
  <si>
    <t xml:space="preserve">Why can't I withdraw cash?</t>
  </si>
  <si>
    <t xml:space="preserve">Why am I unable to withdrawal cash?</t>
  </si>
  <si>
    <t xml:space="preserve">I just had my card get declined at the ATM! I need to get money out but I am unable to.  Why has this happened?</t>
  </si>
  <si>
    <t xml:space="preserve">I entered the correct pin but I still couldnt get funds.</t>
  </si>
  <si>
    <t xml:space="preserve">My card wont work at an ATM</t>
  </si>
  <si>
    <t xml:space="preserve">Why does the ATM continually decline my card? I've tried multiple times on different machines with the same results. I thought I had enough funds for this, so please help me understand why this is happening.</t>
  </si>
  <si>
    <t xml:space="preserve">i entered my pin in wrong and got it frozen. how many tries do i have</t>
  </si>
  <si>
    <t xml:space="preserve">This is the first time I've tried to get my money out of an ATM and it didn't work. Please give me my money</t>
  </si>
  <si>
    <t xml:space="preserve">Why am I having trouble withdrawing cash?</t>
  </si>
  <si>
    <t xml:space="preserve">I tried to make a withdrawal from the ATM, but it was cancelled.</t>
  </si>
  <si>
    <t xml:space="preserve">I could not get money from an ATM</t>
  </si>
  <si>
    <t xml:space="preserve">I think I am having an issue with withdraws on my card. It was declined on the way to work this morning. This hasn't happened in the past.</t>
  </si>
  <si>
    <t xml:space="preserve">I attempted to get money in cash but it was refused!</t>
  </si>
  <si>
    <t xml:space="preserve">My ATM withdrawal was cancelled</t>
  </si>
  <si>
    <t xml:space="preserve">I might need a new card because it's not working at any of the ATMs. I don't think ive used all my money. Why is it doing this?</t>
  </si>
  <si>
    <t xml:space="preserve">Please check my Card. As Withdrawal was working fine so far, but this morning suddenly got declined. Can you please check the problem?</t>
  </si>
  <si>
    <t xml:space="preserve">I tried to withdraw some funds from my card, but was declined. How can I get my money?</t>
  </si>
  <si>
    <t xml:space="preserve">I can't get the ATM to give me any cash</t>
  </si>
  <si>
    <t xml:space="preserve">I am unable to get cash from the ATM</t>
  </si>
  <si>
    <t xml:space="preserve">How come the ATM won't give me my money?</t>
  </si>
  <si>
    <t xml:space="preserve">I tried to withdraw cash from your ATM but my transaction was cancelled.</t>
  </si>
  <si>
    <t xml:space="preserve">Why did the ATM cancel my transaction</t>
  </si>
  <si>
    <t xml:space="preserve">Why wouldn't the ATM give me cash?</t>
  </si>
  <si>
    <t xml:space="preserve">Why wouldn't my withdrawal go through?</t>
  </si>
  <si>
    <t xml:space="preserve">I attempted to get cash in the ATM but I was denied</t>
  </si>
  <si>
    <t xml:space="preserve">The ATM didnt let me get cash</t>
  </si>
  <si>
    <t xml:space="preserve">Why am I unable to withdraw money even though in the past I've done it just fine?</t>
  </si>
  <si>
    <t xml:space="preserve">I was declined when I tried to take out cash!</t>
  </si>
  <si>
    <t xml:space="preserve">how come i was declined</t>
  </si>
  <si>
    <t xml:space="preserve">What does it mean when a payment is pending?</t>
  </si>
  <si>
    <t xml:space="preserve">Could you please tell me why my purchases from this morning say payment is pending?</t>
  </si>
  <si>
    <t xml:space="preserve">The purchase I made is still pending.</t>
  </si>
  <si>
    <t xml:space="preserve">Is there a problem with the payment that I see is still pending?</t>
  </si>
  <si>
    <t xml:space="preserve">There is a payment that I made that hasn't gone through yet.</t>
  </si>
  <si>
    <t xml:space="preserve">How long does it actually take for a card payment to go through? There's one stuck since a couple days already that doesn't seem to move</t>
  </si>
  <si>
    <t xml:space="preserve">Why does my payment appear as pending?</t>
  </si>
  <si>
    <t xml:space="preserve">How long does a payment usually show as pending? Is it normal that mine is still pending?</t>
  </si>
  <si>
    <t xml:space="preserve">Why is my payment in pending status?</t>
  </si>
  <si>
    <t xml:space="preserve">I have a card payment which shows as pending</t>
  </si>
  <si>
    <t xml:space="preserve">I made a payment with my card and it hasn't changed. How long do you think this will take?</t>
  </si>
  <si>
    <t xml:space="preserve">Why is the payment showing as pending from things I bought this morning?</t>
  </si>
  <si>
    <t xml:space="preserve">I made a card payment which is showing me pending.</t>
  </si>
  <si>
    <t xml:space="preserve">Why are my payments not working and show pending?</t>
  </si>
  <si>
    <t xml:space="preserve">I put in a payment a while ago and it has still not cleared and is showing up as "pending", how long does it take to clear?</t>
  </si>
  <si>
    <t xml:space="preserve">Why are the things I bought earlier today still showing as pending?</t>
  </si>
  <si>
    <t xml:space="preserve">Card payment still pending.</t>
  </si>
  <si>
    <t xml:space="preserve">My card payment is just showing up as pending since forever, what's going on with that, it should be going through at some point?</t>
  </si>
  <si>
    <t xml:space="preserve">I have a payment that has not gone through yet</t>
  </si>
  <si>
    <t xml:space="preserve">I initiated a payment a while ago and it is still showing as "pending", how long will it take to clear?</t>
  </si>
  <si>
    <t xml:space="preserve">Why is my purchase showing as pending?</t>
  </si>
  <si>
    <t xml:space="preserve">How long will it take for my payment to go through?</t>
  </si>
  <si>
    <t xml:space="preserve">After making a payment with my card it doesn't seem to have worked. It's just showing to be pending. When will this actually be going through?</t>
  </si>
  <si>
    <t xml:space="preserve">It says "pending payment?" Why is it saying this?</t>
  </si>
  <si>
    <t xml:space="preserve">Is there a reason my payments are pending?</t>
  </si>
  <si>
    <t xml:space="preserve">Why is my card payment still a pending transaction?</t>
  </si>
  <si>
    <t xml:space="preserve">Card payment is still pending, why is that the case?</t>
  </si>
  <si>
    <t xml:space="preserve">I have been waiting for my card payment to be moved from pending status for an unusually long time.  What is going on here and do you have an idea of when I can expect it to go through?</t>
  </si>
  <si>
    <t xml:space="preserve">How come my card payment is still pending?</t>
  </si>
  <si>
    <t xml:space="preserve">I notice there's a pending payment on my card.</t>
  </si>
  <si>
    <t xml:space="preserve">How is my card payment still pending?</t>
  </si>
  <si>
    <t xml:space="preserve">Why is my card payment still pending?</t>
  </si>
  <si>
    <t xml:space="preserve">What does pending payment mean?</t>
  </si>
  <si>
    <t xml:space="preserve">Why is my payment still pending?</t>
  </si>
  <si>
    <t xml:space="preserve">What does it mean when it says that I have a payment that is pending?</t>
  </si>
  <si>
    <t xml:space="preserve">My card payment is showing pending however this transaction was a couple of days ago. Is there a reason why it it still pending?</t>
  </si>
  <si>
    <t xml:space="preserve">A card payment on my account is shown as pending.</t>
  </si>
  <si>
    <t xml:space="preserve">Why is their a charge pending on my card still?</t>
  </si>
  <si>
    <t xml:space="preserve">My card payment says pending and it hasn't changed</t>
  </si>
  <si>
    <t xml:space="preserve">Card payment is showing as pending</t>
  </si>
  <si>
    <t xml:space="preserve">What is the longest that a payment will show pending?  There is one showing that has been sitting there a few days.</t>
  </si>
  <si>
    <t xml:space="preserve">I tried to pay through my account but the payment is not going through. What's going on?</t>
  </si>
  <si>
    <t xml:space="preserve">Why is the payment on my card still pending?</t>
  </si>
  <si>
    <t xml:space="preserve">What's taking so long for this payment to go through?</t>
  </si>
  <si>
    <t xml:space="preserve">Why haven't I gotten my payment yet?</t>
  </si>
  <si>
    <t xml:space="preserve">It looks like a payment I've made hasn't made it through yet.</t>
  </si>
  <si>
    <t xml:space="preserve">My card payment has had the status of pending forever. What is the issue? It should have gone through at some point.</t>
  </si>
  <si>
    <t xml:space="preserve">A payment is pending</t>
  </si>
  <si>
    <t xml:space="preserve">Why hasn't my card payment cleared yet?</t>
  </si>
  <si>
    <t xml:space="preserve">I've made a card payment a couple of days ago now but it looks like the money is stuck. How long does it typically take for the payment to go through?</t>
  </si>
  <si>
    <t xml:space="preserve">My payment is taking a long time to go through.</t>
  </si>
  <si>
    <t xml:space="preserve">What does it mean if my payment is pending?</t>
  </si>
  <si>
    <t xml:space="preserve">When will my payment go through?</t>
  </si>
  <si>
    <t xml:space="preserve">My card payment still pending</t>
  </si>
  <si>
    <t xml:space="preserve">How long does a payment show as pending before i should worry about it?</t>
  </si>
  <si>
    <t xml:space="preserve">Why is my card payment pending?</t>
  </si>
  <si>
    <t xml:space="preserve">I made a card payment by my card but it failed. Please let me know when the payment will get completed as its still pending.</t>
  </si>
  <si>
    <t xml:space="preserve">Hi, status of one of my card payment is still pending from a while. Please let e know how much time it will take to complete.</t>
  </si>
  <si>
    <t xml:space="preserve">After I make a payment, how long will it be before it transitions from "pending" to complete?</t>
  </si>
  <si>
    <t xml:space="preserve">My card payment is showing up as pending for a very long time, what's going on with that, it should be going through at some point?</t>
  </si>
  <si>
    <t xml:space="preserve">My purchases from this morning are showing up as payment pending. Can you tell me why?</t>
  </si>
  <si>
    <t xml:space="preserve">There is a payment that has not processed.</t>
  </si>
  <si>
    <t xml:space="preserve">I'm still waiting on a payment</t>
  </si>
  <si>
    <t xml:space="preserve">I need to find out why my pending payment hasn't gone through.</t>
  </si>
  <si>
    <t xml:space="preserve">I am waiting for a payment to be processed</t>
  </si>
  <si>
    <t xml:space="preserve">I don't understand why my card payment is pending.  It has been pending for too long.  Why is this and when might it go through?</t>
  </si>
  <si>
    <t xml:space="preserve">I did a payment with my card but seem that didn't work, it's still listed as pending since a while ago. When does this actually go through?</t>
  </si>
  <si>
    <t xml:space="preserve">I need to know when a payment will actually go through. I completed a payment using my card but it is just showing as pending at this point and it has been a while ago.</t>
  </si>
  <si>
    <t xml:space="preserve">When will the transaction go through?</t>
  </si>
  <si>
    <t xml:space="preserve">My card payment has been stuck on pending. What is the problem? It should have gone through by now.</t>
  </si>
  <si>
    <t xml:space="preserve">Why is the purchase I made this morning still pending?</t>
  </si>
  <si>
    <t xml:space="preserve">A transaction on my card shows as pending.</t>
  </si>
  <si>
    <t xml:space="preserve">I have a pending payment on my card.  Why?</t>
  </si>
  <si>
    <t xml:space="preserve">I have a card payment that has been pending for some time and would like to know when it is going to go through.</t>
  </si>
  <si>
    <t xml:space="preserve">I made a payment a while ago and it is still showing as "pending" in the account. How long will this payment take to complete?</t>
  </si>
  <si>
    <t xml:space="preserve">What does a 'pending payment' mean?</t>
  </si>
  <si>
    <t xml:space="preserve">Hello, I made a payment with my card and it's not working. It's been a while and still says its pending. Can you tell when this will go through?</t>
  </si>
  <si>
    <t xml:space="preserve">Hi,  One of payment is still coming as pending for which i have already paid by card. I guess it did not processed, could you please check and update me.</t>
  </si>
  <si>
    <t xml:space="preserve">My purchase from this morning still is pending.</t>
  </si>
  <si>
    <t xml:space="preserve">Why is my card payment still listed as pending?</t>
  </si>
  <si>
    <t xml:space="preserve">One of my card payments looks like it's stuck but I have made the payment days ago. How long until the payment will be applied to my account?</t>
  </si>
  <si>
    <t xml:space="preserve">I don't know what pending transaction means.</t>
  </si>
  <si>
    <t xml:space="preserve">My card payment is just showing up as pending since forever, what's going on with that, when should it be going through?</t>
  </si>
  <si>
    <t xml:space="preserve">It says pending status for my payment. Why?</t>
  </si>
  <si>
    <t xml:space="preserve">pending transaction?</t>
  </si>
  <si>
    <t xml:space="preserve">I noticed that there's a payment on my card that's pending.</t>
  </si>
  <si>
    <t xml:space="preserve">When is a payment I made with my card going to clear&gt;</t>
  </si>
  <si>
    <t xml:space="preserve">My card payment has been pending for a long time now. Why is it taking so long to take. It should have already made it through.</t>
  </si>
  <si>
    <t xml:space="preserve">What does it mean if it says that my payment is pending?</t>
  </si>
  <si>
    <t xml:space="preserve">Why are my purchases from this morning still pending?</t>
  </si>
  <si>
    <t xml:space="preserve">I was wondering why my payment hasn't gone through yet, its been a while.</t>
  </si>
  <si>
    <t xml:space="preserve">My card payment has been on pending forever. What is the problem? It should have gone through at some time by now.</t>
  </si>
  <si>
    <t xml:space="preserve">I did a card payment but its status is still coming as pending. Please check and inform when it would complete.</t>
  </si>
  <si>
    <t xml:space="preserve">I have made a card payment but it did not completed still showing as pending. Please tell me when it will be completed.</t>
  </si>
  <si>
    <t xml:space="preserve">Why hasn't my payment gone through?</t>
  </si>
  <si>
    <t xml:space="preserve">Why is my card payment still pending? It should have gone through already.</t>
  </si>
  <si>
    <t xml:space="preserve">I made a purchase this morning, and it is showing as pending.</t>
  </si>
  <si>
    <t xml:space="preserve">There is a single payment on my card which shows as pending.</t>
  </si>
  <si>
    <t xml:space="preserve">How long does it actually take my card payment to make it to the account? I've made a payment a couple of days ago but it hasn't moved since.</t>
  </si>
  <si>
    <t xml:space="preserve">How long does it take for my payment to process?</t>
  </si>
  <si>
    <t xml:space="preserve">Why would my payment for my card show as pending?</t>
  </si>
  <si>
    <t xml:space="preserve">Why aren't my payment funds available to me?</t>
  </si>
  <si>
    <t xml:space="preserve">I got some items this morning but the payment says pending</t>
  </si>
  <si>
    <t xml:space="preserve">Why is the payment I made still pending?</t>
  </si>
  <si>
    <t xml:space="preserve">Is there a problem that makes my payments show pending?</t>
  </si>
  <si>
    <t xml:space="preserve">I made a purchase earlier today but it is still listed as pending- when will it go through?</t>
  </si>
  <si>
    <t xml:space="preserve">Why didn't my payment process</t>
  </si>
  <si>
    <t xml:space="preserve">I have a payment that hasn't went through yet.</t>
  </si>
  <si>
    <t xml:space="preserve">I made a payment but it's still pending</t>
  </si>
  <si>
    <t xml:space="preserve">How long does it take for a new purchase to stop being considered pending?</t>
  </si>
  <si>
    <t xml:space="preserve">I was wondering how long does it take for a payment to go thru? It seems my last payment is stuck and hasn't moved.</t>
  </si>
  <si>
    <t xml:space="preserve">What is the cause of the delay in applying my card payment to my account?</t>
  </si>
  <si>
    <t xml:space="preserve">Why would my payment still show as pending?</t>
  </si>
  <si>
    <t xml:space="preserve">I have a payment which has not been approved.</t>
  </si>
  <si>
    <t xml:space="preserve">What does it mean when it says I have a payment pending?</t>
  </si>
  <si>
    <t xml:space="preserve">There is a pending payment on my account, what does this mean?</t>
  </si>
  <si>
    <t xml:space="preserve">Why has my card payment not yet been applied to my account?</t>
  </si>
  <si>
    <t xml:space="preserve">I bought some things in the morning but the payment shows as pending</t>
  </si>
  <si>
    <t xml:space="preserve">I don't know what a pending payment is.</t>
  </si>
  <si>
    <t xml:space="preserve">why do I have a pending payment?</t>
  </si>
  <si>
    <t xml:space="preserve">How long does it actually take for a card payment to go through? There's one stuck since a couple of days already that doesn't seem to move</t>
  </si>
  <si>
    <t xml:space="preserve">I purchases several items today. Why are they still showing pending?</t>
  </si>
  <si>
    <t xml:space="preserve">There is a payment showing as pending and hasn't posted for a few days.  When will it post?</t>
  </si>
  <si>
    <t xml:space="preserve">I have made a payment by my card, and its still pending since a long time. Could you please tell me when it will process.</t>
  </si>
  <si>
    <t xml:space="preserve">I completed a payment with my card a while ago. It's still showing up as pending. What time frame does this normally take? It doesn't appear to have worked.</t>
  </si>
  <si>
    <t xml:space="preserve">The payment on my card shows as pending.</t>
  </si>
  <si>
    <t xml:space="preserve">I have a payment that is still pending</t>
  </si>
  <si>
    <t xml:space="preserve">I bought something this morning and the payment is still pending</t>
  </si>
  <si>
    <t xml:space="preserve">There is a pending transaction on my account, what does this mean?</t>
  </si>
  <si>
    <t xml:space="preserve">I made a payment that's pending. Will it go through?</t>
  </si>
  <si>
    <t xml:space="preserve">It's been a few days since I've tried to pay a seller but the funds aren't going through. What is happening?</t>
  </si>
  <si>
    <t xml:space="preserve">I made a payment that seems to be stuck. It's been a couple of days already. Can you tell me how long it will take?</t>
  </si>
  <si>
    <t xml:space="preserve">I made a payment that is not yet complete.</t>
  </si>
  <si>
    <t xml:space="preserve">Why hasn't my payment shown up yet?</t>
  </si>
  <si>
    <t xml:space="preserve">What is the meaning of a pending payment?</t>
  </si>
  <si>
    <t xml:space="preserve">My payment is in the app but hasn't gone through yet</t>
  </si>
  <si>
    <t xml:space="preserve">How many days does a regular transaction take to complete?  I see a pending payment that hasn't changed in the last several days.</t>
  </si>
  <si>
    <t xml:space="preserve">Why hasn't my payment gone through yet?</t>
  </si>
  <si>
    <t xml:space="preserve">My payment's stuck on pending.</t>
  </si>
  <si>
    <t xml:space="preserve">Is there a reason my payment is still pending?</t>
  </si>
  <si>
    <t xml:space="preserve">What's the pending length for credit transactions? I've had one in my pending category now for days and it won't move to processed.</t>
  </si>
  <si>
    <t xml:space="preserve">How long does it take for a payment to change from pending?</t>
  </si>
  <si>
    <t xml:space="preserve">My credit card payment has been in pending status for a super long time.  I don't get it.  Why is it like this?  When will it go through?</t>
  </si>
  <si>
    <t xml:space="preserve">Why hasn't payment gone through yet?</t>
  </si>
  <si>
    <t xml:space="preserve">Why is this payment pending?</t>
  </si>
  <si>
    <t xml:space="preserve">Why is the payment from my card still pending?</t>
  </si>
  <si>
    <t xml:space="preserve">What is the pending payment on my card about?</t>
  </si>
  <si>
    <t xml:space="preserve">It says that my payment is pending, what does that mean?</t>
  </si>
  <si>
    <t xml:space="preserve">I tried to make a payment with my card and it was declined. Why is it pending?</t>
  </si>
  <si>
    <t xml:space="preserve">Why is it saying I have a pending payment?</t>
  </si>
  <si>
    <t xml:space="preserve">Is there something wrong with my card payment? It's been pending a really, really long time.</t>
  </si>
  <si>
    <t xml:space="preserve">My purchases from this morning still have pending payments.</t>
  </si>
  <si>
    <t xml:space="preserve">When will my pending payment finish?</t>
  </si>
  <si>
    <t xml:space="preserve">I used my card to make a payment a while ago and its still pending, Why is it taking so long?</t>
  </si>
  <si>
    <t xml:space="preserve">How long does it take for a purchase to go from pending to authorised?</t>
  </si>
  <si>
    <t xml:space="preserve">My card has been pending for a while, what should I do?</t>
  </si>
  <si>
    <t xml:space="preserve">There is a payment that i made that i noticed has not gone thru yet. Can i ask why?</t>
  </si>
  <si>
    <t xml:space="preserve">My card payment is just showing up as pending and it has been a while , what's going on with that, it should be going through at some point?</t>
  </si>
  <si>
    <t xml:space="preserve">How long will my payment be pending?</t>
  </si>
  <si>
    <t xml:space="preserve">My phone was stolen, what should I do first?</t>
  </si>
  <si>
    <t xml:space="preserve">My phone was stolen, what should I do?</t>
  </si>
  <si>
    <t xml:space="preserve">I lost my phone, what should I do?</t>
  </si>
  <si>
    <t xml:space="preserve">Someone has stolen my phone, what should I do?</t>
  </si>
  <si>
    <t xml:space="preserve">I think I lost my phone.  Is there a way to prevent anyone from getting into my account on it?</t>
  </si>
  <si>
    <t xml:space="preserve">My phone was stolen! What do I need to do?</t>
  </si>
  <si>
    <t xml:space="preserve">Can I use the app without my phone?</t>
  </si>
  <si>
    <t xml:space="preserve">My bag was stolen from me yesterday, so I can't use any apps or anything. I need some help.</t>
  </si>
  <si>
    <t xml:space="preserve">Someone stole my phone, what is my next step?</t>
  </si>
  <si>
    <t xml:space="preserve">I forgot my phone at the hotel, so I can't access the app.</t>
  </si>
  <si>
    <t xml:space="preserve">Help, my phone was stolen, please advise!</t>
  </si>
  <si>
    <t xml:space="preserve">my phone was lost</t>
  </si>
  <si>
    <t xml:space="preserve">I need help- I got mugged yesterday and they took everything so I can't use the app.</t>
  </si>
  <si>
    <t xml:space="preserve">I can't find my phone and I'm worried someone is going to use it</t>
  </si>
  <si>
    <t xml:space="preserve">I lost my phone! Will my card still work?</t>
  </si>
  <si>
    <t xml:space="preserve">I can not find my phone or it has been stolen.</t>
  </si>
  <si>
    <t xml:space="preserve">I can't use the app because I got mugged yesterday and they took everything. Please help.</t>
  </si>
  <si>
    <t xml:space="preserve">Can you tell me what i steps i should take since my card was stolen?</t>
  </si>
  <si>
    <t xml:space="preserve">What do I do if my phone was stolen?</t>
  </si>
  <si>
    <t xml:space="preserve">What do I do if I can't access the app?</t>
  </si>
  <si>
    <t xml:space="preserve">What do I do if my phone is stolen?</t>
  </si>
  <si>
    <t xml:space="preserve">I left my phone somewhere and can't use the app.</t>
  </si>
  <si>
    <t xml:space="preserve">Someone mugged my and stole everything.  I can't use the app.  What should I do?</t>
  </si>
  <si>
    <t xml:space="preserve">I got mugged yesterday and they took everything. I can't use the app, so I need some help.</t>
  </si>
  <si>
    <t xml:space="preserve">I am not sure where my phone is.</t>
  </si>
  <si>
    <t xml:space="preserve">If my phone was stolen, do I need to do anything?</t>
  </si>
  <si>
    <t xml:space="preserve">Please help!  I was mugged and everything stolen.  What do I do to stop them from accessing my account?</t>
  </si>
  <si>
    <t xml:space="preserve">I have an emergency and lost my phone.  I need help accessing my account.</t>
  </si>
  <si>
    <t xml:space="preserve">stolen phone, what should i do</t>
  </si>
  <si>
    <t xml:space="preserve">Help me.  My phone has been lost or stolen!</t>
  </si>
  <si>
    <t xml:space="preserve">My app was on the phone and I was mugged.  What do I do?</t>
  </si>
  <si>
    <t xml:space="preserve">I don't have the device I used to log onto the platform so I can't access it.</t>
  </si>
  <si>
    <t xml:space="preserve">I lost my phone. Can I use my card without the app?</t>
  </si>
  <si>
    <t xml:space="preserve">What should I do if my smart phone is lost or stolen?</t>
  </si>
  <si>
    <t xml:space="preserve">If I lost my phone, what steps do I need to take to stop someone from using my account?</t>
  </si>
  <si>
    <t xml:space="preserve">Can someone else use my account if they have my phone?  I lost mine.</t>
  </si>
  <si>
    <t xml:space="preserve">My phone was stolen, help!</t>
  </si>
  <si>
    <t xml:space="preserve">phone is gone, what should i do</t>
  </si>
  <si>
    <t xml:space="preserve">I'm currently not in possession of my phone, is it still possible to go about things normally without access to the app?</t>
  </si>
  <si>
    <t xml:space="preserve">I lost my phone. Can I disable to app?</t>
  </si>
  <si>
    <t xml:space="preserve">phone is gone, dont want others to access account information</t>
  </si>
  <si>
    <t xml:space="preserve">Is there something that I can do since my phone was stolen yesterday?</t>
  </si>
  <si>
    <t xml:space="preserve">I think my phone was stolen. What can I do?</t>
  </si>
  <si>
    <t xml:space="preserve">Is it possible to access my phone from the hotel/</t>
  </si>
  <si>
    <t xml:space="preserve">I lost my phone. What do I need to do?</t>
  </si>
  <si>
    <t xml:space="preserve">Someone has taken my phone from my hotel room!</t>
  </si>
  <si>
    <t xml:space="preserve">Can my account me accessed by a thief?  I was mugged.</t>
  </si>
  <si>
    <t xml:space="preserve">My phone is missing or stolen.</t>
  </si>
  <si>
    <t xml:space="preserve">I misplaced my phone so I can't use the app! Does this mean I can't use my card?</t>
  </si>
  <si>
    <t xml:space="preserve">I left my phone at the hotel I was staying at so I can't use the app!</t>
  </si>
  <si>
    <t xml:space="preserve">My phone was stolen yesterday, can you help me with this?</t>
  </si>
  <si>
    <t xml:space="preserve">I was recently mugged and would like to know if I have to have access to the app to use your services and how I would go about setting up your services on a new device belonging to a current user?</t>
  </si>
  <si>
    <t xml:space="preserve">My phone is at the hotel.  How can I use the app?</t>
  </si>
  <si>
    <t xml:space="preserve">My cards were stolen</t>
  </si>
  <si>
    <t xml:space="preserve">My phone has been lost or stolen</t>
  </si>
  <si>
    <t xml:space="preserve">my phone has been stolen by someone</t>
  </si>
  <si>
    <t xml:space="preserve">What should I do if someone stole my phone?</t>
  </si>
  <si>
    <t xml:space="preserve">My phone has been stolen.  How can I make sure no one uses my account from it?</t>
  </si>
  <si>
    <t xml:space="preserve">Can I use your services without access to the app?</t>
  </si>
  <si>
    <t xml:space="preserve">I was mugged.  They took everything.  I can't use the app.  What do I do?</t>
  </si>
  <si>
    <t xml:space="preserve">How do I protect my phone from someone using it after I lost it.</t>
  </si>
  <si>
    <t xml:space="preserve">My phone was left behind.  Can I still use my card?</t>
  </si>
  <si>
    <t xml:space="preserve">phone is gone</t>
  </si>
  <si>
    <t xml:space="preserve">I just replaced my phone so do I have to make a new account?</t>
  </si>
  <si>
    <t xml:space="preserve">Everything I have was stolen yesterday making it so I don't have access to the app, what should I do?</t>
  </si>
  <si>
    <t xml:space="preserve">I don't have my mobile device and am unable to make the payment because I forgot my details.</t>
  </si>
  <si>
    <t xml:space="preserve">What do I do if I lost my phone?</t>
  </si>
  <si>
    <t xml:space="preserve">I don't have my cell phone with me so I cannot access the system to complete the transaction.</t>
  </si>
  <si>
    <t xml:space="preserve">I no longer have my phone, what should I do?</t>
  </si>
  <si>
    <t xml:space="preserve">I lost my phone and need help so someone doesn't access my account.</t>
  </si>
  <si>
    <t xml:space="preserve">Yesterday I had my phone stolen.  Please advise what I should do.</t>
  </si>
  <si>
    <t xml:space="preserve">I lost my phone and need help protecting it.</t>
  </si>
  <si>
    <t xml:space="preserve">I don't know where my phone is.</t>
  </si>
  <si>
    <t xml:space="preserve">I can't use the app because I got mugged yesterday and they took everything. I need some help.</t>
  </si>
  <si>
    <t xml:space="preserve">What should I do if my phone is lost or stolen?</t>
  </si>
  <si>
    <t xml:space="preserve">What do I do if I cannot access the app?</t>
  </si>
  <si>
    <t xml:space="preserve">I have lost my phone.</t>
  </si>
  <si>
    <t xml:space="preserve">what to do about stolen phone</t>
  </si>
  <si>
    <t xml:space="preserve">I have lost my phone, what steps can I take to prevent someone using my account?</t>
  </si>
  <si>
    <t xml:space="preserve">Is there anything to do because my phone was stolen?</t>
  </si>
  <si>
    <t xml:space="preserve">Help!  I think my phone may be stolen or lost!</t>
  </si>
  <si>
    <t xml:space="preserve">I no longer have my phone with the app, what should I do?</t>
  </si>
  <si>
    <t xml:space="preserve">Can I still access the app even though my phone was stolen?</t>
  </si>
  <si>
    <t xml:space="preserve">What do I do to lock my phone after losing it so my account isn't accessed</t>
  </si>
  <si>
    <t xml:space="preserve">I no longer have my phone.</t>
  </si>
  <si>
    <t xml:space="preserve">I cannot get to my app, what should I do?</t>
  </si>
  <si>
    <t xml:space="preserve">Yesterday my phone was stolen from me :( What do i need to do about it?</t>
  </si>
  <si>
    <t xml:space="preserve">My phone got stolen, how can I use the app?</t>
  </si>
  <si>
    <t xml:space="preserve">My phone was stolen, what can I do?</t>
  </si>
  <si>
    <t xml:space="preserve">I accidentally left my phone at the hotel so now I'm not able to use the app.</t>
  </si>
  <si>
    <t xml:space="preserve">How can I access my account when I have lost my phone?</t>
  </si>
  <si>
    <t xml:space="preserve">I have lost my phone or it has been stolen.</t>
  </si>
  <si>
    <t xml:space="preserve">I can't find my phone; what can I do to prevent someone from accessing my account on it?</t>
  </si>
  <si>
    <t xml:space="preserve">What should I do if I lost my phone?</t>
  </si>
  <si>
    <t xml:space="preserve">My phone was left at a hotel and I can't access the app.</t>
  </si>
  <si>
    <t xml:space="preserve">Hi, I lost my phone yesterday, what can I do to stop someone using my account on it?</t>
  </si>
  <si>
    <t xml:space="preserve">I cannot find my phone, what should I do?</t>
  </si>
  <si>
    <t xml:space="preserve">My phone is missing.</t>
  </si>
  <si>
    <t xml:space="preserve">Do I need my phone to use the app?</t>
  </si>
  <si>
    <t xml:space="preserve">left my phone at hotel, cant use app</t>
  </si>
  <si>
    <t xml:space="preserve">How do I use my card if I lost my phone?</t>
  </si>
  <si>
    <t xml:space="preserve">hello I have lost my phone and I'm worried someone's going to steal money from me</t>
  </si>
  <si>
    <t xml:space="preserve">If I lost my phone, how can I stop someone from accessing my account through the app?</t>
  </si>
  <si>
    <t xml:space="preserve">My phone was taken yesterday, is there something that I need to do?</t>
  </si>
  <si>
    <t xml:space="preserve">I can't use the app.  My phone is lost at the hotel.</t>
  </si>
  <si>
    <t xml:space="preserve">If I lost my phone at the hotel, can I still use the app?</t>
  </si>
  <si>
    <t xml:space="preserve">I'm not sure where my phone is.  Can someone else use the app?</t>
  </si>
  <si>
    <t xml:space="preserve">my phone was taken yesterday, what should I do about my account?</t>
  </si>
  <si>
    <t xml:space="preserve">My phone is lost I don't want someone to use my account, what can I do?</t>
  </si>
  <si>
    <t xml:space="preserve">My phone has been stolen.</t>
  </si>
  <si>
    <t xml:space="preserve">I just replaced my phone but how do I use my card information?</t>
  </si>
  <si>
    <t xml:space="preserve">What do I do if my smart phone was stolen?</t>
  </si>
  <si>
    <t xml:space="preserve">How can I stop someone from using my card after I lost it yesterday.</t>
  </si>
  <si>
    <t xml:space="preserve">Do I need to do anything? My phone was stolen yesterday.</t>
  </si>
  <si>
    <t xml:space="preserve">Help!  What should I do?  My phone was stolen yesterday.</t>
  </si>
  <si>
    <t xml:space="preserve">I left my phone at the hotel.</t>
  </si>
  <si>
    <t xml:space="preserve">Everything was stolen from me.  I can't use the app.  Please advise.</t>
  </si>
  <si>
    <t xml:space="preserve">My things were stolen and I need to know if I can still use this app.</t>
  </si>
  <si>
    <t xml:space="preserve">lost my phone, what is account security?</t>
  </si>
  <si>
    <t xml:space="preserve">I lost my phone.  What do I do to block someone else from using my account?</t>
  </si>
  <si>
    <t xml:space="preserve">phone is at a hotel, can i still use app</t>
  </si>
  <si>
    <t xml:space="preserve">How long does it take to get a refund on something I bought?</t>
  </si>
  <si>
    <t xml:space="preserve">Please tell me how to get a refund for something I bought.</t>
  </si>
  <si>
    <t xml:space="preserve">Can i cancel this purchase?</t>
  </si>
  <si>
    <t xml:space="preserve">I want to return an item for a refund can I do that?</t>
  </si>
  <si>
    <t xml:space="preserve">Can I request a refund</t>
  </si>
  <si>
    <t xml:space="preserve">I am not sure how this will work, but I have not received a product I ordered.  I want a refund, but should I just cancel the payment?</t>
  </si>
  <si>
    <t xml:space="preserve">Where do I go for a refund?</t>
  </si>
  <si>
    <t xml:space="preserve">I'm interested in learning more about product refunds.</t>
  </si>
  <si>
    <t xml:space="preserve">do you offer refunds? i would like to return purchase.</t>
  </si>
  <si>
    <t xml:space="preserve">What's the procedure for canceling a purchase?</t>
  </si>
  <si>
    <t xml:space="preserve">I need to cancel a purchase that I made the other day.</t>
  </si>
  <si>
    <t xml:space="preserve">Hello. How do i go about getting a refund of an item i bought ? I want to cancel the payment since i have not received the item yet.</t>
  </si>
  <si>
    <t xml:space="preserve">I need a refund and cancel a transaction on an item I purchased and i need it as soon as possible, please!</t>
  </si>
  <si>
    <t xml:space="preserve">i bought the wrong size and would like a refund</t>
  </si>
  <si>
    <t xml:space="preserve">I want to know about your refund policy.</t>
  </si>
  <si>
    <t xml:space="preserve">Can I cancel an order if I haven't received the item yet? And how can I get my money back? Please help. Thanks.</t>
  </si>
  <si>
    <t xml:space="preserve">Hey I want to get a refund on something I bought, but not sure how to go about it. Can you please just cancel the payment, I have not received the item yet.</t>
  </si>
  <si>
    <t xml:space="preserve">I am quite aggravated that I ordered online almost a month ago and I never got my package and I paid for it. I would really appreciate it if I could get a full refund back now.</t>
  </si>
  <si>
    <t xml:space="preserve">My statement has a charge that shouldn't have been made.</t>
  </si>
  <si>
    <t xml:space="preserve">My product hasn't arrived even though I ordered it a while ago. I want a refund!</t>
  </si>
  <si>
    <t xml:space="preserve">Is there a way you can have money from a purchase I made refunded to my account.</t>
  </si>
  <si>
    <t xml:space="preserve">I've changed my mind on an item.  How do I get a refund?</t>
  </si>
  <si>
    <t xml:space="preserve">I decided I no long want something that I ordered, and want a refund. How do I go about doing that?</t>
  </si>
  <si>
    <t xml:space="preserve">How do I get a refund for something I bought?</t>
  </si>
  <si>
    <t xml:space="preserve">I made a purchase recently but I have decided that I'm not buying it and I need to receive my money back. Can you please give me a refund ASAP. It's extremely urgent.</t>
  </si>
  <si>
    <t xml:space="preserve">Please help me get a refund?</t>
  </si>
  <si>
    <t xml:space="preserve">What is the refund policy?</t>
  </si>
  <si>
    <t xml:space="preserve">I just bought an item and changed my mind.  I have not received it yet how can I get refunded.  Thank you.</t>
  </si>
  <si>
    <t xml:space="preserve">Are refunds allowed for certain items.</t>
  </si>
  <si>
    <t xml:space="preserve">I need to cancel a purchase?</t>
  </si>
  <si>
    <t xml:space="preserve">I have an incorrect charge and would like a refund.</t>
  </si>
  <si>
    <t xml:space="preserve">I want a refund on the things i bought</t>
  </si>
  <si>
    <t xml:space="preserve">I would like my money back for an item I purchased</t>
  </si>
  <si>
    <t xml:space="preserve">Please could you give me a refund</t>
  </si>
  <si>
    <t xml:space="preserve">If I bought something I didn't like, can I get a refund?</t>
  </si>
  <si>
    <t xml:space="preserve">I bought something that I need a refund for.</t>
  </si>
  <si>
    <t xml:space="preserve">I want to cancel a purchase</t>
  </si>
  <si>
    <t xml:space="preserve">Am I able to get a refund for something I bought?</t>
  </si>
  <si>
    <t xml:space="preserve">My order hasn't shown up yet, what can I do?</t>
  </si>
  <si>
    <t xml:space="preserve">My package is taking too long to arrive and I don't want it anymore. Can I get a refund?</t>
  </si>
  <si>
    <t xml:space="preserve">I would like to cancel my order.</t>
  </si>
  <si>
    <t xml:space="preserve">I want this fee reversed from my account.</t>
  </si>
  <si>
    <t xml:space="preserve">I want a refund</t>
  </si>
  <si>
    <t xml:space="preserve">I'd like to discuss an order I placed quite a long time ago. I have yet to receive it and am growing upset.  I want a refund as I now refuse to pay for the product.</t>
  </si>
  <si>
    <t xml:space="preserve">I ordered something online a while ago and I haven't gotten it. I would like a refund.</t>
  </si>
  <si>
    <t xml:space="preserve">I received the wrong color and size, can I return it?</t>
  </si>
  <si>
    <t xml:space="preserve">Is it possible to get a refund?</t>
  </si>
  <si>
    <t xml:space="preserve">What's your refund policy if I bought an item from you?</t>
  </si>
  <si>
    <t xml:space="preserve">I want to cancel my purchase</t>
  </si>
  <si>
    <t xml:space="preserve">Can I get an item refunded?</t>
  </si>
  <si>
    <t xml:space="preserve">Please help! I need a refund on a transaction on something I bought and I need the refund right away!</t>
  </si>
  <si>
    <t xml:space="preserve">I purchased this item and would like a refund</t>
  </si>
  <si>
    <t xml:space="preserve">Hello I changed my mind and really need a refund on one of things I bought recently. Can you please cancel the transaction and get me my money back. Pls it's urgent</t>
  </si>
  <si>
    <t xml:space="preserve">How can I get a refund for an item I purchased but has not yet arrived?</t>
  </si>
  <si>
    <t xml:space="preserve">Can you please assist on my item that needs to be refunded?</t>
  </si>
  <si>
    <t xml:space="preserve">I didn't enjoy my tutor session and want a refund back. How do I go about doing this?</t>
  </si>
  <si>
    <t xml:space="preserve">I would like to cancel my previous purchase.</t>
  </si>
  <si>
    <t xml:space="preserve">Can you please refund my item?</t>
  </si>
  <si>
    <t xml:space="preserve">I made a purchase and would like to get a refund for what I bought can you have the money put back in my account?</t>
  </si>
  <si>
    <t xml:space="preserve">Hey, I ordered a thing but changed my mind and want a refund on it. Since I haven't received the thing, would you just go ahead and cancel the payment for me?</t>
  </si>
  <si>
    <t xml:space="preserve">Can I have my money refunded for an item</t>
  </si>
  <si>
    <t xml:space="preserve">What do I need to do for a refund?</t>
  </si>
  <si>
    <t xml:space="preserve">I am interested in cancelling a purchase</t>
  </si>
  <si>
    <t xml:space="preserve">It's been over a month and i still haven't received my goods! I ordered a pencil for crying out loud, it's not that hard to deliver that! I'm done with these people, give me a refund immediately! I'll search for my Japanese exclusive pencil elsewhere!</t>
  </si>
  <si>
    <t xml:space="preserve">How do I get my money back for something I bought?</t>
  </si>
  <si>
    <t xml:space="preserve">Hi need your help for getting the refund or cancel the payment of an item, i have ordered but still have not received it.</t>
  </si>
  <si>
    <t xml:space="preserve">I need your help to get a refund for an item I just bought, can you cancel the payment since what I bought hasn't arrived yet.</t>
  </si>
  <si>
    <t xml:space="preserve">How do I reverse a transaction on my account?</t>
  </si>
  <si>
    <t xml:space="preserve">Am I able to get a refund for a purchase?</t>
  </si>
  <si>
    <t xml:space="preserve">I need a refund for something I bought.</t>
  </si>
  <si>
    <t xml:space="preserve">I want a refund for my item</t>
  </si>
  <si>
    <t xml:space="preserve">Can I receive a refund for an item I purchased?</t>
  </si>
  <si>
    <t xml:space="preserve">Give me a refund</t>
  </si>
  <si>
    <t xml:space="preserve">I want a refund on this.</t>
  </si>
  <si>
    <t xml:space="preserve">Is it possible to have an item refunded?</t>
  </si>
  <si>
    <t xml:space="preserve">I made an online purchase and the order has not shown up. Give me my money back.</t>
  </si>
  <si>
    <t xml:space="preserve">What is the refund procedure?</t>
  </si>
  <si>
    <t xml:space="preserve">Hello I changed my mind and really need a refund on something I bought recently. Can you please cancel the transaction and get me my money back. Please it's urgent.</t>
  </si>
  <si>
    <t xml:space="preserve">How do I begin the process of a refund?</t>
  </si>
  <si>
    <t xml:space="preserve">I bought something and want the money refunded can I get some help with that?</t>
  </si>
  <si>
    <t xml:space="preserve">What is your refund policy for products I have purchased?</t>
  </si>
  <si>
    <t xml:space="preserve">I would like to receive a refund for something I bought.</t>
  </si>
  <si>
    <t xml:space="preserve">My product was faulty.</t>
  </si>
  <si>
    <t xml:space="preserve">I need a refund. This is not what i wanted.</t>
  </si>
  <si>
    <t xml:space="preserve">I bought something online a week ago and i never got it in the mail.Can I just get my money back now I don't want to keep waiting on something that isn't going to show up.</t>
  </si>
  <si>
    <t xml:space="preserve">Can I get a refund on an item?</t>
  </si>
  <si>
    <t xml:space="preserve">I think I deserve a refunded on a certain item.</t>
  </si>
  <si>
    <t xml:space="preserve">I bought a product a week ago, but may need to return it.</t>
  </si>
  <si>
    <t xml:space="preserve">I would like to cancel my purchase.</t>
  </si>
  <si>
    <t xml:space="preserve">Hello, I recently ordered an item and I need help with cancelling and processing a refund as soon as possible. It's very important that I get my refund quickly.</t>
  </si>
  <si>
    <t xml:space="preserve">I would like to cancel a purchase.</t>
  </si>
  <si>
    <t xml:space="preserve">I ordered online weeks ago and I never received my package in the mail and I don't want to wait any more. So if I could get my money back now that would be great.</t>
  </si>
  <si>
    <t xml:space="preserve">Can i have the item refunded?</t>
  </si>
  <si>
    <t xml:space="preserve">I did not get the item I ordered.  How should I go about this?  Should I just cancel my order or my payment?  Please help me.</t>
  </si>
  <si>
    <t xml:space="preserve">It has been forever ago that I made an order online. The product simply is not coming. Just give me back my money because I'm not paying these people.</t>
  </si>
  <si>
    <t xml:space="preserve">I want a refund, but I haven't received the item yet. Can I cancel it and get my funds back? How do I do that.</t>
  </si>
  <si>
    <t xml:space="preserve">I'm going to cancel a purchase.</t>
  </si>
  <si>
    <t xml:space="preserve">Am I able to return an item for a refund?</t>
  </si>
  <si>
    <t xml:space="preserve">How do I go about getting a refund?</t>
  </si>
  <si>
    <t xml:space="preserve">How can i get a refund for something i just bought?</t>
  </si>
  <si>
    <t xml:space="preserve">Do you give refunds?</t>
  </si>
  <si>
    <t xml:space="preserve">tell me how to get a refund for something I bought.</t>
  </si>
  <si>
    <t xml:space="preserve">I don't want to buy this car anymore, can I cancel the transaction and get a quick refund back?</t>
  </si>
  <si>
    <t xml:space="preserve">I'd like to get a refund for something I bought, is that possible?</t>
  </si>
  <si>
    <t xml:space="preserve">I changed my mind on something I purchased through you and I need the transaction canceled and a refund as soon as possible. Can you help me please?</t>
  </si>
  <si>
    <t xml:space="preserve">is it possible to get a refund for something I purchased?</t>
  </si>
  <si>
    <t xml:space="preserve">I want to get a refund.</t>
  </si>
  <si>
    <t xml:space="preserve">How do I request a refund?</t>
  </si>
  <si>
    <t xml:space="preserve">How do I get my refund back?</t>
  </si>
  <si>
    <t xml:space="preserve">Would I be able to refund an item?</t>
  </si>
  <si>
    <t xml:space="preserve">I want my purchases cancelled.</t>
  </si>
  <si>
    <t xml:space="preserve">How can I get a refund for a purchase?</t>
  </si>
  <si>
    <t xml:space="preserve">I need to refund my item, can you please help?</t>
  </si>
  <si>
    <t xml:space="preserve">How do I get a refund for an item I bought?</t>
  </si>
  <si>
    <t xml:space="preserve">How can I get my money back on an order. I haven't gotten the item yet, so I want to cancel the order. How?</t>
  </si>
  <si>
    <t xml:space="preserve">Do you have a return policy?</t>
  </si>
  <si>
    <t xml:space="preserve">I am unhappy with an item I bought. How do I get a refund?</t>
  </si>
  <si>
    <t xml:space="preserve">I would like to report an issue with my product and want to get it refunded</t>
  </si>
  <si>
    <t xml:space="preserve">I've been waiting for something that i've ordered for months now and it still hasn't arrived. I genuinely don't know what this company is doing, but put plainly, i've had enough. Please issue a refund immediately, i would not like to waste anymore of my time on these people.</t>
  </si>
  <si>
    <t xml:space="preserve">How can I go about getting a refund?</t>
  </si>
  <si>
    <t xml:space="preserve">the product is not working, can I get a refund?</t>
  </si>
  <si>
    <t xml:space="preserve">My order needs to be canceled.</t>
  </si>
  <si>
    <t xml:space="preserve">Give me back my money, I'm not paying the sellers. It has been a long time ago that I made an order and it just isn't coming.</t>
  </si>
  <si>
    <t xml:space="preserve">I ordered something, and now I have buyer's remorse. Since what I ordered hasn't come yet, can you just cancel the payment since I already know I want a refund for it?</t>
  </si>
  <si>
    <t xml:space="preserve">Can I return an item?</t>
  </si>
  <si>
    <t xml:space="preserve">I need my purchase cancelled.</t>
  </si>
  <si>
    <t xml:space="preserve">How do I cancel a purchase?</t>
  </si>
  <si>
    <t xml:space="preserve">I would like it if I could get an item refunded</t>
  </si>
  <si>
    <t xml:space="preserve">I bought an item and now I want a refund.</t>
  </si>
  <si>
    <t xml:space="preserve">I need to cancel a payment. Something i purchased a while ago still has not arrived and i'm not going to pay them if they won't send me what I purchased.</t>
  </si>
  <si>
    <t xml:space="preserve">I would like to return my purchases</t>
  </si>
  <si>
    <t xml:space="preserve">What is the refund process?</t>
  </si>
  <si>
    <t xml:space="preserve">Can you please help me in canceling my order.</t>
  </si>
  <si>
    <t xml:space="preserve">Can you refund my purchase?</t>
  </si>
  <si>
    <t xml:space="preserve">I just bought an item and would like to stop payment, is this possible?  The item has not been received yet.</t>
  </si>
  <si>
    <t xml:space="preserve">Hello, I have recently made a purchase and have decided to cancel my purchase. Is there any way that you can cancel that transaction for me so I can get the money back? It's very important.</t>
  </si>
  <si>
    <t xml:space="preserve">I have not received an item i ordered yet so i want to cancel it and get a refund. Can you please guide me on how to go about it?</t>
  </si>
  <si>
    <t xml:space="preserve">I bought something and now I want a refund.</t>
  </si>
  <si>
    <t xml:space="preserve">Canceling my order is what I need to do right now.</t>
  </si>
  <si>
    <t xml:space="preserve">Are purchases returnable for full refund?</t>
  </si>
  <si>
    <t xml:space="preserve">I want to talk about an order that I placed a long time ago and have yet to receive. I demand a refund due to lack of delivery of the product!  I refuse to pay for something I never got.</t>
  </si>
  <si>
    <t xml:space="preserve">I need this item refunded</t>
  </si>
  <si>
    <t xml:space="preserve">It's been some time ago that I placed an order and it just isn't coming. At this point just give me back my money because I'm not paying them.</t>
  </si>
  <si>
    <t xml:space="preserve">Hello-Can you please help me get a refund from this merchant?  I ordered a product and would like to return it. I have been unsuccessful in getting the merchant to return my request for the past several days.  I understand it can take up to 45 days to process the dispute and issue a refund, however, if this can be expedited faster it would be very helpful to me.</t>
  </si>
  <si>
    <t xml:space="preserve">I need to have an item refunded.</t>
  </si>
  <si>
    <t xml:space="preserve">I want a refund for an item</t>
  </si>
  <si>
    <t xml:space="preserve">How do I return something for a full refund?</t>
  </si>
  <si>
    <t xml:space="preserve">I did not receive my purchase, how do I cancel it?</t>
  </si>
  <si>
    <t xml:space="preserve">How does on apply fora refund on an item he ordered? I ordere an item and have not received it yet so i want to cancel it and get a refund</t>
  </si>
  <si>
    <t xml:space="preserve">Is it possible to get a refund for the item?</t>
  </si>
  <si>
    <t xml:space="preserve">Can you help me process a refund?</t>
  </si>
  <si>
    <t xml:space="preserve">Is it possible to refund an item?</t>
  </si>
  <si>
    <t xml:space="preserve">I just bought an item and would like to stop payment can you tell me if the item has been sent yet?</t>
  </si>
  <si>
    <t xml:space="preserve">i haven't received my order and want a refund</t>
  </si>
  <si>
    <t xml:space="preserve">Hello I changed my mind and want a refund on one of things I bought recently. Can you please cancel the transaction and get me my money back. Please it's urgent.</t>
  </si>
  <si>
    <t xml:space="preserve">I would like my refund for this item I bought.</t>
  </si>
  <si>
    <t xml:space="preserve">Can I get my money back on an item?</t>
  </si>
  <si>
    <t xml:space="preserve">I would like to retract my purchase.</t>
  </si>
  <si>
    <t xml:space="preserve">I would like to get an item refunded</t>
  </si>
  <si>
    <t xml:space="preserve">Hello, i'd like to inform you of an issue i'm currently experiencing. The goods i have ordered from your website have still not arrived yet; it has been over 3 weeks. I would like to be issued a refund swiftly and be redirected to more competent people. Thank you for your assistance.</t>
  </si>
  <si>
    <t xml:space="preserve">What is the return policy?</t>
  </si>
  <si>
    <t xml:space="preserve">I'm cancelling this charge. I still have not received what I bought from these people a while ago.</t>
  </si>
  <si>
    <t xml:space="preserve">Can I get a refund?</t>
  </si>
  <si>
    <t xml:space="preserve">Can I have a refund for one of your products?</t>
  </si>
  <si>
    <t xml:space="preserve">Can I exchange an item for a refund?</t>
  </si>
  <si>
    <t xml:space="preserve">I want to have an item refunded can I do that?</t>
  </si>
  <si>
    <t xml:space="preserve">Can you explain your refund policy, please?</t>
  </si>
  <si>
    <t xml:space="preserve">How do I receive a refund for my item?</t>
  </si>
  <si>
    <t xml:space="preserve">I no longer want this can i cancel my purchase?</t>
  </si>
  <si>
    <t xml:space="preserve">Transfer unable to be completed, states 'declined'</t>
  </si>
  <si>
    <t xml:space="preserve">Why was my transfer request decline?</t>
  </si>
  <si>
    <t xml:space="preserve">My transfer was rejected</t>
  </si>
  <si>
    <t xml:space="preserve">I tried to buy something online yesterday and got a message saying declined. I tried again today and got the same message. What's the problem?</t>
  </si>
  <si>
    <t xml:space="preserve">I am having trouble doing a transfer. A "Decline " message appears after making the transfer.</t>
  </si>
  <si>
    <t xml:space="preserve">the bank transfer was declined</t>
  </si>
  <si>
    <t xml:space="preserve">Why do you keep declining my transfers? It's been working well so far, but when I just tried to buy something, the card got declined. I tried it a few times, but same thing happened every try.</t>
  </si>
  <si>
    <t xml:space="preserve">why was a transfer declined</t>
  </si>
  <si>
    <t xml:space="preserve">While doing a transfer, it says declined.</t>
  </si>
  <si>
    <t xml:space="preserve">I have transfered to my account before but it is being declined now?</t>
  </si>
  <si>
    <t xml:space="preserve">Transfer was declined.</t>
  </si>
  <si>
    <t xml:space="preserve">Please check and let me know why my transfers are getting declined.</t>
  </si>
  <si>
    <t xml:space="preserve">Tell me why my transfer is declined.</t>
  </si>
  <si>
    <t xml:space="preserve">I see my transfer was declined.</t>
  </si>
  <si>
    <t xml:space="preserve">Explain to me why a transfer would be declined.</t>
  </si>
  <si>
    <t xml:space="preserve">Why has my transfer been declined?</t>
  </si>
  <si>
    <t xml:space="preserve">Why would my transfer be declined?</t>
  </si>
  <si>
    <t xml:space="preserve">Why did you decline my transfer?</t>
  </si>
  <si>
    <t xml:space="preserve">Why do you keep declining my transfers? it's always been working really well so far but when I tried to buy something just now the card got declined . I tried couple of times already  but same thing is happening .</t>
  </si>
  <si>
    <t xml:space="preserve">I have a problem with a transfer. It didn't work. Can you tell me why?</t>
  </si>
  <si>
    <t xml:space="preserve">Transfer declined.</t>
  </si>
  <si>
    <t xml:space="preserve">I am trying to make a transfer to a different account but they keep getting declined. I have double checked all the details and the information is correct.</t>
  </si>
  <si>
    <t xml:space="preserve">Why did my transfer not work, it says it was declined?</t>
  </si>
  <si>
    <t xml:space="preserve">I have no idea why but my transfers keep getting declined. I have double checked all the recipient details several times already and they're definitely correct.</t>
  </si>
  <si>
    <t xml:space="preserve">I tried to buy something over the Internet yesterday and got a declined error. I tried again today and got the same message. What is the issue?</t>
  </si>
  <si>
    <t xml:space="preserve">I was doing a transfer and received a "decline" message.</t>
  </si>
  <si>
    <t xml:space="preserve">How do I make my transfer go through</t>
  </si>
  <si>
    <t xml:space="preserve">My transfer was not approved</t>
  </si>
  <si>
    <t xml:space="preserve">I noticed my transfer was declined.</t>
  </si>
  <si>
    <t xml:space="preserve">I tried to buy something online yesterday but it kept saying declined. Tried another time today but same thing happened. What's Broken?</t>
  </si>
  <si>
    <t xml:space="preserve">Why would I get a decline message in a transfer?</t>
  </si>
  <si>
    <t xml:space="preserve">Why was one of my transfers declined?</t>
  </si>
  <si>
    <t xml:space="preserve">Why am I getting declines when trying to make a purchase online?</t>
  </si>
  <si>
    <t xml:space="preserve">I have been trying to make transfers to another account but I keep getting a declined notice. I have checked all of my information more than once and my information is accurate.</t>
  </si>
  <si>
    <t xml:space="preserve">I tried to buy something and it was declined and my transfers keep getting declined, Why?</t>
  </si>
  <si>
    <t xml:space="preserve">I have been doing some online shopping, but when checking out, it keeps getting declined. I tried a few times and it wouldn't work. What could be wrong?</t>
  </si>
  <si>
    <t xml:space="preserve">It seems you keep declining my transfers. Before, it's always worked very well.Just now when I tried to buy something the card was declined. I tried more than once and it was the same thing each time.</t>
  </si>
  <si>
    <t xml:space="preserve">I need to make a transfer but it keeps getting declined I need Help!</t>
  </si>
  <si>
    <t xml:space="preserve">Can you tell me why my transfer declined?</t>
  </si>
  <si>
    <t xml:space="preserve">On my transfer there was a "decline" message</t>
  </si>
  <si>
    <t xml:space="preserve">Hello, my transfers are getting failed continuously, in spite of the fact that all the recipient details are correct. Please advise.</t>
  </si>
  <si>
    <t xml:space="preserve">I get a "decline" message when doing a transfer</t>
  </si>
  <si>
    <t xml:space="preserve">It declined my transfer.</t>
  </si>
  <si>
    <t xml:space="preserve">My recent transfer didn't go through - why not?</t>
  </si>
  <si>
    <t xml:space="preserve">How do I make sure my transfer isn't goin to an unsupported merchant?</t>
  </si>
  <si>
    <t xml:space="preserve">What went wrong with my transfer?</t>
  </si>
  <si>
    <t xml:space="preserve">I'm having issues with my card. You guys keep declining it for some reason. I haven't had any issues up until this point. What is going on? I've tried a handful of times with the same, unfortunate, result!</t>
  </si>
  <si>
    <t xml:space="preserve">How can I check for an unsupported merchant for my transfer request?</t>
  </si>
  <si>
    <t xml:space="preserve">Why are my transfers getting declined?</t>
  </si>
  <si>
    <t xml:space="preserve">I couldn't make a transfer because it was declined</t>
  </si>
  <si>
    <t xml:space="preserve">Shopping on line I was declined when trying to buy something.</t>
  </si>
  <si>
    <t xml:space="preserve">How come my transfer got declined</t>
  </si>
  <si>
    <t xml:space="preserve">What does the decline message mean</t>
  </si>
  <si>
    <t xml:space="preserve">I can't make any transfers, they won't go through, the details are correct as I checked them.  Can you look in to this please?</t>
  </si>
  <si>
    <t xml:space="preserve">How do I contact customer support about my declined transfer?</t>
  </si>
  <si>
    <t xml:space="preserve">Transfer was declined, could not complete request.</t>
  </si>
  <si>
    <t xml:space="preserve">It appears my transfer was declined.</t>
  </si>
  <si>
    <t xml:space="preserve">Hello. My credit keeps being declined, last night and again today, as I try to buy something. What is the status of my card?</t>
  </si>
  <si>
    <t xml:space="preserve">I have a transfer that was declined.</t>
  </si>
  <si>
    <t xml:space="preserve">I don't have any idea what's going on but all of my transfers keep getting declined. I have double-checked over all of my recipient names and they are correct.</t>
  </si>
  <si>
    <t xml:space="preserve">What would be a reason my transfer got declined?</t>
  </si>
  <si>
    <t xml:space="preserve">I was declined a transfer</t>
  </si>
  <si>
    <t xml:space="preserve">Why did my transfer get declined?</t>
  </si>
  <si>
    <t xml:space="preserve">I am unable to transfer money. I believe it is not working because it states it was declined.</t>
  </si>
  <si>
    <t xml:space="preserve">I was making a purchase and it was declined and I wanted to know why.</t>
  </si>
  <si>
    <t xml:space="preserve">Why do transfers get declined?</t>
  </si>
  <si>
    <t xml:space="preserve">Hi, during online shopping payment is getting declined yesterday and today as well. Please check the issue.</t>
  </si>
  <si>
    <t xml:space="preserve">Please help me as my online payment is getting declined since yesterday while i am trying to purchase something online.</t>
  </si>
  <si>
    <t xml:space="preserve">It's declining my transfers. Normally this works, but my card is being declined now and I've tried more than once.</t>
  </si>
  <si>
    <t xml:space="preserve">I tried to transfer but it was declined</t>
  </si>
  <si>
    <t xml:space="preserve">Seems like my transfer was declined how come?</t>
  </si>
  <si>
    <t xml:space="preserve">Help me figure out why my transfer was declined</t>
  </si>
  <si>
    <t xml:space="preserve">I didn't see any reason why my transfer was declined. What gives?</t>
  </si>
  <si>
    <t xml:space="preserve">Tell me why my transfer was declined.</t>
  </si>
  <si>
    <t xml:space="preserve">I got a message that my transfer was declined.</t>
  </si>
  <si>
    <t xml:space="preserve">My transfer was declined. What might the reason be?</t>
  </si>
  <si>
    <t xml:space="preserve">I tried to do a transfer but I got a message that it was declined.</t>
  </si>
  <si>
    <t xml:space="preserve">I had everything lined up to make a transfer, and then it rejected it.</t>
  </si>
  <si>
    <t xml:space="preserve">Why are my transfers and purchases keep getting declined?</t>
  </si>
  <si>
    <t xml:space="preserve">how come my transfer declined</t>
  </si>
  <si>
    <t xml:space="preserve">What do I do with my "decline" message on a transfer?</t>
  </si>
  <si>
    <t xml:space="preserve">I tried to buy something online yesterday and was told declined. I got the same error today after trying again. What is the problem?</t>
  </si>
  <si>
    <t xml:space="preserve">Why did my payment get declined?</t>
  </si>
  <si>
    <t xml:space="preserve">My transfer was declined, why is that?</t>
  </si>
  <si>
    <t xml:space="preserve">I've made more than one attempt to make a purchase and the card keeps getting declined. Why do you keep denying my transfers?</t>
  </si>
  <si>
    <t xml:space="preserve">Could not complete transfer, states 'declined'</t>
  </si>
  <si>
    <t xml:space="preserve">I'm having problems making a transfer to another account. I keep getting a declined message. I know that the information I'm putting in is accurate because I have checked it more than once.</t>
  </si>
  <si>
    <t xml:space="preserve">My transfer has been declined.</t>
  </si>
  <si>
    <t xml:space="preserve">I wanted to know why my transaction didn't go through.</t>
  </si>
  <si>
    <t xml:space="preserve">Unable to complete transfer, states 'declined'</t>
  </si>
  <si>
    <t xml:space="preserve">I received a decline message on a transfer</t>
  </si>
  <si>
    <t xml:space="preserve">I wanted to buy something online yesterday, but I could not because the card got declined on the day of and the following day. What is wrong with the card?</t>
  </si>
  <si>
    <t xml:space="preserve">why did i get declined transfer</t>
  </si>
  <si>
    <t xml:space="preserve">I am sure I have plenty of money to transfer but my transfer is being declined.</t>
  </si>
  <si>
    <t xml:space="preserve">Why are my transfers being declined? It normally works but now it's declining my card. I've tried it a few times but it's still not working.</t>
  </si>
  <si>
    <t xml:space="preserve">Is there a reason my transfer would have been declined?</t>
  </si>
  <si>
    <t xml:space="preserve">I received a "declined" message when doing a transfer</t>
  </si>
  <si>
    <t xml:space="preserve">Why did I get declined during a transfer?</t>
  </si>
  <si>
    <t xml:space="preserve">It says the transfer wasn't accepted.</t>
  </si>
  <si>
    <t xml:space="preserve">I can't seem to figure out why my transfers are getting declined.</t>
  </si>
  <si>
    <t xml:space="preserve">I tried to do a transfer and it's saying it declined.</t>
  </si>
  <si>
    <t xml:space="preserve">I tried to buy something online yesterday but it kept saying declined. Tried again today but same thing happened. What's wrong?</t>
  </si>
  <si>
    <t xml:space="preserve">I'm trying to move money from my account to elsewhere, but it's giving me an error message.</t>
  </si>
  <si>
    <t xml:space="preserve">I have tried a couple of times to make a purchase and my card keeps getting declined. Why do you keep denying my transfers? I have already tried a couple of times and it's not working.</t>
  </si>
  <si>
    <t xml:space="preserve">unsupported transfer declined</t>
  </si>
  <si>
    <t xml:space="preserve">Why would my transfer result in a decline message?</t>
  </si>
  <si>
    <t xml:space="preserve">The transfer that I was trying to complete was declined. What was the cause?</t>
  </si>
  <si>
    <t xml:space="preserve">I got declined when attempting a transfer</t>
  </si>
  <si>
    <t xml:space="preserve">What are the reasons for a declined transfer?</t>
  </si>
  <si>
    <t xml:space="preserve">Why would you cancel my transfer?</t>
  </si>
  <si>
    <t xml:space="preserve">My transfer was declined. Why did this happen?</t>
  </si>
  <si>
    <t xml:space="preserve">Why does my card continually get declined? I thought I had enough money in there but I've tried several times now and it still isn't working.</t>
  </si>
  <si>
    <t xml:space="preserve">please help me with this transfer, for some reason i can't transfer to a cryptocurency account</t>
  </si>
  <si>
    <t xml:space="preserve">Transfer could not be completed due to being declined.</t>
  </si>
  <si>
    <t xml:space="preserve">I just noticed my transfer was declined and I don't know why. Can you help me?</t>
  </si>
  <si>
    <t xml:space="preserve">I have been trying to make a transfer and it won't go through. I have checked all the receipts and its all correct but still won't let me do it.</t>
  </si>
  <si>
    <t xml:space="preserve">I got a declining message during a transfer? please tell me why</t>
  </si>
  <si>
    <t xml:space="preserve">I think there has been a mistake with my transfer</t>
  </si>
  <si>
    <t xml:space="preserve">I have double-checked all of my recipient details but for some reason all of my transfers keep getting declined. I have no clue as to why.</t>
  </si>
  <si>
    <t xml:space="preserve">Why are my transfers getting declined?  I havent had a problem in the past.</t>
  </si>
  <si>
    <t xml:space="preserve">Help me. My transfer was declined. How could this happen?</t>
  </si>
  <si>
    <t xml:space="preserve">i have tried everything to complete a transfer but can't, what should i do next</t>
  </si>
  <si>
    <t xml:space="preserve">I don't know what's going on but all of my transfers keep getting declined. I have checked over the recipient details twice. These details are all correct.</t>
  </si>
  <si>
    <t xml:space="preserve">Hi, Yesterdays i was unable to do online shopping as it was getting declined. Today I am facing the same issue. Please help me in this respect.</t>
  </si>
  <si>
    <t xml:space="preserve">My transfers keep on getting declined. My card was working fine up until now, however it has suddenly stopped working. Why is this?</t>
  </si>
  <si>
    <t xml:space="preserve">I went to do a transfer and it was declined.</t>
  </si>
  <si>
    <t xml:space="preserve">Why are all my transfers failing?  I have the details right and they won't complete.  I've been trying all day and they still won't go through, this is URGENT, please help.</t>
  </si>
  <si>
    <t xml:space="preserve">Declined, transfer not completed.</t>
  </si>
  <si>
    <t xml:space="preserve">I saw that my transfer was declined.</t>
  </si>
  <si>
    <t xml:space="preserve">Why do you keep declining my transfers? it's always been working really well so far but when I tried to buy something just now the card got declined, I tried couple of times already  but same thing is happening.</t>
  </si>
  <si>
    <t xml:space="preserve">How can I find a way to transfer money without it being rejected?</t>
  </si>
  <si>
    <t xml:space="preserve">I have a problem with my account. I tried to transfer some funds and the message came back declined. Can you help me?</t>
  </si>
  <si>
    <t xml:space="preserve">Please explain why my transfer attempt was declined. Thank you.</t>
  </si>
  <si>
    <t xml:space="preserve">I don't see my refund money yet in my account. I asked the merchant a while ago for a refund, so I don't know what's taking so long.  Can you look into it and see if the money is there, just not in my account yet?</t>
  </si>
  <si>
    <t xml:space="preserve">Why am I missing my refund</t>
  </si>
  <si>
    <t xml:space="preserve">Please help me.  I am still waiting on a refund.</t>
  </si>
  <si>
    <t xml:space="preserve">I requested a refund but am unable to see it in my account. Why is that?</t>
  </si>
  <si>
    <t xml:space="preserve">When will my refund come through</t>
  </si>
  <si>
    <t xml:space="preserve">Why is my refund not showing up on the statement?</t>
  </si>
  <si>
    <t xml:space="preserve">I need my refund</t>
  </si>
  <si>
    <t xml:space="preserve">why cant you just refund me instead of a merchant</t>
  </si>
  <si>
    <t xml:space="preserve">Why haven't I received a refund yet?</t>
  </si>
  <si>
    <t xml:space="preserve">when will I get my refund?</t>
  </si>
  <si>
    <t xml:space="preserve">They said I would get a refund but I don't see it on my statement.</t>
  </si>
  <si>
    <t xml:space="preserve">A refund is taking too long.</t>
  </si>
  <si>
    <t xml:space="preserve">I requested a refund from a merchant a while ago, and upon repeatedly checking my statement, the merchant has yet to refund me my money.  I don't know what's going on, or why the money is getting into my account--could you please help?</t>
  </si>
  <si>
    <t xml:space="preserve">Why isn't my refund showing up in my statement?</t>
  </si>
  <si>
    <t xml:space="preserve">I can't see a refund for a return I completed recently.</t>
  </si>
  <si>
    <t xml:space="preserve">How come my refund hasn't appeared on my statement?</t>
  </si>
  <si>
    <t xml:space="preserve">Why am I still waiting for my refund</t>
  </si>
  <si>
    <t xml:space="preserve">I keep checking my statements but nothing shows up. I requested a refund a long time ago but seems it's not reaching my account for some reason. Would you please help me get the money back from the seller.</t>
  </si>
  <si>
    <t xml:space="preserve">Why is my refund not visible on my statement?</t>
  </si>
  <si>
    <t xml:space="preserve">The refund doesn't show in my account</t>
  </si>
  <si>
    <t xml:space="preserve">I have not received a refund.</t>
  </si>
  <si>
    <t xml:space="preserve">Where is my recent refund in the my statement?</t>
  </si>
  <si>
    <t xml:space="preserve">I am missing a refund amount on my account.</t>
  </si>
  <si>
    <t xml:space="preserve">I asked for a refund but its not here yet</t>
  </si>
  <si>
    <t xml:space="preserve">I have a missing refund</t>
  </si>
  <si>
    <t xml:space="preserve">i need a refund right away but the funds aren't available in my account</t>
  </si>
  <si>
    <t xml:space="preserve">When will my returned transaction show up on my account?</t>
  </si>
  <si>
    <t xml:space="preserve">There is a refund missing.</t>
  </si>
  <si>
    <t xml:space="preserve">My refund has not arrived, and I am unsure why. Who do I contact?</t>
  </si>
  <si>
    <t xml:space="preserve">I need my refund as soon as possible. What else do I have to do?</t>
  </si>
  <si>
    <t xml:space="preserve">I can't see my refund in my history.</t>
  </si>
  <si>
    <t xml:space="preserve">The refund isn't appearing in my account</t>
  </si>
  <si>
    <t xml:space="preserve">How can I check if I have received a refund if it is not yet on my statement?</t>
  </si>
  <si>
    <t xml:space="preserve">Why isn't a refund showing on my statement?</t>
  </si>
  <si>
    <t xml:space="preserve">I can not find my refund.</t>
  </si>
  <si>
    <t xml:space="preserve">I requested a refund from a merchant several days ago, but don't see anything showing up in my account yet.  Can you check on your end to see if the money has reached you guys?</t>
  </si>
  <si>
    <t xml:space="preserve">I am waiting on the refund</t>
  </si>
  <si>
    <t xml:space="preserve">How can I investigate a missing refund?</t>
  </si>
  <si>
    <t xml:space="preserve">Hi, Last week I have contacted the seller for a refund as directed by you, but i have not received the money yet. Please look into this issue with seller and help me in getting the refund.</t>
  </si>
  <si>
    <t xml:space="preserve">I still don't have a refund.</t>
  </si>
  <si>
    <t xml:space="preserve">Transaction refund missing from my statement.</t>
  </si>
  <si>
    <t xml:space="preserve">I am suppose to be getting a refund from something I purchased but it hasn't showed up in my account.</t>
  </si>
  <si>
    <t xml:space="preserve">I've been waiting for a refund where is it?</t>
  </si>
  <si>
    <t xml:space="preserve">I was supposed to get a refund but it is not showing up on my card</t>
  </si>
  <si>
    <t xml:space="preserve">I've been waiting for a refund to show up and I don't see it on my statement yet.</t>
  </si>
  <si>
    <t xml:space="preserve">I cannot see a refund in my account</t>
  </si>
  <si>
    <t xml:space="preserve">Give me a refund now!! I am still waiting.</t>
  </si>
  <si>
    <t xml:space="preserve">I made a purchase a few weeks ago but wasn't happy with it so recently requested a refund from the supplier.  Can you check where the money is?</t>
  </si>
  <si>
    <t xml:space="preserve">my refund has not hit my account yet</t>
  </si>
  <si>
    <t xml:space="preserve">Why hasn't my refund been appiled to my account?</t>
  </si>
  <si>
    <t xml:space="preserve">My refund has not yet been credited on my statement</t>
  </si>
  <si>
    <t xml:space="preserve">My refund is not showing.</t>
  </si>
  <si>
    <t xml:space="preserve">When do I see my recent refund in my statement</t>
  </si>
  <si>
    <t xml:space="preserve">Why isn't my refund shown on my statement?</t>
  </si>
  <si>
    <t xml:space="preserve">Hello. I bought an item a while ago, and have since requested a refund.  However, upon checking my online statements, it seems that I haven't been issued a refund yet.  How can this be remedied?</t>
  </si>
  <si>
    <t xml:space="preserve">Hurry and refund me, I am waiting</t>
  </si>
  <si>
    <t xml:space="preserve">I received a refund, however I cannot see it in my account</t>
  </si>
  <si>
    <t xml:space="preserve">I was supposed to get a refund but I do not see it on my statement. When is it going to be updated?</t>
  </si>
  <si>
    <t xml:space="preserve">I did all that was asked of me and I am rather frustrated. I don't understand why you just won't credit me my money back. I have contacted the seller and nothing has been done. It's been a week!</t>
  </si>
  <si>
    <t xml:space="preserve">How will I know when I get my refund?</t>
  </si>
  <si>
    <t xml:space="preserve">It's been more than a week since I had a return charged to my card, why hasn't it showed up?</t>
  </si>
  <si>
    <t xml:space="preserve">My refund isn't going fast enough.</t>
  </si>
  <si>
    <t xml:space="preserve">My account isn't showing the refund</t>
  </si>
  <si>
    <t xml:space="preserve">I requested a refund from a merchant but don't see the money in my account.  Are you able to check with the merchant or process the refund manually?</t>
  </si>
  <si>
    <t xml:space="preserve">The refund I asked for isn't showing up</t>
  </si>
  <si>
    <t xml:space="preserve">The refund on my account hasn't shown up</t>
  </si>
  <si>
    <t xml:space="preserve">I'm supposed to have a refund but it isn't there</t>
  </si>
  <si>
    <t xml:space="preserve">My statement has not shown my refund.</t>
  </si>
  <si>
    <t xml:space="preserve">No refund showing in my statement.</t>
  </si>
  <si>
    <t xml:space="preserve">I can't see all the refunds in my statement</t>
  </si>
  <si>
    <t xml:space="preserve">I'm expecting a large refund from a store I returned merchandise to recently.  They say they have sent the money but I don't see it in my account, can you help.</t>
  </si>
  <si>
    <t xml:space="preserve">A while ago i requested a refund from a seller. I keep checking my statement but I have not been refunded yet. I'm confused why i haven't gotten my money back yet but I need your help getting it please.</t>
  </si>
  <si>
    <t xml:space="preserve">Please update me on whether you have received the funds for the refund of the large purchase I made recently. I have requested this from the merchant days ago but still haven't got anything.</t>
  </si>
  <si>
    <t xml:space="preserve">I cannot find my refund on my statement.</t>
  </si>
  <si>
    <t xml:space="preserve">I have received my statement but I do not see my refund, why is that?</t>
  </si>
  <si>
    <t xml:space="preserve">What is taking so long with my refund?</t>
  </si>
  <si>
    <t xml:space="preserve">Can you tell me why a refund I'm owed is not showing on my statement?</t>
  </si>
  <si>
    <t xml:space="preserve">I requested a refund directly from the seller but I still don't have it. I just want you to send me my money back. I did what you said to do and I still don't have it.</t>
  </si>
  <si>
    <t xml:space="preserve">when should I receive my refund</t>
  </si>
  <si>
    <t xml:space="preserve">Card refund is not showing up in my statement.</t>
  </si>
  <si>
    <t xml:space="preserve">Why is my refund missing in my statement?</t>
  </si>
  <si>
    <t xml:space="preserve">Please send my refund now.</t>
  </si>
  <si>
    <t xml:space="preserve">Hi! A seller that I requested a refund from a long time ago has yet to send the money into my account, even though I keep checking it. Can the seller be contacted by you guys to see what's going on?</t>
  </si>
  <si>
    <t xml:space="preserve">Why is the refund not on my statement?</t>
  </si>
  <si>
    <t xml:space="preserve">My refund is still pending</t>
  </si>
  <si>
    <t xml:space="preserve">I requested a refund from Next because the dress I purchased had three arm holes. They said they sent the refund last Wednesday which is nearly a week ago and I still don't have it.  Why not?</t>
  </si>
  <si>
    <t xml:space="preserve">Where is my refund? it appears to be missing.</t>
  </si>
  <si>
    <t xml:space="preserve">who should i contact if my refund doesn't go through?</t>
  </si>
  <si>
    <t xml:space="preserve">Please, I need your help as to whether or not you have money for a large refunded purchase I made. I requested it some time ago from the seller, but nothing is showing up.</t>
  </si>
  <si>
    <t xml:space="preserve">I requested a refund for a large order the other day and don't think I received the funds. Can you tell me if you see them or not?</t>
  </si>
  <si>
    <t xml:space="preserve">Why isn't my refund showing up?</t>
  </si>
  <si>
    <t xml:space="preserve">I contacted the seller and he won't respond.  Please just refund me my  money.</t>
  </si>
  <si>
    <t xml:space="preserve">I am still waiting for a refund</t>
  </si>
  <si>
    <t xml:space="preserve">I requested a refund from a seller a while ago, but when I check my statements it doesn't show up. Can you help me get my refund.</t>
  </si>
  <si>
    <t xml:space="preserve">I was supposed to get a refund but I do not see it.</t>
  </si>
  <si>
    <t xml:space="preserve">I contacted a seller about a refund last week but he still hasn't returned my money. I am frustrated and need these funds. Please help me get my money back.</t>
  </si>
  <si>
    <t xml:space="preserve">I am noticing that a refund of a large purchase still has not been credited to my account. I contacted the merchant a few days ago and he assured me that he would submit it right away. Is there a status update?</t>
  </si>
  <si>
    <t xml:space="preserve">Hi I'm waiting for a refund for an item I bought. I have contacted the merchant directly but had nothing back. Can you tell me whether or not you are able to refund me for the item?</t>
  </si>
  <si>
    <t xml:space="preserve">Would you please tell me the status of my refund request for a large purchase I made not long ago? I contacted the merchant nearly a week ago, but haven't received it.</t>
  </si>
  <si>
    <t xml:space="preserve">I can't find my refund. Please help.</t>
  </si>
  <si>
    <t xml:space="preserve">I requested a refund but can't see it.</t>
  </si>
  <si>
    <t xml:space="preserve">I keep checking to see if I've received a refund that I requested from a seller, but I'm not seeing the refund. I need you to help me get the refund.</t>
  </si>
  <si>
    <t xml:space="preserve">how does my statement get updated so i know when a refund will reflect on my balance</t>
  </si>
  <si>
    <t xml:space="preserve">Can I check my recent refund in my statement?</t>
  </si>
  <si>
    <t xml:space="preserve">I was suppose to be getting a refund for something I purchased a while ago, but It still hasnt been applied to my account. When will I get my money back?</t>
  </si>
  <si>
    <t xml:space="preserve">My refund has not shown up on my statement.</t>
  </si>
  <si>
    <t xml:space="preserve">what is the status of my refund</t>
  </si>
  <si>
    <t xml:space="preserve">Hello. Please, would you tell me if you have or have not received funds for a refund that I recently requested for a big purchase? I've contacted the merchant, but I can't tell that they have taken any action on it.</t>
  </si>
  <si>
    <t xml:space="preserve">Did I not get my refund? I don't see it.</t>
  </si>
  <si>
    <t xml:space="preserve">I am still waiting to find out the status of my refund. I have made previous attempts to find out what the status is to no avail. Will you please look into this for me?</t>
  </si>
  <si>
    <t xml:space="preserve">I keep checking my statements but nothing shows up! I requested a refund a long time ago but seems it's not reaching my account for some reason. Can you please help me get the money back from the seller for me</t>
  </si>
  <si>
    <t xml:space="preserve">I contacted the seller for a direct refund last week but he still hasn't give me my money. What should I do?</t>
  </si>
  <si>
    <t xml:space="preserve">I cannot view the refunded amount in my account.</t>
  </si>
  <si>
    <t xml:space="preserve">Why hasn't my refund appeared on my statement?</t>
  </si>
  <si>
    <t xml:space="preserve">My refund is not showing up in my account. Where is it?</t>
  </si>
  <si>
    <t xml:space="preserve">My refund has not shown up in my account.   Where is it?</t>
  </si>
  <si>
    <t xml:space="preserve">When can I expect my refund?</t>
  </si>
  <si>
    <t xml:space="preserve">How long will it take to refund me</t>
  </si>
  <si>
    <t xml:space="preserve">I keep checking my statements but no progress.I requested a refund but seems it's not reaching my account for some reason. Can you please help me get the money back from the seller for me</t>
  </si>
  <si>
    <t xml:space="preserve">Can you let me know where my refund money is? I requested a refund a few days back, but it's not showing up yet.  Do you guys have the money yet? Maybe it's just not in my account.  Let me know when it will become available, please.</t>
  </si>
  <si>
    <t xml:space="preserve">My statement does not reflect that a refund has been issued</t>
  </si>
  <si>
    <t xml:space="preserve">Why isn't my refund on my statement?</t>
  </si>
  <si>
    <t xml:space="preserve">When will I be able to see the refund</t>
  </si>
  <si>
    <t xml:space="preserve">My refund isn't showing up on my statement.</t>
  </si>
  <si>
    <t xml:space="preserve">A refund for a recent return has not arrived on my card.</t>
  </si>
  <si>
    <t xml:space="preserve">I am missing my refund.</t>
  </si>
  <si>
    <t xml:space="preserve">I keep checking my statements but nothing shows up.I requested a refund a long time ago but seems like it's not submitting my account for some reason. Can you please help me get the money back from the seller for me</t>
  </si>
  <si>
    <t xml:space="preserve">Three months ago I bought a new house for my cat, fluffy.  Unfortunately Fluffy was not a fan of the house and it had to be returned to Pet Smart last week.  They said they have sent a refund but it's not there, can you tell me where it is?</t>
  </si>
  <si>
    <t xml:space="preserve">How do I find the refund on my statement?</t>
  </si>
  <si>
    <t xml:space="preserve">i need a refund from you because the merchant is refusing, can you do that?</t>
  </si>
  <si>
    <t xml:space="preserve">I returned an item but don't see it on my account?</t>
  </si>
  <si>
    <t xml:space="preserve">As advised by you, i requested seller to refund my money. A week has passed but i haven't got any update from seller. Please track the refund with the seller.</t>
  </si>
  <si>
    <t xml:space="preserve">Why isn't my refund showing in my statement?</t>
  </si>
  <si>
    <t xml:space="preserve">I'm looking at my statement, and my refund is not on there.</t>
  </si>
  <si>
    <t xml:space="preserve">I'm due a refund and it is not on my statement.</t>
  </si>
  <si>
    <t xml:space="preserve">Why did I not get my refund yet?</t>
  </si>
  <si>
    <t xml:space="preserve">Why hasn't my return cleared my account?</t>
  </si>
  <si>
    <t xml:space="preserve">I was told I would be getting a refund but I have yet to see it</t>
  </si>
  <si>
    <t xml:space="preserve">My refund isn't showing up</t>
  </si>
  <si>
    <t xml:space="preserve">Is there a reason my refund isn't showing on my statement?</t>
  </si>
  <si>
    <t xml:space="preserve">Are the funds I requested from a merchant a few days ago in my account? I do not see them.</t>
  </si>
  <si>
    <t xml:space="preserve">I'm supposed to be getting a refund but it hasn't shown up, now what?</t>
  </si>
  <si>
    <t xml:space="preserve">My refund for a purchase hasn't  cone through yet.</t>
  </si>
  <si>
    <t xml:space="preserve">How long does it take for a refund to appear?</t>
  </si>
  <si>
    <t xml:space="preserve">I don't see a refund in my account.</t>
  </si>
  <si>
    <t xml:space="preserve">My refund is not here yet</t>
  </si>
  <si>
    <t xml:space="preserve">I am waiting on this refund, hurry up.</t>
  </si>
  <si>
    <t xml:space="preserve">I returned something to a  store but can't see my refund.</t>
  </si>
  <si>
    <t xml:space="preserve">Can you tell me if a credit/refund is coming from a seller? I asked for refund directly from them and am still waiting. It's been a week now and i still havn't seen my refund yet.</t>
  </si>
  <si>
    <t xml:space="preserve">Why can't I see my refund in my statement?</t>
  </si>
  <si>
    <t xml:space="preserve">Where is the refund on my statement?</t>
  </si>
  <si>
    <t xml:space="preserve">I should have a refund in my statement but I can't see it</t>
  </si>
  <si>
    <t xml:space="preserve">I'm expecting a refund but it's no where to be seen</t>
  </si>
  <si>
    <t xml:space="preserve">There is not a refund in my statement.</t>
  </si>
  <si>
    <t xml:space="preserve">I have checked my statements multiple times, but my refund that I requested a while back is not showing on my account. Is there a reason for this? Can I get some help getting my money back from this transaction?</t>
  </si>
  <si>
    <t xml:space="preserve">Im not sure if a seller is giving me my money back! I asked them to refund my money for the item but It's been a week now and still nothing has been given back to me. Can you resolve this for me?</t>
  </si>
  <si>
    <t xml:space="preserve">When will a refund post to my account?</t>
  </si>
  <si>
    <t xml:space="preserve">When will I be able to see my refund?</t>
  </si>
  <si>
    <t xml:space="preserve">I made a big purchase that I regretted and cancelled, the merchant said that my refund was submitted. Can you confirm to me that all of my money was truly returned to me?</t>
  </si>
  <si>
    <t xml:space="preserve">I've been checking my statement to see if I've received a refund I requested from a seller a while ago has arrived. But it has not. This should have come back to me already. Can you help me figure out why it's not here and get my money back?</t>
  </si>
  <si>
    <t xml:space="preserve">Still waiting on my refund...</t>
  </si>
  <si>
    <t xml:space="preserve">I can't see my refund on my account</t>
  </si>
  <si>
    <t xml:space="preserve">I'm not sure why my card didn't work</t>
  </si>
  <si>
    <t xml:space="preserve">My card is not working at stores.</t>
  </si>
  <si>
    <t xml:space="preserve">Do you know why my card payment has been declined?</t>
  </si>
  <si>
    <t xml:space="preserve">Why isn't my card working? I was pumped to use my new card but it keeps getting declined. Help please.</t>
  </si>
  <si>
    <t xml:space="preserve">I could not use my card in a store.</t>
  </si>
  <si>
    <t xml:space="preserve">If my card payment isn't working what do I do?</t>
  </si>
  <si>
    <t xml:space="preserve">I'm not sure why the card payment didn't work.</t>
  </si>
  <si>
    <t xml:space="preserve">Tell me why my card payment has been declined.</t>
  </si>
  <si>
    <t xml:space="preserve">I was just shopping online for some tickets and the payment was declined by you.  Why has this happened?  I am certain I have the right amount of funds in my account.</t>
  </si>
  <si>
    <t xml:space="preserve">I am very upset that i went to use my new card today and it kept getting declined. Why is this happening and what do I do to not have it declined?</t>
  </si>
  <si>
    <t xml:space="preserve">What are the reasons why a card payment would be declined?</t>
  </si>
  <si>
    <t xml:space="preserve">The card payment I attempted to make failed.</t>
  </si>
  <si>
    <t xml:space="preserve">Why has my card been declined?</t>
  </si>
  <si>
    <t xml:space="preserve">I went to use my new card today and the card was repeatedly declined. I would really like to use this card and need to know what to do about it.</t>
  </si>
  <si>
    <t xml:space="preserve">I was out today looking forward to paying with my new card, but the payment just kept getting declined. This is really sad, what's going on?</t>
  </si>
  <si>
    <t xml:space="preserve">What is the reason my payment was not accepted?</t>
  </si>
  <si>
    <t xml:space="preserve">May monthly payment to Apple has been declined but I don't know why, they are going to re-try the payment and it must go through, can you tell me what is going on please?</t>
  </si>
  <si>
    <t xml:space="preserve">You have declined my  payment.</t>
  </si>
  <si>
    <t xml:space="preserve">Can you tell me why my card keeps getting declined every time I try to use it?</t>
  </si>
  <si>
    <t xml:space="preserve">Can you tell me why my card is not working? I keep trying to use it but it keeps rejecting my payment. I am being careful and entering the info correctly but it still happens.</t>
  </si>
  <si>
    <t xml:space="preserve">Apparently, I went out today to use my new card and was informed my payment was decline. This is really embarrassing, what happen?</t>
  </si>
  <si>
    <t xml:space="preserve">I NEED HELP WITH MY CARD!!!!! please. It keeps getting declined when I try to use it. I have tried a few times to use it and it keeps getting rejected. I have no idea why.</t>
  </si>
  <si>
    <t xml:space="preserve">How do I check to see why my card payment was declined?</t>
  </si>
  <si>
    <t xml:space="preserve">Why was my card declined in a shop?</t>
  </si>
  <si>
    <t xml:space="preserve">The payment for the card did not go through</t>
  </si>
  <si>
    <t xml:space="preserve">My card was rejected</t>
  </si>
  <si>
    <t xml:space="preserve">I use this card all the time so why did it get declined at the store today?</t>
  </si>
  <si>
    <t xml:space="preserve">I couldn't pay with my card</t>
  </si>
  <si>
    <t xml:space="preserve">Why are all my card payments being declined?</t>
  </si>
  <si>
    <t xml:space="preserve">I couldn't pay with card in a shop</t>
  </si>
  <si>
    <t xml:space="preserve">Why is my payment declined? It looked like everything worked ok and my account was fine.</t>
  </si>
  <si>
    <t xml:space="preserve">My card payment failed.</t>
  </si>
  <si>
    <t xml:space="preserve">My payment has been declined!! What's going on, I thought everything was alright and working well?</t>
  </si>
  <si>
    <t xml:space="preserve">My latest payment was declined! What happened! I was told everything had been resolved and was back to working order again.</t>
  </si>
  <si>
    <t xml:space="preserve">My card wasn't working in a shop</t>
  </si>
  <si>
    <t xml:space="preserve">I'm sure I have enough money so why didn't the store accept my card?</t>
  </si>
  <si>
    <t xml:space="preserve">Why has my payment been declined? I paid by card.</t>
  </si>
  <si>
    <t xml:space="preserve">can you tell me why my card was declined?</t>
  </si>
  <si>
    <t xml:space="preserve">My card didn't go through.  It doesn't make sense.  You told me that everything was ok.</t>
  </si>
  <si>
    <t xml:space="preserve">Please explain why my payment was declined? I thought everything was good.</t>
  </si>
  <si>
    <t xml:space="preserve">When I use my card, it says decline?</t>
  </si>
  <si>
    <t xml:space="preserve">My card payment didn't work</t>
  </si>
  <si>
    <t xml:space="preserve">I was just shopping and my payment was declined in a store!  It was very embarrassing, what is going on and when will it be fixed?</t>
  </si>
  <si>
    <t xml:space="preserve">Why was my card declined?</t>
  </si>
  <si>
    <t xml:space="preserve">I tried to make a purchase in the store but my card was declined.</t>
  </si>
  <si>
    <t xml:space="preserve">My card payment wasn't accepted.</t>
  </si>
  <si>
    <t xml:space="preserve">is there a reason that my payment didnt go through</t>
  </si>
  <si>
    <t xml:space="preserve">My card payment did not go through.</t>
  </si>
  <si>
    <t xml:space="preserve">Explain the payment that was declined!</t>
  </si>
  <si>
    <t xml:space="preserve">Explain why my card payment wouldn't go through.</t>
  </si>
  <si>
    <t xml:space="preserve">Why didn;t my payment work</t>
  </si>
  <si>
    <t xml:space="preserve">My card couldn't pay in a shop.</t>
  </si>
  <si>
    <t xml:space="preserve">My payment card was declined - could you tell me why?</t>
  </si>
  <si>
    <t xml:space="preserve">Hi, is everything in good standing with my card? I am receiving multiple "decline" messages.</t>
  </si>
  <si>
    <t xml:space="preserve">Why didn't my card payment work?</t>
  </si>
  <si>
    <t xml:space="preserve">My card payment didn't go through.</t>
  </si>
  <si>
    <t xml:space="preserve">How can a payment be declined</t>
  </si>
  <si>
    <t xml:space="preserve">The store card reader would not accept my card.</t>
  </si>
  <si>
    <t xml:space="preserve">Why was my payment declined? I keep trying my card but it's not working.</t>
  </si>
  <si>
    <t xml:space="preserve">My card was declined</t>
  </si>
  <si>
    <t xml:space="preserve">my payment was rejected</t>
  </si>
  <si>
    <t xml:space="preserve">I was wondering why my card was declined</t>
  </si>
  <si>
    <t xml:space="preserve">Please help me in this, as i was unable to make any payment by my new card,  it was getting declined repeatedly. I am not very happy with this incident.</t>
  </si>
  <si>
    <t xml:space="preserve">Why did my card payment not work?</t>
  </si>
  <si>
    <t xml:space="preserve">my card payment has been declined, do you know why?</t>
  </si>
  <si>
    <t xml:space="preserve">My credit card has been declined.</t>
  </si>
  <si>
    <t xml:space="preserve">Why did my card payment get declined?</t>
  </si>
  <si>
    <t xml:space="preserve">Why won't you accept my payment? I keep trying with this card and it's not working.</t>
  </si>
  <si>
    <t xml:space="preserve">My card payment is being declined and I've tried several times.</t>
  </si>
  <si>
    <t xml:space="preserve">For some reason my card payment didn't work</t>
  </si>
  <si>
    <t xml:space="preserve">Why has my card declined</t>
  </si>
  <si>
    <t xml:space="preserve">A shop I go to didn't let me pay.</t>
  </si>
  <si>
    <t xml:space="preserve">Why did my payment fail?</t>
  </si>
  <si>
    <t xml:space="preserve">Can you tell me why my card payment did not work?</t>
  </si>
  <si>
    <t xml:space="preserve">My card would not work at a shop.</t>
  </si>
  <si>
    <t xml:space="preserve">I could not get my card to work at a shop.</t>
  </si>
  <si>
    <t xml:space="preserve">My card payment has been declined</t>
  </si>
  <si>
    <t xml:space="preserve">I've tried using my card multiple times and it keeps getting declined.</t>
  </si>
  <si>
    <t xml:space="preserve">My card was refused</t>
  </si>
  <si>
    <t xml:space="preserve">Why is it saying my card payment is declined when I made it?</t>
  </si>
  <si>
    <t xml:space="preserve">My card failed to work when I was shopping in a store</t>
  </si>
  <si>
    <t xml:space="preserve">why couldn't I use my card at a store?</t>
  </si>
  <si>
    <t xml:space="preserve">My card did not work at store.</t>
  </si>
  <si>
    <t xml:space="preserve">Why does is payment not going through? Did my account get frozen or some other issue I don't know about. What can I do to fix this problem?</t>
  </si>
  <si>
    <t xml:space="preserve">Why was my new card declined?</t>
  </si>
  <si>
    <t xml:space="preserve">Why do you keep declining my payment?I tried several times with this card and it is just not working.</t>
  </si>
  <si>
    <t xml:space="preserve">Why do you keep declining my payment? I tried several times already with this card and it is just not working.</t>
  </si>
  <si>
    <t xml:space="preserve">Why am I being declined?</t>
  </si>
  <si>
    <t xml:space="preserve">Could you explain why my card payment did not work?</t>
  </si>
  <si>
    <t xml:space="preserve">Hi, Today i have tried to make payment by my new card, but payment got declined many times. I am very disappointed, please look into this.</t>
  </si>
  <si>
    <t xml:space="preserve">I don't know why my card payment did not work</t>
  </si>
  <si>
    <t xml:space="preserve">my card was refused, why?</t>
  </si>
  <si>
    <t xml:space="preserve">I don't understand why my payment was declined. I thought everything was ok.</t>
  </si>
  <si>
    <t xml:space="preserve">I tried to pay with my card and it didn't work</t>
  </si>
  <si>
    <t xml:space="preserve">Why do you keep declining my payment?I tried several times already with this card and it is just not working.</t>
  </si>
  <si>
    <t xml:space="preserve">The card payment is declined.  Please inform me why.</t>
  </si>
  <si>
    <t xml:space="preserve">My card payment has been declined, why?</t>
  </si>
  <si>
    <t xml:space="preserve">Why would you decline my card?</t>
  </si>
  <si>
    <t xml:space="preserve">My payment for my card is not working</t>
  </si>
  <si>
    <t xml:space="preserve">Why would a card payment be declined?</t>
  </si>
  <si>
    <t xml:space="preserve">I was so embarrassed. Why didn't my payment clear?</t>
  </si>
  <si>
    <t xml:space="preserve">It seems like my card payment didn't work.</t>
  </si>
  <si>
    <t xml:space="preserve">I've tried many times to make a payment, but it's not going through.  What's wrong?</t>
  </si>
  <si>
    <t xml:space="preserve">Why has my card been declined?  whats the deal?</t>
  </si>
  <si>
    <t xml:space="preserve">For some reason my card payment hasn't worked. what can I do to look into that?</t>
  </si>
  <si>
    <t xml:space="preserve">Could you please tell me why my card payment didn't work?</t>
  </si>
  <si>
    <t xml:space="preserve">my payment was rejected, do you know why?</t>
  </si>
  <si>
    <t xml:space="preserve">My card payment doesn't work.</t>
  </si>
  <si>
    <t xml:space="preserve">I made a card payment, but it has been declined?</t>
  </si>
  <si>
    <t xml:space="preserve">Everything seems fine with my account, so why did it decline my payment?</t>
  </si>
  <si>
    <t xml:space="preserve">I'm not sure why my payment has been declined? Please tell me why, I thought it was all good.</t>
  </si>
  <si>
    <t xml:space="preserve">My payment has been declined several times.  Can you help me?</t>
  </si>
  <si>
    <t xml:space="preserve">I had a decline on my card. Why?</t>
  </si>
  <si>
    <t xml:space="preserve">When I tried to pay in a store my card din't work</t>
  </si>
  <si>
    <t xml:space="preserve">I was just needing to know why my card got declined</t>
  </si>
  <si>
    <t xml:space="preserve">My payment was declined</t>
  </si>
  <si>
    <t xml:space="preserve">Why was the payment on my card declined?</t>
  </si>
  <si>
    <t xml:space="preserve">I made a card payment but it didn't work. Why not?</t>
  </si>
  <si>
    <t xml:space="preserve">I was out today looking forward to paying with my brand new card, turns out the payment just kept getting declined. This is pretty sad, what's going on?</t>
  </si>
  <si>
    <t xml:space="preserve">Do you know the reason why my card payment was declined?</t>
  </si>
  <si>
    <t xml:space="preserve">What is going on with it saying my card payment was declined?</t>
  </si>
  <si>
    <t xml:space="preserve">I keep trying to make a payment, but it doesn't work.</t>
  </si>
  <si>
    <t xml:space="preserve">What could the reason be that my payment card was declined?</t>
  </si>
  <si>
    <t xml:space="preserve">My card did not go through in a shop</t>
  </si>
  <si>
    <t xml:space="preserve">Is there an issue with my card payment as it has not gone through.</t>
  </si>
  <si>
    <t xml:space="preserve">Why wasn't my card payment accepted?</t>
  </si>
  <si>
    <t xml:space="preserve">I keep trying to use my card to buy some things and you keep declining it. Why? I've tried multiple times to make it go through but it won't.</t>
  </si>
  <si>
    <t xml:space="preserve">The card payment I made didn't work.</t>
  </si>
  <si>
    <t xml:space="preserve">I received my new card and tried using it today, just to have it show declined over and over again.  Why is this happening?</t>
  </si>
  <si>
    <t xml:space="preserve">My card payment won't work.</t>
  </si>
  <si>
    <t xml:space="preserve">My card payment has failed.</t>
  </si>
  <si>
    <t xml:space="preserve">Whats the reason for my payment being declined? It looked like everything went through ok and my account was good.</t>
  </si>
  <si>
    <t xml:space="preserve">I just got my new card and tried using it and it was declined?</t>
  </si>
  <si>
    <t xml:space="preserve">I know there's money in my account, why did my account decline me?</t>
  </si>
  <si>
    <t xml:space="preserve">Why are the payments being declined on my new card?  I tried several times to use my new card to pay for my gas at the Shell station in my neighborhood.  I am very distressed about my new card not working.</t>
  </si>
  <si>
    <t xml:space="preserve">Why would my card payment not work?</t>
  </si>
  <si>
    <t xml:space="preserve">My card payment wasn't declined</t>
  </si>
  <si>
    <t xml:space="preserve">Reason for my card to decline</t>
  </si>
  <si>
    <t xml:space="preserve">Why have you declined my card payment?</t>
  </si>
  <si>
    <t xml:space="preserve">My card was not accepted in a shop</t>
  </si>
  <si>
    <t xml:space="preserve">I had a card payment that was declined.  Why?</t>
  </si>
  <si>
    <t xml:space="preserve">How come my card payment has been declined?</t>
  </si>
  <si>
    <t xml:space="preserve">I have enough money in my account, so why is my card being declined?</t>
  </si>
  <si>
    <t xml:space="preserve">Can you please advise if there is something wrong with my card? I have had multiple rejections and do not know the reason. Thanks!</t>
  </si>
  <si>
    <t xml:space="preserve">Card payment was declined, do you know why?</t>
  </si>
  <si>
    <t xml:space="preserve">I've tried several times to make a payment and every time my card is declined? Could my card be locked? I don't know what to do.</t>
  </si>
  <si>
    <t xml:space="preserve">I had a problem with my card payment, can you help?</t>
  </si>
  <si>
    <t xml:space="preserve">I tried to used my card in a shop and the transaction was declined.</t>
  </si>
  <si>
    <t xml:space="preserve">I was out today looking forward to paying with my new card, turns out the payment kept getting declined. This is really sad, what's going on?</t>
  </si>
  <si>
    <t xml:space="preserve">Card payment didn't go through.</t>
  </si>
  <si>
    <t xml:space="preserve">Please help to explain to me why my new card was declined when I tried to use it at my grocery store this morning to pay for the items I needed.  I tried three times to use it and it kept being declined.  I was very embarrassed standing there trying to buy my groceries.</t>
  </si>
  <si>
    <t xml:space="preserve">My card payment was not successful.</t>
  </si>
  <si>
    <t xml:space="preserve">Tell me why my card payment was declined.</t>
  </si>
  <si>
    <t xml:space="preserve">i put in money for vacation and its not showing. i need that money today, how long will it take</t>
  </si>
  <si>
    <t xml:space="preserve">I can't figure out why a transfer is still pending?</t>
  </si>
  <si>
    <t xml:space="preserve">Transfers can take up to one day to process before departing for the beneficiary accounts. Please confirm that you've entered your account details correctly. SEPA transfers can take up to two working days, while SWIFT transfers can take up to five working days.</t>
  </si>
  <si>
    <t xml:space="preserve">When will my transfer finish pending?</t>
  </si>
  <si>
    <t xml:space="preserve">How long do transfers take, mine just says pending?</t>
  </si>
  <si>
    <t xml:space="preserve">How long does it take for a transfer to finish pending?</t>
  </si>
  <si>
    <t xml:space="preserve">How long does it take for a money transfer to show up?</t>
  </si>
  <si>
    <t xml:space="preserve">Why is a transfer I have still pending?</t>
  </si>
  <si>
    <t xml:space="preserve">Transfers may show up as pending for up to one day while they are processed by one of our payment processors. Then, they will depart for the beneficiary accounts. Please also double-check that you have entered the correct account details. SEPA transfers can take up to two business days, and SWIFT transfers can take up to five business days.</t>
  </si>
  <si>
    <t xml:space="preserve">What's the time frame on EU transfers? I purchased something a couple of days ago but the seller hasn't received my payment.</t>
  </si>
  <si>
    <t xml:space="preserve">When will the transaction post to my account?</t>
  </si>
  <si>
    <t xml:space="preserve">I sent a transfer and it has been pending for awhile. How long will it stay pending?</t>
  </si>
  <si>
    <t xml:space="preserve">I transferred money to another country several days ago, but my transaction is still pending. i have checked that the accounts are keyed in correctly. what sees to be the problem?</t>
  </si>
  <si>
    <t xml:space="preserve">What is the reason a transfer shows as pending?</t>
  </si>
  <si>
    <t xml:space="preserve">Why is the transfer showing pending?</t>
  </si>
  <si>
    <t xml:space="preserve">Hi I am trying to transfer money to another country but it is showing pending and it has been a long time.  I have checked numbers and they are correct.  Could you please help?</t>
  </si>
  <si>
    <t xml:space="preserve">Why does my transfer say it is pending?</t>
  </si>
  <si>
    <t xml:space="preserve">What am I supposed to do if the funds haven't show up from a transfer completed this morning?</t>
  </si>
  <si>
    <t xml:space="preserve">How long do I have to wait for the transfer to be finalized?</t>
  </si>
  <si>
    <t xml:space="preserve">My payment shows that it is pending will I be charged more money?</t>
  </si>
  <si>
    <t xml:space="preserve">Why is my transfer still pending?</t>
  </si>
  <si>
    <t xml:space="preserve">Tell me why my transfer is pending.</t>
  </si>
  <si>
    <t xml:space="preserve">How long will my transfer be pending for?</t>
  </si>
  <si>
    <t xml:space="preserve">I'm hoping you can answer my question about a pending transfer that I've had for a while now.  I know that all of the account details are correct, so why is it taking so long to go through?</t>
  </si>
  <si>
    <t xml:space="preserve">How long is a transfer in the pending status?</t>
  </si>
  <si>
    <t xml:space="preserve">Why is it taking so long for my pending transaction to post as cleared?</t>
  </si>
  <si>
    <t xml:space="preserve">I haven't received my transfer funds yet, where are they?</t>
  </si>
  <si>
    <t xml:space="preserve">I'm confused as to why my transfer is still listed as pending on the website.</t>
  </si>
  <si>
    <t xml:space="preserve">How long do EU transfers actually take? I recently bought something online a few days ago, sent the money immediately online but the seller says it's still not there yet.</t>
  </si>
  <si>
    <t xml:space="preserve">Why is my transfer pending?</t>
  </si>
  <si>
    <t xml:space="preserve">I sent payment with EU transfer and they still haven't received it. How long does it take?</t>
  </si>
  <si>
    <t xml:space="preserve">I bought something on line a and the seller hasn't received the money I sent could you please tell me how long an EU transfer takes?</t>
  </si>
  <si>
    <t xml:space="preserve">How long is the wait for a money transfer to show up?</t>
  </si>
  <si>
    <t xml:space="preserve">What is going on? I have checked over and over and the details of my account are right. Why is my transfer still pending? It's 2018 not 1818. Transfering money to another country can't be that hard.</t>
  </si>
  <si>
    <t xml:space="preserve">As I double checked that I have the correct account details that i submitted , they're right for sure. Transfer is still pending so far.</t>
  </si>
  <si>
    <t xml:space="preserve">How long until transfers complete?</t>
  </si>
  <si>
    <t xml:space="preserve">My money transfer has not yet occurred</t>
  </si>
  <si>
    <t xml:space="preserve">My transfer is still pending</t>
  </si>
  <si>
    <t xml:space="preserve">Will my transfer be done soon?</t>
  </si>
  <si>
    <t xml:space="preserve">How long do you expect me to wait for the transfer? It finally worked out, but has been pending for a long time and it's quite urgent.</t>
  </si>
  <si>
    <t xml:space="preserve">My transfer is quite urgent, and finally worked out, but I've been waiting for it for quite some time. Can you tell me how long to expect to wait for it?</t>
  </si>
  <si>
    <t xml:space="preserve">My transfer still says pending</t>
  </si>
  <si>
    <t xml:space="preserve">I bought something online a couple days ago, sent the money immediately online but the seller says it's still not there yet. How long do EU transfers actually take?</t>
  </si>
  <si>
    <t xml:space="preserve">The transfer was accepted but now it's stuck on pending. When will it go through?</t>
  </si>
  <si>
    <t xml:space="preserve">I have not seen any changes in my account balance(s) after making a transfer.</t>
  </si>
  <si>
    <t xml:space="preserve">I have an outgoing transaction</t>
  </si>
  <si>
    <t xml:space="preserve">How long does a transfer to another country normally take? I check over and over again and see that my transfer is still pending. It's 2018, nothing should take this long. I have confirmed my account information, so there is no error. What is the hold up?</t>
  </si>
  <si>
    <t xml:space="preserve">I have a pending transaction</t>
  </si>
  <si>
    <t xml:space="preserve">How long is the wait for a money transfer to post?</t>
  </si>
  <si>
    <t xml:space="preserve">My money transfer hasn't appeared yet.</t>
  </si>
  <si>
    <t xml:space="preserve">Why is my transfer still pending after all this time?</t>
  </si>
  <si>
    <t xml:space="preserve">why have I got a pending transfer? I'm confused!!</t>
  </si>
  <si>
    <t xml:space="preserve">It seems like a transfer is pending.</t>
  </si>
  <si>
    <t xml:space="preserve">How long will my transfer stay pending?</t>
  </si>
  <si>
    <t xml:space="preserve">How long will the transfer take?</t>
  </si>
  <si>
    <t xml:space="preserve">How long does it take for pending to go through</t>
  </si>
  <si>
    <t xml:space="preserve">the transfer went through but now it has been pending for quite a while. i need this to go through already</t>
  </si>
  <si>
    <t xml:space="preserve">I've been waiting for a pending transfer to go through for a while now, and don't see any reason why I've been waiting this long.  I know that I have the correct account details, so that isn't the problem.</t>
  </si>
  <si>
    <t xml:space="preserve">I am still waiting for a transfer to show up</t>
  </si>
  <si>
    <t xml:space="preserve">My transfer is still pending, why?</t>
  </si>
  <si>
    <t xml:space="preserve">Hey I double checked that I have the correct account details already, they're right for sure. Transfer is still pending since forever. It's not that difficult to transfer money to another country in 2018 is it?</t>
  </si>
  <si>
    <t xml:space="preserve">A transfer is pending.</t>
  </si>
  <si>
    <t xml:space="preserve">Why isn't my pending transfer finished?</t>
  </si>
  <si>
    <t xml:space="preserve">A transfer to my account shows as still pending and I wanted to know how long it is suppose to take to clear.</t>
  </si>
  <si>
    <t xml:space="preserve">Is my transfer pending?</t>
  </si>
  <si>
    <t xml:space="preserve">I did a transfer but its still pending</t>
  </si>
  <si>
    <t xml:space="preserve">How come I have pending transfers?</t>
  </si>
  <si>
    <t xml:space="preserve">I recently purchased something and the seller says my money has not arrived yet. It was in EU's. How long does this take?</t>
  </si>
  <si>
    <t xml:space="preserve">Could you please help me figure out why the seller has not received their money after I sent it.</t>
  </si>
  <si>
    <t xml:space="preserve">How long do EU transfers actually take? I bought something online a couple days ago, sent the money immediately online but the seller says it's still not there yet.</t>
  </si>
  <si>
    <t xml:space="preserve">How long do EU transfers take? I bought something online a couple days ago , sent the money immediately online but the seller says it is still not there yet</t>
  </si>
  <si>
    <t xml:space="preserve">I didn't think my country-to-country money transfer would take so long. It still says that it's pending so I re-checked all of the account information--everything seems right, so what's the deal?</t>
  </si>
  <si>
    <t xml:space="preserve">My transfer hasn't appeared yet</t>
  </si>
  <si>
    <t xml:space="preserve">i transfered and yet it is still pending</t>
  </si>
  <si>
    <t xml:space="preserve">My transfer is stuck pending? How do we fix it to it goes through?</t>
  </si>
  <si>
    <t xml:space="preserve">What is the reason why the transfer shows as pending?</t>
  </si>
  <si>
    <t xml:space="preserve">I am still waiting for a transfer to show</t>
  </si>
  <si>
    <t xml:space="preserve">When will my transfer move from pending to confirmed?</t>
  </si>
  <si>
    <t xml:space="preserve">How long does a transfer take?</t>
  </si>
  <si>
    <t xml:space="preserve">I have a transfer that is still pending.</t>
  </si>
  <si>
    <t xml:space="preserve">I have a transfer that is pending.</t>
  </si>
  <si>
    <t xml:space="preserve">My transfer has been pending for a long time now. I already double checked my account info and it is correct. Why is it taking so long in 2018 to transfer money?</t>
  </si>
  <si>
    <t xml:space="preserve">My account says I have a pending transfer.</t>
  </si>
  <si>
    <t xml:space="preserve">How long would does it take for a seller to receive an EU transfer if I bought something from them and sent them the money immediately?</t>
  </si>
  <si>
    <t xml:space="preserve">Money was transferred to me and I am unable to see it</t>
  </si>
  <si>
    <t xml:space="preserve">How long does it take for pending transfer transactions to post?</t>
  </si>
  <si>
    <t xml:space="preserve">I finished my transfer. I am having an issue with it still pending. It has been a long time and i'm growing impatient</t>
  </si>
  <si>
    <t xml:space="preserve">Why is there a pending time on my transfer?</t>
  </si>
  <si>
    <t xml:space="preserve">Why does it show that my transfer is still pending?</t>
  </si>
  <si>
    <t xml:space="preserve">Can you tell me when my money transfer will go through</t>
  </si>
  <si>
    <t xml:space="preserve">How long will my transfer be pending?</t>
  </si>
  <si>
    <t xml:space="preserve">How long will a transfer be pending for?</t>
  </si>
  <si>
    <t xml:space="preserve">Why is a transfer I did recently still processing?</t>
  </si>
  <si>
    <t xml:space="preserve">I have a trasnger that is pending and wondered about it.</t>
  </si>
  <si>
    <t xml:space="preserve">I wanted to know why there is a transfer of mine pending.</t>
  </si>
  <si>
    <t xml:space="preserve">I'm waiting for a money transfer to show, still.</t>
  </si>
  <si>
    <t xml:space="preserve">I am still waiting for a money transfer to appear.</t>
  </si>
  <si>
    <t xml:space="preserve">There has been a transfer pending in my account and I wanted to know how long it is going to take to go  through.</t>
  </si>
  <si>
    <t xml:space="preserve">What is the average pending time for a transaction?</t>
  </si>
  <si>
    <t xml:space="preserve">Can you explain why my payment is still pending?</t>
  </si>
  <si>
    <t xml:space="preserve">I did a transfer but it is still pending.</t>
  </si>
  <si>
    <t xml:space="preserve">Why is the transfer still pending?  Can I do something?</t>
  </si>
  <si>
    <t xml:space="preserve">I am having to wait for my transfer to be fully processed. It seems to be taking a very long time in the pending phase. What is the normal turn around time that I can expect to see it completed?</t>
  </si>
  <si>
    <t xml:space="preserve">when will my transfer clear</t>
  </si>
  <si>
    <t xml:space="preserve">The transfer finally worked, but how long does it stay pending?</t>
  </si>
  <si>
    <t xml:space="preserve">How long do EU transfers take? I bought something online a couple of days ago , sent the money immediately online but the seller says it is still not there yet.</t>
  </si>
  <si>
    <t xml:space="preserve">Why does my transfer still say it is pending?</t>
  </si>
  <si>
    <t xml:space="preserve">My money transfer has not happened yet</t>
  </si>
  <si>
    <t xml:space="preserve">I don't see a money transfer yet</t>
  </si>
  <si>
    <t xml:space="preserve">I have a transfer waiting.</t>
  </si>
  <si>
    <t xml:space="preserve">how long will it take for my transfer to stop pending</t>
  </si>
  <si>
    <t xml:space="preserve">I double checked that I have the correct account details already, they're right for sure. Transfer is still pending since forever. It should not have been done so.</t>
  </si>
  <si>
    <t xml:space="preserve">How long do I wait for a transfer to take?</t>
  </si>
  <si>
    <t xml:space="preserve">Hello. How long does it usually take to transfer money to another country? I've made sure all the information is correct, but the transfer still says that it's "pending."</t>
  </si>
  <si>
    <t xml:space="preserve">Why is my last transfer pending?</t>
  </si>
  <si>
    <t xml:space="preserve">I have an outgoing transfer</t>
  </si>
  <si>
    <t xml:space="preserve">Transfers may show up as pending for up to one business day while they are processed, and then they'll depart for the beneficiary accounts. Please confirm that you have correctly entered your account details. SEPA transfers typically take up to two working days, while SWIFT transfers can take up to five working days.</t>
  </si>
  <si>
    <t xml:space="preserve">How long does EU transfer take? I bought something online a couple days ago , sent the money immediately online but the seller says it is still not there yet</t>
  </si>
  <si>
    <t xml:space="preserve">My transfer's stuck on pending.</t>
  </si>
  <si>
    <t xml:space="preserve">Hello, I went ahead and checked my account details to be sure, and they are definitely correct.  I've had a transfer pending for a while, and I can't understand why it hasn't gone through yet.</t>
  </si>
  <si>
    <t xml:space="preserve">So, my transfer is showing as pending, when will it actually go through?</t>
  </si>
  <si>
    <t xml:space="preserve">Why is the transaction not posting?</t>
  </si>
  <si>
    <t xml:space="preserve">I made a transfer recently but it has not changed on my dashboard.</t>
  </si>
  <si>
    <t xml:space="preserve">When will my transfer move out of pending stage?</t>
  </si>
  <si>
    <t xml:space="preserve">Why is my transfer stuck on pending?</t>
  </si>
  <si>
    <t xml:space="preserve">there is a transfer pending.</t>
  </si>
  <si>
    <t xml:space="preserve">The wait for this transfer seems to be taking a very long time.  It is very important that it goes through quickly. Can you please tell me how long it may take?</t>
  </si>
  <si>
    <t xml:space="preserve">How much longer do I have to wait until my transaction is complete? I transferred money to another country many hours ago and the transaction is still pending.</t>
  </si>
  <si>
    <t xml:space="preserve">Why is my transfer appearing as "pending"?</t>
  </si>
  <si>
    <t xml:space="preserve">Do EU transfers happen quickly? I purchased something a few days ago and the seller hasn't received my money yet.</t>
  </si>
  <si>
    <t xml:space="preserve">It seems like I have been waiting forever for this international transfer. Why is it taking so long? C'mon, it's 2018, things happen at a click of a button. All of the account information is correct, so how long will this take?</t>
  </si>
  <si>
    <t xml:space="preserve">Hi, I'm trying to transfer money from one country to another, but it's taking a long time! All the account information is right, so why is it taking so long?</t>
  </si>
  <si>
    <t xml:space="preserve">Why is my transfer pending when I already made it?</t>
  </si>
  <si>
    <t xml:space="preserve">I have a pending money transfer</t>
  </si>
  <si>
    <t xml:space="preserve">What does it mean when a transfer is "pending"?</t>
  </si>
  <si>
    <t xml:space="preserve">For what reason is my transfer still pending now?</t>
  </si>
  <si>
    <t xml:space="preserve">The seller of the items I bought online the other day hasn't received the EU transfer yet. How long do these usually take?</t>
  </si>
  <si>
    <t xml:space="preserve">My transfer is pending, why?</t>
  </si>
  <si>
    <t xml:space="preserve">Can you tell me why my transfer is pending still?</t>
  </si>
  <si>
    <t xml:space="preserve">I am still waiting for a money transfer to process.</t>
  </si>
  <si>
    <t xml:space="preserve">I have a transfer that was approved that I'm urgently waiting for. How long am I supposed to wait for it?</t>
  </si>
  <si>
    <t xml:space="preserve">How long does the "pending" period of a transfer take?</t>
  </si>
  <si>
    <t xml:space="preserve">My transfer went through, but it seems to be caught up in a pending status.  This was very important that it got done quickly, can you give me a status update on how long it will take?</t>
  </si>
  <si>
    <t xml:space="preserve">My transfer says pending. What does that mean?</t>
  </si>
  <si>
    <t xml:space="preserve">Can you tell me when the transfer will be completed?</t>
  </si>
  <si>
    <t xml:space="preserve">I need to know why a money transfer is available.</t>
  </si>
  <si>
    <t xml:space="preserve">I'm still waiting for a money transfer to show.</t>
  </si>
  <si>
    <t xml:space="preserve">Pending still shows on this transfer, why?</t>
  </si>
  <si>
    <t xml:space="preserve">How do I deactivate my account?</t>
  </si>
  <si>
    <t xml:space="preserve">Remove my account immediately.</t>
  </si>
  <si>
    <t xml:space="preserve">Are you able to delete my account?</t>
  </si>
  <si>
    <t xml:space="preserve">How do I discontinue my account?</t>
  </si>
  <si>
    <t xml:space="preserve">please delete account</t>
  </si>
  <si>
    <t xml:space="preserve">I need you to delete my account now.</t>
  </si>
  <si>
    <t xml:space="preserve">I would like to delete my account now, please.</t>
  </si>
  <si>
    <t xml:space="preserve">I would like to invalidate my account.  I am very disappointed with your services.</t>
  </si>
  <si>
    <t xml:space="preserve">I need to delete my account.</t>
  </si>
  <si>
    <t xml:space="preserve">Can you delete the account?</t>
  </si>
  <si>
    <t xml:space="preserve">for god sake, just delete my account i am sick of this</t>
  </si>
  <si>
    <t xml:space="preserve">I need to delete my account, please.</t>
  </si>
  <si>
    <t xml:space="preserve">unhappy with service need to delete account</t>
  </si>
  <si>
    <t xml:space="preserve">This company is bad, delete my account now.</t>
  </si>
  <si>
    <t xml:space="preserve">How do I shut down my account and get out of this company?</t>
  </si>
  <si>
    <t xml:space="preserve">How do I close my account?</t>
  </si>
  <si>
    <t xml:space="preserve">I want to shut down my account as soon as possible.</t>
  </si>
  <si>
    <t xml:space="preserve">cancel my account</t>
  </si>
  <si>
    <t xml:space="preserve">Help me close my account.</t>
  </si>
  <si>
    <t xml:space="preserve">I want to close my account due to poor customer service.</t>
  </si>
  <si>
    <t xml:space="preserve">I would like to close my account, as I'm not happy.</t>
  </si>
  <si>
    <t xml:space="preserve">What's the process for terminating an account?</t>
  </si>
  <si>
    <t xml:space="preserve">What steps do I need to do to delete my account?</t>
  </si>
  <si>
    <t xml:space="preserve">How do I delete my account now</t>
  </si>
  <si>
    <t xml:space="preserve">I want to cancel my account.</t>
  </si>
  <si>
    <t xml:space="preserve">I want to get rid of the account, and delete personal information .</t>
  </si>
  <si>
    <t xml:space="preserve">if im not using my account should i close it or just let it sit</t>
  </si>
  <si>
    <t xml:space="preserve">i'm not satisfied with the services and no longer want to be a customer</t>
  </si>
  <si>
    <t xml:space="preserve">I am not satisfied with your company and wish to delete all accounts immediately.</t>
  </si>
  <si>
    <t xml:space="preserve">I want to delete my account.</t>
  </si>
  <si>
    <t xml:space="preserve">I am not happy with your company. Please delete my account asap.</t>
  </si>
  <si>
    <t xml:space="preserve">How can I close my account, I don't want it.</t>
  </si>
  <si>
    <t xml:space="preserve">I am upset with your service.  Please delete my account.</t>
  </si>
  <si>
    <t xml:space="preserve">I would like to cancel my account.</t>
  </si>
  <si>
    <t xml:space="preserve">I don't like the services, please close my account</t>
  </si>
  <si>
    <t xml:space="preserve">I'd like to delete my account.</t>
  </si>
  <si>
    <t xml:space="preserve">I want to stop my account</t>
  </si>
  <si>
    <t xml:space="preserve">Please delete my account immediately.</t>
  </si>
  <si>
    <t xml:space="preserve">How do I delete my account? I am dissatisfied with the service.</t>
  </si>
  <si>
    <t xml:space="preserve">This place has been too much work so I'd just like to close out my account &amp; be done.</t>
  </si>
  <si>
    <t xml:space="preserve">do i have to talk to someone to close an account or can i in the app</t>
  </si>
  <si>
    <t xml:space="preserve">I want to close my account now.</t>
  </si>
  <si>
    <t xml:space="preserve">your company is awful, i would like to delete my account please</t>
  </si>
  <si>
    <t xml:space="preserve">I hate this company! Can you delete my account?</t>
  </si>
  <si>
    <t xml:space="preserve">I am asking to end my account.</t>
  </si>
  <si>
    <t xml:space="preserve">I want to delete my account. How do I do this?</t>
  </si>
  <si>
    <t xml:space="preserve">I am not happy with your service and request that my account be terminated!</t>
  </si>
  <si>
    <t xml:space="preserve">I want to terminate my account</t>
  </si>
  <si>
    <t xml:space="preserve">How can I delete my account?</t>
  </si>
  <si>
    <t xml:space="preserve">I want to end my account</t>
  </si>
  <si>
    <t xml:space="preserve">Delete my account now please.</t>
  </si>
  <si>
    <t xml:space="preserve">Help me terminate and close my account.</t>
  </si>
  <si>
    <t xml:space="preserve">Your company is lame. Shut down all my account services right now.</t>
  </si>
  <si>
    <t xml:space="preserve">I am not satisfied with your company.  Close my account.</t>
  </si>
  <si>
    <t xml:space="preserve">How do I terminate my account.</t>
  </si>
  <si>
    <t xml:space="preserve">How to I close my account?</t>
  </si>
  <si>
    <t xml:space="preserve">I need to terminate my account.</t>
  </si>
  <si>
    <t xml:space="preserve">I'm not happy with the services I'm getting with this company. Can you please delete my account?</t>
  </si>
  <si>
    <t xml:space="preserve">I want to close my account. The service you provide is unsatisfactory to me.</t>
  </si>
  <si>
    <t xml:space="preserve">Delete all of my account information and my account right now.</t>
  </si>
  <si>
    <t xml:space="preserve">I want to close my account &amp; I will never do business with you again.</t>
  </si>
  <si>
    <t xml:space="preserve">What are the steps to finishing up with this account?</t>
  </si>
  <si>
    <t xml:space="preserve">Help me delete my account.  I am not satisfied with the service.</t>
  </si>
  <si>
    <t xml:space="preserve">Can you close my account please?</t>
  </si>
  <si>
    <t xml:space="preserve">What do I do to close my account?</t>
  </si>
  <si>
    <t xml:space="preserve">I need to terminate my account immediately.</t>
  </si>
  <si>
    <t xml:space="preserve">How can I close my account?</t>
  </si>
  <si>
    <t xml:space="preserve">I don't want this account anymore, how do I delete it?</t>
  </si>
  <si>
    <t xml:space="preserve">Please delete this account.</t>
  </si>
  <si>
    <t xml:space="preserve">I want to inactivate my account.</t>
  </si>
  <si>
    <t xml:space="preserve">I no longer want to keep this account.</t>
  </si>
  <si>
    <t xml:space="preserve">I am trying to delete my account.</t>
  </si>
  <si>
    <t xml:space="preserve">Where do I go to terminate my account?</t>
  </si>
  <si>
    <t xml:space="preserve">I'm not happy with service and would like to delete this account.</t>
  </si>
  <si>
    <t xml:space="preserve">Please delete my account now.</t>
  </si>
  <si>
    <t xml:space="preserve">I would like to terminate my account.</t>
  </si>
  <si>
    <t xml:space="preserve">how do i cancel my account</t>
  </si>
  <si>
    <t xml:space="preserve">how to delete account, not happy</t>
  </si>
  <si>
    <t xml:space="preserve">How do I close my account, since I'm dissatisfied?</t>
  </si>
  <si>
    <t xml:space="preserve">make my account go away</t>
  </si>
  <si>
    <t xml:space="preserve">Please help me delete this account.</t>
  </si>
  <si>
    <t xml:space="preserve">I would like to delete my account. I'm not happy with the service you're providing</t>
  </si>
  <si>
    <t xml:space="preserve">terminate my account please</t>
  </si>
  <si>
    <t xml:space="preserve">Your service is bad.  Close my account.</t>
  </si>
  <si>
    <t xml:space="preserve">I'm dissatisfied with the service and would like to terminate the account.</t>
  </si>
  <si>
    <t xml:space="preserve">I am looking to delete my account. I'm not happy with the service provided by you.</t>
  </si>
  <si>
    <t xml:space="preserve">I wish to remove my account.</t>
  </si>
  <si>
    <t xml:space="preserve">Close down my account.  I don't like your service.</t>
  </si>
  <si>
    <t xml:space="preserve">I am very dissatisfied with the services that you are providing.  I want to cancel my account.</t>
  </si>
  <si>
    <t xml:space="preserve">I need you to delete my account right now.</t>
  </si>
  <si>
    <t xml:space="preserve">I want to deactivate my account.</t>
  </si>
  <si>
    <t xml:space="preserve">This is terrible, i want to delete my account</t>
  </si>
  <si>
    <t xml:space="preserve">I'd like my account to be deleted. I'm not satisfied with the service you provide.</t>
  </si>
  <si>
    <t xml:space="preserve">Is it possible to delete the account?</t>
  </si>
  <si>
    <t xml:space="preserve">I need to close my account.  Your company is terrible!</t>
  </si>
  <si>
    <t xml:space="preserve">Tell me how to delete my account.</t>
  </si>
  <si>
    <t xml:space="preserve">Please delete my account and personal information.</t>
  </si>
  <si>
    <t xml:space="preserve">I'm not happy, I want to close my account.</t>
  </si>
  <si>
    <t xml:space="preserve">Delete my account please. Now!</t>
  </si>
  <si>
    <t xml:space="preserve">The service here is horrible, I want to delete my account.</t>
  </si>
  <si>
    <t xml:space="preserve">How do I delete an account?</t>
  </si>
  <si>
    <t xml:space="preserve">Can you please disable my current account.</t>
  </si>
  <si>
    <t xml:space="preserve">The company is no good, please terminate my account.</t>
  </si>
  <si>
    <t xml:space="preserve">I am dissatisfied, I would like to close my account.</t>
  </si>
  <si>
    <t xml:space="preserve">I'm not satisfied with the services that you are providing.  I would like to end my services and delete my account.</t>
  </si>
  <si>
    <t xml:space="preserve">I need to close my account as soon as possible.</t>
  </si>
  <si>
    <t xml:space="preserve">I am not satisfied with your service.  Close my account.</t>
  </si>
  <si>
    <t xml:space="preserve">I no longer want this account, what should I do?</t>
  </si>
  <si>
    <t xml:space="preserve">What do I do if the ATM took my card?</t>
  </si>
  <si>
    <t xml:space="preserve">What do I do now my credit card has been swallowed by the ATM?</t>
  </si>
  <si>
    <t xml:space="preserve">An ATM machine didn't give me back my card.</t>
  </si>
  <si>
    <t xml:space="preserve">My card got trapped inside an ATM, what should I do?</t>
  </si>
  <si>
    <t xml:space="preserve">What do I do if I can't get my card out of the ATM?</t>
  </si>
  <si>
    <t xml:space="preserve">My card got stuck in an ATM.</t>
  </si>
  <si>
    <t xml:space="preserve">Your machine took my card. How do I get it back?</t>
  </si>
  <si>
    <t xml:space="preserve">I can't get my card out of the ATM, what should I do now?</t>
  </si>
  <si>
    <t xml:space="preserve">My card is stuck in the ATM?</t>
  </si>
  <si>
    <t xml:space="preserve">I didn't get my card back from the ATM.</t>
  </si>
  <si>
    <t xml:space="preserve">The ATM at Metro bank on High St. Kensington didn't return my card, and the bank is now closed. How do I get back a card swallowed by an ATM?</t>
  </si>
  <si>
    <t xml:space="preserve">I need a new card because the ATM took mine.</t>
  </si>
  <si>
    <t xml:space="preserve">The ATM stole my card!</t>
  </si>
  <si>
    <t xml:space="preserve">How can I get my card out of the stupid ATM that ate it?</t>
  </si>
  <si>
    <t xml:space="preserve">The ATM took my card.</t>
  </si>
  <si>
    <t xml:space="preserve">The ATM won't give me my card back. I need it back now!</t>
  </si>
  <si>
    <t xml:space="preserve">How do I get my card back quickly from a bank machine that it?</t>
  </si>
  <si>
    <t xml:space="preserve">The ATM sucked my card in.</t>
  </si>
  <si>
    <t xml:space="preserve">The ATM did not give me my card back?</t>
  </si>
  <si>
    <t xml:space="preserve">I was getting cash and the card got stuck inside</t>
  </si>
  <si>
    <t xml:space="preserve">What should I do since my card is trapped in the ATM?</t>
  </si>
  <si>
    <t xml:space="preserve">what do I need to do if the ATM kept my card?</t>
  </si>
  <si>
    <t xml:space="preserve">The ATM machine would not give my card back</t>
  </si>
  <si>
    <t xml:space="preserve">I can't get my card out of the ATM</t>
  </si>
  <si>
    <t xml:space="preserve">Why did the ATM take my card and keep it?</t>
  </si>
  <si>
    <t xml:space="preserve">What are the steps to get my card back that was kept by the ATM?</t>
  </si>
  <si>
    <t xml:space="preserve">How do I get my card out of the ATM?</t>
  </si>
  <si>
    <t xml:space="preserve">Why did the ATM eat my card?</t>
  </si>
  <si>
    <t xml:space="preserve">Please send a new card; the ATM ate mine.</t>
  </si>
  <si>
    <t xml:space="preserve">The ATM didnt return my card!</t>
  </si>
  <si>
    <t xml:space="preserve">I was removing a dollar amount from my account and now don't have access to my card.</t>
  </si>
  <si>
    <t xml:space="preserve">A Bank ATM did not give my card back. What do I do now?</t>
  </si>
  <si>
    <t xml:space="preserve">Why did the ATM swallow my card?</t>
  </si>
  <si>
    <t xml:space="preserve">lost my card in atm</t>
  </si>
  <si>
    <t xml:space="preserve">I cannot get my card out of the ATM.</t>
  </si>
  <si>
    <t xml:space="preserve">An ATM machine didn't return my card.</t>
  </si>
  <si>
    <t xml:space="preserve">My card is stuck inside the ATM.</t>
  </si>
  <si>
    <t xml:space="preserve">The bank machine didn't give my card back how do I get a new one fast?</t>
  </si>
  <si>
    <t xml:space="preserve">What should I do if the atm eats my card?</t>
  </si>
  <si>
    <t xml:space="preserve">What do I do?  The ATM took my card!</t>
  </si>
  <si>
    <t xml:space="preserve">The ATM kept my card?</t>
  </si>
  <si>
    <t xml:space="preserve">Who do I talk to about the ATM swallowing my card?</t>
  </si>
  <si>
    <t xml:space="preserve">An ATM swallowed my credit card!</t>
  </si>
  <si>
    <t xml:space="preserve">What do I do if the ATM swallowed my card?</t>
  </si>
  <si>
    <t xml:space="preserve">Please help, the atm swallowed my card, what do I do?</t>
  </si>
  <si>
    <t xml:space="preserve">I have lost my credit card in the ATM!</t>
  </si>
  <si>
    <t xml:space="preserve">how can the money machine keep my card what do i need to do?</t>
  </si>
  <si>
    <t xml:space="preserve">How do I get a new card as your machine swallowed mine!</t>
  </si>
  <si>
    <t xml:space="preserve">The ATM machine ate my card.</t>
  </si>
  <si>
    <t xml:space="preserve">how to get new card after atm eats it</t>
  </si>
  <si>
    <t xml:space="preserve">My card was eaten by the cash machine what do I do?</t>
  </si>
  <si>
    <t xml:space="preserve">What do I do after the ATM takes my card.</t>
  </si>
  <si>
    <t xml:space="preserve">How can I get my card out of the ATM?</t>
  </si>
  <si>
    <t xml:space="preserve">Will you please help me get my card back?</t>
  </si>
  <si>
    <t xml:space="preserve">The ATM ate my card; how do I get a new one?</t>
  </si>
  <si>
    <t xml:space="preserve">How do I get my card back after the ATM swallowed it.</t>
  </si>
  <si>
    <t xml:space="preserve">My card is stuck in an ATM machine, how do I get it back quickly?</t>
  </si>
  <si>
    <t xml:space="preserve">atm ate my card</t>
  </si>
  <si>
    <t xml:space="preserve">What are the steps I should take to recover my swallowed card?</t>
  </si>
  <si>
    <t xml:space="preserve">My card is stuck inside the ATM, what am I supposed to do?</t>
  </si>
  <si>
    <t xml:space="preserve">What should I do with my stuck ATM?</t>
  </si>
  <si>
    <t xml:space="preserve">A transaction shows duplicate times.</t>
  </si>
  <si>
    <t xml:space="preserve">There is a repeat charge for the same item</t>
  </si>
  <si>
    <t xml:space="preserve">How can I fix this?  There is a double charge on my account.</t>
  </si>
  <si>
    <t xml:space="preserve">My card got charged twice for the same thing!</t>
  </si>
  <si>
    <t xml:space="preserve">My husband and I went out for our weekly "dinner and a movie," and it was my turn to pick up the check. Now I see that my card was charged twice. Who should I contact about negating the second charge and getting my card credited?</t>
  </si>
  <si>
    <t xml:space="preserve">How do I query a payment on my card? It looks like I have paid for the same thing twice.</t>
  </si>
  <si>
    <t xml:space="preserve">I have duplicated transactions on my statement</t>
  </si>
  <si>
    <t xml:space="preserve">I only made one transaction at this place, but it's appearing multiple times.</t>
  </si>
  <si>
    <t xml:space="preserve">One of my charges was declined, but the second one went through.  But I notice on my App that one of them has gone through, and the other one is still pending.  Please ensure that only one charge is processed. Thanks</t>
  </si>
  <si>
    <t xml:space="preserve">What do I do if I've been charged twice for the same transaction?</t>
  </si>
  <si>
    <t xml:space="preserve">I think I was charged twice, please help!</t>
  </si>
  <si>
    <t xml:space="preserve">I think there is a mistake.  I am being charged twice.</t>
  </si>
  <si>
    <t xml:space="preserve">My transaction history is looking a little off. I have been charged twice for multiple different purchases, and would like to have those duplicate charges refunded.</t>
  </si>
  <si>
    <t xml:space="preserve">I was charged for the same thing twice</t>
  </si>
  <si>
    <t xml:space="preserve">My account was charged twice for one purchase</t>
  </si>
  <si>
    <t xml:space="preserve">I was charged twice for a restaurant, can you take the second charge off?</t>
  </si>
  <si>
    <t xml:space="preserve">I have a transaction that shows multiple times.</t>
  </si>
  <si>
    <t xml:space="preserve">What happens when I am charged twice?</t>
  </si>
  <si>
    <t xml:space="preserve">I have been charged twice for the same transaction.</t>
  </si>
  <si>
    <t xml:space="preserve">How do I get my money back for a duplicated charge?</t>
  </si>
  <si>
    <t xml:space="preserve">I have a duplicate payment on my card.</t>
  </si>
  <si>
    <t xml:space="preserve">Several items I have charged this week are appearing twice.  Please review my statement and remove any duplicate charges.</t>
  </si>
  <si>
    <t xml:space="preserve">I have a transaction showing multiple times.</t>
  </si>
  <si>
    <t xml:space="preserve">Hi, I just looked at my card transactions and saw that I've been charged twice for a restaurant I went to this week. Can you remove the double charge, please?</t>
  </si>
  <si>
    <t xml:space="preserve">I have been double charged</t>
  </si>
  <si>
    <t xml:space="preserve">I was double charged at a restaurant can you take the second charge off?</t>
  </si>
  <si>
    <t xml:space="preserve">I have a duplicate charge</t>
  </si>
  <si>
    <t xml:space="preserve">I got charged two times for a transaction</t>
  </si>
  <si>
    <t xml:space="preserve">What happens with the duplicate charge in my account?</t>
  </si>
  <si>
    <t xml:space="preserve">Why have I been charged twice?</t>
  </si>
  <si>
    <t xml:space="preserve">I have two of the same charges on my account!</t>
  </si>
  <si>
    <t xml:space="preserve">Why am I being charged for the same thing twice?</t>
  </si>
  <si>
    <t xml:space="preserve">Who do I talk to for transactions debited twice?</t>
  </si>
  <si>
    <t xml:space="preserve">There is a duplicate charge on my account.</t>
  </si>
  <si>
    <t xml:space="preserve">I have been charged twice this week for a couple of things on my card. Can you please check this out for me and return the double charged items back?</t>
  </si>
  <si>
    <t xml:space="preserve">I got charged twice for the same payment. Please removed the pending payment. Thank you.</t>
  </si>
  <si>
    <t xml:space="preserve">I think I got charged twice for the same thing</t>
  </si>
  <si>
    <t xml:space="preserve">It looks like I was charged twice for a single transaction</t>
  </si>
  <si>
    <t xml:space="preserve">I had a duplicate card and bought something and it showed up twice. I canceled my card, how do I get my money back?</t>
  </si>
  <si>
    <t xml:space="preserve">There is a transaction showing up several times.</t>
  </si>
  <si>
    <t xml:space="preserve">Transaction showing up many times.</t>
  </si>
  <si>
    <t xml:space="preserve">Looks like my card payment was made twice by mistake. I went to pay at the store earlier which rejected once, second time it worked. App is on pending for one of the payments. Can you please remove one of them as it's wrong and clearly was declined?</t>
  </si>
  <si>
    <t xml:space="preserve">Please tell me why the same transaction is showing up on my account more than once.</t>
  </si>
  <si>
    <t xml:space="preserve">I have duplicate charges for the same transaction</t>
  </si>
  <si>
    <t xml:space="preserve">I got double charged!</t>
  </si>
  <si>
    <t xml:space="preserve">Looks like my card payment was duplicated after all. I went to pay at the store earlier, got declined once, second time it works. App still stays pending for one of the payments. Can you please remove one of them as it's wrong and clearly was declined?</t>
  </si>
  <si>
    <t xml:space="preserve">There are two of the same charges on my account.</t>
  </si>
  <si>
    <t xml:space="preserve">Hello, I just checked my card transactions and saw that I was charged twice for a restaurant visit I did earlier this week. Is it possible to remove one of them and get my false paid money pack?</t>
  </si>
  <si>
    <t xml:space="preserve">I'm really concerned because I only made one transaction, but it's appearing multiple times.</t>
  </si>
  <si>
    <t xml:space="preserve">Hello,  I am a college student who I recently attended my high school reunion at a local restaurant. I paid with my credit card and now my transaction history reflects a second charge of the seemingly same payment. What could be the reason for this?  Is there any way to have the fraudulent  payment credited back onto my card?</t>
  </si>
  <si>
    <t xml:space="preserve">I was charged twice for an in-store purchase that I thought was declined.  My App says that it's still pending for one of the payments. Please make sure one of the charges is removed.</t>
  </si>
  <si>
    <t xml:space="preserve">Good day, in reviewing my credit card activity over the last several days, I see a repeated charge for a restaurant that I went to. The charge was put through twice, so I would like one of the charges corrected and the amount that was withdrawn to be reinstated please.</t>
  </si>
  <si>
    <t xml:space="preserve">Why do I have duplicate transactions for one purchase?</t>
  </si>
  <si>
    <t xml:space="preserve">I have a payment that shows twice</t>
  </si>
  <si>
    <t xml:space="preserve">I have been overcharged.</t>
  </si>
  <si>
    <t xml:space="preserve">I have noticed that my account was double charged for a couple of items this week. Please review and refund the double charged items back.</t>
  </si>
  <si>
    <t xml:space="preserve">Why was I double charged?</t>
  </si>
  <si>
    <t xml:space="preserve">There's a duplicate charge on my account?</t>
  </si>
  <si>
    <t xml:space="preserve">Why does the same transaction appear multiple times?</t>
  </si>
  <si>
    <t xml:space="preserve">Why did I get charged twice for the same thing</t>
  </si>
  <si>
    <t xml:space="preserve">I have been charged two times for one transaction.</t>
  </si>
  <si>
    <t xml:space="preserve">Duplicate transactions appear on my account</t>
  </si>
  <si>
    <t xml:space="preserve">I made a payment and it is showing up twice</t>
  </si>
  <si>
    <t xml:space="preserve">I was charged several times for something</t>
  </si>
  <si>
    <t xml:space="preserve">My card is showing the same transaction over and over again.</t>
  </si>
  <si>
    <t xml:space="preserve">A transaction is showing more than once.</t>
  </si>
  <si>
    <t xml:space="preserve">I was charged multiple times at the same location at the same time</t>
  </si>
  <si>
    <t xml:space="preserve">Hello. I checked my transactions and saw I was double charged for a restaurant visit. Can I get my money back?</t>
  </si>
  <si>
    <t xml:space="preserve">Hi, I was at a restaurant later the week and when I went to look at my account I noticed that I got charged twice. I would like to get my money back from one of those transactions.</t>
  </si>
  <si>
    <t xml:space="preserve">I was charged twice.</t>
  </si>
  <si>
    <t xml:space="preserve">I was charged twice for the same purchase!</t>
  </si>
  <si>
    <t xml:space="preserve">I was charged multiple times for one transaction.</t>
  </si>
  <si>
    <t xml:space="preserve">I got charged twice with a duplicate card. How do I resolve this?</t>
  </si>
  <si>
    <t xml:space="preserve">I was charged more than once for a card payment I made.</t>
  </si>
  <si>
    <t xml:space="preserve">there were two of the same charge to my account</t>
  </si>
  <si>
    <t xml:space="preserve">I was charged more than once in a single transaction</t>
  </si>
  <si>
    <t xml:space="preserve">You charged me more than once for the same transaction!</t>
  </si>
  <si>
    <t xml:space="preserve">Why do I have a transaction showing up more than once?</t>
  </si>
  <si>
    <t xml:space="preserve">Why was I charged twice for my item!</t>
  </si>
  <si>
    <t xml:space="preserve">My account is showing a double charge.</t>
  </si>
  <si>
    <t xml:space="preserve">Why did my card get charged twice for a transaction?</t>
  </si>
  <si>
    <t xml:space="preserve">Why am I being charged again?</t>
  </si>
  <si>
    <t xml:space="preserve">I was charged twice, when I didn't purchase anything twice.</t>
  </si>
  <si>
    <t xml:space="preserve">One of my payments was doubled</t>
  </si>
  <si>
    <t xml:space="preserve">I think I was double charged</t>
  </si>
  <si>
    <t xml:space="preserve">I should only have one charge, but it shows two.</t>
  </si>
  <si>
    <t xml:space="preserve">My account shows I have been charged twice for the same meal. How do I get the second payment voided and returned to me? I do not eat out much and my family is living paycheck to paycheck,  mostly. I cannot afford to spend more money than necessary, as is, so I must see to it that the cost be promptly credited back onto my card.</t>
  </si>
  <si>
    <t xml:space="preserve">What do I do if I have been charged twice?</t>
  </si>
  <si>
    <t xml:space="preserve">I was charged two times for the same thing.</t>
  </si>
  <si>
    <t xml:space="preserve">Hi, I was looking over my card receipts for the past week and I realize I had a charge put through two times for the same single restaurant visit. Can one of the charges be removed so that I can get the money back that was mistakenly taken from my account?</t>
  </si>
  <si>
    <t xml:space="preserve">Can you help me? I have a duplicate transaction on my account and I don't understand why.</t>
  </si>
  <si>
    <t xml:space="preserve">Why does a payment show up twice?</t>
  </si>
  <si>
    <t xml:space="preserve">There is the same transaction showing more than once.</t>
  </si>
  <si>
    <t xml:space="preserve">Why am i being double charged for something?</t>
  </si>
  <si>
    <t xml:space="preserve">I see a duplicate payment.</t>
  </si>
  <si>
    <t xml:space="preserve">Will the duplicated payment be refunded?</t>
  </si>
  <si>
    <t xml:space="preserve">I have been charged twice on my statement.</t>
  </si>
  <si>
    <t xml:space="preserve">I am concerned that I am being doubled charged for several items purchased in the past week.  Please review my statement and correct.</t>
  </si>
  <si>
    <t xml:space="preserve">I went to the store and tried to make a purchase.  The first time, it was declined, but the second one went through.  But my App shows me that I've already been charged once and the second charge is still pending.  Can you make sure that I'm not charged twice?</t>
  </si>
  <si>
    <t xml:space="preserve">Why was I charged twice?</t>
  </si>
  <si>
    <t xml:space="preserve">I was charged multiple times for one purchase</t>
  </si>
  <si>
    <t xml:space="preserve">Why have I been charged more than once for the same transaction?</t>
  </si>
  <si>
    <t xml:space="preserve">Hi, I was just checking over my card transactions and notice I was charged twice for a restaurant visit this week. Can you please remove one of these false charges from my account?</t>
  </si>
  <si>
    <t xml:space="preserve">Please delete the duplicate payment that was made to my account. One payment is still pending and I do not want to pay twice.</t>
  </si>
  <si>
    <t xml:space="preserve">A payment is showing twice. Why is that?</t>
  </si>
  <si>
    <t xml:space="preserve">Hello, I was just went through my recent transaction on my bank account and I just noticed that I was charged twice at a place that ate at this past week. Can I get that second transaction removed from my account?</t>
  </si>
  <si>
    <t xml:space="preserve">I received duplicate charges.</t>
  </si>
  <si>
    <t xml:space="preserve">Why am I getting double charged for multiple transactions?</t>
  </si>
  <si>
    <t xml:space="preserve">After taking over my card transactions I noticed that was charged twice for a restaurant purchased from earlier this week. Can you please remove one of these transactions from my account since it is not accurate?</t>
  </si>
  <si>
    <t xml:space="preserve">I made a payment and it appears it is showing twice</t>
  </si>
  <si>
    <t xml:space="preserve">Looks like my card payment was duplicated after all. I went to pay at the store earlier, got declined once,second time it works. App still stays pending for one of the payments. Can you remove one of them as it's wrong and clearly was declined?</t>
  </si>
  <si>
    <t xml:space="preserve">I noticed that my card was charged more than once for one thing.</t>
  </si>
  <si>
    <t xml:space="preserve">I got double charged from something, what can I do?</t>
  </si>
  <si>
    <t xml:space="preserve">Hi, I checked my transactions and saw that I was charged twice during a restaurant visit. I would like to get my money back.</t>
  </si>
  <si>
    <t xml:space="preserve">Why did I get charged more than once?</t>
  </si>
  <si>
    <t xml:space="preserve">Why do I have a transaction showing multiple times?</t>
  </si>
  <si>
    <t xml:space="preserve">Help, I was charged twice!</t>
  </si>
  <si>
    <t xml:space="preserve">Hi. Please can you help me fix a double charge on my card? I'm looking at my transactions and this restaurant I went to earlier in the week has charged me twice! Please remove the additional charge for me.</t>
  </si>
  <si>
    <t xml:space="preserve">There is a duplicate payment on my card. Why?</t>
  </si>
  <si>
    <t xml:space="preserve">To many charges on my card how do I go about fixing that?</t>
  </si>
  <si>
    <t xml:space="preserve">There are two of the same charge on my statement.</t>
  </si>
  <si>
    <t xml:space="preserve">My statement shows different transaction times.</t>
  </si>
  <si>
    <t xml:space="preserve">I have a transaction showing up multiple times.</t>
  </si>
  <si>
    <t xml:space="preserve">My card is showing multiple charges for the same items on my recent statement. I was wondering what actions of needed to take to fix this issue</t>
  </si>
  <si>
    <t xml:space="preserve">My card was declined but it shows as multiple charges?</t>
  </si>
  <si>
    <t xml:space="preserve">It appears as though my card payment was duplicated. I paid at the store earlier today. The first time it was declined and the second time it worked. The app is still showing one of the payments to be pending. Please take one of these off because clearly the first was declined and is not correct.</t>
  </si>
  <si>
    <t xml:space="preserve">What do I do if a transaction shows up twice?</t>
  </si>
  <si>
    <t xml:space="preserve">Hi. I noticed I have a duplicate charge which I have not made twice. Who should I talk to take care of this?</t>
  </si>
  <si>
    <t xml:space="preserve">There is a payment that I was charged two times for.</t>
  </si>
  <si>
    <t xml:space="preserve">I got charged in double and want a refund</t>
  </si>
  <si>
    <t xml:space="preserve">I have multiple of the same transaction</t>
  </si>
  <si>
    <t xml:space="preserve">There is more than one charge on my account for a transaction.</t>
  </si>
  <si>
    <t xml:space="preserve">I need a transaction reversed from my account.</t>
  </si>
  <si>
    <t xml:space="preserve">It seems my card payment was completed twice. I paid at the store previously and the first one did not seem to go through. After a second attempt, it did go through. I now see within the app that I have been charged twice with one of them pending. Can you please remove the pending amount because it is clearly something that was declined?</t>
  </si>
  <si>
    <t xml:space="preserve">I have been charged for one thing two times.</t>
  </si>
  <si>
    <t xml:space="preserve">How come there is a duplicate charge on my card?</t>
  </si>
  <si>
    <t xml:space="preserve">Why was I charged twice for the same thing?</t>
  </si>
  <si>
    <t xml:space="preserve">I have a duplicate payment on my account</t>
  </si>
  <si>
    <t xml:space="preserve">Why does my statement show various transaction times?</t>
  </si>
  <si>
    <t xml:space="preserve">Why are there multiple transactions showing for one purchase?</t>
  </si>
  <si>
    <t xml:space="preserve">I was double-charged for a transaction</t>
  </si>
  <si>
    <t xml:space="preserve">Why do I have two charges It should only be one charge?</t>
  </si>
  <si>
    <t xml:space="preserve">My bill shows the same charge more than once</t>
  </si>
  <si>
    <t xml:space="preserve">I went for a meal in Seattle and paid the bill but I think they charged me twice, the first time they swiped the card I got a notification to say the money had gone out the account but then I added a tip and I think they swiped it all again. Can you refund one of the charges?</t>
  </si>
  <si>
    <t xml:space="preserve">A transaction posted twice to my account.</t>
  </si>
  <si>
    <t xml:space="preserve">I noticed a duplicate charge on my statement.</t>
  </si>
  <si>
    <t xml:space="preserve">Hey there, I just went through my most recent credit card payments and I notice the same charge for a restaurant was processed twice. There was only one meal at this place, so I would like one of the charges to be reversed and my money to be put back in the account.</t>
  </si>
  <si>
    <t xml:space="preserve">I was charged twice for the same thing.</t>
  </si>
  <si>
    <t xml:space="preserve">Is there a reason to why I was charged twice for a transaction?</t>
  </si>
  <si>
    <t xml:space="preserve">There are duplicate transactions on my account</t>
  </si>
  <si>
    <t xml:space="preserve">My transaction is showing several times.</t>
  </si>
  <si>
    <t xml:space="preserve">Looks like my card payment was made two time by mistake. I went to pay at the store earlier which rejected once, second time it worked. App is on pending for one of the payments. Can you please remove one of them as it's wrong and clearly was declined?</t>
  </si>
  <si>
    <t xml:space="preserve">In reviewing my statement, I show I have two charges for the same purchase at the same time, which I have not made in duplicate? How do I get this solved?</t>
  </si>
  <si>
    <t xml:space="preserve">Looks like my card payment was made twice by mistake. I paid at the store earlier which rejected once, second time it worked. App stays at pending for one of the payments. Can you please remove one of them as it's wrong and clearly was declined?</t>
  </si>
  <si>
    <t xml:space="preserve">Looks like my card payment was duplicated after all. I went to pay at the store earlier, got declined once,second time it works. App still stays pending for one of the payments. Can you please remove one of them as it's wrong and was declined?</t>
  </si>
  <si>
    <t xml:space="preserve">I was charged twice for a few things this week when I only bought one. What do I do?</t>
  </si>
  <si>
    <t xml:space="preserve">I have been double charged for a couple of things this week, and would appreciate a refund for the duplicate charges.</t>
  </si>
  <si>
    <t xml:space="preserve">How do a reverse a duplicated charge?</t>
  </si>
  <si>
    <t xml:space="preserve">The first payment I attempted for my card at the store earlier did not process so I had to make a second attempt. The second time it worked. It now appears I was charged twice. After looking at the app I see a pending charge. Please remove the pending amount because it is clearly not accurate and was declined.</t>
  </si>
  <si>
    <t xml:space="preserve">I've got a repeated tranasaction on my card.</t>
  </si>
  <si>
    <t xml:space="preserve">I got charged twice</t>
  </si>
  <si>
    <t xml:space="preserve">I have a transaction showing up more than once.</t>
  </si>
  <si>
    <t xml:space="preserve">Can you explain the various transaction times shown on my statement?</t>
  </si>
  <si>
    <t xml:space="preserve">I was charged too many times for one transaction.</t>
  </si>
  <si>
    <t xml:space="preserve">Who should I talk to or go to resolve a duplicate charge on my statement?</t>
  </si>
  <si>
    <t xml:space="preserve">Why was I charged twice for the same transaction?</t>
  </si>
  <si>
    <t xml:space="preserve">Looking at my statement I see that I was double charged for a payment I made.</t>
  </si>
  <si>
    <t xml:space="preserve">I have been charged twice for the same thing!</t>
  </si>
  <si>
    <t xml:space="preserve">I think I was charged double for something I bought - how long should I wait before reporting this?</t>
  </si>
  <si>
    <t xml:space="preserve">Why is there a payment showing twice?</t>
  </si>
  <si>
    <t xml:space="preserve">A duplicated payment was made for something.</t>
  </si>
  <si>
    <t xml:space="preserve">Why is there are there two of the same transaction?</t>
  </si>
  <si>
    <t xml:space="preserve">My account seems a bit off and getting weird charges.</t>
  </si>
  <si>
    <t xml:space="preserve">I have have multiple charges for one transaction.</t>
  </si>
  <si>
    <t xml:space="preserve">Hello. I just noticed I was charged two times for a restaurant I visited this week. Can you reverse the additional charge?</t>
  </si>
  <si>
    <t xml:space="preserve">where exactly does money come from</t>
  </si>
  <si>
    <t xml:space="preserve">Where did my money come from?</t>
  </si>
  <si>
    <t xml:space="preserve">Can I check to see where the funds came from?</t>
  </si>
  <si>
    <t xml:space="preserve">What are the sources for the funds in my account?</t>
  </si>
  <si>
    <t xml:space="preserve">need to know where money comes from</t>
  </si>
  <si>
    <t xml:space="preserve">Show me how to look at the source of my current funds?</t>
  </si>
  <si>
    <t xml:space="preserve">Can I trace where my funds came from?</t>
  </si>
  <si>
    <t xml:space="preserve">I have to verify my source of funds.</t>
  </si>
  <si>
    <t xml:space="preserve">who can put money in my account?</t>
  </si>
  <si>
    <t xml:space="preserve">Can I see where my money came from?</t>
  </si>
  <si>
    <t xml:space="preserve">My source of funds need verification.</t>
  </si>
  <si>
    <t xml:space="preserve">What source do my fund come from?</t>
  </si>
  <si>
    <t xml:space="preserve">Can you tell me where my readily available cash has come from?</t>
  </si>
  <si>
    <t xml:space="preserve">I would like to know where my source of funds came from.</t>
  </si>
  <si>
    <t xml:space="preserve">What is my source of funds?</t>
  </si>
  <si>
    <t xml:space="preserve">where to i get my funds from?</t>
  </si>
  <si>
    <t xml:space="preserve">I need to know this, where do my funds come from?</t>
  </si>
  <si>
    <t xml:space="preserve">What information do I need to see my source of money?</t>
  </si>
  <si>
    <t xml:space="preserve">How will I know where my funds are coming from?</t>
  </si>
  <si>
    <t xml:space="preserve">How can I tell where the money came from?</t>
  </si>
  <si>
    <t xml:space="preserve">Is there a way to view the history on where my funds came from?</t>
  </si>
  <si>
    <t xml:space="preserve">Can I see the source of my available money?</t>
  </si>
  <si>
    <t xml:space="preserve">I require verification for my source of funds.</t>
  </si>
  <si>
    <t xml:space="preserve">what is source of my money</t>
  </si>
  <si>
    <t xml:space="preserve">How can I look at where my available cash is coming from?</t>
  </si>
  <si>
    <t xml:space="preserve">Where can I find information about where my money came from?</t>
  </si>
  <si>
    <t xml:space="preserve">Where can I see where funds came from?</t>
  </si>
  <si>
    <t xml:space="preserve">Who is giving me my money?</t>
  </si>
  <si>
    <t xml:space="preserve">Where do I go to see the source of my available money?</t>
  </si>
  <si>
    <t xml:space="preserve">Is there a way for me to check my balance?</t>
  </si>
  <si>
    <t xml:space="preserve">I need to know where do my funds come from</t>
  </si>
  <si>
    <t xml:space="preserve">Where do my available funds come from?</t>
  </si>
  <si>
    <t xml:space="preserve">What kind of security protects my money?</t>
  </si>
  <si>
    <t xml:space="preserve">Can you tell me how I would go about learning where my funds came from?</t>
  </si>
  <si>
    <t xml:space="preserve">Can I track history on funds?</t>
  </si>
  <si>
    <t xml:space="preserve">where can I see who sent me funds</t>
  </si>
  <si>
    <t xml:space="preserve">What do I need to do to verify my funds?</t>
  </si>
  <si>
    <t xml:space="preserve">My source of funds require verification.</t>
  </si>
  <si>
    <t xml:space="preserve">my money, where is it coming from?</t>
  </si>
  <si>
    <t xml:space="preserve">I need to know where my funds come from.</t>
  </si>
  <si>
    <t xml:space="preserve">I would like to know where the funds are at.</t>
  </si>
  <si>
    <t xml:space="preserve">help me find where this money came from</t>
  </si>
  <si>
    <t xml:space="preserve">What do I need to see my source of money?</t>
  </si>
  <si>
    <t xml:space="preserve">Is there a way to see where my money originally came from?</t>
  </si>
  <si>
    <t xml:space="preserve">where are the transfers originating</t>
  </si>
  <si>
    <t xml:space="preserve">How do I verify my source of funds?</t>
  </si>
  <si>
    <t xml:space="preserve">I want to know where my money comes from.</t>
  </si>
  <si>
    <t xml:space="preserve">I need to verify the source of funds.</t>
  </si>
  <si>
    <t xml:space="preserve">How do I verify the source of my funds?</t>
  </si>
  <si>
    <t xml:space="preserve">How can I lookup the source for my available money?</t>
  </si>
  <si>
    <t xml:space="preserve">I need to see where my money came from.</t>
  </si>
  <si>
    <t xml:space="preserve">Are there steps to see where my funds come from?</t>
  </si>
  <si>
    <t xml:space="preserve">I would like to verify my source of funds.</t>
  </si>
  <si>
    <t xml:space="preserve">How do I find out where my funds came from?</t>
  </si>
  <si>
    <t xml:space="preserve">Can I see where my money is being transferred from?</t>
  </si>
  <si>
    <t xml:space="preserve">I would like to know how to work out where my funds came from?</t>
  </si>
  <si>
    <t xml:space="preserve">Where can I see where my funds came from?</t>
  </si>
  <si>
    <t xml:space="preserve">Is there a way to tell where the money came from?</t>
  </si>
  <si>
    <t xml:space="preserve">need to verify source of funds</t>
  </si>
  <si>
    <t xml:space="preserve">How do I know where my money comes from?</t>
  </si>
  <si>
    <t xml:space="preserve">How can I find the source for my available funds and money?</t>
  </si>
  <si>
    <t xml:space="preserve">Why do I need to verify my funds?</t>
  </si>
  <si>
    <t xml:space="preserve">My funds must be verified</t>
  </si>
  <si>
    <t xml:space="preserve">how do i track the moeney</t>
  </si>
  <si>
    <t xml:space="preserve">What is the source of funds for my money?</t>
  </si>
  <si>
    <t xml:space="preserve">How do I know where my funds come from?</t>
  </si>
  <si>
    <t xml:space="preserve">Can you tell me how to tell where my funds come from?</t>
  </si>
  <si>
    <t xml:space="preserve">Can I see my available money?</t>
  </si>
  <si>
    <t xml:space="preserve">is there a way to see where funds come from</t>
  </si>
  <si>
    <t xml:space="preserve">Is there a way to see my money's source?</t>
  </si>
  <si>
    <t xml:space="preserve">Please verify my source of funds.</t>
  </si>
  <si>
    <t xml:space="preserve">I must verify the source of my funds</t>
  </si>
  <si>
    <t xml:space="preserve">where can I get the info for my funds</t>
  </si>
  <si>
    <t xml:space="preserve">Can you tell me where my funds come from?</t>
  </si>
  <si>
    <t xml:space="preserve">Is there a way to lookup where funds came from?</t>
  </si>
  <si>
    <t xml:space="preserve">Verify my source of funds?</t>
  </si>
  <si>
    <t xml:space="preserve">How can I prove the source of my funds?</t>
  </si>
  <si>
    <t xml:space="preserve">How can I know where did my funds come from?</t>
  </si>
  <si>
    <t xml:space="preserve">How can I receive verification for the source of my funds?</t>
  </si>
  <si>
    <t xml:space="preserve">where is this money from</t>
  </si>
  <si>
    <t xml:space="preserve">How can I tell the source for my available funds?</t>
  </si>
  <si>
    <t xml:space="preserve">I need to verify my funds.</t>
  </si>
  <si>
    <t xml:space="preserve">How do I see my source of funds?</t>
  </si>
  <si>
    <t xml:space="preserve">I require verification of my source of funds.</t>
  </si>
  <si>
    <t xml:space="preserve">Where do my fund come from?</t>
  </si>
  <si>
    <t xml:space="preserve">I want to know the source of my funds.</t>
  </si>
  <si>
    <t xml:space="preserve">where can i see money source?</t>
  </si>
  <si>
    <t xml:space="preserve">where did my funds come from?</t>
  </si>
  <si>
    <t xml:space="preserve">i need to trace a deposit</t>
  </si>
  <si>
    <t xml:space="preserve">How can I find out the source of my available cash?</t>
  </si>
  <si>
    <t xml:space="preserve">can i see money source?</t>
  </si>
  <si>
    <t xml:space="preserve">Where can I find out where my funds came from?</t>
  </si>
  <si>
    <t xml:space="preserve">Show me the source of my money.</t>
  </si>
  <si>
    <t xml:space="preserve">Where can I find my fund information?</t>
  </si>
  <si>
    <t xml:space="preserve">How do I find out my source of funds?</t>
  </si>
  <si>
    <t xml:space="preserve">How do I know where the funds come from?</t>
  </si>
  <si>
    <t xml:space="preserve">Please explain to me how to know where my funds are from.</t>
  </si>
  <si>
    <t xml:space="preserve">Where is my top-up generated from?</t>
  </si>
  <si>
    <t xml:space="preserve">Where did my deposit for my source of funds come from?</t>
  </si>
  <si>
    <t xml:space="preserve">Can I see where my funds come from?</t>
  </si>
  <si>
    <t xml:space="preserve">Where can I check out the source of available funds in my account?</t>
  </si>
  <si>
    <t xml:space="preserve">Can someone please explain to me where my source of funds came from?</t>
  </si>
  <si>
    <t xml:space="preserve">want to know where funds come from</t>
  </si>
  <si>
    <t xml:space="preserve">Where can I check to see where the money in my account came from?</t>
  </si>
  <si>
    <t xml:space="preserve">How can I find out where the funds are flow?</t>
  </si>
  <si>
    <t xml:space="preserve">What do I do to verify my source of funds?</t>
  </si>
  <si>
    <t xml:space="preserve">I'd like to know where my funds come from.</t>
  </si>
  <si>
    <t xml:space="preserve">How can I check to see where my funds come from?</t>
  </si>
  <si>
    <t xml:space="preserve">is there a way i can see source of money?</t>
  </si>
  <si>
    <t xml:space="preserve">How can I verify my source of funds?</t>
  </si>
  <si>
    <t xml:space="preserve">Where do my funds originate from?</t>
  </si>
  <si>
    <t xml:space="preserve">What is the source of the money in my account?</t>
  </si>
  <si>
    <t xml:space="preserve">How do I see the source of my money?</t>
  </si>
  <si>
    <t xml:space="preserve">How long am I to wait before the transfer gets to my account?</t>
  </si>
  <si>
    <t xml:space="preserve">Will the transfer show up in my account soon?</t>
  </si>
  <si>
    <t xml:space="preserve">What time will a transfer from the US take?</t>
  </si>
  <si>
    <t xml:space="preserve">When will the money reach my  account?</t>
  </si>
  <si>
    <t xml:space="preserve">How long does it take to get my money</t>
  </si>
  <si>
    <t xml:space="preserve">When does my transfer from the US arrive in my account?</t>
  </si>
  <si>
    <t xml:space="preserve">I desperately need to transfer something from China, Please give me the wait time.</t>
  </si>
  <si>
    <t xml:space="preserve">I am yet to receive the money in my account how long will this take?</t>
  </si>
  <si>
    <t xml:space="preserve">Does a US transfer take long</t>
  </si>
  <si>
    <t xml:space="preserve">How long will this transfer from europe take?</t>
  </si>
  <si>
    <t xml:space="preserve">Will I see the transfer in my account within the week?</t>
  </si>
  <si>
    <t xml:space="preserve">How long should I have to wait before I see the transfer in my account?</t>
  </si>
  <si>
    <t xml:space="preserve">When will my transfer post to my account?</t>
  </si>
  <si>
    <t xml:space="preserve">How long does a European transfer take?</t>
  </si>
  <si>
    <t xml:space="preserve">How many days do I have to wait for the transfer to reach my account?</t>
  </si>
  <si>
    <t xml:space="preserve">I am waiting for the money to enter my account. How long does it take?</t>
  </si>
  <si>
    <t xml:space="preserve">How long will an urgent transfer from China take?</t>
  </si>
  <si>
    <t xml:space="preserve">How long do transfers from Europe take?</t>
  </si>
  <si>
    <t xml:space="preserve">I have to quickly transfer something to China. How long will it take to arrive there?</t>
  </si>
  <si>
    <t xml:space="preserve">How long will I have to wait for my money to be in my account?</t>
  </si>
  <si>
    <t xml:space="preserve">In the US, how long is the wait for a transfer?</t>
  </si>
  <si>
    <t xml:space="preserve">Where is my money transfer?</t>
  </si>
  <si>
    <t xml:space="preserve">How long does a transfer take to reach one's account.</t>
  </si>
  <si>
    <t xml:space="preserve">Where's the money from my transfer from Europe?</t>
  </si>
  <si>
    <t xml:space="preserve">How long will a transfer from Europe take?</t>
  </si>
  <si>
    <t xml:space="preserve">There is an urgent thing that I need to transfer from China. Approximately how long will it take?</t>
  </si>
  <si>
    <t xml:space="preserve">I need to transfer funds from China and quick expedition is crucial. Approximately how long does it take for a transfer from China to go through?</t>
  </si>
  <si>
    <t xml:space="preserve">How long will a transfer from the US take?</t>
  </si>
  <si>
    <t xml:space="preserve">How long do I wait for a transfer from the United States?</t>
  </si>
  <si>
    <t xml:space="preserve">What is the timeframe for a transfer in Europe?</t>
  </si>
  <si>
    <t xml:space="preserve">How long do I have to wait for a US transfer?</t>
  </si>
  <si>
    <t xml:space="preserve">I have been waiting for my transfer, shouldn't it be here already?</t>
  </si>
  <si>
    <t xml:space="preserve">How fast can I transfer something from China?</t>
  </si>
  <si>
    <t xml:space="preserve">My Bank is in Europe, how long will the transfer take?</t>
  </si>
  <si>
    <t xml:space="preserve">I urgently need to transfer something from China. How long can I expect it to take?</t>
  </si>
  <si>
    <t xml:space="preserve">How many days does it take for a transfer to go through?</t>
  </si>
  <si>
    <t xml:space="preserve">When will the money show in my account?</t>
  </si>
  <si>
    <t xml:space="preserve">what is the average wait for transfers</t>
  </si>
  <si>
    <t xml:space="preserve">How long until the transfer is reflected on my account balance?</t>
  </si>
  <si>
    <t xml:space="preserve">How long do I have to wait for Europe transfers?</t>
  </si>
  <si>
    <t xml:space="preserve">When can I use money sent to my account?</t>
  </si>
  <si>
    <t xml:space="preserve">How long does a transfer from the US take?</t>
  </si>
  <si>
    <t xml:space="preserve">How long is the transfer?</t>
  </si>
  <si>
    <t xml:space="preserve">I've made a transfer, how long until the money reaches my account?</t>
  </si>
  <si>
    <t xml:space="preserve">I'm waiting for a transfer from the US, how much longer?</t>
  </si>
  <si>
    <t xml:space="preserve">What is the estimated time on an urgent transfer from China?</t>
  </si>
  <si>
    <t xml:space="preserve">Can you please tell me how long it takes for the transfer to be available.</t>
  </si>
  <si>
    <t xml:space="preserve">Can I quickly send a transfer from China?  How long will it take?</t>
  </si>
  <si>
    <t xml:space="preserve">What is the wait time until money reaches my account?</t>
  </si>
  <si>
    <t xml:space="preserve">How long does it take for a transfer to show up in my account?</t>
  </si>
  <si>
    <t xml:space="preserve">When will my transfer be in my account?</t>
  </si>
  <si>
    <t xml:space="preserve">How long does it take in Europe to do a transfer?</t>
  </si>
  <si>
    <t xml:space="preserve">What's the wait time for European transfers?</t>
  </si>
  <si>
    <t xml:space="preserve">What is the time period for money to be transferred?</t>
  </si>
  <si>
    <t xml:space="preserve">When can I expect money to be transferred to my account?</t>
  </si>
  <si>
    <t xml:space="preserve">How long does it take to transfer from china? Is there a way to transfer it quickly, I need it urgently?</t>
  </si>
  <si>
    <t xml:space="preserve">I need to transfer something to China. It is urgent. How many days will it take to get there?</t>
  </si>
  <si>
    <t xml:space="preserve">I need quickly transfer something from China. About how long will it take?</t>
  </si>
  <si>
    <t xml:space="preserve">I need a quick transfer from China.  How long would that take?</t>
  </si>
  <si>
    <t xml:space="preserve">How long until transfers from Europe go through?</t>
  </si>
  <si>
    <t xml:space="preserve">I have a transfer from the US, How long is the wait?</t>
  </si>
  <si>
    <t xml:space="preserve">How do i transfer something faster than normal?</t>
  </si>
  <si>
    <t xml:space="preserve">I need to transfer something from China, How long will it take?</t>
  </si>
  <si>
    <t xml:space="preserve">It's been a couple days how much longer do I have to wait for my transfer?</t>
  </si>
  <si>
    <t xml:space="preserve">When can I expect the transfer to be complete?</t>
  </si>
  <si>
    <t xml:space="preserve">How long do European transfers take?</t>
  </si>
  <si>
    <t xml:space="preserve">Why hasn't the transfer shown up in my account yet?</t>
  </si>
  <si>
    <t xml:space="preserve">When will the money from a transfer be made available on my account?</t>
  </si>
  <si>
    <t xml:space="preserve">How long does it take for a transfer to be in my account?</t>
  </si>
  <si>
    <t xml:space="preserve">If I need to transfer something quick from China, how long does that take?</t>
  </si>
  <si>
    <t xml:space="preserve">I just did a transfer, but don't see the money in my account. What's up?</t>
  </si>
  <si>
    <t xml:space="preserve">How quickly can I transfer something to China?</t>
  </si>
  <si>
    <t xml:space="preserve">How long will it take the money to appear in my account?</t>
  </si>
  <si>
    <t xml:space="preserve">How fast are transfers from Europe?</t>
  </si>
  <si>
    <t xml:space="preserve">I need to make a transfer from Europe, how many days does this take?</t>
  </si>
  <si>
    <t xml:space="preserve">What is the longest a US transfer should take to appear in my account?</t>
  </si>
  <si>
    <t xml:space="preserve">I need to urgently transfer something from China. How long will it approximately take?</t>
  </si>
  <si>
    <t xml:space="preserve">I need to transfer something ASAP from China, how long will it take to post to my account?</t>
  </si>
  <si>
    <t xml:space="preserve">How long will it take for the money to reach my account?</t>
  </si>
  <si>
    <t xml:space="preserve">When will my transfer from the US get here?</t>
  </si>
  <si>
    <t xml:space="preserve">I transferred money from the US, How long does it take?</t>
  </si>
  <si>
    <t xml:space="preserve">I need some money transferred ASAP, how long does the process take?</t>
  </si>
  <si>
    <t xml:space="preserve">How long will a transfer take from Europe?</t>
  </si>
  <si>
    <t xml:space="preserve">When can I expect my transfer to reach my account?</t>
  </si>
  <si>
    <t xml:space="preserve">What is the estimated wait time on a US transfer into my account?</t>
  </si>
  <si>
    <t xml:space="preserve">How long will it take to transfer something to China urgently?</t>
  </si>
  <si>
    <t xml:space="preserve">How long does it take transfers from Europe to complete?</t>
  </si>
  <si>
    <t xml:space="preserve">I must make a transfer from China and it is urgent. How long before the transfer is complete?</t>
  </si>
  <si>
    <t xml:space="preserve">When will my account receive the money?</t>
  </si>
  <si>
    <t xml:space="preserve">There is an urgent transfer I need to make from China.  How long will it take to get it processed?</t>
  </si>
  <si>
    <t xml:space="preserve">How long will a transfer from China take? I need to transfer something from there.</t>
  </si>
  <si>
    <t xml:space="preserve">Help! I need to transfer something to China.</t>
  </si>
  <si>
    <t xml:space="preserve">Its been 3 days, How long will my transfer take to get to my wallet?</t>
  </si>
  <si>
    <t xml:space="preserve">How many days until my US transfer arrives?</t>
  </si>
  <si>
    <t xml:space="preserve">How long will it take to transfer something from China?</t>
  </si>
  <si>
    <t xml:space="preserve">I must quickly transfer something from China, and I need to know how long it will take.</t>
  </si>
  <si>
    <t xml:space="preserve">how long does a US transfer take</t>
  </si>
  <si>
    <t xml:space="preserve">How long will it take to transfer from europe?</t>
  </si>
  <si>
    <t xml:space="preserve">how long does it take for a transfer from Europe to go through?</t>
  </si>
  <si>
    <t xml:space="preserve">When can I expect the transfer to arrive in my account?</t>
  </si>
  <si>
    <t xml:space="preserve">When will a transfer from the US post?</t>
  </si>
  <si>
    <t xml:space="preserve">I'm having money transferred from Europe, how long will this take?</t>
  </si>
  <si>
    <t xml:space="preserve">When will my money be in my account?</t>
  </si>
  <si>
    <t xml:space="preserve">Will it take more than 3 days for my transfer to reach my account?</t>
  </si>
  <si>
    <t xml:space="preserve">What is the time frame for european transfers?</t>
  </si>
  <si>
    <t xml:space="preserve">When will I receive a transfer from europe?</t>
  </si>
  <si>
    <t xml:space="preserve">How long will it take to urgently transfer something to China?</t>
  </si>
  <si>
    <t xml:space="preserve">Can I transfer something urgently from China? How long does it take?</t>
  </si>
  <si>
    <t xml:space="preserve">How long does it take to get money from Europe?</t>
  </si>
  <si>
    <t xml:space="preserve">What's the transfer time from Europe?</t>
  </si>
  <si>
    <t xml:space="preserve">When will my transfer arrive from Europe?</t>
  </si>
  <si>
    <t xml:space="preserve">Estimated time arrival for transfers?</t>
  </si>
  <si>
    <t xml:space="preserve">What are the time frames for the money to be available in my account?</t>
  </si>
  <si>
    <t xml:space="preserve">How long does it take for the money to show up in my account?</t>
  </si>
  <si>
    <t xml:space="preserve">what is the time frame for transfers</t>
  </si>
  <si>
    <t xml:space="preserve">If I get a transfer from Europe, how long until it is in my account?</t>
  </si>
  <si>
    <t xml:space="preserve">When will the money be made available in my account?</t>
  </si>
  <si>
    <t xml:space="preserve">How long does it take for a transfer to reach my account?</t>
  </si>
  <si>
    <t xml:space="preserve">What is the estimated wait time for transfers from the US?</t>
  </si>
  <si>
    <t xml:space="preserve">What is the length of time for money to reach the account?</t>
  </si>
  <si>
    <t xml:space="preserve">When can I expect a transfer from Europe to go through?</t>
  </si>
  <si>
    <t xml:space="preserve">Why hasn't my transfer from Europe gone through?</t>
  </si>
  <si>
    <t xml:space="preserve">Transfers from the US how long will the wait be?</t>
  </si>
  <si>
    <t xml:space="preserve">What is taking so long on my transfer from the US?</t>
  </si>
  <si>
    <t xml:space="preserve">How long does transfer from the US take?</t>
  </si>
  <si>
    <t xml:space="preserve">How long does a transfer transaction take?</t>
  </si>
  <si>
    <t xml:space="preserve">How long does it take to make an urgent transfer from China?</t>
  </si>
  <si>
    <t xml:space="preserve">Money transfer help? How long?</t>
  </si>
  <si>
    <t xml:space="preserve">I wanted to purchase something online but the payment was returned back to me. This has been going on for a couple of weeks. Please tell me what is going on here?</t>
  </si>
  <si>
    <t xml:space="preserve">I tried to use my debit card, but the payment did not work.</t>
  </si>
  <si>
    <t xml:space="preserve">Hi, I had an issue with my card payment and It shows on my account that my payment went through. Then I got contacted from the seller saying "they did not receive my payment" then the payment was returned to my account. so I would like to see why it did that please.</t>
  </si>
  <si>
    <t xml:space="preserve">I think my card payment has been reverted</t>
  </si>
  <si>
    <t xml:space="preserve">Tell me why my card payment would be reverted.</t>
  </si>
  <si>
    <t xml:space="preserve">Why has my card payment been reversed?</t>
  </si>
  <si>
    <t xml:space="preserve">I didn't cancel my card payment.</t>
  </si>
  <si>
    <t xml:space="preserve">Can you tell me why the card payment came back?</t>
  </si>
  <si>
    <t xml:space="preserve">How come the money from the merchant appeared back into my account?</t>
  </si>
  <si>
    <t xml:space="preserve">My payment was terminated</t>
  </si>
  <si>
    <t xml:space="preserve">I think my card payment has been refunded</t>
  </si>
  <si>
    <t xml:space="preserve">I made a payment and it was reverted and wanted to know why?</t>
  </si>
  <si>
    <t xml:space="preserve">Is it on purpose that my payment has been returned to my account?</t>
  </si>
  <si>
    <t xml:space="preserve">The app reverted the payment I made.</t>
  </si>
  <si>
    <t xml:space="preserve">Why would my payment have been returned to my account?</t>
  </si>
  <si>
    <t xml:space="preserve">I bought something and already paid for it but now I don't see it.</t>
  </si>
  <si>
    <t xml:space="preserve">I really wanted to buy something online but seems the card is not working as the payment suddenly came back! What's going on here, I've been trying for a good week or two.</t>
  </si>
  <si>
    <t xml:space="preserve">My payment has been cancelled</t>
  </si>
  <si>
    <t xml:space="preserve">I made a payment but it was returned.</t>
  </si>
  <si>
    <t xml:space="preserve">My card payment has been cancelled</t>
  </si>
  <si>
    <t xml:space="preserve">I made a payment with my card that was cancelled?</t>
  </si>
  <si>
    <t xml:space="preserve">Hey a seller just contacted me that my money didn't come through. It was definitely deducted from my account, but now it appears it's back with me! Sort this out asap please.</t>
  </si>
  <si>
    <t xml:space="preserve">My payment didn't work and the money is in back in my account.</t>
  </si>
  <si>
    <t xml:space="preserve">The payment I made with my card is not showing up.</t>
  </si>
  <si>
    <t xml:space="preserve">Hello,  I noticed the money for an item I purchased online and have already received has been returned to my checking account. Was there an issue with the merchant accepting my payment? Or, possibly, with the bank sending it?</t>
  </si>
  <si>
    <t xml:space="preserve">My payment came back for something i'm trying to buy online? it's been doing it for two weeks.  do you know what the issue is?</t>
  </si>
  <si>
    <t xml:space="preserve">It looks like my card payment might have been reverted.</t>
  </si>
  <si>
    <t xml:space="preserve">Why has my payment been reversed?</t>
  </si>
  <si>
    <t xml:space="preserve">I was refunded the money for something I bought already.</t>
  </si>
  <si>
    <t xml:space="preserve">I already got my item but just got my money back</t>
  </si>
  <si>
    <t xml:space="preserve">I believe that a card payment I made was cancelled.</t>
  </si>
  <si>
    <t xml:space="preserve">Why would my card payment be cancelled?</t>
  </si>
  <si>
    <t xml:space="preserve">I dont know what happened, but my payment was cancelled</t>
  </si>
  <si>
    <t xml:space="preserve">The card payment didn't work</t>
  </si>
  <si>
    <t xml:space="preserve">why did my payment revert</t>
  </si>
  <si>
    <t xml:space="preserve">I would like to make a purchase, however my card has been declined. I would like to ask the reason for this. The past two weeks, the card has been working fine.</t>
  </si>
  <si>
    <t xml:space="preserve">I made a payment but the app cancelled it.</t>
  </si>
  <si>
    <t xml:space="preserve">The app reverted my recent payment</t>
  </si>
  <si>
    <t xml:space="preserve">Why would my card payment get reverted?</t>
  </si>
  <si>
    <t xml:space="preserve">I believe my card payment were reverted</t>
  </si>
  <si>
    <t xml:space="preserve">My card has an issue, the payment has been deferred.</t>
  </si>
  <si>
    <t xml:space="preserve">Under what condition will my payment revert?</t>
  </si>
  <si>
    <t xml:space="preserve">My card payment was reverted, why?</t>
  </si>
  <si>
    <t xml:space="preserve">What should I do if my card payment was cancelled?</t>
  </si>
  <si>
    <t xml:space="preserve">What reasons would cause my card payment to be cancelled?</t>
  </si>
  <si>
    <t xml:space="preserve">Is my card payment reverted?</t>
  </si>
  <si>
    <t xml:space="preserve">I had a payment reverted and would like to figure out why.</t>
  </si>
  <si>
    <t xml:space="preserve">I just checked and my payment was cancelled, why?</t>
  </si>
  <si>
    <t xml:space="preserve">My money is back in my account after a seller contacted me stating they never received payment. I am positive it was deducted out of my account. Please get this sorted out right away.</t>
  </si>
  <si>
    <t xml:space="preserve">HELP. My account has been deducted already and the Seller says they haven't received the money yet? When can they expect it?</t>
  </si>
  <si>
    <t xml:space="preserve">Seems like my card payment has been cancelled</t>
  </si>
  <si>
    <t xml:space="preserve">Can you please tell me why my card payments are not going through when I try to buy something online? When I put in my card payment it takes it but it comes back a while later.</t>
  </si>
  <si>
    <t xml:space="preserve">I was checking my statement and I think one of my card payments has reverted</t>
  </si>
  <si>
    <t xml:space="preserve">Why isn't my payment showing?</t>
  </si>
  <si>
    <t xml:space="preserve">What happens when a payment is reverted?</t>
  </si>
  <si>
    <t xml:space="preserve">I received a message from a seller stating they hadn't received my money even though it definitely came out of my account. The money has now been deposited back into my account. Please get this resolved as soon as possible.</t>
  </si>
  <si>
    <t xml:space="preserve">I cancelled my card payment</t>
  </si>
  <si>
    <t xml:space="preserve">Ive been trying to use my card for two weeks now to purchase somethings online but nothing is going through. It keeps returning my payment to my account. There shouldn't be anything wrong with my account, is it the card?</t>
  </si>
  <si>
    <t xml:space="preserve">I used my card to make a payment and wondered why the payment was reverted?</t>
  </si>
  <si>
    <t xml:space="preserve">I bought something and received it, but the payment went back to my account. Is the seller okay?</t>
  </si>
  <si>
    <t xml:space="preserve">Looks like my card payment was cancelled.</t>
  </si>
  <si>
    <t xml:space="preserve">why would a merchant refuse a payment</t>
  </si>
  <si>
    <t xml:space="preserve">How do I fix a payment that was reverted</t>
  </si>
  <si>
    <t xml:space="preserve">I just found out from the seller that my money didn't go through. I checked my account and it was deducted at first but now it's back in my account. Can you  please fix this for me quickly?</t>
  </si>
  <si>
    <t xml:space="preserve">The seller just told me he didn't get paid. After reviewing my account it did subtract the balance but now it has added it back to my account. I need you to please take care of this promptly.</t>
  </si>
  <si>
    <t xml:space="preserve">My card payments have stopped.</t>
  </si>
  <si>
    <t xml:space="preserve">My card payment was cancelled it seems.</t>
  </si>
  <si>
    <t xml:space="preserve">Why was a payment I made reverted?</t>
  </si>
  <si>
    <t xml:space="preserve">I need help to resolve mix up on my card payment. My account shows the money was taken out and then put back in the account. Then I received a message from the seller, It said that they did not get my payment.</t>
  </si>
  <si>
    <t xml:space="preserve">Was my transaction reverted with my card?</t>
  </si>
  <si>
    <t xml:space="preserve">My payment was put back, I think.</t>
  </si>
  <si>
    <t xml:space="preserve">I've got a problem - I purchased an item maybe a week or two ago, but to the payment came back to my account! I've already got what I ordered, so why are the payment funds showing up in my account?</t>
  </si>
  <si>
    <t xml:space="preserve">I think my card payment was cancelled. What happened?</t>
  </si>
  <si>
    <t xml:space="preserve">I had a seller reach out to me saying my money didn't come through to them, but I'm sure it was removed from my account. Can you figure out what the deal is here?</t>
  </si>
  <si>
    <t xml:space="preserve">What does it mean if it says my card payment has been cancelled?</t>
  </si>
  <si>
    <t xml:space="preserve">Why was a payment cancelled on my account?</t>
  </si>
  <si>
    <t xml:space="preserve">Card payment has be declined.</t>
  </si>
  <si>
    <t xml:space="preserve">Why is a payment I made reverted back to my account?</t>
  </si>
  <si>
    <t xml:space="preserve">My payment has been returned.</t>
  </si>
  <si>
    <t xml:space="preserve">What does it mean if my payment has been reverted?</t>
  </si>
  <si>
    <t xml:space="preserve">I made a payment but the app gave the money back.</t>
  </si>
  <si>
    <t xml:space="preserve">I purchased something about one to two weeks ago but for some reason the payment was returned to my account today even though I've already received one of the items. Can you tell me what's going on?</t>
  </si>
  <si>
    <t xml:space="preserve">I've got a problem - I bought something with my card one or two weeks ago, but now exact same amount of the purchase is showing up in my account. I like more money in my account, but this is too good to be true. Can you tell me what's happening?</t>
  </si>
  <si>
    <t xml:space="preserve">I think a card payment I made was cancelled.</t>
  </si>
  <si>
    <t xml:space="preserve">I have an issue. I bought something within the past one to two weeks and have received one of the products; however, today the total was returned to my account. What's going on here?</t>
  </si>
  <si>
    <t xml:space="preserve">Why did you cancel my card payment?</t>
  </si>
  <si>
    <t xml:space="preserve">I did a payment but it was reverted by the app</t>
  </si>
  <si>
    <t xml:space="preserve">My payment has not been accepted.</t>
  </si>
  <si>
    <t xml:space="preserve">Unknowingly to me the payment sent to seller has been redeposied back in my account. I do not know why it would take out the payment and then put it back in my account. Can you resolve this as soon as possible?</t>
  </si>
  <si>
    <t xml:space="preserve">Can you tell me why my card isn't letting me make purchases online? It's been 2 weeks I've been trying.</t>
  </si>
  <si>
    <t xml:space="preserve">Why did my payment not go through why did it cancel?</t>
  </si>
  <si>
    <t xml:space="preserve">Hi, I am trying to buy something online, but i think there is some issue in my card. As payment is reverted. Please help me in this as i am facing the same issue from last two weeks.</t>
  </si>
  <si>
    <t xml:space="preserve">What is the reason for my card payment to be reverted?</t>
  </si>
  <si>
    <t xml:space="preserve">My card payment's cancelled</t>
  </si>
  <si>
    <t xml:space="preserve">What does it mean if my payment was reverted?</t>
  </si>
  <si>
    <t xml:space="preserve">Please help me with my card payments which keeps getting reverted whenever i do online shopping. I am having this problem since last two weeks.</t>
  </si>
  <si>
    <t xml:space="preserve">Why did my payment go back to my account when I bought something?</t>
  </si>
  <si>
    <t xml:space="preserve">Why is my card payment cancelled?</t>
  </si>
  <si>
    <t xml:space="preserve">Hello, I was contacted by a seller who let me know my money didn't come through on their side. It most certainly came out of my account so I need this looked at immediately because now it has been returned to me!</t>
  </si>
  <si>
    <t xml:space="preserve">has my card payment been reverted?</t>
  </si>
  <si>
    <t xml:space="preserve">I have cancelled payments to this card.</t>
  </si>
  <si>
    <t xml:space="preserve">There's a problem - I bought something about a week or two ago but just today the payment somehow came back into my account! I already received the item though, what's going on here?</t>
  </si>
  <si>
    <t xml:space="preserve">I see a reverted payment on my account. Why has this happened?</t>
  </si>
  <si>
    <t xml:space="preserve">I think the payment from my card was revereted</t>
  </si>
  <si>
    <t xml:space="preserve">I think my card payment was reverted</t>
  </si>
  <si>
    <t xml:space="preserve">How come I can't find my payment?</t>
  </si>
  <si>
    <t xml:space="preserve">I tried to buy something online but my funds were transferred back to my account. What is happening?</t>
  </si>
  <si>
    <t xml:space="preserve">I received a returned payment that I made.</t>
  </si>
  <si>
    <t xml:space="preserve">Why did the funds for one of my purchase come back to my account?</t>
  </si>
  <si>
    <t xml:space="preserve">Why would the app revert my payment?</t>
  </si>
  <si>
    <t xml:space="preserve">It looks like my card payment was sent back.</t>
  </si>
  <si>
    <t xml:space="preserve">Can you tell me why my card payment was cancelled?</t>
  </si>
  <si>
    <t xml:space="preserve">I purchased something and already received it, why hasn't the money taken out?</t>
  </si>
  <si>
    <t xml:space="preserve">One of my card payments has reverted</t>
  </si>
  <si>
    <t xml:space="preserve">I was just contacted by a seller that let me know they didn't get my money even though I'm very sure it was removed from my account. Now it's back in my account. Get this resolved quickly.</t>
  </si>
  <si>
    <t xml:space="preserve">My card payment has not been withdrawn from my account</t>
  </si>
  <si>
    <t xml:space="preserve">My card payment was reverted</t>
  </si>
  <si>
    <t xml:space="preserve">I just got refunded for my purchase over two weeks ago</t>
  </si>
  <si>
    <t xml:space="preserve">Please tell me why the purchase I made online returned payment. I really wanted this item and I've been trying for 2 weeks.</t>
  </si>
  <si>
    <t xml:space="preserve">I paid two weeks ago and just got refunded</t>
  </si>
  <si>
    <t xml:space="preserve">My card payment was cancelled.  Why?</t>
  </si>
  <si>
    <t xml:space="preserve">I seem to have a problem here, I bought something about a 2 weeks ago and just now received the payment back into my account and I've already received the item. Can you tell me what is going on here?</t>
  </si>
  <si>
    <t xml:space="preserve">Why has my money been returned back to my card.</t>
  </si>
  <si>
    <t xml:space="preserve">Why would my card payment be reverted?</t>
  </si>
  <si>
    <t xml:space="preserve">I've got a weird problem: I purchased something a week or maybe it was two weeks ago, and the funds have come back into my account! Can you explain this?</t>
  </si>
  <si>
    <t xml:space="preserve">I purchased something and the seller hasn't received the money yet, but it has been deducted from my account.</t>
  </si>
  <si>
    <t xml:space="preserve">I think a payment I made with a card was cancelled.</t>
  </si>
  <si>
    <t xml:space="preserve">I notice that I have a card payment that's been cancelled.</t>
  </si>
  <si>
    <t xml:space="preserve">why was my payment reverted on the app</t>
  </si>
  <si>
    <t xml:space="preserve">I did a payment but the app cancelled it.</t>
  </si>
  <si>
    <t xml:space="preserve">I am not able to make a purchase because there is an issue with my card</t>
  </si>
  <si>
    <t xml:space="preserve">Explain why a card payment would be cancelled?</t>
  </si>
  <si>
    <t xml:space="preserve">What happens if my card payment is cancelled?</t>
  </si>
  <si>
    <t xml:space="preserve">Why would a merchant revert my payment?</t>
  </si>
  <si>
    <t xml:space="preserve">What happens if a merchant doesn't accept  you payment?</t>
  </si>
  <si>
    <t xml:space="preserve">My card payment reverted back, I think.</t>
  </si>
  <si>
    <t xml:space="preserve">I sent a payment but now it's not showing up.</t>
  </si>
  <si>
    <t xml:space="preserve">How can I tell if my card payment is reverted?</t>
  </si>
  <si>
    <t xml:space="preserve">I'm not sure what is going on here. I've received payment back into my account  for an item I've already received, from about 2 weeks ago.</t>
  </si>
  <si>
    <t xml:space="preserve">Why was my card payment reversed?</t>
  </si>
  <si>
    <t xml:space="preserve">Why have I received a rebate for my payment after a week?</t>
  </si>
  <si>
    <t xml:space="preserve">Around one or two weeks ago I purchased something but there's seems to be an issue. I have already received one of the items, but today the money was placed back into my account. What is happening?</t>
  </si>
  <si>
    <t xml:space="preserve">Why wasn't my payment accepted by the app</t>
  </si>
  <si>
    <t xml:space="preserve">Why would a merchant revert a card payment?</t>
  </si>
  <si>
    <t xml:space="preserve">Hi, I am facing issue with my card payment while shopping online as payment is getting reverted. I am struggling with this issue around two weeks. Please advise.</t>
  </si>
  <si>
    <t xml:space="preserve">I cannot seem to buy something online with my card? the payment comes back, what's going on?</t>
  </si>
  <si>
    <t xml:space="preserve">Did a card payment that I made get cancelled?</t>
  </si>
  <si>
    <t xml:space="preserve">I think a card payment I made was cancelled, can you check?</t>
  </si>
  <si>
    <t xml:space="preserve">A seller is stating that they haven't received money yet when the money has already deducted from my account.</t>
  </si>
  <si>
    <t xml:space="preserve">I an not sure but it looks as if a card payment I made was cancelled.</t>
  </si>
  <si>
    <t xml:space="preserve">The money is still in my account even though I already paid -- I don't understand what happened.</t>
  </si>
  <si>
    <t xml:space="preserve">My card payment might have been reverted.</t>
  </si>
  <si>
    <t xml:space="preserve">I noticed my card payment was cancelled, can you tell me why?</t>
  </si>
  <si>
    <t xml:space="preserve">I am not able to purchase anything online! I have been using my card on multiple sites over a period of two weeks and none of the payments have gone through. Why is this happening?</t>
  </si>
  <si>
    <t xml:space="preserve">I believe my card payment has reverted</t>
  </si>
  <si>
    <t xml:space="preserve">What do I do if my payment was reverted?</t>
  </si>
  <si>
    <t xml:space="preserve">My payment was stopped</t>
  </si>
  <si>
    <t xml:space="preserve">My payment was cancelled</t>
  </si>
  <si>
    <t xml:space="preserve">My payment did not go through because the app reverted it</t>
  </si>
  <si>
    <t xml:space="preserve">Was my card payment reverted?</t>
  </si>
  <si>
    <t xml:space="preserve">Is it possible that my card payment was reverted?</t>
  </si>
  <si>
    <t xml:space="preserve">Is it possible for me to change my PIN number?</t>
  </si>
  <si>
    <t xml:space="preserve">What are the steps to change my PIN to something else?</t>
  </si>
  <si>
    <t xml:space="preserve">In what way can I change my PIN and where do I need to be?</t>
  </si>
  <si>
    <t xml:space="preserve">Can I change my PIN at any cash machines?</t>
  </si>
  <si>
    <t xml:space="preserve">I need to make my card PIN a different number</t>
  </si>
  <si>
    <t xml:space="preserve">Can I change my PIN abroad?</t>
  </si>
  <si>
    <t xml:space="preserve">Do I have to go to the bank to change my PIN?</t>
  </si>
  <si>
    <t xml:space="preserve">If I want to can I set up a new PIN?</t>
  </si>
  <si>
    <t xml:space="preserve">Do I have to go into the bank to change my PIN?</t>
  </si>
  <si>
    <t xml:space="preserve">Can I change my PIN at my local bank?</t>
  </si>
  <si>
    <t xml:space="preserve">If I wanted to change my PIN, how would I do that?</t>
  </si>
  <si>
    <t xml:space="preserve">If I want to select a new PIN what do I do?</t>
  </si>
  <si>
    <t xml:space="preserve">How can I change my PIN without going to the bank?</t>
  </si>
  <si>
    <t xml:space="preserve">Do I need to speak to a representative to change my pin?</t>
  </si>
  <si>
    <t xml:space="preserve">Can I pick a new PIN?</t>
  </si>
  <si>
    <t xml:space="preserve">Where can I update my pin number?</t>
  </si>
  <si>
    <t xml:space="preserve">Can I change my PIN remotely?</t>
  </si>
  <si>
    <t xml:space="preserve">I need to change my card PIN.</t>
  </si>
  <si>
    <t xml:space="preserve">If i want to change my pin number can I directly from an ATM?</t>
  </si>
  <si>
    <t xml:space="preserve">Are there any specific cash machines that I have to go to in order to change my PIN?</t>
  </si>
  <si>
    <t xml:space="preserve">Can I change my PIN at any ATM?</t>
  </si>
  <si>
    <t xml:space="preserve">Can I change my pin at an atm?</t>
  </si>
  <si>
    <t xml:space="preserve">Can I change my PIN without being physically present?</t>
  </si>
  <si>
    <t xml:space="preserve">Can you tell me how to change my PIN?</t>
  </si>
  <si>
    <t xml:space="preserve">I want to choose a new PIN.</t>
  </si>
  <si>
    <t xml:space="preserve">Is there a way yo change my PIN?</t>
  </si>
  <si>
    <t xml:space="preserve">Can I change my PIN?</t>
  </si>
  <si>
    <t xml:space="preserve">Do I need to go to a physical bank to change my PIN?</t>
  </si>
  <si>
    <t xml:space="preserve">What cash machines will let me change my PIN?</t>
  </si>
  <si>
    <t xml:space="preserve">Do I need to go to an office to change my pin?</t>
  </si>
  <si>
    <t xml:space="preserve">Which ATM's am i able to change my PIN?</t>
  </si>
  <si>
    <t xml:space="preserve">Can I change my PIN without going to a bank?</t>
  </si>
  <si>
    <t xml:space="preserve">Can my PIN changed remotely without visiting a bank?</t>
  </si>
  <si>
    <t xml:space="preserve">Which countries can I change my PIN in?</t>
  </si>
  <si>
    <t xml:space="preserve">Can I change my pin through the app?</t>
  </si>
  <si>
    <t xml:space="preserve">I want a new PIN please.</t>
  </si>
  <si>
    <t xml:space="preserve">Can I change my PIN at a nearby ATM when in Spain? I think someone saw my PIN and I need to change it but am on vacation.</t>
  </si>
  <si>
    <t xml:space="preserve">Please help me set up a new PIN.</t>
  </si>
  <si>
    <t xml:space="preserve">I have been travelling overseas and I need to change my PIN. Can you tell me how this is done?</t>
  </si>
  <si>
    <t xml:space="preserve">Is there a location where I can change my PIN?</t>
  </si>
  <si>
    <t xml:space="preserve">I am on vacation in Spain and need to change my pin.</t>
  </si>
  <si>
    <t xml:space="preserve">How can I change my PIN even though I'm out of the country in Austria at the moment?</t>
  </si>
  <si>
    <t xml:space="preserve">Can I change my PIN in Austria?</t>
  </si>
  <si>
    <t xml:space="preserve">Can I change my in at all ATM's?</t>
  </si>
  <si>
    <t xml:space="preserve">I'm travelling abroad but I've run into a situation where I need to change my PIN immediately. Can I do this from here?</t>
  </si>
  <si>
    <t xml:space="preserve">I must change my PIN as soon as possible.</t>
  </si>
  <si>
    <t xml:space="preserve">I think my pin has been compromised, what do I do?</t>
  </si>
  <si>
    <t xml:space="preserve">Where do I need to go to change my PIN?</t>
  </si>
  <si>
    <t xml:space="preserve">Do I have to change my PIN at a bank?</t>
  </si>
  <si>
    <t xml:space="preserve">Can I change my PIN on my phone?</t>
  </si>
  <si>
    <t xml:space="preserve">Help me with a PIN change.</t>
  </si>
  <si>
    <t xml:space="preserve">I want to change my PIN - do I need to be in a bank?</t>
  </si>
  <si>
    <t xml:space="preserve">How do I change the PIN?</t>
  </si>
  <si>
    <t xml:space="preserve">Where can I change my PIN?</t>
  </si>
  <si>
    <t xml:space="preserve">Change my pin?</t>
  </si>
  <si>
    <t xml:space="preserve">Can you tell me where  can change my PIN?</t>
  </si>
  <si>
    <t xml:space="preserve">Can I change my pin at a cash machine?</t>
  </si>
  <si>
    <t xml:space="preserve">Is it possible to change my PIN?</t>
  </si>
  <si>
    <t xml:space="preserve">I really need to know how to change my pin.</t>
  </si>
  <si>
    <t xml:space="preserve">Is going to a bank only way to change my PIN?</t>
  </si>
  <si>
    <t xml:space="preserve">How can I reset my PIN?</t>
  </si>
  <si>
    <t xml:space="preserve">Is it possible to change my pin if i am out of the country?</t>
  </si>
  <si>
    <t xml:space="preserve">How can I set a new pin.</t>
  </si>
  <si>
    <t xml:space="preserve">I think someone saw my PIN and I am on vacation in Spain, can I change it locally at an ATM?</t>
  </si>
  <si>
    <t xml:space="preserve">Are there cash machines where I can change my PIN?</t>
  </si>
  <si>
    <t xml:space="preserve">I can't freeze my account as I need the card as I am traveling, how do I change my pin?</t>
  </si>
  <si>
    <t xml:space="preserve">How do I change my card PIN?</t>
  </si>
  <si>
    <t xml:space="preserve">While on vacation in Spain I think someone saw my PIN and I now need to change it, can I do this at an ATM in Spain?</t>
  </si>
  <si>
    <t xml:space="preserve">How do I go about changing my PIN?</t>
  </si>
  <si>
    <t xml:space="preserve">Am I able to change my PIN at certain cash machines?</t>
  </si>
  <si>
    <t xml:space="preserve">Your ATM pin can be changed at any VISA or MasterCard ATM with PIN services. Certain countries don't support ATM pin changes.</t>
  </si>
  <si>
    <t xml:space="preserve">I am on vacation in Spain and think someone saw my pin when… Can I change it at a local ATM?</t>
  </si>
  <si>
    <t xml:space="preserve">I'm on vacation in Europe but I desperately need to change my PIN. Can I do this from abroad?</t>
  </si>
  <si>
    <t xml:space="preserve">Can I reset my PIN?</t>
  </si>
  <si>
    <t xml:space="preserve">At what cash machines can I change my PIN?</t>
  </si>
  <si>
    <t xml:space="preserve">I want to change my PIN.</t>
  </si>
  <si>
    <t xml:space="preserve">What steps do I have to take to change my PIN?</t>
  </si>
  <si>
    <t xml:space="preserve">I want to change my pin number from an ATM. Is this possible?</t>
  </si>
  <si>
    <t xml:space="preserve">I would like to change the the PIN on my card.</t>
  </si>
  <si>
    <t xml:space="preserve">I'm in Austria right now, but I really need to change my PIN right now. Can I do this even though I'm in another country?</t>
  </si>
  <si>
    <t xml:space="preserve">How can I alteration my PIN?</t>
  </si>
  <si>
    <t xml:space="preserve">I want to create a new pin.</t>
  </si>
  <si>
    <t xml:space="preserve">
Do I need to go to a physical bank to change my PIN?</t>
  </si>
  <si>
    <t xml:space="preserve">May I change my PIN?</t>
  </si>
  <si>
    <t xml:space="preserve">Please help me change my PIN.</t>
  </si>
  <si>
    <t xml:space="preserve">Set a new PIN please.</t>
  </si>
  <si>
    <t xml:space="preserve">Can I change my PIN online?</t>
  </si>
  <si>
    <t xml:space="preserve">How do I change my PIN abroad?</t>
  </si>
  <si>
    <t xml:space="preserve">How can I change my Rowlock ?</t>
  </si>
  <si>
    <t xml:space="preserve">How can I change my old pin to a new one?</t>
  </si>
  <si>
    <t xml:space="preserve">Changing my PIN</t>
  </si>
  <si>
    <t xml:space="preserve">Can I get a new pin number at any ATM using my card?</t>
  </si>
  <si>
    <t xml:space="preserve">Please let me know how to change my PIN?</t>
  </si>
  <si>
    <t xml:space="preserve">Can I change my PIN without going to a bank branch?</t>
  </si>
  <si>
    <t xml:space="preserve">Tell me how to setup a new PIN.</t>
  </si>
  <si>
    <t xml:space="preserve">Can my PIN be changed in any cash machine?</t>
  </si>
  <si>
    <t xml:space="preserve">Can you tell me what I need to do to have my pin changed?</t>
  </si>
  <si>
    <t xml:space="preserve">Am I allowed to change my PIN anywhere?</t>
  </si>
  <si>
    <t xml:space="preserve">I want to replace my current PIN.</t>
  </si>
  <si>
    <t xml:space="preserve">Help me change my PIN.</t>
  </si>
  <si>
    <t xml:space="preserve">Are their certain cash machines where I can change my pin?</t>
  </si>
  <si>
    <t xml:space="preserve">
Which cash machines will allow me to change my PIN?</t>
  </si>
  <si>
    <t xml:space="preserve">How can I change my PIN?  Help.</t>
  </si>
  <si>
    <t xml:space="preserve">Do you know how to change my card PIN?</t>
  </si>
  <si>
    <t xml:space="preserve">Where do I go to change my PIN?</t>
  </si>
  <si>
    <t xml:space="preserve">How do I change my pin while traveling?</t>
  </si>
  <si>
    <t xml:space="preserve">Can I change my PIN if I want to?</t>
  </si>
  <si>
    <t xml:space="preserve">What ATMs will allow me to change my PIN?</t>
  </si>
  <si>
    <t xml:space="preserve">Your card pin can be changed at any Visa or MasterCard ATM with Pin services, excluding countries such as Belgium, Luxembourg, Austria, Germany, Spain, and France.</t>
  </si>
  <si>
    <t xml:space="preserve">Do I have to go to an actual bank to change my PIN?</t>
  </si>
  <si>
    <t xml:space="preserve">Can I change my pin at ATMs?  If so, what ones?</t>
  </si>
  <si>
    <t xml:space="preserve">Can I change my card PIN?</t>
  </si>
  <si>
    <t xml:space="preserve">Which atms allow me to change my pin?</t>
  </si>
  <si>
    <t xml:space="preserve">Is there a way to change my PIN without having to go to the bank?</t>
  </si>
  <si>
    <t xml:space="preserve">Tell me what ATMs allow me to change my PIN.</t>
  </si>
  <si>
    <t xml:space="preserve">Can I change my PIN on holiday?</t>
  </si>
  <si>
    <t xml:space="preserve">What is the process to change my PIN?</t>
  </si>
  <si>
    <t xml:space="preserve">Please tell me how to change my pin.</t>
  </si>
  <si>
    <t xml:space="preserve">At what ATM can I change my PIN?</t>
  </si>
  <si>
    <t xml:space="preserve">If I am not in the country and I need to change my PIN, how can this be done?</t>
  </si>
  <si>
    <t xml:space="preserve">What do I have to do to change my pin?</t>
  </si>
  <si>
    <t xml:space="preserve">Can I change my pin number at a cash machine?</t>
  </si>
  <si>
    <t xml:space="preserve">is there something blocking me from making transfers</t>
  </si>
  <si>
    <t xml:space="preserve">What are the reasons for my beneficiary not being allowed?</t>
  </si>
  <si>
    <t xml:space="preserve">Is there something wrong with the transferring functions? I keep trying to transfer funds and only get an error message.</t>
  </si>
  <si>
    <t xml:space="preserve">What are the reasons a beneficiary would be denied?</t>
  </si>
  <si>
    <t xml:space="preserve">A transfer to my account was denied.</t>
  </si>
  <si>
    <t xml:space="preserve">Why was I not allowed to do a transfer to a beneficiary?</t>
  </si>
  <si>
    <t xml:space="preserve">I got a message that my transfer is not possible.  What is happening?  I need this to go through please.</t>
  </si>
  <si>
    <t xml:space="preserve">What is the reason for my beneficiary to be disallowed?</t>
  </si>
  <si>
    <t xml:space="preserve">Can someone explain why I'm getting a message on my screen saying my transfer isn't possible? I've done several in the past and haven't had a single problem until now. What's going on?</t>
  </si>
  <si>
    <t xml:space="preserve">I tried transferring to an account but it won't let me.</t>
  </si>
  <si>
    <t xml:space="preserve">It's not letting me transfer money to my beneficiery.</t>
  </si>
  <si>
    <t xml:space="preserve">My transfer to an account failed.</t>
  </si>
  <si>
    <t xml:space="preserve">Why is my beneficiary not allowed?</t>
  </si>
  <si>
    <t xml:space="preserve">For some reason I am unable to preform a transfer to a beneficiary.</t>
  </si>
  <si>
    <t xml:space="preserve">My beneficiary is not allowed?  Why?</t>
  </si>
  <si>
    <t xml:space="preserve">I tried to transfer funds to a beneficiary and was denied. Can you tell me why?</t>
  </si>
  <si>
    <t xml:space="preserve">What is the reason I couldn't do a transfer to a beneficiary?</t>
  </si>
  <si>
    <t xml:space="preserve">I got a message that I cannot name X as a beneficiary.</t>
  </si>
  <si>
    <t xml:space="preserve">Why am I not allowed to add a certain beneficiary?</t>
  </si>
  <si>
    <t xml:space="preserve">Why can't my beneficiary access my account?</t>
  </si>
  <si>
    <t xml:space="preserve">I'm trying to purchase crypto via the app. I haven't been able to get it to go through. Am I doing something wrong?</t>
  </si>
  <si>
    <t xml:space="preserve">Hello - I'm on the app and trying to purchase crypto. It's not going through. What am I doing wrong?</t>
  </si>
  <si>
    <t xml:space="preserve">My beneficiary didn't receive my transfer</t>
  </si>
  <si>
    <t xml:space="preserve">why didnt a transfer to my account process</t>
  </si>
  <si>
    <t xml:space="preserve">Why can I not do a  transfer</t>
  </si>
  <si>
    <t xml:space="preserve">Why didn't my transfer to a beneficiary go through?</t>
  </si>
  <si>
    <t xml:space="preserve">For some reason, I'm unable to transfer funds.</t>
  </si>
  <si>
    <t xml:space="preserve">Why has my beneficiary been denied?</t>
  </si>
  <si>
    <t xml:space="preserve">I need to transfer to my account and cant.</t>
  </si>
  <si>
    <t xml:space="preserve">Why am I not allowed to transfer money to my cryptocurrency exchange?</t>
  </si>
  <si>
    <t xml:space="preserve">what are the reasons why you would not be able to process a payment</t>
  </si>
  <si>
    <t xml:space="preserve">Why can't I transfer to another account?</t>
  </si>
  <si>
    <t xml:space="preserve">Are there restrictions to transfers to certain accounts?</t>
  </si>
  <si>
    <t xml:space="preserve">Please tell me why I am having problems transferring to a beneficiary.</t>
  </si>
  <si>
    <t xml:space="preserve">I wanted to purchase some crypto. The app will not let me. What's going on here? I really want to make this exchange.</t>
  </si>
  <si>
    <t xml:space="preserve">My attempted transfer keeps kicking back with an error message.  Could you please help me to resolve this?</t>
  </si>
  <si>
    <t xml:space="preserve">i tried to do a transfer to an account but it didn't work</t>
  </si>
  <si>
    <t xml:space="preserve">I just got an error message saying my transfer is not possible? Why is that? I've transferred money before and it worked without problem</t>
  </si>
  <si>
    <t xml:space="preserve">Why is my beneficiary being denies?</t>
  </si>
  <si>
    <t xml:space="preserve">Why does my transfer keep generating an error message?</t>
  </si>
  <si>
    <t xml:space="preserve">I want a reason as to why my beneficiary is not allowed?</t>
  </si>
  <si>
    <t xml:space="preserve">Hi, I am interested buying crypto currency but unable to purchase it through the application. I do want to do the exchange, Could you please let me know what is the problem?</t>
  </si>
  <si>
    <t xml:space="preserve">Why can't a beneficiary receive a money transfer from me?</t>
  </si>
  <si>
    <t xml:space="preserve">Why won't my transfer to another account work?</t>
  </si>
  <si>
    <t xml:space="preserve">My account transfer was not cleared.</t>
  </si>
  <si>
    <t xml:space="preserve">I am getting an error stating my transfer is not possible while transferring money. Let me know the issue as its the first time i am getting error, earlier it used to work.</t>
  </si>
  <si>
    <t xml:space="preserve">I wasn't able to do a transfer to an account</t>
  </si>
  <si>
    <t xml:space="preserve">Why would a transfer to an account not be allowed?</t>
  </si>
  <si>
    <t xml:space="preserve">why is a transfer to beneficiary not possible?</t>
  </si>
  <si>
    <t xml:space="preserve">Why did my transfer to a beneficiary fail?</t>
  </si>
  <si>
    <t xml:space="preserve">Explain why I can't do a transfer to an account.</t>
  </si>
  <si>
    <t xml:space="preserve">Why can't my beneficiary get access?</t>
  </si>
  <si>
    <t xml:space="preserve">I'm suddenly getting an error while attempting a transfer that it isn't possible. Why? I've done it before.</t>
  </si>
  <si>
    <t xml:space="preserve">I cannot make a transfer to another account.</t>
  </si>
  <si>
    <t xml:space="preserve">Why can't I transfer money to a beneficiary</t>
  </si>
  <si>
    <t xml:space="preserve">why didnt my account allow a transfer</t>
  </si>
  <si>
    <t xml:space="preserve">are transfers to a beneficiary possible</t>
  </si>
  <si>
    <t xml:space="preserve">Why are you not accepting my transfer!! I've tried a couple times already now and it just keeps showing an error message</t>
  </si>
  <si>
    <t xml:space="preserve">Will a beneficiary not accept a transfer?</t>
  </si>
  <si>
    <t xml:space="preserve">Why would a transfer to a beneficiary not go through?</t>
  </si>
  <si>
    <t xml:space="preserve">For what reason can I not transfer money to a beneficiary?</t>
  </si>
  <si>
    <t xml:space="preserve">What happens when a beneficiary can't receive my transfer?</t>
  </si>
  <si>
    <t xml:space="preserve">i tried to transfer cryptocurrency into my account but was denied</t>
  </si>
  <si>
    <t xml:space="preserve">Why wasn't my payment to beneficiary X approved?</t>
  </si>
  <si>
    <t xml:space="preserve">My transfer to a beneficiary did not go through.  Why?</t>
  </si>
  <si>
    <t xml:space="preserve">I really was trying to complete this exhange. I was trying to purchase some crypto but the app won't allow me to do it. Can you tell me what's going on here?</t>
  </si>
  <si>
    <t xml:space="preserve">Why won't you let me name X as a beneficiary?</t>
  </si>
  <si>
    <t xml:space="preserve">Why couldn't I transfer funds to my beneficiary?</t>
  </si>
  <si>
    <t xml:space="preserve">Why can't I transfer money to a beneficiery?</t>
  </si>
  <si>
    <t xml:space="preserve">Am I allowed to transfer money to a beneficiary?</t>
  </si>
  <si>
    <t xml:space="preserve">Why didn't my transfer to a beneficiary happen?</t>
  </si>
  <si>
    <t xml:space="preserve">A transfer was not allowed to an account.</t>
  </si>
  <si>
    <t xml:space="preserve">Why can't I use this beneficiary?</t>
  </si>
  <si>
    <t xml:space="preserve">I want to transfer money to a beneficiary, but I couldn't.</t>
  </si>
  <si>
    <t xml:space="preserve">My funds are not transferring to my bank. Why is this not working?</t>
  </si>
  <si>
    <t xml:space="preserve">Just received a message that my transfer is not possible??  What is going on.  I have done this before with no issues.</t>
  </si>
  <si>
    <t xml:space="preserve">I am trying  to  transfer and  it has been  stopped why is  that</t>
  </si>
  <si>
    <t xml:space="preserve">This is frustrating, I'm at work and my transfers are not going through. I keep getting an error message, I do not have time for this.</t>
  </si>
  <si>
    <t xml:space="preserve">I am trying to complete a transfer but I keep getting an error message.</t>
  </si>
  <si>
    <t xml:space="preserve">I normally have no issues making transfers, so why am I suddenly being told it is not possible?</t>
  </si>
  <si>
    <t xml:space="preserve">My account did not allow the transfer.</t>
  </si>
  <si>
    <t xml:space="preserve">Why is my transfer not working? I tried multiple times to transfer money, and all that happens is an error message pops up.</t>
  </si>
  <si>
    <t xml:space="preserve">Why was my transfer stopped ?</t>
  </si>
  <si>
    <t xml:space="preserve">Why is allowance not being given to my beneficiary?</t>
  </si>
  <si>
    <t xml:space="preserve">I have been trying to exchange this for crypto but the app won't work could you please help me?</t>
  </si>
  <si>
    <t xml:space="preserve">The transfer to my account was not allowed.</t>
  </si>
  <si>
    <t xml:space="preserve">My beneficiary is unable to transact</t>
  </si>
  <si>
    <t xml:space="preserve">I need to move money to another beneficiary. Why is it not working?</t>
  </si>
  <si>
    <t xml:space="preserve">I don't understand why you aren't accepting my transfer. After a couple times trying I'm still getting an error message.</t>
  </si>
  <si>
    <t xml:space="preserve">the transfer to an account wasn't allowed is there any other way for me to do it</t>
  </si>
  <si>
    <t xml:space="preserve">I was unable to transfer money to a beneficiary.</t>
  </si>
  <si>
    <t xml:space="preserve">Why can't I use my beneficiary?</t>
  </si>
  <si>
    <t xml:space="preserve">Why is this beneficiary being rejected?</t>
  </si>
  <si>
    <t xml:space="preserve">I have to transfer money over to my mother, and I have tried numerous times and all that keeps happening is error messages.</t>
  </si>
  <si>
    <t xml:space="preserve">why did my account decline a incoming transfer</t>
  </si>
  <si>
    <t xml:space="preserve">Why will my transfer not go through?!  Keep getting an error message.</t>
  </si>
  <si>
    <t xml:space="preserve">My transfer to a beneficiary was rejected.</t>
  </si>
  <si>
    <t xml:space="preserve">The transfer to my beneficiary has not gone through</t>
  </si>
  <si>
    <t xml:space="preserve">I wasn't allowed to transfer to my account</t>
  </si>
  <si>
    <t xml:space="preserve">I was trying to purchase some crypto and the app won't allow me to do it. What's the deal with this? I really wanted to complete the exchange.</t>
  </si>
  <si>
    <t xml:space="preserve">I have made several unsuccessful attempts to make a transfer.  I'm getting frustrated at getting error messages and it not going through.</t>
  </si>
  <si>
    <t xml:space="preserve">My money didnt go through after I transferred.</t>
  </si>
  <si>
    <t xml:space="preserve">I tried transferring to an account but it didn't go through. What happened?</t>
  </si>
  <si>
    <t xml:space="preserve">I cant transfer money into my account</t>
  </si>
  <si>
    <t xml:space="preserve">why can't my beneficiary make transactions?</t>
  </si>
  <si>
    <t xml:space="preserve">Why can't I add any beneficiary I choose?</t>
  </si>
  <si>
    <t xml:space="preserve">Why am I unable to transfer money when I was able to before?</t>
  </si>
  <si>
    <t xml:space="preserve">Hello I am unable to exchange the crypto currency through the app, i am very keen to buy. Please let me know the issue.    interested buying crypto currency but i am unable to purchase it through the application,i do want to do the exchange, Could you please let me know what is the problem?</t>
  </si>
  <si>
    <t xml:space="preserve">Why is a transfer to a beneficiary not possible?</t>
  </si>
  <si>
    <t xml:space="preserve">Can you please explain why my beneficiary is not allowed?</t>
  </si>
  <si>
    <t xml:space="preserve">I tried transferring money to a beneficiary, however, I was unsuccessful.</t>
  </si>
  <si>
    <t xml:space="preserve">The app won't let me transfer money to a beneficiary</t>
  </si>
  <si>
    <t xml:space="preserve">Why can I not do a transfer to a beneficiary?</t>
  </si>
  <si>
    <t xml:space="preserve">why wasn't a transfer to account approved</t>
  </si>
  <si>
    <t xml:space="preserve">I was trying to make a transfer and got an error message telling me it was not possible to make the transfer. This has never happened before, what happened?</t>
  </si>
  <si>
    <t xml:space="preserve">Why is my beneficiary not being allowed to get payment services?</t>
  </si>
  <si>
    <t xml:space="preserve">I have tried to submit a transfer a couple of times now, and for some reason, it continues to be unsuccessful. Do you know why this may be?</t>
  </si>
  <si>
    <t xml:space="preserve">Why can't I transfer to an account?</t>
  </si>
  <si>
    <t xml:space="preserve">I could not transfer funds to a beneficiary; is there a problem with your software?</t>
  </si>
  <si>
    <t xml:space="preserve">Why is my beneficiary not working?</t>
  </si>
  <si>
    <t xml:space="preserve">Why can't you allow my beneficiary?</t>
  </si>
  <si>
    <t xml:space="preserve">My transfer to another account was not allowed. Why is that?</t>
  </si>
  <si>
    <t xml:space="preserve">Why couldn't I transfer to a beneficiairy?</t>
  </si>
  <si>
    <t xml:space="preserve">I couldn't transfer to an account.</t>
  </si>
  <si>
    <t xml:space="preserve">My transfer failed to a beneficiary</t>
  </si>
  <si>
    <t xml:space="preserve">I was unable to transfer to another account.</t>
  </si>
  <si>
    <t xml:space="preserve">Why was I denied the option to transfer money to a selected beneficiary?</t>
  </si>
  <si>
    <t xml:space="preserve">I keep getting an error message when I'm trying to transfer funds! Why aren't you accepting that?</t>
  </si>
  <si>
    <t xml:space="preserve">Why is this not letting me exchange crypto? I need help making this transaction go through.</t>
  </si>
  <si>
    <t xml:space="preserve">I could not transfer to a beneficiary</t>
  </si>
  <si>
    <t xml:space="preserve">Why cant I transfer to my account?</t>
  </si>
  <si>
    <t xml:space="preserve">Why  am I being told this  transfer will not  go thru</t>
  </si>
  <si>
    <t xml:space="preserve">I couldn't transfer money to a beneficiery</t>
  </si>
  <si>
    <t xml:space="preserve">While transferring money, its getting error out as my transfer is not possible. Please help me in this as earlier i was able to do it successfully.</t>
  </si>
  <si>
    <t xml:space="preserve">Hi,  Is there any problem with app? As i am facing some issues with the exchange of crypto currency. I am extremely interested in buying.</t>
  </si>
  <si>
    <t xml:space="preserve">Hi, I'm trying to by some crypto and the app isn't allowing it. I really want to exchange this, what am I doing wrong?</t>
  </si>
  <si>
    <t xml:space="preserve">My account transfer was blocked.</t>
  </si>
  <si>
    <t xml:space="preserve">What is preventing me from adding a specific beneficiary?</t>
  </si>
  <si>
    <t xml:space="preserve">I couldn't transfer money to my bank, why not?</t>
  </si>
  <si>
    <t xml:space="preserve">Why cant I send money to a beneficiary?</t>
  </si>
  <si>
    <t xml:space="preserve">How can I transfer money to a beneficiary?</t>
  </si>
  <si>
    <t xml:space="preserve">It shows that the transfer on my account wasn't allowed.</t>
  </si>
  <si>
    <t xml:space="preserve">Could you please explain why I received a message that my transfer is not possible? I've never had any problems making a transfer in the past.</t>
  </si>
  <si>
    <t xml:space="preserve">Hi i received an error message informing me about the transaction failure. I have done the money transfer before and it never failed. Please let me know what is the issue this time.</t>
  </si>
  <si>
    <t xml:space="preserve">Why would I receive an error that my transfer isn't possible when I've done it before?</t>
  </si>
  <si>
    <t xml:space="preserve">My card isn't letting me purchase something and I wanted to know why.</t>
  </si>
  <si>
    <t xml:space="preserve">Why isn't my beneficiary allowed?</t>
  </si>
  <si>
    <t xml:space="preserve">is a transfer to a beneficiary allowed?</t>
  </si>
  <si>
    <t xml:space="preserve">What are then rules on beneficiaries?</t>
  </si>
  <si>
    <t xml:space="preserve">Why can't I buy cryptocurrency on the app?</t>
  </si>
  <si>
    <t xml:space="preserve">Payment did not process</t>
  </si>
  <si>
    <t xml:space="preserve">I've been trying to make a transfer and it hasn't gone through. Now I am receiving an error message.  What is the problem?</t>
  </si>
  <si>
    <t xml:space="preserve">I am having trouble transferring money to a beneficiery.</t>
  </si>
  <si>
    <t xml:space="preserve">Why won't you take my transfer, I keep getting an error message.</t>
  </si>
  <si>
    <t xml:space="preserve">beneficiary transfer problems?</t>
  </si>
  <si>
    <t xml:space="preserve">Why would my beneficiary not be allowed?</t>
  </si>
  <si>
    <t xml:space="preserve">I was transferring some money to a friend, which I thought would be free, but I see there is a charge.  What's up with that?</t>
  </si>
  <si>
    <t xml:space="preserve">There is a fee for a transfer, please explain that to me.</t>
  </si>
  <si>
    <t xml:space="preserve">I didn't know there was a charge for tranferring. What is the charge?</t>
  </si>
  <si>
    <t xml:space="preserve">I transferred money, why was charged for an extra fee?</t>
  </si>
  <si>
    <t xml:space="preserve">When I made a transfer I was charged extra.</t>
  </si>
  <si>
    <t xml:space="preserve">Is there a fee that comes with transfers?</t>
  </si>
  <si>
    <t xml:space="preserve">I shouldn't be charged any fee for transferring .</t>
  </si>
  <si>
    <t xml:space="preserve">I've been using my account while abroad for a while but only recently I've been charged a fee. Why am I only being charged a fee now.</t>
  </si>
  <si>
    <t xml:space="preserve">why am I being charged a fee for transferring money ?</t>
  </si>
  <si>
    <t xml:space="preserve">I transferred money from one account to another account and I charged a fee for it. Why is that?</t>
  </si>
  <si>
    <t xml:space="preserve">Why was I charged extra when transferring?</t>
  </si>
  <si>
    <t xml:space="preserve">During the last month I used this account to make payments for my place abroad. I noticed the fees have increased and I wonder why. Shouldn't frequent users have less fees as incentive to keep using instead of increasing them out of nowhere?</t>
  </si>
  <si>
    <t xml:space="preserve">Why did it cost money to transfer funds?</t>
  </si>
  <si>
    <t xml:space="preserve">What kind of fees will I pay when I transfer?</t>
  </si>
  <si>
    <t xml:space="preserve">My transaction went through but I was charged a fee. Why?</t>
  </si>
  <si>
    <t xml:space="preserve">A transfer I sent was received in less than the full amount I originally sent, and now I have to send additional funds to cover the full amount. What happened?</t>
  </si>
  <si>
    <t xml:space="preserve">Should I be seeing a fee applied for my money transfer?</t>
  </si>
  <si>
    <t xml:space="preserve">Can you please tell me why I was charged an extra fee on my transfer?</t>
  </si>
  <si>
    <t xml:space="preserve">I made a transfer and the receiver said an amount was received, but not exactly the same as the right amount. I now have to transfer more to get the remainder to the receiver. Can you alert me about this. What's been happening?</t>
  </si>
  <si>
    <t xml:space="preserve">I made a transfer and the receiver said an amount was received, but less than the right amount. I now have to transfer more to get the remainder to the receiver. Can you tell me about this. What's been going on?</t>
  </si>
  <si>
    <t xml:space="preserve">Why is my transfer more expensive than I thought?</t>
  </si>
  <si>
    <t xml:space="preserve">Why am I being charged to transfer funds?</t>
  </si>
  <si>
    <t xml:space="preserve">I noticed additional charges when transferring?</t>
  </si>
  <si>
    <t xml:space="preserve">Why is there a charge for my transfer?</t>
  </si>
  <si>
    <t xml:space="preserve">I got charged a fee for transferring money.</t>
  </si>
  <si>
    <t xml:space="preserve">I see a transfer fee, but to my understand, that should have been free, what happened?</t>
  </si>
  <si>
    <t xml:space="preserve">Why was I charged for transferring money?</t>
  </si>
  <si>
    <t xml:space="preserve">I found a transfer fee - is that correct?</t>
  </si>
  <si>
    <t xml:space="preserve">I did a transfer.  What is the extra fee?</t>
  </si>
  <si>
    <t xml:space="preserve">I got an unexpected charge on my transfers. How can I correct this?</t>
  </si>
  <si>
    <t xml:space="preserve">Why am I seeing a transfer fee on my bank statement?</t>
  </si>
  <si>
    <t xml:space="preserve">I transferred money, but I think I've been charged a fee for it?</t>
  </si>
  <si>
    <t xml:space="preserve">Please explain the fee on a transfer I made.</t>
  </si>
  <si>
    <t xml:space="preserve">Why was I charged an extra fee when doing a transfer?</t>
  </si>
  <si>
    <t xml:space="preserve">I was charged a fee for the transfer, but can you tell me why?</t>
  </si>
  <si>
    <t xml:space="preserve">So I've been using my account frequently to manage payments for my vacation house in a different country, and now I'm getting hit with ridiculously high fees! What's with that? Ought not I be rewarded as a frequent user?</t>
  </si>
  <si>
    <t xml:space="preserve">I bought something online and it says there was a fee to transfer money. Isn't that free?</t>
  </si>
  <si>
    <t xml:space="preserve">There's something wrong on my bill. A transfer fee should never have been added.</t>
  </si>
  <si>
    <t xml:space="preserve">I did a transfer and was charged a fee that I shouldn't have been!</t>
  </si>
  <si>
    <t xml:space="preserve">Why are you charging me a transfer fee?</t>
  </si>
  <si>
    <t xml:space="preserve">Why was a fee changed for my transfer?</t>
  </si>
  <si>
    <t xml:space="preserve">I made a transfer and the receiver did not get the right amount its lesser than what it should be,Now I have to transfer more money to make up for the missing amount . Can you please help me about this, what should be done</t>
  </si>
  <si>
    <t xml:space="preserve">Does transferring money have a fee?</t>
  </si>
  <si>
    <t xml:space="preserve">Why did the person I transferred money to not receive the correct amount? What should I do to get them the right amount, do I have to transfer more money to them?</t>
  </si>
  <si>
    <t xml:space="preserve">Why is there a fee for my transfer?</t>
  </si>
  <si>
    <t xml:space="preserve">why is there a fee for the transfer I made?</t>
  </si>
  <si>
    <t xml:space="preserve">Why has transferring money resulted in a charge?</t>
  </si>
  <si>
    <t xml:space="preserve">Where did my extra fee for the transfer come from?</t>
  </si>
  <si>
    <t xml:space="preserve">How much do I have to pay if I want to transfer money?</t>
  </si>
  <si>
    <t xml:space="preserve">I thought transfers were free. Why was I charged to transfer?</t>
  </si>
  <si>
    <t xml:space="preserve">I made a transfer and was charged extra. Why?</t>
  </si>
  <si>
    <t xml:space="preserve">I thought I can make transfers for free, this is not fair. I bought something online from abroad and there was some weird additional fee that I've never seen before?</t>
  </si>
  <si>
    <t xml:space="preserve">I transferred some money recently and saw a fee on my account, what's that for?</t>
  </si>
  <si>
    <t xml:space="preserve">Is it normal to see a fee for transferring money?</t>
  </si>
  <si>
    <t xml:space="preserve">Transfers are supposed to be free.  I just got a fee tacked on  to something I bought abroad.  Not cool.  Figure out how to remove it.</t>
  </si>
  <si>
    <t xml:space="preserve">Why am I being charged for transfers? Are they not free?</t>
  </si>
  <si>
    <t xml:space="preserve">Why was I charged this extra fee while doing a transfer?</t>
  </si>
  <si>
    <t xml:space="preserve">why was i chargged</t>
  </si>
  <si>
    <t xml:space="preserve">Is there a money transfer fee?</t>
  </si>
  <si>
    <t xml:space="preserve">I was under the impression that transfers were going to be free and here I was charged for something I bought overseas!  I don't think this fee is right</t>
  </si>
  <si>
    <t xml:space="preserve">I thought transfers were free, why was I charged?</t>
  </si>
  <si>
    <t xml:space="preserve">Why were there additional charges when I transferred funds?</t>
  </si>
  <si>
    <t xml:space="preserve">Are money transfers free?</t>
  </si>
  <si>
    <t xml:space="preserve">My transfer seems to be too expensive.</t>
  </si>
  <si>
    <t xml:space="preserve">who charged my card</t>
  </si>
  <si>
    <t xml:space="preserve">A receiver let me know that they didn't receive the full transfer I completed and that it was actually a bit less than what I sent. At this point I have to make another transfer to make up for the amount missing. Can you please follow up with what's going  on here?</t>
  </si>
  <si>
    <t xml:space="preserve">Could you inform me as to why I have been charged a higher fee for doing banking abroad.</t>
  </si>
  <si>
    <t xml:space="preserve">Someone that I had to send money to told me that they didn't receive the full amount I sent them - can you look into this?</t>
  </si>
  <si>
    <t xml:space="preserve">I transferred 7,000 to a receiver outside the EU and they received a lesser amount than what I sent, Unfortunately, now I must send an additional transfer to the receiver so that they can receive the full amount I initially sent.  I'm not sure why they received a lesser amount than what I initially sen, but can you please look into this and let me know what happened?</t>
  </si>
  <si>
    <t xml:space="preserve">Extra charge during transfer</t>
  </si>
  <si>
    <t xml:space="preserve">I use my card internationally to manage payments and I just noticed that you are adding additional fees.  Why?  I am a good customer and this has me thinking about leaving.</t>
  </si>
  <si>
    <t xml:space="preserve">I made a transfer and the receiver said they haven't actually received the right amount, but it's a bit less. Now I have to transfer more money to make up for the missing bit. Can you please alert me about this, what has been going on?</t>
  </si>
  <si>
    <t xml:space="preserve">I was informed that transfers were free. I noticed I have a fee but why?</t>
  </si>
  <si>
    <t xml:space="preserve">Will I be charged for transfers?</t>
  </si>
  <si>
    <t xml:space="preserve">what is this fee for transfering</t>
  </si>
  <si>
    <t xml:space="preserve">This isn't fair! I thought transfers could be made for free. I just made  a purchase online from abroad and now see some strange fee that I've never seen before.</t>
  </si>
  <si>
    <t xml:space="preserve">I had an unexpected fee</t>
  </si>
  <si>
    <t xml:space="preserve">I was charged a fee for a transfer.</t>
  </si>
  <si>
    <t xml:space="preserve">I thought you guys offered free transfers. Why was I charged?</t>
  </si>
  <si>
    <t xml:space="preserve">Why would I be charged an extra fee while doing a transfer?</t>
  </si>
  <si>
    <t xml:space="preserve">I do not like this, I made a simple transfer but I have an additional charge for doing so.</t>
  </si>
  <si>
    <t xml:space="preserve">What is the reason for the fee charge on my transfer?</t>
  </si>
  <si>
    <t xml:space="preserve">I tried to transfer money to a receiver and they didn't get the right amount. What is going on and who do I contact to help me?</t>
  </si>
  <si>
    <t xml:space="preserve">There is a fee from a transfer that is not supposed to be here!</t>
  </si>
  <si>
    <t xml:space="preserve">I was under the impression I can make transfers for free. I made an online purchase for something that was obroad and there's some additional strange fee. I've never seen this before and this isn't fair.</t>
  </si>
  <si>
    <t xml:space="preserve">why was a extra fee added to my account for transfer ?</t>
  </si>
  <si>
    <t xml:space="preserve">Why did you charge me a fee when I made a transfer?</t>
  </si>
  <si>
    <t xml:space="preserve">Why have I been charged a fee for transferring money?</t>
  </si>
  <si>
    <t xml:space="preserve">Are transfers not free? I didn't know I would be charged for transfers.</t>
  </si>
  <si>
    <t xml:space="preserve">Why was I charged a fee for transferring money</t>
  </si>
  <si>
    <t xml:space="preserve">Am I charged a fee to transfer funds?</t>
  </si>
  <si>
    <t xml:space="preserve">Can you please explain why I was charged an extra fee for my transfer?</t>
  </si>
  <si>
    <t xml:space="preserve">Someone made a mistake on my money transfer because I was charged extra fees.</t>
  </si>
  <si>
    <t xml:space="preserve">I've use my accounts all the time to manage my payments for my place abroad that I just got. I now see that I suddenly have new fees.I'm a frequent customer, so why are you charging me new fees instead of rewarding me?</t>
  </si>
  <si>
    <t xml:space="preserve">I did a transfer and I was charged a fee that shouldn't be there!</t>
  </si>
  <si>
    <t xml:space="preserve">Why was I charged a random fee for a transfer I made?</t>
  </si>
  <si>
    <t xml:space="preserve">Why am I seeing a fee for transferring money?</t>
  </si>
  <si>
    <t xml:space="preserve">I've used my account frequently over the last month to manage my payments from abroad for my new place. I noticed that my fees have suddenly increased. As a frequent customer, shouldn't I be rewarded rather than suddenly being subject to a new fee?</t>
  </si>
  <si>
    <t xml:space="preserve">I used this account a lot during the last month to manage my payments for my new place abroad. Seems that suddenly fees have increased? Shouldn't you instead reward your frequent customers instead of putting an additional fee suddenly?!</t>
  </si>
  <si>
    <t xml:space="preserve">I thought that transfers are free. Why was I charged an extra fee?</t>
  </si>
  <si>
    <t xml:space="preserve">I am confused about your fee structure and was disappointed to see a fee for my transfer.</t>
  </si>
  <si>
    <t xml:space="preserve">I thought transfers were free of charge.  I bought something abroad and got charged a ridiculous fee. How do I get this problem fixed.</t>
  </si>
  <si>
    <t xml:space="preserve">Why was there an extra charge when I transferred money?</t>
  </si>
  <si>
    <t xml:space="preserve">Why is there a fee on my money transfer?</t>
  </si>
  <si>
    <t xml:space="preserve">I made a transfer and according to the receiver "they haven't received the right amount" Its lesser than it should be.Now I have to transfer more money to make up for the missing amount . Can you please help me about this,what should be done</t>
  </si>
  <si>
    <t xml:space="preserve">What is this fee for transferring money?</t>
  </si>
  <si>
    <t xml:space="preserve">I have used this account overseas recently. Has there been an increase in fees that I am unaware of?</t>
  </si>
  <si>
    <t xml:space="preserve">why was i charged a fee to transfer</t>
  </si>
  <si>
    <t xml:space="preserve">I need to know how much it costs to transfer funds.</t>
  </si>
  <si>
    <t xml:space="preserve">I made a transfer and the person I transferred the money to didn't receive the right amount? Why did this happen and how do I get the rest of the money to them?</t>
  </si>
  <si>
    <t xml:space="preserve">Why did I get charged a fee for transferring money?</t>
  </si>
  <si>
    <t xml:space="preserve">Why did I get charged for a transfer?</t>
  </si>
  <si>
    <t xml:space="preserve">I have used my account abroad for a while without any fees, why am I being charged additional fees all of a sudden?</t>
  </si>
  <si>
    <t xml:space="preserve">Can you elaborate on why I have an extra charge just for transferring?</t>
  </si>
  <si>
    <t xml:space="preserve">Why was I charged a fee to transfer money?</t>
  </si>
  <si>
    <t xml:space="preserve">Is it free to transfer money or is there a fee?</t>
  </si>
  <si>
    <t xml:space="preserve">I was charged a fee when I transferred my funds, why?</t>
  </si>
  <si>
    <t xml:space="preserve">I've use this account all the time, including over this past month, to pay for things from my new place abroad. I'm a really good customer, so why do I suddenly have new fees? I should be rewarded instead of charged more fees.</t>
  </si>
  <si>
    <t xml:space="preserve">So, I see a strange fee that I've never seen before after making an online purchase from abroad. I was under the impression transfers could be made for free. I don't think this seems fair.</t>
  </si>
  <si>
    <t xml:space="preserve">Is there a fee for transferring money</t>
  </si>
  <si>
    <t xml:space="preserve">Why was money taken for a transfer?</t>
  </si>
  <si>
    <t xml:space="preserve">I made a transfer and according to the receiver "they haven't received the right amount" Its lesser than it should be.Now I have to transfer more money to make up for the missing amount . Can you please help me about this, what should be done ?</t>
  </si>
  <si>
    <t xml:space="preserve">I don't appreciate the extra fees being siphoned from my account. I was helping some friends move to Japan and we were buying home decorations at the local stores. The  receipts differed greatly from what showed up in my bank account and my statement. When can I expect the extra fees to be back in my account?</t>
  </si>
  <si>
    <t xml:space="preserve">Why is there an extra fee on a transfer?</t>
  </si>
  <si>
    <t xml:space="preserve">Hi,  I have transferred money but beneficiary's account is credited with less amount. Now i have transfer the difference of the amount. I think there is some issue, could you please look into this.</t>
  </si>
  <si>
    <t xml:space="preserve">A receiver made me aware that they did not receive the full transfer that I made. The amount was showing to be a bit less. I now have to make a second transfer just to make up the difference. Can you reach out and let me know what's going on?</t>
  </si>
  <si>
    <t xml:space="preserve">Can you explain the transfer fee that I was charged?</t>
  </si>
  <si>
    <t xml:space="preserve">Why am I being charged for transferring money?</t>
  </si>
  <si>
    <t xml:space="preserve">After reviewing my charges, I see I was charged a fee for a transfer I did, why?</t>
  </si>
  <si>
    <t xml:space="preserve">Why do I see a fee when I do a transfer?</t>
  </si>
  <si>
    <t xml:space="preserve">How come I can see an extra charge for my transfer?</t>
  </si>
  <si>
    <t xml:space="preserve">I don't think I was supposed to be charged so much.</t>
  </si>
  <si>
    <t xml:space="preserve">I have a service fee that I've never seen before. It showed up after I bought something from an international seller online.</t>
  </si>
  <si>
    <t xml:space="preserve">When I was transferring money I was charged extra why?</t>
  </si>
  <si>
    <t xml:space="preserve">I was charged a transfer fee, why is that?</t>
  </si>
  <si>
    <t xml:space="preserve">I have a fee listed for a transfer.</t>
  </si>
  <si>
    <t xml:space="preserve">I noticed that there was an extra charge fee on my account. Could You explain to me why?</t>
  </si>
  <si>
    <t xml:space="preserve">Hey there's a fee for a transfer on my account.  Why?!</t>
  </si>
  <si>
    <t xml:space="preserve">Does it cost anything to buy something from another country? Like is there going to be hidden transfer fees or currency conversion fees?</t>
  </si>
  <si>
    <t xml:space="preserve">Why do I have an unexpected fee on my bill?</t>
  </si>
  <si>
    <t xml:space="preserve">I just transferred some money. Why was I charged a fee?</t>
  </si>
  <si>
    <t xml:space="preserve">Why is there a fee for doing a transfer?</t>
  </si>
  <si>
    <t xml:space="preserve">Why are there additional fees for transfers?</t>
  </si>
  <si>
    <t xml:space="preserve">After a transfer, I see an extra fee.  Why?</t>
  </si>
  <si>
    <t xml:space="preserve">Hey I thought transfers were free.  Why are you charging me?</t>
  </si>
  <si>
    <t xml:space="preserve">I transferred money to a receiver within the EU and they received a lesser amount than expected.  Now I will have to send additional money to the receiver in order to make up the difference.  I'm not sure what went wrong, can you please advise?</t>
  </si>
  <si>
    <t xml:space="preserve">I made a transfer and was charged an extra fee!</t>
  </si>
  <si>
    <t xml:space="preserve">What is this extra fee while I was doing a transfer?</t>
  </si>
  <si>
    <t xml:space="preserve">Next time maybe let people know that buying things from another country costs extra. I used my card to purchase an item from another country and I was charged for the item and also an extra fee it looks like. I wasnt aware of this and I think I should get a refund.</t>
  </si>
  <si>
    <t xml:space="preserve">Hi! I'm a university student studying abroad and I noticed that when I was trying to cross-reference my budget for this month that there were extra fees I was not expecting. Why is that? I've had this account for years and I haven't had any trouble so far, it might not even be on your all's end since I'm still new to international travel and finance, but I wanted to double check in case a mistake was made!</t>
  </si>
  <si>
    <t xml:space="preserve">Will I get extra charges?</t>
  </si>
  <si>
    <t xml:space="preserve">I noticed a fee, while banking abroad, that seems different than any I have been charged before. What does this fee mean?</t>
  </si>
  <si>
    <t xml:space="preserve">I think I have an extra transfer charge.</t>
  </si>
  <si>
    <t xml:space="preserve">I usually don't get charged for transfers, why was I this month?</t>
  </si>
  <si>
    <t xml:space="preserve">Why was my transfer charged a fee?</t>
  </si>
  <si>
    <t xml:space="preserve">I should not have been charged a fee for my transfer.</t>
  </si>
  <si>
    <t xml:space="preserve">I did a transfer and was charged a fee that should not have been charged!</t>
  </si>
  <si>
    <t xml:space="preserve">I was charged a fee for a transfer. Where did it come from?</t>
  </si>
  <si>
    <t xml:space="preserve">Why did I get charged a fee for my transfer?</t>
  </si>
  <si>
    <t xml:space="preserve">How come a fee was charged when I tranferred money</t>
  </si>
  <si>
    <t xml:space="preserve">Why was a fee charged to me for transferring money?</t>
  </si>
  <si>
    <t xml:space="preserve">Why do I get a fee every time I transfer?</t>
  </si>
  <si>
    <t xml:space="preserve">I was charge a fee that I wasn't told about</t>
  </si>
  <si>
    <t xml:space="preserve">I noticed a charge for a transfer.  Why is this?  Is it because I did an international transfer?</t>
  </si>
  <si>
    <t xml:space="preserve">Is it right that I've been charged for transferring money?</t>
  </si>
  <si>
    <t xml:space="preserve">This transfer incurred a fee that I don't think is right.</t>
  </si>
  <si>
    <t xml:space="preserve">I just recently got a new beach condo in Bora Bora, and to furnish it I used this account a lot from overseas. It's upsetting, being a long-time customer of yours, that I saw extra fees on my account from my currency transfer. Is this what I should expect from you in the future?</t>
  </si>
  <si>
    <t xml:space="preserve">Why was I charged a fee when making this transfer when I shouldn't have been?</t>
  </si>
  <si>
    <t xml:space="preserve">I just moved overseas and I noticed that you are charging me more fees.  I am a loyal customer, is this how you expect to keep customers?</t>
  </si>
  <si>
    <t xml:space="preserve">Im not sure why Im being charged an extra fee just for purchasing an item from another country? I paid for the item and the shipping why am I getting charged extra?</t>
  </si>
  <si>
    <t xml:space="preserve">I make payments for my place abroad using this account and since i use it so frequently I was wondering why did the fees increase suddenly rather than decreasing? I would think customers like me should receive incentives for using your service</t>
  </si>
  <si>
    <t xml:space="preserve">Why was there a transfer fee on my account?</t>
  </si>
  <si>
    <t xml:space="preserve">Can my salary be received here?</t>
  </si>
  <si>
    <t xml:space="preserve">How can my boss pay me directly to the card?</t>
  </si>
  <si>
    <t xml:space="preserve">Salary in GBP has been received. Does it need to be configured into another place?</t>
  </si>
  <si>
    <t xml:space="preserve">I am paid by my employer in GBP; do I need to do anything in the app to indicate this?</t>
  </si>
  <si>
    <t xml:space="preserve">How can my friend give me money?</t>
  </si>
  <si>
    <t xml:space="preserve">I would like to know how my friend would be able to send me money</t>
  </si>
  <si>
    <t xml:space="preserve">How can I receive money?</t>
  </si>
  <si>
    <t xml:space="preserve">I received a transfer in GBP how do I change it to a different currency?</t>
  </si>
  <si>
    <t xml:space="preserve">How can my friend send money to me?</t>
  </si>
  <si>
    <t xml:space="preserve">Can I receive my salary with this in another currency?</t>
  </si>
  <si>
    <t xml:space="preserve">Can i receive transfers from my employer to this account?</t>
  </si>
  <si>
    <t xml:space="preserve">Will my GPB update my salary</t>
  </si>
  <si>
    <t xml:space="preserve">How do I transfer funds if I am paid in GBP?</t>
  </si>
  <si>
    <t xml:space="preserve">am i able to receive my salary this way?</t>
  </si>
  <si>
    <t xml:space="preserve">What are the steps for getting money from a friend?</t>
  </si>
  <si>
    <t xml:space="preserve">Can I directly deposit my salary to this account?</t>
  </si>
  <si>
    <t xml:space="preserve">How can I receive my salary with a different currency?</t>
  </si>
  <si>
    <t xml:space="preserve">My salary is in GBP - what should I do?</t>
  </si>
  <si>
    <t xml:space="preserve">I would like to receive my salary in a different currency. How does that work?</t>
  </si>
  <si>
    <t xml:space="preserve">How can people transfer money to me?</t>
  </si>
  <si>
    <t xml:space="preserve">i want to get my salary deposited as pesos?</t>
  </si>
  <si>
    <t xml:space="preserve">My salary is deposited in GBP. Do I need to choose the currency?</t>
  </si>
  <si>
    <t xml:space="preserve">What do I need to do to get my salary through this?</t>
  </si>
  <si>
    <t xml:space="preserve">How can you transfer my salary to my correct currency?</t>
  </si>
  <si>
    <t xml:space="preserve">I need my payment in another currency</t>
  </si>
  <si>
    <t xml:space="preserve">how do i find out about transfers</t>
  </si>
  <si>
    <t xml:space="preserve">I received my salary in the wrong currency. How do I change this?</t>
  </si>
  <si>
    <t xml:space="preserve">Can I transfer my payroll to the bank?</t>
  </si>
  <si>
    <t xml:space="preserve">Can i receive transfers from my employer this way?</t>
  </si>
  <si>
    <t xml:space="preserve">Can my friend send me money if it is not in US dollars?</t>
  </si>
  <si>
    <t xml:space="preserve">Do I need to select a preference to receive my salary payments in GBP and, if so, where?</t>
  </si>
  <si>
    <t xml:space="preserve">How do I get money from friends?</t>
  </si>
  <si>
    <t xml:space="preserve">Is it possible for a friend to personally send me a payment?</t>
  </si>
  <si>
    <t xml:space="preserve">What are the steps for my friend to send me money?</t>
  </si>
  <si>
    <t xml:space="preserve">Can I receive payments in another currency?</t>
  </si>
  <si>
    <t xml:space="preserve">What do I need to do to receive my payroll in the account?</t>
  </si>
  <si>
    <t xml:space="preserve">Please show me how my friend can send me money.</t>
  </si>
  <si>
    <t xml:space="preserve">How do I know what my account is set to, I am paid in GBP?</t>
  </si>
  <si>
    <t xml:space="preserve">Can I receive money in a different countries money?</t>
  </si>
  <si>
    <t xml:space="preserve">Can I transfer my salary if its in GBP?</t>
  </si>
  <si>
    <t xml:space="preserve">Can my friend send me money?</t>
  </si>
  <si>
    <t xml:space="preserve">My salary is in GBP, do I need to exchange it before putting it into my account?</t>
  </si>
  <si>
    <t xml:space="preserve">Do I need to convert my currency from GBP before transferring?</t>
  </si>
  <si>
    <t xml:space="preserve">Is it ok for a friend to send me money?</t>
  </si>
  <si>
    <t xml:space="preserve">can my husband open an account and transfer money</t>
  </si>
  <si>
    <t xml:space="preserve">How can I receive money from someone?</t>
  </si>
  <si>
    <t xml:space="preserve">What can I use to receive my salary?</t>
  </si>
  <si>
    <t xml:space="preserve">My friend wants to send me money, can she?</t>
  </si>
  <si>
    <t xml:space="preserve">How can I receive money from my friend?</t>
  </si>
  <si>
    <t xml:space="preserve">Can I get paid for this in another currency?</t>
  </si>
  <si>
    <t xml:space="preserve">Can I use my salary for this?</t>
  </si>
  <si>
    <t xml:space="preserve">Can I transfer money using a different currency?</t>
  </si>
  <si>
    <t xml:space="preserve">Can I have a friend send money directly to me?</t>
  </si>
  <si>
    <t xml:space="preserve">Can I transfer my salary onto here?</t>
  </si>
  <si>
    <t xml:space="preserve">Can this app take my salary?</t>
  </si>
  <si>
    <t xml:space="preserve">My salary is received in the form of GBP. Is it necessary to configure this? If so, where is this done?</t>
  </si>
  <si>
    <t xml:space="preserve">May I get my salary paid out in a different currency?</t>
  </si>
  <si>
    <t xml:space="preserve">I use GBP for my salary deposits. Must I set this up somewhere?</t>
  </si>
  <si>
    <t xml:space="preserve">I was wondering, Can I get my pay in another currency?</t>
  </si>
  <si>
    <t xml:space="preserve">What will I need to configure if my salary is in GBP?</t>
  </si>
  <si>
    <t xml:space="preserve">what currencies can I receive my salary in with this?</t>
  </si>
  <si>
    <t xml:space="preserve">Who can send me money?</t>
  </si>
  <si>
    <t xml:space="preserve">My salary is in GBP, is this something I need to configure?</t>
  </si>
  <si>
    <t xml:space="preserve">Can my salary be received and transferred to my current currency in my country?</t>
  </si>
  <si>
    <t xml:space="preserve">Can I transfer my paycheck to the account?</t>
  </si>
  <si>
    <t xml:space="preserve">How does one send me money?</t>
  </si>
  <si>
    <t xml:space="preserve">My salary comes in GBP can I change my options somewhere?</t>
  </si>
  <si>
    <t xml:space="preserve">How do I receive money from someone?</t>
  </si>
  <si>
    <t xml:space="preserve">How can I receive my salary in another currency?</t>
  </si>
  <si>
    <t xml:space="preserve">Are there ways for other people to send me money?</t>
  </si>
  <si>
    <t xml:space="preserve">What if I need my salary in another currency?</t>
  </si>
  <si>
    <t xml:space="preserve">How would my friend be able to send me money?</t>
  </si>
  <si>
    <t xml:space="preserve">Will my employer be able to pay me with this service</t>
  </si>
  <si>
    <t xml:space="preserve">Which foreign currencies can I get transferred into my account?</t>
  </si>
  <si>
    <t xml:space="preserve">Is there any way to get my salary in a different currency?</t>
  </si>
  <si>
    <t xml:space="preserve">What methods are available for my friend to send me money?</t>
  </si>
  <si>
    <t xml:space="preserve">How to receive transfers from my employer when I get paid in GBP?</t>
  </si>
  <si>
    <t xml:space="preserve">Am I allowed to use different currencies?</t>
  </si>
  <si>
    <t xml:space="preserve">Can I receive payment in another currency?</t>
  </si>
  <si>
    <t xml:space="preserve">Can friends send me money?</t>
  </si>
  <si>
    <t xml:space="preserve">How can my friend pay me?</t>
  </si>
  <si>
    <t xml:space="preserve">I have obtained the salary in GBP, will it need to be configured?</t>
  </si>
  <si>
    <t xml:space="preserve">Can I use a transfer to receive my transfer?</t>
  </si>
  <si>
    <t xml:space="preserve">Can friends transfer money to each other?</t>
  </si>
  <si>
    <t xml:space="preserve">Can my job deposit my wages directly into the account.</t>
  </si>
  <si>
    <t xml:space="preserve">Do I need to do anything special for my friend to send money to my account?</t>
  </si>
  <si>
    <t xml:space="preserve">My friend would like to send me money. What are the options available to them?</t>
  </si>
  <si>
    <t xml:space="preserve">Do I need to add my salary?</t>
  </si>
  <si>
    <t xml:space="preserve">Will you accept my salary if it's in another currency?</t>
  </si>
  <si>
    <t xml:space="preserve">If my salary is in GBP, do I need to do something?</t>
  </si>
  <si>
    <t xml:space="preserve">Can I use a different currency with my salary?</t>
  </si>
  <si>
    <t xml:space="preserve">My salary is in GBP. Do I need to configure this somewhere?</t>
  </si>
  <si>
    <t xml:space="preserve">How can I configure what currency my salary is in if it's in GBP?</t>
  </si>
  <si>
    <t xml:space="preserve">Do you support direct deposits from my employer?</t>
  </si>
  <si>
    <t xml:space="preserve">Can i get payed through this system?</t>
  </si>
  <si>
    <t xml:space="preserve">What is happening?  I have tried to transfer money 5x already.  Is the system down?  This shouldnt be happening as this is a basic transfer.</t>
  </si>
  <si>
    <t xml:space="preserve">Is there a reason that my transfer failed?</t>
  </si>
  <si>
    <t xml:space="preserve">Why didn't my transfer complete?</t>
  </si>
  <si>
    <t xml:space="preserve">Why was I unable to finish this transfer?</t>
  </si>
  <si>
    <t xml:space="preserve">I have made 5 attempts to make a very standard survey, yet I can't get it to work. What is the problem? Is there an issue related to your system?</t>
  </si>
  <si>
    <t xml:space="preserve">Your system is broken. My transfers keep failing, 5 times now.</t>
  </si>
  <si>
    <t xml:space="preserve">I tried to make a transfer like five different times. Why won't your system let me? Is it broke?</t>
  </si>
  <si>
    <t xml:space="preserve">Can you tell me why I wasn't able to complete my transfer?</t>
  </si>
  <si>
    <t xml:space="preserve">Why wont the other bank take my money?? Is it not good enough?? There's sufficient funds but I keep getting denied a standard transfer. Ive tried 5 times!</t>
  </si>
  <si>
    <t xml:space="preserve">Is there a problem with your system being down or something? I have already tried 5 times to issue a standard transfer but I'm getting nowhere.</t>
  </si>
  <si>
    <t xml:space="preserve">A transfer could not be completed.</t>
  </si>
  <si>
    <t xml:space="preserve">What would cause a transfer failure?</t>
  </si>
  <si>
    <t xml:space="preserve">I believe that my transfer hasn't gone through.</t>
  </si>
  <si>
    <t xml:space="preserve">Transfer isn't working?</t>
  </si>
  <si>
    <t xml:space="preserve">Can you tell me why my transfer is failing and help resolve?</t>
  </si>
  <si>
    <t xml:space="preserve">Transfer has failed.</t>
  </si>
  <si>
    <t xml:space="preserve">Did  my transfer fail?</t>
  </si>
  <si>
    <t xml:space="preserve">I tried to make a transfer but it failed. will you tell me why?</t>
  </si>
  <si>
    <t xml:space="preserve">I was unable to transfer money from my account.</t>
  </si>
  <si>
    <t xml:space="preserve">Why hasn't my transfer gone through</t>
  </si>
  <si>
    <t xml:space="preserve">I really need some help to understand why my transfer keeps failing. I'm trying to send money to a friend. Please help.</t>
  </si>
  <si>
    <t xml:space="preserve">I have tried 5 times at this point to complete a transfer that's simply standard. What appears to be the problem? Is your system messed up?</t>
  </si>
  <si>
    <t xml:space="preserve">Hi, I am currently in the process of buying a flat and I am waiting for the mortgage to go through but it keeps showing up as an error.  Do you know what could be causing this and can you help me get the money over.</t>
  </si>
  <si>
    <t xml:space="preserve">Hi, I'm in progress of purchasing a flat and am trying to make to make a payment.  An error is appearing, and I need assistance.</t>
  </si>
  <si>
    <t xml:space="preserve">Why did my transfer not work?</t>
  </si>
  <si>
    <t xml:space="preserve">The transfer keeps failing - I tried to transfer some money to friends this morning but it keeps getting rejected for some reason, I have no idea why</t>
  </si>
  <si>
    <t xml:space="preserve">I've been trying to do a transfer multiple times and have failed? Is the system down?</t>
  </si>
  <si>
    <t xml:space="preserve">I have tried sending a standard transfer five times and it hasn't gone through. What is the problem?</t>
  </si>
  <si>
    <t xml:space="preserve">My transfer failed when I tried.</t>
  </si>
  <si>
    <t xml:space="preserve">Can you explain why my transfer was unsuccessful?</t>
  </si>
  <si>
    <t xml:space="preserve">Why did my transfer fail?  What can I do?</t>
  </si>
  <si>
    <t xml:space="preserve">My transfer failed.  Help!</t>
  </si>
  <si>
    <t xml:space="preserve">My transfer failed to process correctly. Is there a reason this would happen?</t>
  </si>
  <si>
    <t xml:space="preserve">Can you help me transfer money into my friend's bank account? I tried to do it but it keeps rejecting me. I need to get the money in there asap. I have enough and all the account info is correct.</t>
  </si>
  <si>
    <t xml:space="preserve">I tried to make a transfer and it didn't work.</t>
  </si>
  <si>
    <t xml:space="preserve">please help my transfer go through</t>
  </si>
  <si>
    <t xml:space="preserve">My transfer didn't work! Help!</t>
  </si>
  <si>
    <t xml:space="preserve">What could possibly be the cause of my failed transfer?</t>
  </si>
  <si>
    <t xml:space="preserve">Is there a reason behind why my transfer did not work?</t>
  </si>
  <si>
    <t xml:space="preserve">Why won't my transfer go through?</t>
  </si>
  <si>
    <t xml:space="preserve">Why can't I make a transfer?</t>
  </si>
  <si>
    <t xml:space="preserve">I got a transfer fail message, but no explanation of why-- what happened?</t>
  </si>
  <si>
    <t xml:space="preserve">Why did the transfer fail when I attempted to do it earlier?</t>
  </si>
  <si>
    <t xml:space="preserve">Hello.  I ran into a problem with a transfer this morning.  I was trying to send money to some friends but when I tried to send it, the transfer failed.  I don't know what is causing the transfer to be rejected.  Please let me know what is causing the problem.  Thanks.</t>
  </si>
  <si>
    <t xml:space="preserve">So, I am in the middle of purchasing a flat. I need the money for the first mortgage payment and it is not going through. I keep receiving an error. Can you find out what's going on and help me complete this transfer?</t>
  </si>
  <si>
    <t xml:space="preserve">Can you tell my why my funds transfer did not work properly?</t>
  </si>
  <si>
    <t xml:space="preserve">Why didn't my transfer work?</t>
  </si>
  <si>
    <t xml:space="preserve">Hi there, I've tried to make a transfer 5 different times and its not working. Is your system down or something?</t>
  </si>
  <si>
    <t xml:space="preserve">Why can I not make a transfer?</t>
  </si>
  <si>
    <t xml:space="preserve">My transfer failed, why did that happen?</t>
  </si>
  <si>
    <t xml:space="preserve">The app says my transfer failed</t>
  </si>
  <si>
    <t xml:space="preserve">Is there a reason my transfer failed?</t>
  </si>
  <si>
    <t xml:space="preserve">Why was my transaction not approved?</t>
  </si>
  <si>
    <t xml:space="preserve">I attemped a transfer and it didn't go through.</t>
  </si>
  <si>
    <t xml:space="preserve">is the a reason why my transfer has failed?</t>
  </si>
  <si>
    <t xml:space="preserve">The transfer I tried to make failed.</t>
  </si>
  <si>
    <t xml:space="preserve">Can you please assist me in completing a transfer? I'm trying and I keep getting an error. I'm trying to purchase a flat and pay the initial mortgage payment. All I keep getting is an error. Can you find out what's happening here?</t>
  </si>
  <si>
    <t xml:space="preserve">Why can't I transfer my money into someone else's account? I should be able to do so right? Why does it keep rejecting my transfer? There's no reason, all my info is correct and the money is there.</t>
  </si>
  <si>
    <t xml:space="preserve">Hello, I am buying a flat and need the inital payment for the mortgage to go through. It keeps showing up as error, what is going on? Can you please help me make this transfer?</t>
  </si>
  <si>
    <t xml:space="preserve">Why can't I complete my transfer?</t>
  </si>
  <si>
    <t xml:space="preserve">My card couldn't complete a transfer, why?</t>
  </si>
  <si>
    <t xml:space="preserve">Hey, I'm buying a flat and I need my mortgage to go though. However, every time I check I get an error message. Is there any way you can help me with this transfer.</t>
  </si>
  <si>
    <t xml:space="preserve">Errors keep showing up every time I try to make this transfer and I am on a time crunch,  could you please help.</t>
  </si>
  <si>
    <t xml:space="preserve">Why do my transfers keep failing?</t>
  </si>
  <si>
    <t xml:space="preserve">Why didn't this transfer work?</t>
  </si>
  <si>
    <t xml:space="preserve">Hi, I have been transferring money to my friends since morning, but all my transactions were getting failed. Can you please look into this issue.</t>
  </si>
  <si>
    <t xml:space="preserve">My transfer did not work, what was the reason?</t>
  </si>
  <si>
    <t xml:space="preserve">What do I need to do to correct this failed transfer?</t>
  </si>
  <si>
    <t xml:space="preserve">I tried to do a transfer and it hasn't worked!</t>
  </si>
  <si>
    <t xml:space="preserve">What went wrong when I tried to do my transfer?</t>
  </si>
  <si>
    <t xml:space="preserve">Why does it say my transfer failed?</t>
  </si>
  <si>
    <t xml:space="preserve">I don't think my transfer wen through. Why?</t>
  </si>
  <si>
    <t xml:space="preserve">How can I find out why my transfer didn't go through?</t>
  </si>
  <si>
    <t xml:space="preserve">I needed to send my friends some money urgently.  I tried multiple times to transfer the money this morning, but the transfer keeps failing.  Can you tell me why the transfer is getting rejected?</t>
  </si>
  <si>
    <t xml:space="preserve">I tried to make a transfer and it failed.</t>
  </si>
  <si>
    <t xml:space="preserve">After I attempted a transfer, it failed.</t>
  </si>
  <si>
    <t xml:space="preserve">I couldnt transfer money from my account.</t>
  </si>
  <si>
    <t xml:space="preserve">What stopped my transfer, from being accepted?</t>
  </si>
  <si>
    <t xml:space="preserve">I've already tried 5 times to complete a transfer that's just standard. What's the deal? Is your system down at this time?</t>
  </si>
  <si>
    <t xml:space="preserve">What caused my transfer to fail?</t>
  </si>
  <si>
    <t xml:space="preserve">My transfer failed</t>
  </si>
  <si>
    <t xml:space="preserve">I tried to make a transfer, but it didn't work.</t>
  </si>
  <si>
    <t xml:space="preserve">How is this transfer supposed to work? It's not working for me.</t>
  </si>
  <si>
    <t xml:space="preserve">This morning, I tried to send money to my friends several times but each time the transfer fails.  Why does it keep failing?  The transfer gets rejected but I do not know what is causing it to be rejected.</t>
  </si>
  <si>
    <t xml:space="preserve">I'm trying to purchase a flat but i need my first payment for my mortgage to go through first. I keep getting an error. I'm not sure what is going on but i need help making this transfer.</t>
  </si>
  <si>
    <t xml:space="preserve">My transfer failed, why?</t>
  </si>
  <si>
    <t xml:space="preserve">My transfer is failing when I try to do it.</t>
  </si>
  <si>
    <t xml:space="preserve">I can't seem to make a standard bank transfer. I have tried at least five times already but none of them are going through. Please tell me what is wrong?</t>
  </si>
  <si>
    <t xml:space="preserve">What may be the reason that my transfer did not go through?</t>
  </si>
  <si>
    <t xml:space="preserve">I tried to transfer money but it didn't go through</t>
  </si>
  <si>
    <t xml:space="preserve">My transfer didn't complete. Why can't I access funds?</t>
  </si>
  <si>
    <t xml:space="preserve">Been trying to transfer money this morning but keep getting rejected. I don't understand why this is happening.</t>
  </si>
  <si>
    <t xml:space="preserve">Hi, I'm trying to purchase a flat and I'm needing the first payment for the mortgage to go through on the flat I'm trying to buy. For some reason I keep getting an error.can you assist in making this transfer? What is going on?</t>
  </si>
  <si>
    <t xml:space="preserve">My transfer didn't work how come?</t>
  </si>
  <si>
    <t xml:space="preserve">Hi I'm sending some money over to an investment bank I do business and the transaction is being rejected. I'm not sure why as I think I have the right details.</t>
  </si>
  <si>
    <t xml:space="preserve">I think my transfer failed. What do I do now?</t>
  </si>
  <si>
    <t xml:space="preserve">I attempted a transfer, but it failed.</t>
  </si>
  <si>
    <t xml:space="preserve">I couldn't make a transfer</t>
  </si>
  <si>
    <t xml:space="preserve">Hello. I'm trying to transfer some money to a friend but it keeps getting rejected. can you help me?</t>
  </si>
  <si>
    <t xml:space="preserve">The transfer keeps rejected, I tried to transfer some money to friends but it keeps getting rejected for some reason, Would you please check the issue?</t>
  </si>
  <si>
    <t xml:space="preserve">I've been trying to make a transfer and it doesn't seem to be working. (5 times) What is wrong with your system?</t>
  </si>
  <si>
    <t xml:space="preserve">Why are my transfers not going through.  I have tried over 4 times to get it to work.  This is just a simple transfer.  Is something else causing this in the system?  Is it broken?</t>
  </si>
  <si>
    <t xml:space="preserve">Why was I not able to complete my transfer?</t>
  </si>
  <si>
    <t xml:space="preserve">The transfer keeps failing , I tried to transfer some money to friends this morning but it keeps getting rejected for some reason, Would you please check the issue?</t>
  </si>
  <si>
    <t xml:space="preserve">Why was my transaction declined?</t>
  </si>
  <si>
    <t xml:space="preserve">Why wouldn't a transfer go through?</t>
  </si>
  <si>
    <t xml:space="preserve">Can you please tell me why my transfer failed?</t>
  </si>
  <si>
    <t xml:space="preserve">I did a transfer earlier but see that it failed to go through.</t>
  </si>
  <si>
    <t xml:space="preserve">Why has my payment not transferred?</t>
  </si>
  <si>
    <t xml:space="preserve">I tried to do a transfer but it didn't go through.</t>
  </si>
  <si>
    <t xml:space="preserve">The attempted transfer failed.</t>
  </si>
  <si>
    <t xml:space="preserve">I need help making this transfer. I keep getting an error. I'm trying to purchase a flat but i need my mortgage payment to go through first. Can you help?</t>
  </si>
  <si>
    <t xml:space="preserve">Why does my transfer keep failing? I've tried 5 times and they all failed.</t>
  </si>
  <si>
    <t xml:space="preserve">A mortgage payment I'm making is giving me an error message.  This is the first time I'm making this payment and want to know what's wrong.</t>
  </si>
  <si>
    <t xml:space="preserve">Hi, can you tell me why my transfer keeps being rejected? I've been trying to send money to my friends this morning but failed every time and I have no idea why?</t>
  </si>
  <si>
    <t xml:space="preserve">I need assistance completing a transfer. I'm trying to purchase a flat and need the money for the initial mortgage payment. I keep getting an error and the transfer is not going through. What is going on here?</t>
  </si>
  <si>
    <t xml:space="preserve">What are the reasons that my mortgage payment won't go through? I'm getting an error and don't know how to correct to get this transfer to go through.</t>
  </si>
  <si>
    <t xml:space="preserve">Why was I unable to complete my transfer?</t>
  </si>
  <si>
    <t xml:space="preserve">Hi, I'm buying my son Bertie a starter home in London.  I'm just trying to send the 5% deposit over to the agent. It's only £200,000 but seems to be throwing an error.  What is going on?  If I wait any longer the house prices might rise, can you look in to it please?</t>
  </si>
  <si>
    <t xml:space="preserve">I'm trying to make a bank transfer but It's not going through. Could there not be enough funds to transfer or something? Have I done it too many times?</t>
  </si>
  <si>
    <t xml:space="preserve">I need to know what is going on. I'm attempting to purchase a flat and need the money to pay on my initial mortgage payment. I'm only getting an error. Can you find out what's going on and help in making the transfer?</t>
  </si>
  <si>
    <t xml:space="preserve">Can you please explain why my transfer failed?</t>
  </si>
  <si>
    <t xml:space="preserve">I think youre system may be broken because I have tried transfer money 5x and it isnt working!  I'm not doing anything complicated it is what I usually do.</t>
  </si>
  <si>
    <t xml:space="preserve">I am trying to transfer money and something is going wrong.</t>
  </si>
  <si>
    <t xml:space="preserve">I am unsuccessfully trying to make a transfer can you help?</t>
  </si>
  <si>
    <t xml:space="preserve">I can't transfer any money from my account to my friend's account, it keeps rejecting it. Can you tell me why? I have enough funds in my account to transfer.</t>
  </si>
  <si>
    <t xml:space="preserve">Why did the bank reject my transfer?</t>
  </si>
  <si>
    <t xml:space="preserve">I tried and tried, but I could not complete my transfer. Tell me what is wrong.</t>
  </si>
  <si>
    <t xml:space="preserve">I'm getting an error when trying to make a payment. I want to purchase a flat but my mortgage payment needs to go through. Can you help me?</t>
  </si>
  <si>
    <t xml:space="preserve">The transger I tried to make failed.</t>
  </si>
  <si>
    <t xml:space="preserve">When I tried to transfer funds to my friend today I was unable to do so, why?</t>
  </si>
  <si>
    <t xml:space="preserve">I've tried to send money to my friends and I keep getting rejected. Can you please tell me why, I don't understand.</t>
  </si>
  <si>
    <t xml:space="preserve">why do i have a failed transfer</t>
  </si>
  <si>
    <t xml:space="preserve">I've tried completing a very standard transfer and have already attempted it 5 times. What's going on here? Is there a problem with your system?</t>
  </si>
  <si>
    <t xml:space="preserve">When I attempted to make a transfer, it failed.</t>
  </si>
  <si>
    <t xml:space="preserve">Why can't my transfer complete?</t>
  </si>
  <si>
    <t xml:space="preserve">Why can't I complete the transfer?</t>
  </si>
  <si>
    <t xml:space="preserve">I want to transfer money. How do I do that for my account?</t>
  </si>
  <si>
    <t xml:space="preserve">How do I transfer money into my account?</t>
  </si>
  <si>
    <t xml:space="preserve">How can I link my bank to my top up account?</t>
  </si>
  <si>
    <t xml:space="preserve">I have an account that is empty of funds. Can I transfer some from another bank?</t>
  </si>
  <si>
    <t xml:space="preserve">HOW DO I TRANSFER MONEY FROM MY BANK ACCOUNT?</t>
  </si>
  <si>
    <t xml:space="preserve">Whats the transfer process</t>
  </si>
  <si>
    <t xml:space="preserve">How can you assist me on topping up on bank transfers to my account?</t>
  </si>
  <si>
    <t xml:space="preserve">Can I add money to my account via bank transfer?</t>
  </si>
  <si>
    <t xml:space="preserve">I want to op up my account by using bank transfer. How do I go about it?</t>
  </si>
  <si>
    <t xml:space="preserve">I have questions about how to transfer money to my account.</t>
  </si>
  <si>
    <t xml:space="preserve">I need to add money to my account. Can I do so via bank transfer?</t>
  </si>
  <si>
    <t xml:space="preserve">Can I use my bank account to send me more money?</t>
  </si>
  <si>
    <t xml:space="preserve">I can't figure out how to transfer money into my account.</t>
  </si>
  <si>
    <t xml:space="preserve">Can you please explain how to transfer money using the bank transfer process?</t>
  </si>
  <si>
    <t xml:space="preserve">How simple is it to transfer money into my account?</t>
  </si>
  <si>
    <t xml:space="preserve">How can my account have money transferred into it?</t>
  </si>
  <si>
    <t xml:space="preserve">I am in desperate need to transfer funds from another account that i have into this one, how do i do that?</t>
  </si>
  <si>
    <t xml:space="preserve">How do I use bank transfer to top up my account?</t>
  </si>
  <si>
    <t xml:space="preserve">How do I top up?</t>
  </si>
  <si>
    <t xml:space="preserve">Why can I not transfer money into my account?</t>
  </si>
  <si>
    <t xml:space="preserve">How can I move money from an account at another bank to this one?</t>
  </si>
  <si>
    <t xml:space="preserve">What process should I use to transfer money into my account?</t>
  </si>
  <si>
    <t xml:space="preserve">I want to transfer money into my account, what do I do?</t>
  </si>
  <si>
    <t xml:space="preserve">I need to deposit money to my account</t>
  </si>
  <si>
    <t xml:space="preserve">Can you transfer money to your card by bank transfer?</t>
  </si>
  <si>
    <t xml:space="preserve">What do you do to transfer money to my account?</t>
  </si>
  <si>
    <t xml:space="preserve">How can I move money from my account at a different bank to the account I have at this bank.</t>
  </si>
  <si>
    <t xml:space="preserve">Please provide details on how to top up my account using transfer option</t>
  </si>
  <si>
    <t xml:space="preserve">Where can I find out how to transfer money into my account.</t>
  </si>
  <si>
    <t xml:space="preserve">How does it work when I transfer money into my account?</t>
  </si>
  <si>
    <t xml:space="preserve">I need assistance with transferring funds to another account.</t>
  </si>
  <si>
    <t xml:space="preserve">How can I add money to my account from another account I have?</t>
  </si>
  <si>
    <t xml:space="preserve">I have money in a foreign account that I want to send to this account.</t>
  </si>
  <si>
    <t xml:space="preserve">How can I transfer money into my account?</t>
  </si>
  <si>
    <t xml:space="preserve">I need to move money from another bank to this account.</t>
  </si>
  <si>
    <t xml:space="preserve">I need to transfer money into this account from my other bank account.</t>
  </si>
  <si>
    <t xml:space="preserve">How do I go forth with bank transfers for top up accounts?</t>
  </si>
  <si>
    <t xml:space="preserve">I have an account at another bank, but I want to transfer some of the money to my account here.
.</t>
  </si>
  <si>
    <t xml:space="preserve">I want to do a bank transfer to this bank, from an account at another bank.</t>
  </si>
  <si>
    <t xml:space="preserve">What are my bank details so I can do a transfer?</t>
  </si>
  <si>
    <t xml:space="preserve">How would I use a bank transfer for topping my account?</t>
  </si>
  <si>
    <t xml:space="preserve">I would like to know how to transfer money into my account.</t>
  </si>
  <si>
    <t xml:space="preserve">My account is devoid of funds. Am I permitted to submit additional money via bank transfer?</t>
  </si>
  <si>
    <t xml:space="preserve">How does a bank transfer for topping my account work?</t>
  </si>
  <si>
    <t xml:space="preserve">I'd like to know how transferring my money into my account works.</t>
  </si>
  <si>
    <t xml:space="preserve">How is my money transferred to the account</t>
  </si>
  <si>
    <t xml:space="preserve">How do I top up my account with a bank transfer?</t>
  </si>
  <si>
    <t xml:space="preserve">I need to transfer money to my account from another bank</t>
  </si>
  <si>
    <t xml:space="preserve">I would like to transfer money into my account.</t>
  </si>
  <si>
    <t xml:space="preserve">I would like to transfer money from my checking account to my savings account.</t>
  </si>
  <si>
    <t xml:space="preserve">I want to transfer money into my account</t>
  </si>
  <si>
    <t xml:space="preserve">What transfer methods do you accept?</t>
  </si>
  <si>
    <t xml:space="preserve">I need to transfer money into my account, and I don't know how to do that.</t>
  </si>
  <si>
    <t xml:space="preserve">I need to transfer money into my account, HOW?</t>
  </si>
  <si>
    <t xml:space="preserve">Can I transfer money to my card via bank-transfer?</t>
  </si>
  <si>
    <t xml:space="preserve">How can I transfer some money into a foreign account?</t>
  </si>
  <si>
    <t xml:space="preserve">I need to know the process to transfer money into my account.</t>
  </si>
  <si>
    <t xml:space="preserve">Can I add money to top up my account via a bank transfer?</t>
  </si>
  <si>
    <t xml:space="preserve">What currencies can I use to top up my account?</t>
  </si>
  <si>
    <t xml:space="preserve">How do I top up my account using transfer?</t>
  </si>
  <si>
    <t xml:space="preserve">Account topping up bank transfers to my account assistance please?</t>
  </si>
  <si>
    <t xml:space="preserve">I want to take some funds from my other bank account and add them to this one.</t>
  </si>
  <si>
    <t xml:space="preserve">I need more money in my account. Can I add more by transferring?</t>
  </si>
  <si>
    <t xml:space="preserve">How do I go about transferring money into my bank account?</t>
  </si>
  <si>
    <t xml:space="preserve">How do I go forth on transferring a sum of money from one account to another?</t>
  </si>
  <si>
    <t xml:space="preserve">How do I initiated a bank transfer to top up?</t>
  </si>
  <si>
    <t xml:space="preserve">How can I transfer money between accounts?</t>
  </si>
  <si>
    <t xml:space="preserve">Whats the process of tranfering money into an account?</t>
  </si>
  <si>
    <t xml:space="preserve">I would like to top up my account with a bank transfer, is that allowed?</t>
  </si>
  <si>
    <t xml:space="preserve">How can I deposit money to my account?</t>
  </si>
  <si>
    <t xml:space="preserve">I have zero dollars in my account. Can I submit additional funds via bank transfer?</t>
  </si>
  <si>
    <t xml:space="preserve">What are the steps for  making a transfer for topping up?</t>
  </si>
  <si>
    <t xml:space="preserve">For my account, how do I transfer money in?</t>
  </si>
  <si>
    <t xml:space="preserve">How do I transfer money between two of my accounts?</t>
  </si>
  <si>
    <t xml:space="preserve">What is the procedure to transfer money to my account?</t>
  </si>
  <si>
    <t xml:space="preserve">Is a bank transfer acceptable for topping up my account?</t>
  </si>
  <si>
    <t xml:space="preserve">I have no more money in my account.  Is there a way to do a bank transfer to put money into my account?</t>
  </si>
  <si>
    <t xml:space="preserve">I need to transfer funds from my other bank account into this bank account.</t>
  </si>
  <si>
    <t xml:space="preserve">I want to transfer a sum of money from another bank account I have into this one</t>
  </si>
  <si>
    <t xml:space="preserve">Can I transfer money to my account with the app?</t>
  </si>
  <si>
    <t xml:space="preserve">Can you tell me how transferring money into my account works?</t>
  </si>
  <si>
    <t xml:space="preserve">Help! My account doesn't show any funds. Is transferring funds an option I can use?</t>
  </si>
  <si>
    <t xml:space="preserve">How do I transfer cash my into my account?</t>
  </si>
  <si>
    <t xml:space="preserve">How can I top up my account by bank transfer?</t>
  </si>
  <si>
    <t xml:space="preserve">I was wondering about transferring money into my account and how it works.  Can you tell me about that?</t>
  </si>
  <si>
    <t xml:space="preserve">My money is all gone. What ways are okay to add money to my account?</t>
  </si>
  <si>
    <t xml:space="preserve">I need to move money from one of my other accounts to this one.</t>
  </si>
  <si>
    <t xml:space="preserve">What is the process for transferring money into my account?</t>
  </si>
  <si>
    <t xml:space="preserve">Tell me how to top up my account using bank transfer.</t>
  </si>
  <si>
    <t xml:space="preserve">Can I top-up my card using a bank transfer.</t>
  </si>
  <si>
    <t xml:space="preserve">Can I use a bank transfer to add money to my account?</t>
  </si>
  <si>
    <t xml:space="preserve">I want to top up by transfering accounts, What do I do?</t>
  </si>
  <si>
    <t xml:space="preserve">show me how to transfer to my account</t>
  </si>
  <si>
    <t xml:space="preserve">How does your app transfer the money</t>
  </si>
  <si>
    <t xml:space="preserve">How do I deposit through bank transfer?</t>
  </si>
  <si>
    <t xml:space="preserve">My account is depleted. Can I transfer funds from another bank?</t>
  </si>
  <si>
    <t xml:space="preserve">Can you please explain the topping up transfer process?</t>
  </si>
  <si>
    <t xml:space="preserve">What can I expect if I use bank transfer to top up my account?</t>
  </si>
  <si>
    <t xml:space="preserve">I want to transfer some money from my other bank account into this one.</t>
  </si>
  <si>
    <t xml:space="preserve">I want to transfer money from another account into this one.</t>
  </si>
  <si>
    <t xml:space="preserve">I would like to move money from one account to another to top off my account. Can you explain how I can do that?</t>
  </si>
  <si>
    <t xml:space="preserve">Can I withdraw money from another bank and transfer it into my empty account?</t>
  </si>
  <si>
    <t xml:space="preserve">How can I go about transferring money to my account?</t>
  </si>
  <si>
    <t xml:space="preserve">How can I transfer money to this account from another bank?</t>
  </si>
  <si>
    <t xml:space="preserve">can i transfer money i the app</t>
  </si>
  <si>
    <t xml:space="preserve">How do I transfer money from one bank account to another?</t>
  </si>
  <si>
    <t xml:space="preserve">What steps are taken to transfer money into my account?</t>
  </si>
  <si>
    <t xml:space="preserve">I am out of money in my account and I was wondering if I could do a bank transfer is put more in it?</t>
  </si>
  <si>
    <t xml:space="preserve">Can you please explain how bank transfers work?</t>
  </si>
  <si>
    <t xml:space="preserve">Can you help me transfer funds from another bank account to this account?</t>
  </si>
  <si>
    <t xml:space="preserve">I am looking to transfer some money from my other bank account into this one.</t>
  </si>
  <si>
    <t xml:space="preserve">where do i go to transfer money from one account to this one</t>
  </si>
  <si>
    <t xml:space="preserve">I need money put into this account from another one.</t>
  </si>
  <si>
    <t xml:space="preserve">Do you know how I can verify that I did a top-up to my card?</t>
  </si>
  <si>
    <t xml:space="preserve">where is the code for verifying the top up card?</t>
  </si>
  <si>
    <t xml:space="preserve">The top-up card is verified how?</t>
  </si>
  <si>
    <t xml:space="preserve">Tell me about verifying top-up</t>
  </si>
  <si>
    <t xml:space="preserve">What is the verification code for my top up card?</t>
  </si>
  <si>
    <t xml:space="preserve">Explain to me how to verify the top-up card.</t>
  </si>
  <si>
    <t xml:space="preserve">How can I verify my top-up card?</t>
  </si>
  <si>
    <t xml:space="preserve">Can you show me how to verify the top-up card?</t>
  </si>
  <si>
    <t xml:space="preserve">Can you explain to me the way to verify my top up has gone through?</t>
  </si>
  <si>
    <t xml:space="preserve">I can't find the top-up card verification code.</t>
  </si>
  <si>
    <t xml:space="preserve">I would like to receive instructions showing the verification process for top up cards..</t>
  </si>
  <si>
    <t xml:space="preserve">Where is the top-up verification code located?</t>
  </si>
  <si>
    <t xml:space="preserve">For what reason must I authenticate the top up?</t>
  </si>
  <si>
    <t xml:space="preserve">what's my top-up verification code?</t>
  </si>
  <si>
    <t xml:space="preserve">Why do the top-ups need to be verified?</t>
  </si>
  <si>
    <t xml:space="preserve">Does the top-up need verified?</t>
  </si>
  <si>
    <t xml:space="preserve">I am having trouble finding the top-up card verification code.</t>
  </si>
  <si>
    <t xml:space="preserve">Why do you ask for top-up verification?</t>
  </si>
  <si>
    <t xml:space="preserve">Where can I find the top up verification code?</t>
  </si>
  <si>
    <t xml:space="preserve">How is top-up verified?</t>
  </si>
  <si>
    <t xml:space="preserve">Do I need to verify my top-up card?</t>
  </si>
  <si>
    <t xml:space="preserve">How do i verify my card?</t>
  </si>
  <si>
    <t xml:space="preserve">What is the point of verifying a top up?</t>
  </si>
  <si>
    <t xml:space="preserve">How do I verify my top up?</t>
  </si>
  <si>
    <t xml:space="preserve">How do I find the top-up verification code?</t>
  </si>
  <si>
    <t xml:space="preserve">Why does top-up need to be verified?</t>
  </si>
  <si>
    <t xml:space="preserve">why do i have to verify top up?</t>
  </si>
  <si>
    <t xml:space="preserve">I'm trying to verify my top-up card, but I can't find the code...?</t>
  </si>
  <si>
    <t xml:space="preserve">How can I verify the top-up card?</t>
  </si>
  <si>
    <t xml:space="preserve">how do I find the code to verify the top up card?</t>
  </si>
  <si>
    <t xml:space="preserve">I need to find the top up verification code</t>
  </si>
  <si>
    <t xml:space="preserve">Please help me find my top-up verification code</t>
  </si>
  <si>
    <t xml:space="preserve">Where can I find the verification code for the card top-up?</t>
  </si>
  <si>
    <t xml:space="preserve">Do I need to verify my top-up?</t>
  </si>
  <si>
    <t xml:space="preserve">Why do we need to verify a top-up card?</t>
  </si>
  <si>
    <t xml:space="preserve">I have a top up card. Where is the verification code?</t>
  </si>
  <si>
    <t xml:space="preserve">How do I find the code needed in order to verify my top-up card?</t>
  </si>
  <si>
    <t xml:space="preserve">How do i find my top-up card's verification code?</t>
  </si>
  <si>
    <t xml:space="preserve">How do I verify the top-up?</t>
  </si>
  <si>
    <t xml:space="preserve">How many digits identify the top-up verification code?</t>
  </si>
  <si>
    <t xml:space="preserve">What is the significance of verifying the top-up?</t>
  </si>
  <si>
    <t xml:space="preserve">Why do we need to verify top-up?</t>
  </si>
  <si>
    <t xml:space="preserve">Please verify my top-up card</t>
  </si>
  <si>
    <t xml:space="preserve">Is there a reason why top-up needs verifying?</t>
  </si>
  <si>
    <t xml:space="preserve">I don't know where the top-up verification code is.</t>
  </si>
  <si>
    <t xml:space="preserve">Verifying the top-up seems like a hassle.</t>
  </si>
  <si>
    <t xml:space="preserve">I can't see a verification code anywhere</t>
  </si>
  <si>
    <t xml:space="preserve">Verify top-up card help?</t>
  </si>
  <si>
    <t xml:space="preserve">What do I do to verify a top-up?</t>
  </si>
  <si>
    <t xml:space="preserve">Is there a way to verify a card top-up?</t>
  </si>
  <si>
    <t xml:space="preserve">How to verify top up card?</t>
  </si>
  <si>
    <t xml:space="preserve">Why are top-ups being verified?</t>
  </si>
  <si>
    <t xml:space="preserve">why verify the top up? it doesnt make sense</t>
  </si>
  <si>
    <t xml:space="preserve">The top-up verification code is not visible.</t>
  </si>
  <si>
    <t xml:space="preserve">I just tried to top-up and now I'm getting an additional verification message, why?</t>
  </si>
  <si>
    <t xml:space="preserve">Where do I find my code to verify my top-up card?</t>
  </si>
  <si>
    <t xml:space="preserve">Why verify the top-ups?</t>
  </si>
  <si>
    <t xml:space="preserve">can you tell me where to find the top-up verification code?</t>
  </si>
  <si>
    <t xml:space="preserve">How do I verify the top-up card?</t>
  </si>
  <si>
    <t xml:space="preserve">Help me verify the card used on a top-up.</t>
  </si>
  <si>
    <t xml:space="preserve">On a card top-up, where can I verify?</t>
  </si>
  <si>
    <t xml:space="preserve">I'm trying to verify my top up card, how do I do that?</t>
  </si>
  <si>
    <t xml:space="preserve">What is the verification process used for?</t>
  </si>
  <si>
    <t xml:space="preserve">Where is my top-up verification code?</t>
  </si>
  <si>
    <t xml:space="preserve">Where can i find my top-up verification code?</t>
  </si>
  <si>
    <t xml:space="preserve">Where is the top-up verification code?</t>
  </si>
  <si>
    <t xml:space="preserve">I don't see a code anywhere on my top-up card? Where can I find it? I need to verify!</t>
  </si>
  <si>
    <t xml:space="preserve">Why do i have to verify my top-up card?</t>
  </si>
  <si>
    <t xml:space="preserve">Do I have to verify the top-up?</t>
  </si>
  <si>
    <t xml:space="preserve">Why do I need to verify the top-up?</t>
  </si>
  <si>
    <t xml:space="preserve">Where can I find the verification code for the top up card?</t>
  </si>
  <si>
    <t xml:space="preserve">I can't see a top-up top-up verification code.</t>
  </si>
  <si>
    <t xml:space="preserve">I don't see the verification code for my card transfer.</t>
  </si>
  <si>
    <t xml:space="preserve">Why does top-up require verification?</t>
  </si>
  <si>
    <t xml:space="preserve">is there a reason i need to verify top up</t>
  </si>
  <si>
    <t xml:space="preserve">Is the verification number on the top up card</t>
  </si>
  <si>
    <t xml:space="preserve">What  is the verification process for a top up card?</t>
  </si>
  <si>
    <t xml:space="preserve">Where is the top-up card verification code?</t>
  </si>
  <si>
    <t xml:space="preserve">How do I verify the top up?</t>
  </si>
  <si>
    <t xml:space="preserve">I am looking for my top-up verification code and cannot find it.</t>
  </si>
  <si>
    <t xml:space="preserve">How do i authenticate a top-up card?</t>
  </si>
  <si>
    <t xml:space="preserve">Do I need to verify the top-up?</t>
  </si>
  <si>
    <t xml:space="preserve">What's the deal with verifying the top-up?</t>
  </si>
  <si>
    <t xml:space="preserve">Can you tell me where to find my top-up verification code?</t>
  </si>
  <si>
    <t xml:space="preserve">Where Is the top up verification code found?</t>
  </si>
  <si>
    <t xml:space="preserve">Please tell me how to verify my top up card.</t>
  </si>
  <si>
    <t xml:space="preserve">How do i secure a top-up card?</t>
  </si>
  <si>
    <t xml:space="preserve">What's up with verifying top-ups?</t>
  </si>
  <si>
    <t xml:space="preserve">Why do I need to verify a top-up?</t>
  </si>
  <si>
    <t xml:space="preserve">Can I verify my top-up card?</t>
  </si>
  <si>
    <t xml:space="preserve">Why is it necessary to verify the top up?</t>
  </si>
  <si>
    <t xml:space="preserve">Why should I verify the top-up?</t>
  </si>
  <si>
    <t xml:space="preserve">this verifying the top up is annoying</t>
  </si>
  <si>
    <t xml:space="preserve">Why do we need to verify top-ups?</t>
  </si>
  <si>
    <t xml:space="preserve">How are top-ups verified?</t>
  </si>
  <si>
    <t xml:space="preserve">Tell me how I can verify a card top-up.</t>
  </si>
  <si>
    <t xml:space="preserve">Do i need to verify my top up?</t>
  </si>
  <si>
    <t xml:space="preserve">My top up card needs verification and I don't know how to do it</t>
  </si>
  <si>
    <t xml:space="preserve">Where's my top up code?</t>
  </si>
  <si>
    <t xml:space="preserve">Where do I find the verification code for the card I'm topping up?</t>
  </si>
  <si>
    <t xml:space="preserve">Where can I find the verification code for a top-up?</t>
  </si>
  <si>
    <t xml:space="preserve">Where do i verify a top-up card?</t>
  </si>
  <si>
    <t xml:space="preserve">What is the top up code for?</t>
  </si>
  <si>
    <t xml:space="preserve">why do you verify the top up</t>
  </si>
  <si>
    <t xml:space="preserve">Tell me why I need top-up to be verified?</t>
  </si>
  <si>
    <t xml:space="preserve">I just want to top-up, why do I need to verify anything?</t>
  </si>
  <si>
    <t xml:space="preserve">Verifying top-up cards necessary?</t>
  </si>
  <si>
    <t xml:space="preserve">Where is the top-up verification code sent?</t>
  </si>
  <si>
    <t xml:space="preserve">What's a verification code?</t>
  </si>
  <si>
    <t xml:space="preserve">Tell me how to verify a top up.</t>
  </si>
  <si>
    <t xml:space="preserve">Where is the verification code display?</t>
  </si>
  <si>
    <t xml:space="preserve">What can I do to verify my card?</t>
  </si>
  <si>
    <t xml:space="preserve">Why is top-up verified?</t>
  </si>
  <si>
    <t xml:space="preserve">Why do I need top-up to be verified?</t>
  </si>
  <si>
    <t xml:space="preserve">How do I authenticate my top-up?</t>
  </si>
  <si>
    <t xml:space="preserve">What is the verification process for my card?</t>
  </si>
  <si>
    <t xml:space="preserve">i don't see the top-up verification code anywhere</t>
  </si>
  <si>
    <t xml:space="preserve">I'm being asked for a verification code. Where do I find it?</t>
  </si>
  <si>
    <t xml:space="preserve">Why does a top- up need to be verify?</t>
  </si>
  <si>
    <t xml:space="preserve">Help my find the verification code on a top-up.</t>
  </si>
  <si>
    <t xml:space="preserve">How can I verify my top up?</t>
  </si>
  <si>
    <t xml:space="preserve">I need help finding the verification code on the top up card.</t>
  </si>
  <si>
    <t xml:space="preserve">What does top-up verification do?</t>
  </si>
  <si>
    <t xml:space="preserve">I CAN NOT FIND THE TOP-UP VERIFICATION CODE.</t>
  </si>
  <si>
    <t xml:space="preserve">How do I go about verifying the top-up card?</t>
  </si>
  <si>
    <t xml:space="preserve">why do i need to verify the top up?</t>
  </si>
  <si>
    <t xml:space="preserve">Are extra charges added for sending out additional cards?</t>
  </si>
  <si>
    <t xml:space="preserve">I'd like to order an additional card</t>
  </si>
  <si>
    <t xml:space="preserve">I want some extra physical cards.</t>
  </si>
  <si>
    <t xml:space="preserve">I would like open a second card for my daughter, how can you assist me?</t>
  </si>
  <si>
    <t xml:space="preserve">Am I gonna be charged for sending out more cards?</t>
  </si>
  <si>
    <t xml:space="preserve">Would I have to pay anything if I need an additional card?</t>
  </si>
  <si>
    <t xml:space="preserve">Is it possible to get a second card for my daughter?</t>
  </si>
  <si>
    <t xml:space="preserve">Can I get a few more physical cards?</t>
  </si>
  <si>
    <t xml:space="preserve">What's the limit on total number of cards I can have?</t>
  </si>
  <si>
    <t xml:space="preserve">Is there a charge for sending out more cards?</t>
  </si>
  <si>
    <t xml:space="preserve">How much does it cost to get more cards?</t>
  </si>
  <si>
    <t xml:space="preserve">How can I create another card linked to this account?</t>
  </si>
  <si>
    <t xml:space="preserve">May I order another card?</t>
  </si>
  <si>
    <t xml:space="preserve">Can I order another card?</t>
  </si>
  <si>
    <t xml:space="preserve">Can I order a second card?</t>
  </si>
  <si>
    <t xml:space="preserve">Can I have more physical cards?</t>
  </si>
  <si>
    <t xml:space="preserve">How many physical cards am I allowed to have?</t>
  </si>
  <si>
    <t xml:space="preserve">I want to get few more physical cards</t>
  </si>
  <si>
    <t xml:space="preserve">Please tell me if I'm going to be charged for sending out more cards?</t>
  </si>
  <si>
    <t xml:space="preserve">Can I get more cards just incase?</t>
  </si>
  <si>
    <t xml:space="preserve">Would I be able to get a second card?</t>
  </si>
  <si>
    <t xml:space="preserve">Do you charge for sending out more cards?</t>
  </si>
  <si>
    <t xml:space="preserve">I need a second card on this account for my daughter.</t>
  </si>
  <si>
    <t xml:space="preserve">How can I get another card?</t>
  </si>
  <si>
    <t xml:space="preserve">Can I have a third card?</t>
  </si>
  <si>
    <t xml:space="preserve">I have left my card at my parents house. Can you send me a spare one please to use in the meantime?</t>
  </si>
  <si>
    <t xml:space="preserve">I'd like to provide my daughter with a card - could I get an additional card from my account to give her?</t>
  </si>
  <si>
    <t xml:space="preserve">What is the price for an additional card?</t>
  </si>
  <si>
    <t xml:space="preserve">Can I get a second card for free?</t>
  </si>
  <si>
    <t xml:space="preserve">Will I be charged if I add more cards to the account?</t>
  </si>
  <si>
    <t xml:space="preserve">How many cards am I allowed?</t>
  </si>
  <si>
    <t xml:space="preserve">Can my daughter also have a card issued in her name, but linked to my account?</t>
  </si>
  <si>
    <t xml:space="preserve">I'd like to order another card</t>
  </si>
  <si>
    <t xml:space="preserve">Can I have a supplementary card?</t>
  </si>
  <si>
    <t xml:space="preserve">I lost my card and need a new one, will it cost me?</t>
  </si>
  <si>
    <t xml:space="preserve">My daughter need a card from this account. Is that possible?</t>
  </si>
  <si>
    <t xml:space="preserve">My daughter would like a card from my account?  Can I do this?</t>
  </si>
  <si>
    <t xml:space="preserve">Are there any fees to get additional cards?</t>
  </si>
  <si>
    <t xml:space="preserve">Can you send me more cards for my account?</t>
  </si>
  <si>
    <t xml:space="preserve">I would like some more physical cards, what is my limit?</t>
  </si>
  <si>
    <t xml:space="preserve">Can I have a duplicate second card?</t>
  </si>
  <si>
    <t xml:space="preserve">I want to give a second card for this account to my daughter, would this be possible?</t>
  </si>
  <si>
    <t xml:space="preserve">What is the procedure for me to get more cards on my account?</t>
  </si>
  <si>
    <t xml:space="preserve">Am I permitted to have a spare card?</t>
  </si>
  <si>
    <t xml:space="preserve">I was wondering if I could get a second card on this account? I would like my daughter to have one.</t>
  </si>
  <si>
    <t xml:space="preserve">Do I have to pay for a second card?</t>
  </si>
  <si>
    <t xml:space="preserve">I would like to purchase another card.</t>
  </si>
  <si>
    <t xml:space="preserve">Is it possible to order another card?</t>
  </si>
  <si>
    <t xml:space="preserve">I'd like to have extra cards. Will I have to pay for that?</t>
  </si>
  <si>
    <t xml:space="preserve">How do I get a spare card?</t>
  </si>
  <si>
    <t xml:space="preserve">How do i request more physical cards?</t>
  </si>
  <si>
    <t xml:space="preserve">What steps do I need to get another card?</t>
  </si>
  <si>
    <t xml:space="preserve">I would like more physical cards</t>
  </si>
  <si>
    <t xml:space="preserve">Is there a charge for getting more cards?</t>
  </si>
  <si>
    <t xml:space="preserve">Can I have a second card issued to another family member?</t>
  </si>
  <si>
    <t xml:space="preserve">How do I obtain a second card?</t>
  </si>
  <si>
    <t xml:space="preserve">How much is it to buy another card? I was hoping to buy another one.</t>
  </si>
  <si>
    <t xml:space="preserve">Where do I order additional cards?</t>
  </si>
  <si>
    <t xml:space="preserve">How much would an extra card cost?</t>
  </si>
  <si>
    <t xml:space="preserve">I would like an extra card.</t>
  </si>
  <si>
    <t xml:space="preserve">Do you send duplicate cards?</t>
  </si>
  <si>
    <t xml:space="preserve">I would like to use one of my cards for a family member. Is that allowed?</t>
  </si>
  <si>
    <t xml:space="preserve">Can another family member hold a card for this account in addition to mine?</t>
  </si>
  <si>
    <t xml:space="preserve">I need another card</t>
  </si>
  <si>
    <t xml:space="preserve">If I need an additional card, is there a fee for that?</t>
  </si>
  <si>
    <t xml:space="preserve">I want a new card</t>
  </si>
  <si>
    <t xml:space="preserve">Will I get charged for sending out more cards?</t>
  </si>
  <si>
    <t xml:space="preserve">How many different cards can I have for my account?</t>
  </si>
  <si>
    <t xml:space="preserve">I need more physical cards.</t>
  </si>
  <si>
    <t xml:space="preserve">Am I allowed to carry an additional card?</t>
  </si>
  <si>
    <t xml:space="preserve">Does it cost extra to send out more than one card?</t>
  </si>
  <si>
    <t xml:space="preserve">How do I get extra physical cards?</t>
  </si>
  <si>
    <t xml:space="preserve">Can I get spare cards?</t>
  </si>
  <si>
    <t xml:space="preserve">Is it possible to get another card?</t>
  </si>
  <si>
    <t xml:space="preserve">I need more physical cards than I have right now!</t>
  </si>
  <si>
    <t xml:space="preserve">Is a new debit card free?</t>
  </si>
  <si>
    <t xml:space="preserve">How many cards can I have?</t>
  </si>
  <si>
    <t xml:space="preserve">If I want to send out more cards, do you charge extra for that?</t>
  </si>
  <si>
    <t xml:space="preserve">Do you charge extra for duplicate cards?</t>
  </si>
  <si>
    <t xml:space="preserve">I would like to get additional physical cards at this time</t>
  </si>
  <si>
    <t xml:space="preserve">How do I receive more physical cards</t>
  </si>
  <si>
    <t xml:space="preserve">If I want to be able to give my daughter a card for my account, would I be allowed to get one for her?</t>
  </si>
  <si>
    <t xml:space="preserve">Would it be possible for me to get a second card?</t>
  </si>
  <si>
    <t xml:space="preserve">I am interested in giving a second card to my daughter, how can I make this happen?</t>
  </si>
  <si>
    <t xml:space="preserve">Is it possible for me to give my daughter a second card for this account?</t>
  </si>
  <si>
    <t xml:space="preserve">daughter needs card, how do i add her</t>
  </si>
  <si>
    <t xml:space="preserve">Is there any way to get another card on the same account?</t>
  </si>
  <si>
    <t xml:space="preserve">If I need more than cards will I have to pay a fee to receive them?</t>
  </si>
  <si>
    <t xml:space="preserve">I need a new card.</t>
  </si>
  <si>
    <t xml:space="preserve">I'd like to get another card</t>
  </si>
  <si>
    <t xml:space="preserve">If I get another card, what kind of fees am I looking at?</t>
  </si>
  <si>
    <t xml:space="preserve">Will there be a charge for sending out more cards?</t>
  </si>
  <si>
    <t xml:space="preserve">I would like to get a few more physical cards.</t>
  </si>
  <si>
    <t xml:space="preserve">How many active cards can I have?</t>
  </si>
  <si>
    <t xml:space="preserve">How much does it cost for additional cards?</t>
  </si>
  <si>
    <t xml:space="preserve">What should I do if I want to get another card for someone in my family?</t>
  </si>
  <si>
    <t xml:space="preserve">How do I order another card?</t>
  </si>
  <si>
    <t xml:space="preserve">I'm looking to get an additional card.</t>
  </si>
  <si>
    <t xml:space="preserve">Can I get another card?</t>
  </si>
  <si>
    <t xml:space="preserve">I would like to get some extra cards?</t>
  </si>
  <si>
    <t xml:space="preserve">Is it free to send out more cards?</t>
  </si>
  <si>
    <t xml:space="preserve">Is it possible to purchase more physical cards with my account?</t>
  </si>
  <si>
    <t xml:space="preserve">Is there a fee for sending out more cards?</t>
  </si>
  <si>
    <t xml:space="preserve">How much is it to send out additional cards?</t>
  </si>
  <si>
    <t xml:space="preserve">Will it cost me to get a second card?</t>
  </si>
  <si>
    <t xml:space="preserve">How do I get another card</t>
  </si>
  <si>
    <t xml:space="preserve">Is there a fee for sending additional cards?</t>
  </si>
  <si>
    <t xml:space="preserve">Is it possible to have a second card?</t>
  </si>
  <si>
    <t xml:space="preserve">I would like a second card.</t>
  </si>
  <si>
    <t xml:space="preserve">What is the charge for sending out more cards?</t>
  </si>
  <si>
    <t xml:space="preserve">I would like to give another card to my daughter, how can I proceed?</t>
  </si>
  <si>
    <t xml:space="preserve">What's the process to receive a second card?</t>
  </si>
  <si>
    <t xml:space="preserve">how is it possible to add another card to account</t>
  </si>
  <si>
    <t xml:space="preserve">How do I go about ordering another card?</t>
  </si>
  <si>
    <t xml:space="preserve">How do I get extra cards?</t>
  </si>
  <si>
    <t xml:space="preserve">Do you send more than one card?</t>
  </si>
  <si>
    <t xml:space="preserve">Are extra cards free?</t>
  </si>
  <si>
    <t xml:space="preserve">Do you charge for sending more cards?</t>
  </si>
  <si>
    <t xml:space="preserve">Can I have another card in addition to my first one?</t>
  </si>
  <si>
    <t xml:space="preserve">I need a second card, can I have more than one?</t>
  </si>
  <si>
    <t xml:space="preserve">I want a backup second card. Is this possible?</t>
  </si>
  <si>
    <t xml:space="preserve">Physical cards are what I need more of</t>
  </si>
  <si>
    <t xml:space="preserve">Can I have a spare card for this account please?</t>
  </si>
  <si>
    <t xml:space="preserve">I need two cards. Is this possible?</t>
  </si>
  <si>
    <t xml:space="preserve">Can I have more than one card?</t>
  </si>
  <si>
    <t xml:space="preserve">I need another card for a member of my family. Is this possible? How soon can I get one?</t>
  </si>
  <si>
    <t xml:space="preserve">Is there any way I can get more physical cards to use with my account?</t>
  </si>
  <si>
    <t xml:space="preserve">Can I give a second card for this account to my daughter?</t>
  </si>
  <si>
    <t xml:space="preserve">Is it possible to give a second card from my account to my daughter?</t>
  </si>
  <si>
    <t xml:space="preserve">Help me please, I need to top up cash.</t>
  </si>
  <si>
    <t xml:space="preserve">Do you have any options to top up with a cheque on my account?</t>
  </si>
  <si>
    <t xml:space="preserve">Is there somewhere I can send a check to add to my account?</t>
  </si>
  <si>
    <t xml:space="preserve">Will a cheque suffice?</t>
  </si>
  <si>
    <t xml:space="preserve">I can't find any option to top up with a cheque?</t>
  </si>
  <si>
    <t xml:space="preserve">How do I top up with a cheque?</t>
  </si>
  <si>
    <t xml:space="preserve">Can I use a check to get gas?</t>
  </si>
  <si>
    <t xml:space="preserve">Can I deposit a check?</t>
  </si>
  <si>
    <t xml:space="preserve">where can i deposit a check</t>
  </si>
  <si>
    <t xml:space="preserve">How can I put more money into my account?</t>
  </si>
  <si>
    <t xml:space="preserve">Is there anyway to use a cheque to top up?</t>
  </si>
  <si>
    <t xml:space="preserve">How do I top up with cash?</t>
  </si>
  <si>
    <t xml:space="preserve">Can I add money to my account with cash?</t>
  </si>
  <si>
    <t xml:space="preserve">I want to top up by cheque</t>
  </si>
  <si>
    <t xml:space="preserve">Can I top up using cash?</t>
  </si>
  <si>
    <t xml:space="preserve">Can I mail in a check to top up?</t>
  </si>
  <si>
    <t xml:space="preserve">How do I use a cheque to top up?</t>
  </si>
  <si>
    <t xml:space="preserve">Where's the button to top up with a cheque?</t>
  </si>
  <si>
    <t xml:space="preserve">I can't find how to top up my account with a check.  Where is that?</t>
  </si>
  <si>
    <t xml:space="preserve">Do you take checks?</t>
  </si>
  <si>
    <t xml:space="preserve">Is there such thing as top up by cheque?</t>
  </si>
  <si>
    <t xml:space="preserve">I got a cheque that I want to top up with?</t>
  </si>
  <si>
    <t xml:space="preserve">What is not accepted in order for me to top up my account?</t>
  </si>
  <si>
    <t xml:space="preserve">Can I only top-up digitally? Or could I use cash?</t>
  </si>
  <si>
    <t xml:space="preserve">I want to top up my account with a cheque</t>
  </si>
  <si>
    <t xml:space="preserve">How can I add physical money to my card?</t>
  </si>
  <si>
    <t xml:space="preserve">I need to top up using a cheque</t>
  </si>
  <si>
    <t xml:space="preserve">Can I top up with cash</t>
  </si>
  <si>
    <t xml:space="preserve">How do I top up by cheque?</t>
  </si>
  <si>
    <t xml:space="preserve">I want to do a cash deposit to top up. How do I do this?</t>
  </si>
  <si>
    <t xml:space="preserve">Who do I make a check out to if I want to top off my account?</t>
  </si>
  <si>
    <t xml:space="preserve">What types of top-up methods do you accept?</t>
  </si>
  <si>
    <t xml:space="preserve">How can I top up with a cheque?</t>
  </si>
  <si>
    <t xml:space="preserve">can i top up with check?</t>
  </si>
  <si>
    <t xml:space="preserve">Can I cash deposit to top up my account</t>
  </si>
  <si>
    <t xml:space="preserve">What apps can I use to top up my account?</t>
  </si>
  <si>
    <t xml:space="preserve">How dp i top up with a cheque ?</t>
  </si>
  <si>
    <t xml:space="preserve">I would like to use this cheque to top up.  Can you tell me how to do that?</t>
  </si>
  <si>
    <t xml:space="preserve">What are the steps for depositing cash into my account?</t>
  </si>
  <si>
    <t xml:space="preserve">Can I top-up by cheque?</t>
  </si>
  <si>
    <t xml:space="preserve">Can I use a cheque to top up my account</t>
  </si>
  <si>
    <t xml:space="preserve">I'm trying to use a cheque to top up</t>
  </si>
  <si>
    <t xml:space="preserve">How do you top up with a cheque?</t>
  </si>
  <si>
    <t xml:space="preserve">I need a hand here, I need to top up cash.</t>
  </si>
  <si>
    <t xml:space="preserve">where do I go to top up with cash?</t>
  </si>
  <si>
    <t xml:space="preserve">Will I be able to top up by cheque?</t>
  </si>
  <si>
    <t xml:space="preserve">Can I top up using my cheque?</t>
  </si>
  <si>
    <t xml:space="preserve">Why can't I top up by cheque?</t>
  </si>
  <si>
    <t xml:space="preserve">Where do I find how to top off with a check?</t>
  </si>
  <si>
    <t xml:space="preserve">Can I write a cheque to top up?</t>
  </si>
  <si>
    <t xml:space="preserve">Can cash be used in physical locations to top up?</t>
  </si>
  <si>
    <t xml:space="preserve">Is topping up with cash allowed?</t>
  </si>
  <si>
    <t xml:space="preserve">What are my payment options for topping off my account?</t>
  </si>
  <si>
    <t xml:space="preserve">I wish to top up using a cheque.</t>
  </si>
  <si>
    <t xml:space="preserve">Where do I look for cash top up?</t>
  </si>
  <si>
    <t xml:space="preserve">Where can I find top up by cash deposit?</t>
  </si>
  <si>
    <t xml:space="preserve">how do i find top up for cash deposit</t>
  </si>
  <si>
    <t xml:space="preserve">How do I deposit cash?</t>
  </si>
  <si>
    <t xml:space="preserve">i would like to top up with check</t>
  </si>
  <si>
    <t xml:space="preserve">can i deposit a check here?</t>
  </si>
  <si>
    <t xml:space="preserve">Is it possible for me to top up with cash?</t>
  </si>
  <si>
    <t xml:space="preserve">I would like to use cash to make a top-up?</t>
  </si>
  <si>
    <t xml:space="preserve">I wish to be able to top up with cash.</t>
  </si>
  <si>
    <t xml:space="preserve">Where do I top up?</t>
  </si>
  <si>
    <t xml:space="preserve">Do you accept cheques for top-up?</t>
  </si>
  <si>
    <t xml:space="preserve">How do I use a check to top up?</t>
  </si>
  <si>
    <t xml:space="preserve">Is it possible to top up using a cheque?</t>
  </si>
  <si>
    <t xml:space="preserve">Where is the option to top up with a cheque?</t>
  </si>
  <si>
    <t xml:space="preserve">What is the procedure for topping up with a cheque?</t>
  </si>
  <si>
    <t xml:space="preserve">Can I use check to deposit?</t>
  </si>
  <si>
    <t xml:space="preserve">Where can I deposit cash to top up?</t>
  </si>
  <si>
    <t xml:space="preserve">Is there an option to top up with a cheque?</t>
  </si>
  <si>
    <t xml:space="preserve">Help, I need to top up my account. Where do I send a check?</t>
  </si>
  <si>
    <t xml:space="preserve">I'll send a check to top up my account</t>
  </si>
  <si>
    <t xml:space="preserve">Is it possible for me to top up with a cheque?</t>
  </si>
  <si>
    <t xml:space="preserve">If I need to top up with cash where should I look?</t>
  </si>
  <si>
    <t xml:space="preserve">I want to deposit my check to top up my account</t>
  </si>
  <si>
    <t xml:space="preserve">What physical locations can I use cash to top up?</t>
  </si>
  <si>
    <t xml:space="preserve">Can you tell me where to find top up by cash deposit?</t>
  </si>
  <si>
    <t xml:space="preserve">How do I use cash to top up my account?</t>
  </si>
  <si>
    <t xml:space="preserve">How do I top-up my card with a cheque?</t>
  </si>
  <si>
    <t xml:space="preserve">Am I able to top up with this cheque I received?</t>
  </si>
  <si>
    <t xml:space="preserve">I would like to pay by cheque.</t>
  </si>
  <si>
    <t xml:space="preserve">I want to use a cheque to pay.</t>
  </si>
  <si>
    <t xml:space="preserve">Can I purchase with cash or cheque?</t>
  </si>
  <si>
    <t xml:space="preserve">Where would I find top up by cash deposit?</t>
  </si>
  <si>
    <t xml:space="preserve">Can I add to my account using a cheque?</t>
  </si>
  <si>
    <t xml:space="preserve">Is there a way to use a cheque to top up my account?</t>
  </si>
  <si>
    <t xml:space="preserve">how do i get top up with cash deposit</t>
  </si>
  <si>
    <t xml:space="preserve">Do you accept cash?</t>
  </si>
  <si>
    <t xml:space="preserve">May I transfer a cheque into my account?</t>
  </si>
  <si>
    <t xml:space="preserve">Can I use a check to top up?</t>
  </si>
  <si>
    <t xml:space="preserve">No option to top up with a cheque ?</t>
  </si>
  <si>
    <t xml:space="preserve">How can I fill up my gas tank using a check?</t>
  </si>
  <si>
    <t xml:space="preserve">how can i add money to my account if you don't accept cash</t>
  </si>
  <si>
    <t xml:space="preserve">I want to use cash to top up.</t>
  </si>
  <si>
    <t xml:space="preserve">What form of payments can I use for topping up?</t>
  </si>
  <si>
    <t xml:space="preserve">i have been trying to top up my account with a check but it won't work</t>
  </si>
  <si>
    <t xml:space="preserve">How do I add cash to my account?</t>
  </si>
  <si>
    <t xml:space="preserve">Are cheques accepted for a top up?</t>
  </si>
  <si>
    <t xml:space="preserve">can i use check to top up</t>
  </si>
  <si>
    <t xml:space="preserve">How do you top-up using cash?</t>
  </si>
  <si>
    <t xml:space="preserve">Can I top up my balance with a cheque?</t>
  </si>
  <si>
    <t xml:space="preserve">I tried to deposit a cheque into my account and it is not letting me.</t>
  </si>
  <si>
    <t xml:space="preserve">Can I top up online?</t>
  </si>
  <si>
    <t xml:space="preserve">What's the best way to use a cheque to top up?</t>
  </si>
  <si>
    <t xml:space="preserve">How would I top up with a cheque?</t>
  </si>
  <si>
    <t xml:space="preserve">What is your check-cashing policy?</t>
  </si>
  <si>
    <t xml:space="preserve">Can I use cash to top up</t>
  </si>
  <si>
    <t xml:space="preserve">I can't find out how to top-up my account using cash.</t>
  </si>
  <si>
    <t xml:space="preserve">How long before a check I send clears?</t>
  </si>
  <si>
    <t xml:space="preserve">How can I top up my account with a cheque?</t>
  </si>
  <si>
    <t xml:space="preserve">Can I top up my account with a check?</t>
  </si>
  <si>
    <t xml:space="preserve">Do you accept cheques for top ups?</t>
  </si>
  <si>
    <t xml:space="preserve">How much does it cost for a physical card?</t>
  </si>
  <si>
    <t xml:space="preserve">Where can the cards be delivered?</t>
  </si>
  <si>
    <t xml:space="preserve">What do i do to get a physical card?</t>
  </si>
  <si>
    <t xml:space="preserve">Can I request a card?</t>
  </si>
  <si>
    <t xml:space="preserve">Do I have to pay for a physical card?</t>
  </si>
  <si>
    <t xml:space="preserve">I need an actual card that I can hold in my hand, how do I do that?</t>
  </si>
  <si>
    <t xml:space="preserve">what steps do i do to get a real card</t>
  </si>
  <si>
    <t xml:space="preserve">Can you tell me exactly what fees I will expect to see in regards to your cards?</t>
  </si>
  <si>
    <t xml:space="preserve">What do I do to get ahold of my own card?</t>
  </si>
  <si>
    <t xml:space="preserve">Are cards delivered to my location?</t>
  </si>
  <si>
    <t xml:space="preserve">Is it possible to get a physical card?</t>
  </si>
  <si>
    <t xml:space="preserve">I would like to request a card.</t>
  </si>
  <si>
    <t xml:space="preserve">I need to order a new card.</t>
  </si>
  <si>
    <t xml:space="preserve">Can you send me the actual card?</t>
  </si>
  <si>
    <t xml:space="preserve">I would like to get a physical card, but I don't know how. Can you help me?</t>
  </si>
  <si>
    <t xml:space="preserve">how do i get a new card</t>
  </si>
  <si>
    <t xml:space="preserve">Where do you need to live to receive card</t>
  </si>
  <si>
    <t xml:space="preserve">How do I get a real card?</t>
  </si>
  <si>
    <t xml:space="preserve">How do I go about getting an actual card?</t>
  </si>
  <si>
    <t xml:space="preserve">Please tell me how I can receive a physical card</t>
  </si>
  <si>
    <t xml:space="preserve">I would like a physical card</t>
  </si>
  <si>
    <t xml:space="preserve">Where are your cards delivered to?</t>
  </si>
  <si>
    <t xml:space="preserve">Can I order a card please?</t>
  </si>
  <si>
    <t xml:space="preserve">tell me how I can order my card.</t>
  </si>
  <si>
    <t xml:space="preserve">Does it cost anyting to get my own card?</t>
  </si>
  <si>
    <t xml:space="preserve">Is a physical card also available</t>
  </si>
  <si>
    <t xml:space="preserve">Do physical cards cost money?</t>
  </si>
  <si>
    <t xml:space="preserve">Are physical card available?</t>
  </si>
  <si>
    <t xml:space="preserve">I want to request a physical card</t>
  </si>
  <si>
    <t xml:space="preserve">Is there a charge for a physical card?</t>
  </si>
  <si>
    <t xml:space="preserve">Do you ship your cards anywhere?</t>
  </si>
  <si>
    <t xml:space="preserve">I want a real card</t>
  </si>
  <si>
    <t xml:space="preserve">Where do you deliver cards to?</t>
  </si>
  <si>
    <t xml:space="preserve">Where are the cards delivered to</t>
  </si>
  <si>
    <t xml:space="preserve">What do I owe for a new card?</t>
  </si>
  <si>
    <t xml:space="preserve">Is it possible to order a card?</t>
  </si>
  <si>
    <t xml:space="preserve">What areas are cards delivered to?</t>
  </si>
  <si>
    <t xml:space="preserve">Where can I order a card?</t>
  </si>
  <si>
    <t xml:space="preserve">Is there a fee to get an actual card?</t>
  </si>
  <si>
    <t xml:space="preserve">do i need to add money before i order a card</t>
  </si>
  <si>
    <t xml:space="preserve">What does the bank charge for lost or stolen card replacements?</t>
  </si>
  <si>
    <t xml:space="preserve">Is there a fee for physical cards?</t>
  </si>
  <si>
    <t xml:space="preserve">How can receive a physical card</t>
  </si>
  <si>
    <t xml:space="preserve">Can I have a tangible form of my virtual card.</t>
  </si>
  <si>
    <t xml:space="preserve">Where will I get my card?</t>
  </si>
  <si>
    <t xml:space="preserve">Help me order my card.</t>
  </si>
  <si>
    <t xml:space="preserve">Where do I go to order my card?</t>
  </si>
  <si>
    <t xml:space="preserve">Can I get a physical card for free, or is there a charge?</t>
  </si>
  <si>
    <t xml:space="preserve">How do I get my card?</t>
  </si>
  <si>
    <t xml:space="preserve">Is a physical charge extra</t>
  </si>
  <si>
    <t xml:space="preserve">Where do your cards get delivered to?</t>
  </si>
  <si>
    <t xml:space="preserve">Do I receive the physical card for free</t>
  </si>
  <si>
    <t xml:space="preserve">I really want a physical card. How do I get one?</t>
  </si>
  <si>
    <t xml:space="preserve">can i get a physical card online</t>
  </si>
  <si>
    <t xml:space="preserve">What do I need to do to get a card?</t>
  </si>
  <si>
    <t xml:space="preserve">I would like a card please.</t>
  </si>
  <si>
    <t xml:space="preserve">I need to get hold of a physical card?</t>
  </si>
  <si>
    <t xml:space="preserve">Can I get a new card?</t>
  </si>
  <si>
    <t xml:space="preserve">Can I get a card in person?</t>
  </si>
  <si>
    <t xml:space="preserve">How can I order a card?</t>
  </si>
  <si>
    <t xml:space="preserve">Can I order a card?</t>
  </si>
  <si>
    <t xml:space="preserve">Where do you export the cards to?</t>
  </si>
  <si>
    <t xml:space="preserve">Can I receive my card anywhere?</t>
  </si>
  <si>
    <t xml:space="preserve">how do I ask for a physical card?</t>
  </si>
  <si>
    <t xml:space="preserve">How to order my card?</t>
  </si>
  <si>
    <t xml:space="preserve">Where can I get a physical card?</t>
  </si>
  <si>
    <t xml:space="preserve">How much for an actual card?</t>
  </si>
  <si>
    <t xml:space="preserve">Can you tell me how do I get a card?</t>
  </si>
  <si>
    <t xml:space="preserve">How do I actually obtain a card myself?</t>
  </si>
  <si>
    <t xml:space="preserve">Card delivery services? Where?</t>
  </si>
  <si>
    <t xml:space="preserve">Can I get an actual card</t>
  </si>
  <si>
    <t xml:space="preserve">I would like a  physical card sent to me.</t>
  </si>
  <si>
    <t xml:space="preserve">How can I order my card?</t>
  </si>
  <si>
    <t xml:space="preserve">Do I get a card to keep in my wallet?</t>
  </si>
  <si>
    <t xml:space="preserve">How do I order a card?</t>
  </si>
  <si>
    <t xml:space="preserve">What is the process for getting an actual physical card?</t>
  </si>
  <si>
    <t xml:space="preserve">What is the price for a physical card?</t>
  </si>
  <si>
    <t xml:space="preserve">At which locations can I order a card?</t>
  </si>
  <si>
    <t xml:space="preserve">Is it possible to get a real card?</t>
  </si>
  <si>
    <t xml:space="preserve">I would really like a physical card.</t>
  </si>
  <si>
    <t xml:space="preserve">Can I get a physical card</t>
  </si>
  <si>
    <t xml:space="preserve">Where do we mail the card?</t>
  </si>
  <si>
    <t xml:space="preserve">How to receive the actual card</t>
  </si>
  <si>
    <t xml:space="preserve">What is the cost for physical cards?</t>
  </si>
  <si>
    <t xml:space="preserve">Do I get an actual card?</t>
  </si>
  <si>
    <t xml:space="preserve">how much does a card cost and why do you charge me</t>
  </si>
  <si>
    <t xml:space="preserve">How do I order my card?</t>
  </si>
  <si>
    <t xml:space="preserve">How do I receive a card?</t>
  </si>
  <si>
    <t xml:space="preserve">Can cards be delivered? Where?</t>
  </si>
  <si>
    <t xml:space="preserve">Is there a fee to order a physical card?</t>
  </si>
  <si>
    <t xml:space="preserve">How do I go about ordering a card?</t>
  </si>
  <si>
    <t xml:space="preserve">I need to get a card, how do I do that?</t>
  </si>
  <si>
    <t xml:space="preserve">What do I need to do in order to get a new card?</t>
  </si>
  <si>
    <t xml:space="preserve">Show me where to order my card.</t>
  </si>
  <si>
    <t xml:space="preserve">IS there anywhere that a card cannot be delivered?</t>
  </si>
  <si>
    <t xml:space="preserve">How do i receive a physical card?</t>
  </si>
  <si>
    <t xml:space="preserve">I need a physical card.  What are the fees?</t>
  </si>
  <si>
    <t xml:space="preserve">how much for a physical card?</t>
  </si>
  <si>
    <t xml:space="preserve">Where do I order a card?</t>
  </si>
  <si>
    <t xml:space="preserve">Where do you mail physical cards?</t>
  </si>
  <si>
    <t xml:space="preserve">Is payment required to get a card of my own?</t>
  </si>
  <si>
    <t xml:space="preserve">I still don't have a card. How do I get one?</t>
  </si>
  <si>
    <t xml:space="preserve">Where do I find our how to get a physical card?</t>
  </si>
  <si>
    <t xml:space="preserve">What are the places that you deliver cards to?</t>
  </si>
  <si>
    <t xml:space="preserve">Where are cards available to order?</t>
  </si>
  <si>
    <t xml:space="preserve">What locations are cards delivered to?</t>
  </si>
  <si>
    <t xml:space="preserve">How much is a physical card?</t>
  </si>
  <si>
    <t xml:space="preserve">Do I get a real card?</t>
  </si>
  <si>
    <t xml:space="preserve">What fees do you charge for the standard card?</t>
  </si>
  <si>
    <t xml:space="preserve">I want a physical card</t>
  </si>
  <si>
    <t xml:space="preserve">Will you charge for a physical card?</t>
  </si>
  <si>
    <t xml:space="preserve">I'm interested in getting a card. How does one go about doing that?</t>
  </si>
  <si>
    <t xml:space="preserve">How would I go about getting a physical card to use in stores?</t>
  </si>
  <si>
    <t xml:space="preserve">Will there be a fee to receive a physical card?</t>
  </si>
  <si>
    <t xml:space="preserve">I would like to have a physical card to carry around and use. How can I get one?</t>
  </si>
  <si>
    <t xml:space="preserve">What's the procedure for getting a card?</t>
  </si>
  <si>
    <t xml:space="preserve">Where are the cards transported to?</t>
  </si>
  <si>
    <t xml:space="preserve">What fees are charged for a physical card?</t>
  </si>
  <si>
    <t xml:space="preserve">can i order cards on the app</t>
  </si>
  <si>
    <t xml:space="preserve">Can I revive a physical card.</t>
  </si>
  <si>
    <t xml:space="preserve">Why isn't my disposable virtual card working?</t>
  </si>
  <si>
    <t xml:space="preserve">Can I use my virtual card to complete transactions for memberships?</t>
  </si>
  <si>
    <t xml:space="preserve">Why won't my virtual card work?</t>
  </si>
  <si>
    <t xml:space="preserve">My virtual card is just not going through.</t>
  </si>
  <si>
    <t xml:space="preserve">My virtual card isn't working.</t>
  </si>
  <si>
    <t xml:space="preserve">My disposable virtual card was rejected.</t>
  </si>
  <si>
    <t xml:space="preserve">My disposable virtual card got rejected</t>
  </si>
  <si>
    <t xml:space="preserve">Why was my virtual card rejected?</t>
  </si>
  <si>
    <t xml:space="preserve">My throwaway virtual card won't work</t>
  </si>
  <si>
    <t xml:space="preserve">My disposable virtual card wouldn't process my payment?</t>
  </si>
  <si>
    <t xml:space="preserve">The virtual card won't work.</t>
  </si>
  <si>
    <t xml:space="preserve">Is there a reason why my virtual card won't work?</t>
  </si>
  <si>
    <t xml:space="preserve">Help me get the virtual card working.</t>
  </si>
  <si>
    <t xml:space="preserve">I can't seem to get my virtual card to work.</t>
  </si>
  <si>
    <t xml:space="preserve">My disposable virtual card isn't working.</t>
  </si>
  <si>
    <t xml:space="preserve">I tried paying with my disposable virtual card earlier but it was rejected. What can I do to fix this?</t>
  </si>
  <si>
    <t xml:space="preserve">I can't use my virtual disposable card</t>
  </si>
  <si>
    <t xml:space="preserve">How do I get this damn virtual card to work?</t>
  </si>
  <si>
    <t xml:space="preserve">I can't get the virtual card to work</t>
  </si>
  <si>
    <t xml:space="preserve">This disposable virtual card is not working.</t>
  </si>
  <si>
    <t xml:space="preserve">i cannot get virtual card to work</t>
  </si>
  <si>
    <t xml:space="preserve">My virtual car is not working.</t>
  </si>
  <si>
    <t xml:space="preserve">I cannot get my disposable virtual card to work</t>
  </si>
  <si>
    <t xml:space="preserve">I cannot get my virtual card to function.</t>
  </si>
  <si>
    <t xml:space="preserve">What is the reason I got rejected for using my disposable virtual card to pay a subscription to the gym?</t>
  </si>
  <si>
    <t xml:space="preserve">I can't get my virtual card to work at all</t>
  </si>
  <si>
    <t xml:space="preserve">I can't get my virtual card to work.</t>
  </si>
  <si>
    <t xml:space="preserve">I can't do any business with this virtual card.</t>
  </si>
  <si>
    <t xml:space="preserve">I received my Virtual card information, but was unable to use it to make a purchase. Why did this happen and what can I do?</t>
  </si>
  <si>
    <t xml:space="preserve">Why can't I make multiple payments with my virtual card?</t>
  </si>
  <si>
    <t xml:space="preserve">Please help me.  My disposable virtual card won't work right.</t>
  </si>
  <si>
    <t xml:space="preserve">Can I use my virtual card for recurring monthly payments?</t>
  </si>
  <si>
    <t xml:space="preserve">virtual card won't work for me</t>
  </si>
  <si>
    <t xml:space="preserve">My disposable virtual card won't work.</t>
  </si>
  <si>
    <t xml:space="preserve">I tried to use my disposable virtual card to pay a subscription to the gym and it got rejected. Any ideas why?</t>
  </si>
  <si>
    <t xml:space="preserve">Why is my disposable card not working?</t>
  </si>
  <si>
    <t xml:space="preserve">What do I have to do to get the virtual card to work?</t>
  </si>
  <si>
    <t xml:space="preserve">What do I do if my disposable virtual card doesn't work?</t>
  </si>
  <si>
    <t xml:space="preserve">I can't make purchases with my virtual card.</t>
  </si>
  <si>
    <t xml:space="preserve">I have a disposable card but it does not work?</t>
  </si>
  <si>
    <t xml:space="preserve">My Virtual card was rejected for a car rental. Why?</t>
  </si>
  <si>
    <t xml:space="preserve">The wrong exchange rate was applied to me while pulling out cash.</t>
  </si>
  <si>
    <t xml:space="preserve">I got less cash because of the exchange rate.</t>
  </si>
  <si>
    <t xml:space="preserve">Why is the fee for taking money out so high?  I feel I was overcharged and I would have never used this ATM if I would have known ahead of time.</t>
  </si>
  <si>
    <t xml:space="preserve">I believe a wrong exchange rate was applied towards a cash transaction I made abroad.</t>
  </si>
  <si>
    <t xml:space="preserve">When I got my cash, the amount was not what it should have been, based on the exchange rate.</t>
  </si>
  <si>
    <t xml:space="preserve">I tried using a foreign currency at an ATM, but the ATM provided me an incorrect rate. Why is that?</t>
  </si>
  <si>
    <t xml:space="preserve">Over the holiday I withdrew cash from the ATM and it seems that I was severely overcharged. Had I known that I would be charged those fees, I would not have used the ATM!</t>
  </si>
  <si>
    <t xml:space="preserve">I think when I withdrew money when out of country the exchange rate was wrong.</t>
  </si>
  <si>
    <t xml:space="preserve">Why did my exchange rate change?</t>
  </si>
  <si>
    <t xml:space="preserve">Hello, in these holidays i have been overcharged on the amount i have withdrawn on one of your ATMs. I did not had any clue about the horrible charges otherwise i would not have withdrawn.</t>
  </si>
  <si>
    <t xml:space="preserve">Can I make a withdraw in my home currency at an ATM? I'm on vacation and don't have cash with me. This is cause for a bit of concern. Is it possible to withdraw here without additional fees?</t>
  </si>
  <si>
    <t xml:space="preserve">I have made a withdraw from an ATM this last holiday, why is there such a high charge from this transaction?</t>
  </si>
  <si>
    <t xml:space="preserve">The exchange rate is incorrect for my cash withdrawal transaction.</t>
  </si>
  <si>
    <t xml:space="preserve">I think the exchange rate for my for my cash withdrawal is wrong</t>
  </si>
  <si>
    <t xml:space="preserve">When I got cash, the exchange rate applied was wrong.</t>
  </si>
  <si>
    <t xml:space="preserve">While abroad, I got cash, and the exchange rate applied is wrong.</t>
  </si>
  <si>
    <t xml:space="preserve">I think I was charged a different exchange rate than what was posted at the time.</t>
  </si>
  <si>
    <t xml:space="preserve">Foreign currency rates were put in wrong at an ATM i used.</t>
  </si>
  <si>
    <t xml:space="preserve">I was overcharged at an ATM while on vacation. I needed cash so I had to use it, but your charges are outregous and I wish I would have known beforehand.</t>
  </si>
  <si>
    <t xml:space="preserve">The exchange rate for my withdrawal was wrong.</t>
  </si>
  <si>
    <t xml:space="preserve">Hi, I have withdrawn cash from the ATM on holiday and i guess withdrawal amount has been overcharged. I did it as i was not aware of these charges.</t>
  </si>
  <si>
    <t xml:space="preserve">I withdrew  money from the ATM and was overcharged.  It said nothing about an extra fee.</t>
  </si>
  <si>
    <t xml:space="preserve">I think the exchange rate was incorrect.</t>
  </si>
  <si>
    <t xml:space="preserve">The exchange rate for the money I took out in a foreign country is wrong.</t>
  </si>
  <si>
    <t xml:space="preserve">When I made a cash transfer abroad the wrong exchange rate was applied</t>
  </si>
  <si>
    <t xml:space="preserve">what are weekend rates for getting cash</t>
  </si>
  <si>
    <t xml:space="preserve">I believe I got a wrong exchange rate when I got cash.</t>
  </si>
  <si>
    <t xml:space="preserve">The exchange rate was messed up from the ATM</t>
  </si>
  <si>
    <t xml:space="preserve">Do any of your machines provide cash from my home country? I don't have any money on me and I'm on holiday so I'm concerned. Also, will I be charged anything to do this?</t>
  </si>
  <si>
    <t xml:space="preserve">After I got my cash, I found out my exchange rate was wrong.</t>
  </si>
  <si>
    <t xml:space="preserve">Can you check the exchange rate on a cash transaction I did overseas</t>
  </si>
  <si>
    <t xml:space="preserve">I was abroad and needed some cash, but I think the wrong exchange rate was applied to the transaction.</t>
  </si>
  <si>
    <t xml:space="preserve">Why did you give me so little currency?</t>
  </si>
  <si>
    <t xml:space="preserve">I traded some of my money from my native country into an ATM to exchange for foreign currency, and the money I received was a different equating amount!</t>
  </si>
  <si>
    <t xml:space="preserve">what are the exchange rates for getting cash</t>
  </si>
  <si>
    <t xml:space="preserve">Someone may have made an error in figuring out the rate of exchange.  I should have received more cash than I did on my most recent withdrawal.</t>
  </si>
  <si>
    <t xml:space="preserve">Is there extra fees for making a withdraw in a different country at a cash machine.</t>
  </si>
  <si>
    <t xml:space="preserve">I had trouble with an incorrect rate being applied when using the ATM with foreign currency.</t>
  </si>
  <si>
    <t xml:space="preserve">I didnt get the correct exchange rate for getting cash</t>
  </si>
  <si>
    <t xml:space="preserve">Do you offer free ATM withdrawals of ones hometown currency while on holiday?</t>
  </si>
  <si>
    <t xml:space="preserve">Can i get money in my home currency at some ATM ? As I am on holiday and bit concerned because i do not have any cash with me . Is it possible to withdraw without any additional cost.</t>
  </si>
  <si>
    <t xml:space="preserve">I used the ATM to get money out and did not realize I would be charged as much as I was or I would not have done that!</t>
  </si>
  <si>
    <t xml:space="preserve">I didn't get the right amount of  cash because of the exchange rate.</t>
  </si>
  <si>
    <t xml:space="preserve">Hello,  In my most recent ATM transaction, I didn't receive nearly as much cash as I thought I would - what is your exchange rate policy?</t>
  </si>
  <si>
    <t xml:space="preserve">Using international ATMs messes up the exchange rate.</t>
  </si>
  <si>
    <t xml:space="preserve">You've incorrectly calculated the exchange rate for my cash withdrawal</t>
  </si>
  <si>
    <t xml:space="preserve">I was needing you to see if the exchange rate is correct from when i got cash</t>
  </si>
  <si>
    <t xml:space="preserve">I did not get the right exchange rate while getting my cash out.</t>
  </si>
  <si>
    <t xml:space="preserve">Why is the exchange rate different than expected on my transaction?</t>
  </si>
  <si>
    <t xml:space="preserve">I think the bank made a mistake on the exchange rates</t>
  </si>
  <si>
    <t xml:space="preserve">Is there a fee associated with using foreign exchange ATMs?</t>
  </si>
  <si>
    <t xml:space="preserve">When I exchanged currencies the value of my money changed.</t>
  </si>
  <si>
    <t xml:space="preserve">Can i get money back in my home currency at  ATM? As I am on holiday and bit concerned because i do not have any cash with me . Is it possible to withdraw without any additional cost.</t>
  </si>
  <si>
    <t xml:space="preserve">The wrong exchange rate applied to my cash withdrawal.</t>
  </si>
  <si>
    <t xml:space="preserve">I don't think the exchange rate was right.</t>
  </si>
  <si>
    <t xml:space="preserve">I exchanged cash when traveling and the rate was incorrect.</t>
  </si>
  <si>
    <t xml:space="preserve">what is the exchange rate when i get cash</t>
  </si>
  <si>
    <t xml:space="preserve">I noticed my exchange rate was incorrect when I got cash.</t>
  </si>
  <si>
    <t xml:space="preserve">Why is the exchange rate so high? This should have been a much higher amount of cash for that to apply.</t>
  </si>
  <si>
    <t xml:space="preserve">Is it possible to use an ATM when I am not in the country and make a withdraw with out extra fees?</t>
  </si>
  <si>
    <t xml:space="preserve">This past holiday I made a withdraw at the ATM machine, and it seems I've been charged too much.</t>
  </si>
  <si>
    <t xml:space="preserve">My exchange rate is wrong when I get cash.</t>
  </si>
  <si>
    <t xml:space="preserve">Why did I only receive this much currency?</t>
  </si>
  <si>
    <t xml:space="preserve">When I got cash the exchange rate was wrong</t>
  </si>
  <si>
    <t xml:space="preserve">An overseas cash transfer did not work correctly</t>
  </si>
  <si>
    <t xml:space="preserve">I didn't receive the correct amount of cash when I exchanged it overseas.</t>
  </si>
  <si>
    <t xml:space="preserve">I needed some cash while abroad, and I'm pretty sure the wrong exchange rate was applied.</t>
  </si>
  <si>
    <t xml:space="preserve">I believe that the rate of exchange for my cash withdrawl is incorrect.</t>
  </si>
  <si>
    <t xml:space="preserve">what is the correct exchange rate for getting cash</t>
  </si>
  <si>
    <t xml:space="preserve">I'm unhappy with the exchange rate your cash transactions.</t>
  </si>
  <si>
    <t xml:space="preserve">I think that the exchange rate for the withdrawal of my cash is not right.</t>
  </si>
  <si>
    <t xml:space="preserve">The cash withdrawal I took seems to be off. The exchange rate is wrong.</t>
  </si>
  <si>
    <t xml:space="preserve">I got cash abroad and the exchange rate applied is wrong</t>
  </si>
  <si>
    <t xml:space="preserve">I wasn't applied the correct exchange rate when getting cash</t>
  </si>
  <si>
    <t xml:space="preserve">I need an accurate exchange rate, when I make my withdrawals.</t>
  </si>
  <si>
    <t xml:space="preserve">Can I withdraw money in my hometown currency while on holiday without any additional fees?</t>
  </si>
  <si>
    <t xml:space="preserve">Why is the exchange rate wrong for my cash withdrawal?</t>
  </si>
  <si>
    <t xml:space="preserve">I noticed the exchange rate for cash withdrawal isn't right.</t>
  </si>
  <si>
    <t xml:space="preserve">what is going on with my cash withdrawal? the exchange rate is wrong</t>
  </si>
  <si>
    <t xml:space="preserve">When I was abroad the exchange rate for me was wrong.</t>
  </si>
  <si>
    <t xml:space="preserve">What on earth is up with the exchange rate! This should have been a much higher amount of cash</t>
  </si>
  <si>
    <t xml:space="preserve">Can the exchange rate change while I am in the process of making a withdrawal?</t>
  </si>
  <si>
    <t xml:space="preserve">The exchange rate was wrong?</t>
  </si>
  <si>
    <t xml:space="preserve">how come when i got cash the exchange rate was different than it should be</t>
  </si>
  <si>
    <t xml:space="preserve">My rate is not right when I used my card in a different country's money.</t>
  </si>
  <si>
    <t xml:space="preserve">How can I get money in my home currency while I'm traveling internationally? I wanted to take it out of a local ATM but am worried that I will get charged extra fees.</t>
  </si>
  <si>
    <t xml:space="preserve">I got cash abroad and need to check the exchange rate</t>
  </si>
  <si>
    <t xml:space="preserve">Can I get money in my home currency at an ATM? I'm on vacation and don't have cash with me. This is cause for a bit of concern. Is it possible to withdraw here without additional cost?</t>
  </si>
  <si>
    <t xml:space="preserve">Can I make a withdraw in my home currency at an ATM? I'm on vacation and am a bit worried because I don't have cash with me. Is it possible to withdraw here without any additional costs or fees?</t>
  </si>
  <si>
    <t xml:space="preserve">The amount of cash I requested to withdrawal did not match what I received when exchanged</t>
  </si>
  <si>
    <t xml:space="preserve">I did not have the right exchange rate applied to my situation of pulling out cash</t>
  </si>
  <si>
    <t xml:space="preserve">The exchange rate was different when I got cash</t>
  </si>
  <si>
    <t xml:space="preserve">how come my withdrawal rate is wrong for my cash withdrawal</t>
  </si>
  <si>
    <t xml:space="preserve">I had the wrong exchange rate applied to some cash I got abroad.</t>
  </si>
  <si>
    <t xml:space="preserve">I believe my exchange rate is incorrect</t>
  </si>
  <si>
    <t xml:space="preserve">I found the exchange rate for my cash withdrawal is wrong</t>
  </si>
  <si>
    <t xml:space="preserve">The cash abroad exchange rate is applied wrong.</t>
  </si>
  <si>
    <t xml:space="preserve">The ATM I used for foreign currency provided the wrong exchange rate.</t>
  </si>
  <si>
    <t xml:space="preserve">what is the exchange rate for foreign ATMs</t>
  </si>
  <si>
    <t xml:space="preserve">The exchange rate for me was wrong when I was abroad.</t>
  </si>
  <si>
    <t xml:space="preserve">Help me!  When I was abroad, the exchange rate was wrong.</t>
  </si>
  <si>
    <t xml:space="preserve">My cash withdrawl has the wrong rate of exchange.</t>
  </si>
  <si>
    <t xml:space="preserve">While abroad I got cash, and a wrong exchange rate was applied.</t>
  </si>
  <si>
    <t xml:space="preserve">I got money overseas and the exchange rate was wrong</t>
  </si>
  <si>
    <t xml:space="preserve">the exchange rate I got for cash was wrong</t>
  </si>
  <si>
    <t xml:space="preserve">The exchange rate for case abroad is applied wrong.</t>
  </si>
  <si>
    <t xml:space="preserve">When I received my money, it was not in the correct amount. The exchange rate was not what it should have been.</t>
  </si>
  <si>
    <t xml:space="preserve">I tried withdrawing money in another country and the exchange rate was wrong.</t>
  </si>
  <si>
    <t xml:space="preserve">I withdrew some cash and the exchange rate seems to be wrong.</t>
  </si>
  <si>
    <t xml:space="preserve">I withdraw money abroad but I didn't get the right amount.</t>
  </si>
  <si>
    <t xml:space="preserve">The applied exchange rate is wrong for the cash I got abroad.</t>
  </si>
  <si>
    <t xml:space="preserve">I am reluctant to use ATMs international because I don't get an accurate exchange rate</t>
  </si>
  <si>
    <t xml:space="preserve">I didn't receive the correct exchange rate when I got cash.</t>
  </si>
  <si>
    <t xml:space="preserve">How did you arrive at the rate of exchange? I thought that I would get more cash.</t>
  </si>
  <si>
    <t xml:space="preserve">I think the exchange rate for the cash I withdrew was wrong.</t>
  </si>
  <si>
    <t xml:space="preserve">Can i get money in my home currency at my ATM ?I am on holiday and bit concerned because i do not have any cash with me .Is it possible to withdraw without any additional cost.</t>
  </si>
  <si>
    <t xml:space="preserve">When I received my cash; they had my exchange rate incorrect.</t>
  </si>
  <si>
    <t xml:space="preserve">I was given the wrong exchange rate when getting cash</t>
  </si>
  <si>
    <t xml:space="preserve">I thought I was going to receive more currency?</t>
  </si>
  <si>
    <t xml:space="preserve">While on vacation I used an ATM to get cash and was overcharged. These charges are ridiculous and had I known about them I would have never used it.</t>
  </si>
  <si>
    <t xml:space="preserve">What is wrong with the exchange rate? This should have been a much higher amount of cash for that to apply.</t>
  </si>
  <si>
    <t xml:space="preserve">When I got cash, my exchange rate was off.</t>
  </si>
  <si>
    <t xml:space="preserve">Please tell me how the exchange rate is determined. I was expecting more money for the transaction.</t>
  </si>
  <si>
    <t xml:space="preserve">the exchange rate was different than expected</t>
  </si>
  <si>
    <t xml:space="preserve">I think that there was an error in calculating the exchange rate.  I recently withdrew cash and received much less than expected.</t>
  </si>
  <si>
    <t xml:space="preserve">what are the exchange rates for foreign currency ATMs</t>
  </si>
  <si>
    <t xml:space="preserve">I'm upset because I got charged a ridiculous fee when making an ATM withdrawal over a holiday weekend.  It didn't notify me beforehand either or I wouldn't have ever done it.</t>
  </si>
  <si>
    <t xml:space="preserve">When I received my cash, the exchange rate was wrong.</t>
  </si>
  <si>
    <t xml:space="preserve">I was using foreign currency at an ATM, but the rate was typed in wrong.</t>
  </si>
  <si>
    <t xml:space="preserve">On my last trip, I received the incorrect exchange rate.</t>
  </si>
  <si>
    <t xml:space="preserve">the exchange rate for my withdrawal is wrong</t>
  </si>
  <si>
    <t xml:space="preserve">The exchange rate applied was incorrect when I was traveling outside the country.</t>
  </si>
  <si>
    <t xml:space="preserve">Whats wrong with my currency exchange?</t>
  </si>
  <si>
    <t xml:space="preserve">Can you please check the exchange rate when I was getting cash?</t>
  </si>
  <si>
    <t xml:space="preserve">The exchange rate for my cash withdrawal was incorrect</t>
  </si>
  <si>
    <t xml:space="preserve">The wrong exchange rate was used for my cash withdrawal</t>
  </si>
  <si>
    <t xml:space="preserve">I'm looking for a machine of yours that will provide me cash from my home country. I went on holiday and don't have any cash on me. Will your machine charge me extra to do this?</t>
  </si>
  <si>
    <t xml:space="preserve">I withdrew cash and I think the exchange rate is wrong.</t>
  </si>
  <si>
    <t xml:space="preserve">How do you figure out the exchange rate? Can you explain why I got less money than expected?</t>
  </si>
  <si>
    <t xml:space="preserve">I got cash and the exchange rate should have been different than it ended up being.</t>
  </si>
  <si>
    <t xml:space="preserve">Rates were applied wrong while using foreign currency at an ATM.</t>
  </si>
  <si>
    <t xml:space="preserve">I was charged an incorrect exchange rate for a withdrawal.</t>
  </si>
  <si>
    <t xml:space="preserve">My ATM transaction shorted me on cash, and I think the exchange rate was wrong. Did I receive the correct rate?</t>
  </si>
  <si>
    <t xml:space="preserve">I draw out money from your ATM during holidays, and was charged insanely. I wouldn't have done it, if i had a little sense about the shocking charges.</t>
  </si>
  <si>
    <t xml:space="preserve">In a recent withdrawal I received less cash than I expected to receive.  Did someone make an error with the exchange rate?</t>
  </si>
  <si>
    <t xml:space="preserve">When I got cash I believe that the exchange rate was wrong</t>
  </si>
  <si>
    <t xml:space="preserve">The rate applied to my foreign currency at an ATM was incorrect.</t>
  </si>
  <si>
    <t xml:space="preserve">I tried to use the ATM with foreign currency. The conversion rate applied was wrong.</t>
  </si>
  <si>
    <t xml:space="preserve">I am perplexed. Why is it that I received an extremely wrong rate when I tried to use an ATM using a foreign currency?</t>
  </si>
  <si>
    <t xml:space="preserve">I made an ATM withdrawal over the holiday and then later realized I was charged an exorbitant fee!  I never would've made this withdrawal if I'd known I'd be charged so much.</t>
  </si>
  <si>
    <t xml:space="preserve">I am travelling and I tried to withdraw cash but didn't get what I was supposed to get.</t>
  </si>
  <si>
    <t xml:space="preserve">I got some cash out of the ATM over the holiday and it seems that I've been grossly overcharged. I wouldn't have done that if I knew of these outrageous charges!</t>
  </si>
  <si>
    <t xml:space="preserve">The exchange rate was wrong in the foreign country I got cash in.</t>
  </si>
  <si>
    <t xml:space="preserve">The exchange rate for foreign ATM currency is wrong.</t>
  </si>
  <si>
    <t xml:space="preserve">Can I get money in my home currency at some ATM? I'm on holiday and am a bit concerned because I don't have any cash with me, it is possible to withdraw here already without any additional cost?</t>
  </si>
  <si>
    <t xml:space="preserve">I think the exchange rate for the cash I withdrew wasn't correct.</t>
  </si>
  <si>
    <t xml:space="preserve">The rate of exchange for my cash withdrawal is wrong.</t>
  </si>
  <si>
    <t xml:space="preserve">I have a question about ATM transactions. Can I take money out of an ATM when I'm traveling abroad? And, can I get the money in my home currancy?</t>
  </si>
  <si>
    <t xml:space="preserve">you got the exchange rate wrong for my cash withdrawal</t>
  </si>
  <si>
    <t xml:space="preserve">I withdrew cash abroad and the exchange rate applied is wrong.</t>
  </si>
  <si>
    <t xml:space="preserve">You applied the wrong exchange rate while I was traveling outside the country.</t>
  </si>
  <si>
    <t xml:space="preserve">Why was my cash withdrawal given the wrong exchange rate?</t>
  </si>
  <si>
    <t xml:space="preserve">I think the exchange rate is wrong for my ATM withdrawal</t>
  </si>
  <si>
    <t xml:space="preserve">What do you use disposable cards on?</t>
  </si>
  <si>
    <t xml:space="preserve">How do I get a disposable virtual card as well?</t>
  </si>
  <si>
    <t xml:space="preserve">I want a disposable virtual card, how do I do that?</t>
  </si>
  <si>
    <t xml:space="preserve">What are the disposable cards for?</t>
  </si>
  <si>
    <t xml:space="preserve">I need a disposable virtual card. Please tell me how to order one.</t>
  </si>
  <si>
    <t xml:space="preserve">What systems do you have in place for my security when using my card for everyday purchases?</t>
  </si>
  <si>
    <t xml:space="preserve">Why use a disposable card?</t>
  </si>
  <si>
    <t xml:space="preserve">How can I get disposable virtual cards?</t>
  </si>
  <si>
    <t xml:space="preserve">Can you tell me about these disposable virtual cards?</t>
  </si>
  <si>
    <t xml:space="preserve">Do you offer disposable virtual cards too?</t>
  </si>
  <si>
    <t xml:space="preserve">can i get a virtual card online</t>
  </si>
  <si>
    <t xml:space="preserve">How do I request a disposable virtual card?</t>
  </si>
  <si>
    <t xml:space="preserve">How can I create a disposable virtual card?</t>
  </si>
  <si>
    <t xml:space="preserve">When will you be taking orders for disposable virtual cards?</t>
  </si>
  <si>
    <t xml:space="preserve">Who can purchase a disposable virtual card?</t>
  </si>
  <si>
    <t xml:space="preserve">How does a disposable virtual card work?</t>
  </si>
  <si>
    <t xml:space="preserve">What is the function of the disposable cards?</t>
  </si>
  <si>
    <t xml:space="preserve">Do I need a disposable card?</t>
  </si>
  <si>
    <t xml:space="preserve">Is there a disposable virtual card?</t>
  </si>
  <si>
    <t xml:space="preserve">Please tell me how disposable virtual cards work?</t>
  </si>
  <si>
    <t xml:space="preserve">how do I get a disposable virtual card?</t>
  </si>
  <si>
    <t xml:space="preserve">Can you please explain disposable virtual cards for me?</t>
  </si>
  <si>
    <t xml:space="preserve">How do I create a disposable virtual card?</t>
  </si>
  <si>
    <t xml:space="preserve">Why would I need a disposable card?</t>
  </si>
  <si>
    <t xml:space="preserve">What are the disposable cards used for?</t>
  </si>
  <si>
    <t xml:space="preserve">What are these disposable virtual cards all about?</t>
  </si>
  <si>
    <t xml:space="preserve">What is the process to create a disposable virtual card?</t>
  </si>
  <si>
    <t xml:space="preserve">Will you tell me how I am supposed to use the disposable cards?</t>
  </si>
  <si>
    <t xml:space="preserve">How about disposable virtual cards?</t>
  </si>
  <si>
    <t xml:space="preserve">Please send me a disposable virtual card.</t>
  </si>
  <si>
    <t xml:space="preserve">I want to make an online purchase but I don't want to use my credit card. Can you tell me how a disposable virtual card works and where I can apply for one?</t>
  </si>
  <si>
    <t xml:space="preserve">What can I do with a disposable virtual card?</t>
  </si>
  <si>
    <t xml:space="preserve">Do you have the option for a disposable virtual card?</t>
  </si>
  <si>
    <t xml:space="preserve">What are disposable virtual cards?</t>
  </si>
  <si>
    <t xml:space="preserve">I want a virtual card that is disposable</t>
  </si>
  <si>
    <t xml:space="preserve">I would like a disposable virtual card, could I get one?</t>
  </si>
  <si>
    <t xml:space="preserve">Please can i get a disposable virtual card as well?</t>
  </si>
  <si>
    <t xml:space="preserve">disposable virtual card can be ordered where?</t>
  </si>
  <si>
    <t xml:space="preserve">Where do I get a disposable card</t>
  </si>
  <si>
    <t xml:space="preserve">In what way can I use the disposable cards?</t>
  </si>
  <si>
    <t xml:space="preserve">How can I go about getting a disposable virtual card?</t>
  </si>
  <si>
    <t xml:space="preserve">how do the cards work?</t>
  </si>
  <si>
    <t xml:space="preserve">I need to get a disposable virtual card?</t>
  </si>
  <si>
    <t xml:space="preserve">How can I get a disposable virtual card?</t>
  </si>
  <si>
    <t xml:space="preserve">Can I get a disposable virtual card?</t>
  </si>
  <si>
    <t xml:space="preserve">How can disposable cards be used?</t>
  </si>
  <si>
    <t xml:space="preserve">Please explain how I use the disposable cards?</t>
  </si>
  <si>
    <t xml:space="preserve">Can you tell me more info about virtual disposable cards?</t>
  </si>
  <si>
    <t xml:space="preserve">I need a disposable virtual card.</t>
  </si>
  <si>
    <t xml:space="preserve">Can you point me in the right direction of where to go to roder a disposable virtual card, I can't seem to find it.</t>
  </si>
  <si>
    <t xml:space="preserve">What is the procedure for depositing a virtual card</t>
  </si>
  <si>
    <t xml:space="preserve">can i get a virtual card</t>
  </si>
  <si>
    <t xml:space="preserve">I would like to know more about what a disposable virtual card is?</t>
  </si>
  <si>
    <t xml:space="preserve">Are there any disposable virtual cards?</t>
  </si>
  <si>
    <t xml:space="preserve">Please tell me about disposable cards.</t>
  </si>
  <si>
    <t xml:space="preserve">How would I use a disposable card?</t>
  </si>
  <si>
    <t xml:space="preserve">How do I order a disposable virtual card?</t>
  </si>
  <si>
    <t xml:space="preserve">Where do I order a disposable virtual card?</t>
  </si>
  <si>
    <t xml:space="preserve">Can you provide me a disposable virtual card?</t>
  </si>
  <si>
    <t xml:space="preserve">The disposable cards, what are they for?</t>
  </si>
  <si>
    <t xml:space="preserve">Can you help me get a disposable virtual card?</t>
  </si>
  <si>
    <t xml:space="preserve">Can I order a disposable virtual card?</t>
  </si>
  <si>
    <t xml:space="preserve">Are there virtual disposable cards?</t>
  </si>
  <si>
    <t xml:space="preserve">Is it possible to get a disposable virtual card as well?</t>
  </si>
  <si>
    <t xml:space="preserve">Can you tell me what are disposable cards for?</t>
  </si>
  <si>
    <t xml:space="preserve">Can I use a disposable virtual card for any purchase?</t>
  </si>
  <si>
    <t xml:space="preserve">What can you use the disposable cards for?</t>
  </si>
  <si>
    <t xml:space="preserve">Where do I get a disposable virtual card?</t>
  </si>
  <si>
    <t xml:space="preserve">How do I use disposable cards?</t>
  </si>
  <si>
    <t xml:space="preserve">Can you tell me what the disposable cards are used for?</t>
  </si>
  <si>
    <t xml:space="preserve">Is there a way to use this app with a disposable virtual card?</t>
  </si>
  <si>
    <t xml:space="preserve">What are the uses for disposable cards?</t>
  </si>
  <si>
    <t xml:space="preserve">Tell me more about getting a virtual disposable card.</t>
  </si>
  <si>
    <t xml:space="preserve">How can I get a virtual card for a one-time transaction?</t>
  </si>
  <si>
    <t xml:space="preserve">Can you tell me where I can order a disposable virtual card?</t>
  </si>
  <si>
    <t xml:space="preserve">I don't understand what a disposable virtual card is, can you help?</t>
  </si>
  <si>
    <t xml:space="preserve">What are these disposable cards meant for?</t>
  </si>
  <si>
    <t xml:space="preserve">What do the disposable cards do?</t>
  </si>
  <si>
    <t xml:space="preserve">How do I receive a disposable virtual card?</t>
  </si>
  <si>
    <t xml:space="preserve">Is there a disposable virtual card option?</t>
  </si>
  <si>
    <t xml:space="preserve">Please explain how disposable virtual card work.</t>
  </si>
  <si>
    <t xml:space="preserve">I'm not sure how disposable virtual cards work. Please help.</t>
  </si>
  <si>
    <t xml:space="preserve">How do I use the disposable cards?</t>
  </si>
  <si>
    <t xml:space="preserve">How do I know if i need a disposable card?</t>
  </si>
  <si>
    <t xml:space="preserve">Am I able to order a disposable virtual card?</t>
  </si>
  <si>
    <t xml:space="preserve">Can you tell me how to get a disposable virtual card?</t>
  </si>
  <si>
    <t xml:space="preserve">How can I obtain a disposable virtual card?</t>
  </si>
  <si>
    <t xml:space="preserve">Can you tell me where to go to get a disposable virtual card?</t>
  </si>
  <si>
    <t xml:space="preserve">Is there any way i get a disposable virtual card as well?</t>
  </si>
  <si>
    <t xml:space="preserve">I'm interested in learning more about disposable virtual cards.</t>
  </si>
  <si>
    <t xml:space="preserve">How to a go about ordering a disposable virtual card?</t>
  </si>
  <si>
    <t xml:space="preserve">I need a single use card for shopping online</t>
  </si>
  <si>
    <t xml:space="preserve">I need to deposit my virtual card, how do i do that.</t>
  </si>
  <si>
    <t xml:space="preserve">What are the benefits of a disposable card?</t>
  </si>
  <si>
    <t xml:space="preserve">What is the disposable card for?</t>
  </si>
  <si>
    <t xml:space="preserve">I have heard about these disposable virtual cards but don't understand how they work.</t>
  </si>
  <si>
    <t xml:space="preserve">The disposable cards - what are they for?</t>
  </si>
  <si>
    <t xml:space="preserve">I think my top-up has failed.</t>
  </si>
  <si>
    <t xml:space="preserve">Top-up is not working</t>
  </si>
  <si>
    <t xml:space="preserve">My top up is not working</t>
  </si>
  <si>
    <t xml:space="preserve">My top-up hasn't gone through, what happened?</t>
  </si>
  <si>
    <t xml:space="preserve">My top-up was rejected by an app.</t>
  </si>
  <si>
    <t xml:space="preserve">For what reason did my top-up fail?</t>
  </si>
  <si>
    <t xml:space="preserve">I can't add any more money.</t>
  </si>
  <si>
    <t xml:space="preserve">Why won't my top up work</t>
  </si>
  <si>
    <t xml:space="preserve">I topped up but the app denied it</t>
  </si>
  <si>
    <t xml:space="preserve">My money I added isn't on my card.</t>
  </si>
  <si>
    <t xml:space="preserve">Hi, My card is getting declined continuously when i am trying to top-up. Request you to look into this issue or tell me any other alternatives.</t>
  </si>
  <si>
    <t xml:space="preserve">My credit card was declined for top-up. Can you see if there is enough funds in my account?</t>
  </si>
  <si>
    <t xml:space="preserve">Why did my credit card get declined for top up?</t>
  </si>
  <si>
    <t xml:space="preserve">Hello, there was an error while attempting top-up with my card this morning. I was able to use the card two days ago with no issues. Could you please assist?</t>
  </si>
  <si>
    <t xml:space="preserve">I've been trying to transfer funds to top-up my card, but the transaction is not going through.  Is there something I'm doing wrong?</t>
  </si>
  <si>
    <t xml:space="preserve">Seems like my top-up has failed</t>
  </si>
  <si>
    <t xml:space="preserve">I really need to top-up my card today urgently but my card keeps getting declined!! Can you please resolve this problem or try an alternative</t>
  </si>
  <si>
    <t xml:space="preserve">Hey, I attempted to top up my card today and for some reason it didn't work. When I did it the other way it worked just fine. Could you help me figure out why this is happening please?</t>
  </si>
  <si>
    <t xml:space="preserve">I believe my top up has failed</t>
  </si>
  <si>
    <t xml:space="preserve">I tried using my credit card with top up but it didn't work! I thought it was supposed to?</t>
  </si>
  <si>
    <t xml:space="preserve">My credit card for was not approved for a top-up transaction.  What happened?</t>
  </si>
  <si>
    <t xml:space="preserve">Why isn't my topup working?</t>
  </si>
  <si>
    <t xml:space="preserve">My credit card did not go through. Can you see if it has insufficient funds?</t>
  </si>
  <si>
    <t xml:space="preserve">Can I tell if my top off didn't work?  It doesn't seem to have.</t>
  </si>
  <si>
    <t xml:space="preserve">Hi, My card is getting declined during top-up. As it urgent, could you please resolve this issue, or guide me with other alternatives if any.</t>
  </si>
  <si>
    <t xml:space="preserve">My top up is giving me problems. What is wrong with it?</t>
  </si>
  <si>
    <t xml:space="preserve">I got my card a few days ago but am unable to top up. I'm thinking about closing my account because of this. What is going on?</t>
  </si>
  <si>
    <t xml:space="preserve">Looks like my top up failed.</t>
  </si>
  <si>
    <t xml:space="preserve">I urgently need to top-up my card but its getting declined. Please help me in this or advise with other options if any.</t>
  </si>
  <si>
    <t xml:space="preserve">The top-up I ordered didn't process.</t>
  </si>
  <si>
    <t xml:space="preserve">I don't think that my top-up worked.</t>
  </si>
  <si>
    <t xml:space="preserve">Tell me why my topup wouldn't go through?</t>
  </si>
  <si>
    <t xml:space="preserve">I did a bank transfer to top up, but the money is not available.</t>
  </si>
  <si>
    <t xml:space="preserve">What reasons would a topup fail?</t>
  </si>
  <si>
    <t xml:space="preserve">I tried topping up my account but it failed, can you help me?</t>
  </si>
  <si>
    <t xml:space="preserve">Why has my top up failed?</t>
  </si>
  <si>
    <t xml:space="preserve">So my top-up failed, could you tell me why?</t>
  </si>
  <si>
    <t xml:space="preserve">Why has my top-up failed?</t>
  </si>
  <si>
    <t xml:space="preserve">I need to top-up my card today urgently but my card keeps getting declined!! Can you please resolve this problem or let me know if you have any alternatives</t>
  </si>
  <si>
    <t xml:space="preserve">I tried to top up with my card but it was declined. I was able to a couple days ago and it worked. Is something wrong? Can you check it for me please?</t>
  </si>
  <si>
    <t xml:space="preserve">Can you find out why my credit card didn't process payment? It was declined for top up so what's the deal?</t>
  </si>
  <si>
    <t xml:space="preserve">How can correct Top up with the app to work correctly?</t>
  </si>
  <si>
    <t xml:space="preserve">Is there any reason why my card didn't work when I tried to top up?</t>
  </si>
  <si>
    <t xml:space="preserve">The app rejected my top up</t>
  </si>
  <si>
    <t xml:space="preserve">My top-up didn't go through</t>
  </si>
  <si>
    <t xml:space="preserve">Can you tell me why my top-up failed?</t>
  </si>
  <si>
    <t xml:space="preserve">My credit card seems to have been declined for top up. Why is it not going through? Can you tell me what's going on?</t>
  </si>
  <si>
    <t xml:space="preserve">My top-up didn't work.</t>
  </si>
  <si>
    <t xml:space="preserve">My top-up never worked</t>
  </si>
  <si>
    <t xml:space="preserve">It looks like my top up didn't work.  Why?</t>
  </si>
  <si>
    <t xml:space="preserve">I topped up my card but the app rejected it.</t>
  </si>
  <si>
    <t xml:space="preserve">I attempted to top-up with my card this morning, but the transaction was unsuccessful. I received the card two days ago and was successful using it previously. Could you please help me?</t>
  </si>
  <si>
    <t xml:space="preserve">I tried to top-up but it got denied.</t>
  </si>
  <si>
    <t xml:space="preserve">My top up was denied</t>
  </si>
  <si>
    <t xml:space="preserve">I think the top up failed</t>
  </si>
  <si>
    <t xml:space="preserve">My credit card was just denied for top up! Can you tell me why this happened and what's going on?</t>
  </si>
  <si>
    <t xml:space="preserve">My top up didn't go through</t>
  </si>
  <si>
    <t xml:space="preserve">My top up has failed</t>
  </si>
  <si>
    <t xml:space="preserve">Why is it failing to top-up?</t>
  </si>
  <si>
    <t xml:space="preserve">I can't get the top-up to work! What's going on here.</t>
  </si>
  <si>
    <t xml:space="preserve">How do I know if my top up worked?</t>
  </si>
  <si>
    <t xml:space="preserve">Why can't I topup my account?</t>
  </si>
  <si>
    <t xml:space="preserve">My top-up was declined</t>
  </si>
  <si>
    <t xml:space="preserve">Why is my card being declined when I try to do a top-up? How can this be immediately resolved?</t>
  </si>
  <si>
    <t xml:space="preserve">The app has rejected my top up.</t>
  </si>
  <si>
    <t xml:space="preserve">I attempted to top up my car today, it failed! I just got it a couple of days before and it worked then. What is going on with it?</t>
  </si>
  <si>
    <t xml:space="preserve">Why was my top-up rejected?</t>
  </si>
  <si>
    <t xml:space="preserve">My credit card got declined for top up! What's going on? Can you check on why it didn't go through?</t>
  </si>
  <si>
    <t xml:space="preserve">My top up isnt working</t>
  </si>
  <si>
    <t xml:space="preserve">Trouble with my top up</t>
  </si>
  <si>
    <t xml:space="preserve">I'm confused as to why my top-up did not go through.</t>
  </si>
  <si>
    <t xml:space="preserve">I added money but my top-up wasn't processed by the app.</t>
  </si>
  <si>
    <t xml:space="preserve">I really need to top-up my card today urgently but my card keeps getting declined!! Can you please resolve this problem or let me know if you have any alternatives</t>
  </si>
  <si>
    <t xml:space="preserve">I have the funds, why can I not use my top-up?</t>
  </si>
  <si>
    <t xml:space="preserve">Hello, I trying to top up with my card today but it didn't work. When I tried last time it worked but today it isn't. Could you take a look at it for me?</t>
  </si>
  <si>
    <t xml:space="preserve">Why are you keeping my money from me by declining my card? What is going on?</t>
  </si>
  <si>
    <t xml:space="preserve">I desperately need to top-up my card, so why is it being declined? Can you solve this for me? I need to use my card immediately!</t>
  </si>
  <si>
    <t xml:space="preserve">Why did the app deny my top-up?</t>
  </si>
  <si>
    <t xml:space="preserve">My top-up was rejected</t>
  </si>
  <si>
    <t xml:space="preserve">Fix my top up</t>
  </si>
  <si>
    <t xml:space="preserve">My top up doesn't work</t>
  </si>
  <si>
    <t xml:space="preserve">I am having problems with a top-up.</t>
  </si>
  <si>
    <t xml:space="preserve">What's the problem? My card keeps getting declined for top up. I need to know what is going on.</t>
  </si>
  <si>
    <t xml:space="preserve">I was trying to top up my account and it isn't working</t>
  </si>
  <si>
    <t xml:space="preserve">I believe my top up did not work.</t>
  </si>
  <si>
    <t xml:space="preserve">I need help reapplying my top-up. It seems it isn't working.</t>
  </si>
  <si>
    <t xml:space="preserve">Could you please recommend what I should do if my card keeps getting declined?  I planned to top-up today but I am unable to get it to work.  I need a fast solution to this problem.</t>
  </si>
  <si>
    <t xml:space="preserve">My credit card transaction was declined for a loan payment.  Can you tell me why?</t>
  </si>
  <si>
    <t xml:space="preserve">Why did the top-up fail?</t>
  </si>
  <si>
    <t xml:space="preserve">I requested for a top-up but it has not reflected</t>
  </si>
  <si>
    <t xml:space="preserve">I tried to top-up, why didn't it work?</t>
  </si>
  <si>
    <t xml:space="preserve">I tried to top up with my card but it's not working. I had just done this a couple days previously and it worked. Can you tell me what's going on here please?</t>
  </si>
  <si>
    <t xml:space="preserve">I wanted to top up my account and it doesn't look like it worked</t>
  </si>
  <si>
    <t xml:space="preserve">My top-up does not seem to have worked, what  went wrong?</t>
  </si>
  <si>
    <t xml:space="preserve">I'm not sure if my pop-up went through.</t>
  </si>
  <si>
    <t xml:space="preserve">Top up did not work on the app.</t>
  </si>
  <si>
    <t xml:space="preserve">I tried to top up but the app rejected it.</t>
  </si>
  <si>
    <t xml:space="preserve">It does not appear that my message went through.</t>
  </si>
  <si>
    <t xml:space="preserve">What if my top up didn't work?</t>
  </si>
  <si>
    <t xml:space="preserve">I didn't see the money I added to my card.</t>
  </si>
  <si>
    <t xml:space="preserve">The top up failed</t>
  </si>
  <si>
    <t xml:space="preserve">I have been trying unsuccessfully to top-up my card.  Is the system down or not working properly?</t>
  </si>
  <si>
    <t xml:space="preserve">I am having a huge problem with my card being declined and it's really important that I top-up today.  Would you please look into this further and let me know how I can get this fixed?</t>
  </si>
  <si>
    <t xml:space="preserve">My card keeps getting declined when I try to use it.  I would like to top-up, but it is not going though.</t>
  </si>
  <si>
    <t xml:space="preserve">I just topped up, and the app denied it.</t>
  </si>
  <si>
    <t xml:space="preserve">Why did my top-up not work?</t>
  </si>
  <si>
    <t xml:space="preserve">Hi I've been trying to top up my card for the past day but it gets declined, I need it topped up urgently! Can somebody get back to me to resolve this or explain any different ways I can top up my card?</t>
  </si>
  <si>
    <t xml:space="preserve">Please explain why my top-up didn't go through.</t>
  </si>
  <si>
    <t xml:space="preserve">Can you tell me why my credit card was declined while trying to top-up?</t>
  </si>
  <si>
    <t xml:space="preserve">I need information explaining why my top-up failed to go through</t>
  </si>
  <si>
    <t xml:space="preserve">Hi, I am experiencing problems while trying to top-up with my card. I have never experienced any problems doing this before. Could you please help me?</t>
  </si>
  <si>
    <t xml:space="preserve">The top-up did not go through.</t>
  </si>
  <si>
    <t xml:space="preserve">I could not get a top-up to work, why?</t>
  </si>
  <si>
    <t xml:space="preserve">I don't know why my credit card was declined while I was trying to top-up. Was it something on my end or was there something wrong with the top-up function?</t>
  </si>
  <si>
    <t xml:space="preserve">Problems with my top up</t>
  </si>
  <si>
    <t xml:space="preserve">why is my top up failing</t>
  </si>
  <si>
    <t xml:space="preserve">I tried again to top up my card after doing it a couple days ago when it had worked. Now, it doesn't seem to be working. Can you tell me what the deal is here please?</t>
  </si>
  <si>
    <t xml:space="preserve">Top up keeps failing</t>
  </si>
  <si>
    <t xml:space="preserve">Hello, I tried to top up with my card, but it didn't work. I just got it a couple days before and it works fine. What's the deal? Can you check into this?</t>
  </si>
  <si>
    <t xml:space="preserve">What was the issue with my topping up?</t>
  </si>
  <si>
    <t xml:space="preserve">My topping up didn't go through.</t>
  </si>
  <si>
    <t xml:space="preserve">Why would the app deny my top-up?</t>
  </si>
  <si>
    <t xml:space="preserve">I need to add more funds to my card today because it keeps being declined, and I need to use it immediately. Can you fix this or tell me alternatives?</t>
  </si>
  <si>
    <t xml:space="preserve">Why has my top-up been denied?</t>
  </si>
  <si>
    <t xml:space="preserve">I tried to charge my card but it was declined. A couple days ago I was able to charge it and it was accepted. Is something wrong? Will you double check for me please?</t>
  </si>
  <si>
    <t xml:space="preserve">I could not get the top-up to go through</t>
  </si>
  <si>
    <t xml:space="preserve">I can't access my money. Is it because somethings wrong with the top-up? I set it up correctly.</t>
  </si>
  <si>
    <t xml:space="preserve">I was trying to top-up and my credit card was declined. Can you tell me why?</t>
  </si>
  <si>
    <t xml:space="preserve">I topped up my account but the app failed to process it.</t>
  </si>
  <si>
    <t xml:space="preserve">Looks like my top-up has been cancelled</t>
  </si>
  <si>
    <t xml:space="preserve">My top-up is not working. Why is that?</t>
  </si>
  <si>
    <t xml:space="preserve">Um, my top up didn't work</t>
  </si>
  <si>
    <t xml:space="preserve">I need assistance finding out why I am unable to top-up my card, it keeps getting refused.  It is extremely imperative I get this resolved quickly.</t>
  </si>
  <si>
    <t xml:space="preserve">I don't think my top up worked</t>
  </si>
  <si>
    <t xml:space="preserve">I added funds to my account but the app didn't process it.</t>
  </si>
  <si>
    <t xml:space="preserve">Why has my top-up not worked?</t>
  </si>
  <si>
    <t xml:space="preserve">Why did my top-up fail?</t>
  </si>
  <si>
    <t xml:space="preserve">is there a way to fix my top up</t>
  </si>
  <si>
    <t xml:space="preserve">I tried to top up my account and it didn't work</t>
  </si>
  <si>
    <t xml:space="preserve">Won't let me top my card up!! Who can get it sorted out for me? It's urgent! How do I find out what the problem is with my card and how else to top it up?</t>
  </si>
  <si>
    <t xml:space="preserve">There has been a red flag on my top up.</t>
  </si>
  <si>
    <t xml:space="preserve">Was there a problem with topping up?</t>
  </si>
  <si>
    <t xml:space="preserve">Hi, I tried to top up my card today and it did not work. I have tried it in the past and it worked just fine but it won't do it anymore. Can you help me out?</t>
  </si>
  <si>
    <t xml:space="preserve">My top-up failed to go through.</t>
  </si>
  <si>
    <t xml:space="preserve">I really need to top-up my card today urgently but my card keeps getting declined!! Can you please help me with this problem or let me know if you have any alternatives</t>
  </si>
  <si>
    <t xml:space="preserve">help my money isnt showing up</t>
  </si>
  <si>
    <t xml:space="preserve">how do i see what i transferred</t>
  </si>
  <si>
    <t xml:space="preserve">Hello. Can you help figure out why the recent transfer from my UK bank account isn't showing up?</t>
  </si>
  <si>
    <t xml:space="preserve">I've made a transfer from France two days ago but I was wondering if international transfers take longer to arrive because it hasn't made it yet.</t>
  </si>
  <si>
    <t xml:space="preserve">After I transferred money the balance remained the same.</t>
  </si>
  <si>
    <t xml:space="preserve">Where is the money that I transferred.</t>
  </si>
  <si>
    <t xml:space="preserve">About two days ago now, I made a transfer from France but it hasn't arrived yet. Is it possible that the international transfer just takes longer?</t>
  </si>
  <si>
    <t xml:space="preserve">Why is my balance the same after a transfer?</t>
  </si>
  <si>
    <t xml:space="preserve">How long will it take for a bank transfer to show up on my account? It's been a couple hours but I havnt seen anything yet. Also it's from a UK account if that makes any difference.</t>
  </si>
  <si>
    <t xml:space="preserve">The transfer I made isn't reflected in my balance</t>
  </si>
  <si>
    <t xml:space="preserve">Can you please check my UK Account to make sure everything went alright?  I made the transfer a couple of hours ago.</t>
  </si>
  <si>
    <t xml:space="preserve">Hi, I am unable to see transaction in my account which i made couples of hours ago from my UK account. Please help me in this.</t>
  </si>
  <si>
    <t xml:space="preserve">Hello I made a bank account transfer from the UK. The transfer was a couple hours ago, nothing has shown up yet.  Can you check to see if everything okay. Please.</t>
  </si>
  <si>
    <t xml:space="preserve">My balance didn't change after I transferred some money.</t>
  </si>
  <si>
    <t xml:space="preserve">I've transferred money into my account but the balance is the same</t>
  </si>
  <si>
    <t xml:space="preserve">Money that I have transferred hasn't arrived yet</t>
  </si>
  <si>
    <t xml:space="preserve">I made a transfer from France two days ago now but there hasn't made it there yet. Do international transfers take longer?</t>
  </si>
  <si>
    <t xml:space="preserve">I transferred money but the balance did not update.</t>
  </si>
  <si>
    <t xml:space="preserve">I am wondering about a transfer from a different country that doesn't show up yet?</t>
  </si>
  <si>
    <t xml:space="preserve">I just made a transfer from a UK account. How long does that typically take to show up? I just want to make sure it worked alright.</t>
  </si>
  <si>
    <t xml:space="preserve">I just made a transfer from France 2 days ago. It has not yet reached my bank. Is it possible it takes longer because it was an international transfer?</t>
  </si>
  <si>
    <t xml:space="preserve">Im going to need to make a transfer from a UK account but I need it to go through ASAP. Is that going to be possible or will it take forever?? Im hoping it will be a couple hours and not a couple weeks.</t>
  </si>
  <si>
    <t xml:space="preserve">How long before a bank transfer shows up in the account?</t>
  </si>
  <si>
    <t xml:space="preserve">How soon will my balance be updated to reflect my transfer?</t>
  </si>
  <si>
    <t xml:space="preserve">My transfer into my account isn't showing up.</t>
  </si>
  <si>
    <t xml:space="preserve">How can I fix my bank transfer to show up on my bank account?</t>
  </si>
  <si>
    <t xml:space="preserve">when does my balance update for a transfer</t>
  </si>
  <si>
    <t xml:space="preserve">There is a transfer not showing on my account.</t>
  </si>
  <si>
    <t xml:space="preserve">It is common for an international transfer to take 2 days or longer? I made a transfer from France 2 days ago and I have not seen it yet.</t>
  </si>
  <si>
    <t xml:space="preserve">I did a money transfer to my account and it is not showing there.</t>
  </si>
  <si>
    <t xml:space="preserve">I was wondering if international transfers take longer than normal because I made a transfer from France a couple of days ago and nothing has happened yet?</t>
  </si>
  <si>
    <t xml:space="preserve">What's the time frame normally for a UK account transfer? I just made one and it's not showing up anywhere. I want to be sure that everything is good.</t>
  </si>
  <si>
    <t xml:space="preserve">My latest transfer seems to be missing.</t>
  </si>
  <si>
    <t xml:space="preserve">Is there a longer processing time for international bank transfers?</t>
  </si>
  <si>
    <t xml:space="preserve">Balance hasn't been updated following a bank transfer</t>
  </si>
  <si>
    <t xml:space="preserve">Why isn't the transfer to my account showing up?</t>
  </si>
  <si>
    <t xml:space="preserve">Where is my money that I transfered?!</t>
  </si>
  <si>
    <t xml:space="preserve">The other bank confirmed a transfer I made, but this account is not reflecting it yet.</t>
  </si>
  <si>
    <t xml:space="preserve">Why can't I see a transfer to my account?</t>
  </si>
  <si>
    <t xml:space="preserve">Hi, I made a transfer from France two days ago and thought it would be here by now. Can you give me an update please?</t>
  </si>
  <si>
    <t xml:space="preserve">My balance doesn't include my latest transfer</t>
  </si>
  <si>
    <t xml:space="preserve">How long do bank transfers take to clear</t>
  </si>
  <si>
    <t xml:space="preserve">How long to UK transfers usually take? I made a transfer but it didn't pop up in my history yet. I just want to make sure it went through.</t>
  </si>
  <si>
    <t xml:space="preserve">I had transferred some money but the balance hasn't changed.</t>
  </si>
  <si>
    <t xml:space="preserve">My balance was not updated after transferring money.</t>
  </si>
  <si>
    <t xml:space="preserve">For you, how long do transfers normally take from a UK account? I completed one just now but nothing appears. I just need to be sure everything is okay.</t>
  </si>
  <si>
    <t xml:space="preserve">Do international transfers take longer?? I made a transfer from France 2 days ago but it's still not there yet...</t>
  </si>
  <si>
    <t xml:space="preserve">I am still waiting for a transfer I did</t>
  </si>
  <si>
    <t xml:space="preserve">How long does it take for a bank transfer to show on my balance?</t>
  </si>
  <si>
    <t xml:space="preserve">I transferred some funds but I don't see it</t>
  </si>
  <si>
    <t xml:space="preserve">How long do transfers to international banks take? I made one to france a couple of days ago, but it's still not there.</t>
  </si>
  <si>
    <t xml:space="preserve">The money that I have transferred hasn't arrived yet.</t>
  </si>
  <si>
    <t xml:space="preserve">How long do transfers take to show up in my account?</t>
  </si>
  <si>
    <t xml:space="preserve">How long does it take for a transfer to post</t>
  </si>
  <si>
    <t xml:space="preserve">My money hasn't been transferred yet.</t>
  </si>
  <si>
    <t xml:space="preserve">What is the normal time to make an international transfer? I made one a few days ago that still hasn't arrived.</t>
  </si>
  <si>
    <t xml:space="preserve">Tell me why my balance did not change when I tranferred cash.</t>
  </si>
  <si>
    <t xml:space="preserve">I completed a transfer that isn't showing up on my account.</t>
  </si>
  <si>
    <t xml:space="preserve">How long does transfers take?</t>
  </si>
  <si>
    <t xml:space="preserve">I did a transfer but the balance is the same.</t>
  </si>
  <si>
    <t xml:space="preserve">I made a transfer but my balance hasn't been updated</t>
  </si>
  <si>
    <t xml:space="preserve">I transfered my balance a while back.  Why doesn't my account reflect this?</t>
  </si>
  <si>
    <t xml:space="preserve">When will I see an updated balance after a transfer?</t>
  </si>
  <si>
    <t xml:space="preserve">I am still waiting on my bank transfer</t>
  </si>
  <si>
    <t xml:space="preserve">There is a missing transfer on my account</t>
  </si>
  <si>
    <t xml:space="preserve">After making a transfer from a UK account it's not showing up. How long do these transfers normally take for you? I want to be certain everything is all right.</t>
  </si>
  <si>
    <t xml:space="preserve">Can you check if my money has reached my account since it is not showing up yet?</t>
  </si>
  <si>
    <t xml:space="preserve">Why hasn't my money transfer shown up yet?</t>
  </si>
  <si>
    <t xml:space="preserve">Please check to see if the band transfer I made a while ago from my UK account has safely arrived.</t>
  </si>
  <si>
    <t xml:space="preserve">Where is the transfer to my account?</t>
  </si>
  <si>
    <t xml:space="preserve">I made a bank transfer earlier from my UK account.  I don't see it yet, can you check the status?</t>
  </si>
  <si>
    <t xml:space="preserve">Why isn't my balance reflecting a transfer I did?</t>
  </si>
  <si>
    <t xml:space="preserve">I made a bank transfer from my UK account today, but it's not showing.  Can you check status?</t>
  </si>
  <si>
    <t xml:space="preserve">How long do I need to wait to see an update after I make a bank transfer?</t>
  </si>
  <si>
    <t xml:space="preserve">Why isn't my balance updating?  I did a bank transfer and it isn't current.</t>
  </si>
  <si>
    <t xml:space="preserve">Hello, can you please inform me about international transfers? I am expecting a transfer I made from France two days ago and would like to know when it will arrive.</t>
  </si>
  <si>
    <t xml:space="preserve">I added money through a bank transfer and it is not showing in my balance.</t>
  </si>
  <si>
    <t xml:space="preserve">when will the balance on my account change form a transfer</t>
  </si>
  <si>
    <t xml:space="preserve">What is the time frame that transfers normally take from a UK account? I just completed a transfer and nothing shows up. I need to know if everything is alright.</t>
  </si>
  <si>
    <t xml:space="preserve">I have transferred some money but the balance hasn't changed</t>
  </si>
  <si>
    <t xml:space="preserve">The balance does not appear to have updated.</t>
  </si>
  <si>
    <t xml:space="preserve">Why hasn't my account updated to reflect my current balance?</t>
  </si>
  <si>
    <t xml:space="preserve">Where is the transfer that I did?</t>
  </si>
  <si>
    <t xml:space="preserve">After transfering some money my balance hasn't changed.</t>
  </si>
  <si>
    <t xml:space="preserve">How long does a transfer from a UK account take? I just made one and it doesn't seem to be working, wondering if everything is okay</t>
  </si>
  <si>
    <t xml:space="preserve">The transfer on my account is not showing up.</t>
  </si>
  <si>
    <t xml:space="preserve">When will my transfer come through?</t>
  </si>
  <si>
    <t xml:space="preserve">I haven't yet received money that I transferred</t>
  </si>
  <si>
    <t xml:space="preserve">How long do transfers from a UK bank account usually take for you? I just made a transfer and I'm not seeing anything, wondering if it worked</t>
  </si>
  <si>
    <t xml:space="preserve">How long does a bank transfer take to show up in available funds?</t>
  </si>
  <si>
    <t xml:space="preserve">The balance has not been updated.</t>
  </si>
  <si>
    <t xml:space="preserve">Although I transferred some money, it has not as of yet, arrived.</t>
  </si>
  <si>
    <t xml:space="preserve">I am wondering if International Transfers take longer. I a made a transfer from France two days ago and believed it would be here already. Please let me know when I will get it!</t>
  </si>
  <si>
    <t xml:space="preserve">I don't see any change in my balance.</t>
  </si>
  <si>
    <t xml:space="preserve">I just transferred some money into my account and do not see it updated yet, can you assist?</t>
  </si>
  <si>
    <t xml:space="preserve">I can still see money in my account after making a payment</t>
  </si>
  <si>
    <t xml:space="preserve">I need to know if everything is okay here. After making a transfer from a UK account it doesn't show up. How long does this normally take to process?</t>
  </si>
  <si>
    <t xml:space="preserve">I made a bank transfer but it doesn't seem to have gone through?</t>
  </si>
  <si>
    <t xml:space="preserve">How long does it typically take to make a transfer from a UK bank? I just made one and it hasn't shown up in my account yet.</t>
  </si>
  <si>
    <t xml:space="preserve">Hi. A couple hours ago I make a transfer from my UK bank account, but it hasn't shown up. Please, would you see what the delay is?</t>
  </si>
  <si>
    <t xml:space="preserve">Why hasn't my money transfer showed up yet?</t>
  </si>
  <si>
    <t xml:space="preserve">My transfer to my account is missing.</t>
  </si>
  <si>
    <t xml:space="preserve">MY transfer has still not appeared.</t>
  </si>
  <si>
    <t xml:space="preserve">Why is  my balance not updated?</t>
  </si>
  <si>
    <t xml:space="preserve">I'm wondering how long it takes for my money to get to me after a bank transfer.</t>
  </si>
  <si>
    <t xml:space="preserve">Hi. About two hours ago I made a transfer from my bank which is in the UK, but I don't see it yet! Would you check what's going on with it, please?</t>
  </si>
  <si>
    <t xml:space="preserve">When does a UK transfer show up?</t>
  </si>
  <si>
    <t xml:space="preserve">I do not see the money I transferred into this account</t>
  </si>
  <si>
    <t xml:space="preserve">How long before transferred money shows up?</t>
  </si>
  <si>
    <t xml:space="preserve">How long do transfers take to go though</t>
  </si>
  <si>
    <t xml:space="preserve">Can you tell me how long it would take, to make a transfer from France? I made one 2 days ago and its not there yet.</t>
  </si>
  <si>
    <t xml:space="preserve">I made a transfer from France a couple days ago and don't see the transaction yet. How long does an international transfer take?</t>
  </si>
  <si>
    <t xml:space="preserve">Transferred to account is not successful, help please?</t>
  </si>
  <si>
    <t xml:space="preserve">My transfer is pending too long.</t>
  </si>
  <si>
    <t xml:space="preserve">Why isn't the transferred money there?</t>
  </si>
  <si>
    <t xml:space="preserve">How long does an international transfer take? I made the transfer from France 2 days ago, but it is not showing up in my bank yet.</t>
  </si>
  <si>
    <t xml:space="preserve">My account balance has not updated to reflect my recent transfer.</t>
  </si>
  <si>
    <t xml:space="preserve">Why hasn't the money I transferred into my account shown up yet?</t>
  </si>
  <si>
    <t xml:space="preserve">Bank transfer to account did not show up, please help?</t>
  </si>
  <si>
    <t xml:space="preserve">How long does it take for money to transfer?</t>
  </si>
  <si>
    <t xml:space="preserve">Where's the money I transferred into my account?</t>
  </si>
  <si>
    <t xml:space="preserve">Why am I still waiting for a transfer?</t>
  </si>
  <si>
    <t xml:space="preserve">Why is it taking so long to update my balance transfer?</t>
  </si>
  <si>
    <t xml:space="preserve">I transferred some money but it hasn't arrived yet</t>
  </si>
  <si>
    <t xml:space="preserve">I made a transfer a couple hours ago but my balance has not been updated. Why is this? Shouldnt this be instant?</t>
  </si>
  <si>
    <t xml:space="preserve">I made a transfer from my UK account a couple of hours ago.  Could you please make sure everything went alright.</t>
  </si>
  <si>
    <t xml:space="preserve">Where is the transfer to my account that I made?</t>
  </si>
  <si>
    <t xml:space="preserve">I've made a bank transfer but the money doesn't seem to be in my account.</t>
  </si>
  <si>
    <t xml:space="preserve">I can't see a transfer to my account I made.</t>
  </si>
  <si>
    <t xml:space="preserve">what amount of time does it take for a transfer to reflect and be available</t>
  </si>
  <si>
    <t xml:space="preserve">When is my balance going to update, I just transferred some money</t>
  </si>
  <si>
    <t xml:space="preserve">When will the money from my bank transfer be available?</t>
  </si>
  <si>
    <t xml:space="preserve">I transferred some money but the balance stayed the same.</t>
  </si>
  <si>
    <t xml:space="preserve">Good afternoon. I made a transfer from my UK bank account.  I haven't seen anything on the account in the pass few hours. Please check the account to make sure everything is fine.</t>
  </si>
  <si>
    <t xml:space="preserve">I did a bank transfer and my balance isn't current.</t>
  </si>
  <si>
    <t xml:space="preserve">I want to be sure that everything is okay here. I just made a transfer from a UK account and it is still not showing up. How long does this typically take?</t>
  </si>
  <si>
    <t xml:space="preserve">I recently transferred money to my account when will it show up?</t>
  </si>
  <si>
    <t xml:space="preserve">I transferred money but the balance hasn't changed.</t>
  </si>
  <si>
    <t xml:space="preserve">How long do tranfers from a UK account usuallt take for you? I just made a transfer and nothing shows up, so just wondering if things went ok</t>
  </si>
  <si>
    <t xml:space="preserve">Why is my transfer not showing</t>
  </si>
  <si>
    <t xml:space="preserve">Why didn't the money I transferred into my account get added to my balance?</t>
  </si>
  <si>
    <t xml:space="preserve">Help me find the transfer that I did.</t>
  </si>
  <si>
    <t xml:space="preserve">I recently transferred some cash, but the balance has not changed.</t>
  </si>
  <si>
    <t xml:space="preserve">What's the normal time frame for a transfer from a UK account? After just making a transfer it doesn't appear at all. I need to know if things went okay.</t>
  </si>
  <si>
    <t xml:space="preserve">Can you see my new balance yet?</t>
  </si>
  <si>
    <t xml:space="preserve">How long does it take for money to transfer as my balance hasn't been updated</t>
  </si>
  <si>
    <t xml:space="preserve">How long do I have to wait for my bank transfer to appear in my account?</t>
  </si>
  <si>
    <t xml:space="preserve">How long does a transfer from the United Kingdom take? I haven't seen it show up yet in my bank account and want to make sure I get the transfer.</t>
  </si>
  <si>
    <t xml:space="preserve">Are bank transfers immediate?</t>
  </si>
  <si>
    <t xml:space="preserve">I transferred money to my account but it is not showing.</t>
  </si>
  <si>
    <t xml:space="preserve">What happened to the transfer I did?</t>
  </si>
  <si>
    <t xml:space="preserve">I transferred some money a couple days ago but haven't received it yet. How long should I expect to wait?</t>
  </si>
  <si>
    <t xml:space="preserve">How long does it take for money to reach my account?</t>
  </si>
  <si>
    <t xml:space="preserve">I did a transfer to my account, but it hasn't shown up</t>
  </si>
  <si>
    <t xml:space="preserve">My account isn't showing a transfer I made.</t>
  </si>
  <si>
    <t xml:space="preserve">The funds I transferred are not in my account</t>
  </si>
  <si>
    <t xml:space="preserve">How long do bank transfers usually take?</t>
  </si>
  <si>
    <t xml:space="preserve">Hello I have a UK account.  Can you please check if everything is alright with it?  I made a transfer a couple hours ago but it doesn't show up yet.</t>
  </si>
  <si>
    <t xml:space="preserve">How long does a transfer from the UK account usually take? After completing the transfer it is not showing up. I need to know that everything I actually went okay.</t>
  </si>
  <si>
    <t xml:space="preserve">Can you tell me why the transfer isn't showing up on my account?</t>
  </si>
  <si>
    <t xml:space="preserve">Balance is not up to date.</t>
  </si>
  <si>
    <t xml:space="preserve">my transfer isn't there</t>
  </si>
  <si>
    <t xml:space="preserve">I made a bank transfer and the balance hasn't updated yet.</t>
  </si>
  <si>
    <t xml:space="preserve">Why wasn't my bank balance updated?</t>
  </si>
  <si>
    <t xml:space="preserve">How long do I have to wait until the transferred money shows up?</t>
  </si>
  <si>
    <t xml:space="preserve">A few hours ago I made a bank transfer from my UK account but I don't see that it has arrived.   Can you check and see if all is ok please?</t>
  </si>
  <si>
    <t xml:space="preserve">I can't see the transfer that I put in.</t>
  </si>
  <si>
    <t xml:space="preserve">When will my transfer process?</t>
  </si>
  <si>
    <t xml:space="preserve">Is something wrong with my account, my balance didn't change after I transferred some money</t>
  </si>
  <si>
    <t xml:space="preserve">It has been a couple of hours but I do not see my balance updated, can you help?</t>
  </si>
  <si>
    <t xml:space="preserve">What is the amount of time transfers usually take from the UK? I had just completed a transfer and nothing seems to be showing up so I need to be sure things are alright.</t>
  </si>
  <si>
    <t xml:space="preserve">I looked on the app and it says I withdrew cash.  I didn't!</t>
  </si>
  <si>
    <t xml:space="preserve">I didn't withdraw the amount of cash that is showing up in the app.</t>
  </si>
  <si>
    <t xml:space="preserve">I saw on the app that a cash withdrawal was completed on my account; however, I did not complete it.</t>
  </si>
  <si>
    <t xml:space="preserve">I got a notice from my app that I withdrew cash but I don't remember doing so. How do I fix this?</t>
  </si>
  <si>
    <t xml:space="preserve">Someone has a copy of my card !! I definitely still have it here but someone just made a 500£ cash withdrawal, HELP!</t>
  </si>
  <si>
    <t xml:space="preserve">Why do I see a random withdrawal in my app?</t>
  </si>
  <si>
    <t xml:space="preserve">Hello, Please look into this matter urgently. As i have lost my wallet and i can see one withdrawal, now i do not want to loose more money.</t>
  </si>
  <si>
    <t xml:space="preserve">Someone has a copy of my card. I have my card with me, but someone just made a 500£ cash withdrawal. Help me.</t>
  </si>
  <si>
    <t xml:space="preserve">There is a withdrawal on my account that I don't remember initiating.</t>
  </si>
  <si>
    <t xml:space="preserve">I got a message saying I made a withdrawal from the bank machine, but I did not.</t>
  </si>
  <si>
    <t xml:space="preserve">Someone has copied my card. I have my card with me, but someone just made a 500£ cash withdrawal. Please help now.</t>
  </si>
  <si>
    <t xml:space="preserve">help, I see money missing I didn't take out.</t>
  </si>
  <si>
    <t xml:space="preserve">My wallet was taken and I see that someone is using my card!   Please help me!</t>
  </si>
  <si>
    <t xml:space="preserve">I see cash withdrawal activity in the app that is not mine.</t>
  </si>
  <si>
    <t xml:space="preserve">There is a withdrawal on my account I didn't make.</t>
  </si>
  <si>
    <t xml:space="preserve">A 500 pound cash withdrawal was just made from my account, but I didn't make it. I am pretty sure my card has been compromised - can you help me?</t>
  </si>
  <si>
    <t xml:space="preserve">I just lost my wallet and I think someone is using my card to withdraw my money. Can you please cancel or freeze my card?!!</t>
  </si>
  <si>
    <t xml:space="preserve">The app is showing a cash withdrawal that I didn't make.</t>
  </si>
  <si>
    <t xml:space="preserve">What is this witdrawal</t>
  </si>
  <si>
    <t xml:space="preserve">There's a cash withdrawal I didn't make</t>
  </si>
  <si>
    <t xml:space="preserve">I think someone stole money from my card</t>
  </si>
  <si>
    <t xml:space="preserve">I have a cash withdrawal on my statement that I am unsure of.</t>
  </si>
  <si>
    <t xml:space="preserve">The app says I got cash from an ATM but I didn't</t>
  </si>
  <si>
    <t xml:space="preserve">I see money go out that I didn't withdraw.</t>
  </si>
  <si>
    <t xml:space="preserve">I lost my wallet and I think someone is withdrawing cash with my card. Please help. It is urgent.</t>
  </si>
  <si>
    <t xml:space="preserve">Somebody stole my wallet and is using my card! Can you do something so they can't keep taking my money?</t>
  </si>
  <si>
    <t xml:space="preserve">Help! I think someone has a copy of my card - I still have my card, but a five hundred pound cash withdrawal that I didn't authorize is shown on my account.</t>
  </si>
  <si>
    <t xml:space="preserve">I believe my card has been compromised as there's a cash withdrawal I don't recognize.</t>
  </si>
  <si>
    <t xml:space="preserve">I was checking my account when I saw a $500 cash withdraw that I know I didn't do.  I have my card so I don't understand how this happened.  Please help me.</t>
  </si>
  <si>
    <t xml:space="preserve">Hi, Could you please help me as someone has stolen my wallet few hours ago. And a withdrawal is made, please help immediately. As i don't want to suffer more.</t>
  </si>
  <si>
    <t xml:space="preserve">What should I do if I see an unauthorized withdrawal on my statement?</t>
  </si>
  <si>
    <t xml:space="preserve">A WD was just made on my account, but it was not me and I still have my card.  What to do?</t>
  </si>
  <si>
    <t xml:space="preserve">Why is there extra cash in my account?</t>
  </si>
  <si>
    <t xml:space="preserve">What is this cash withdrawal I don't recognize?</t>
  </si>
  <si>
    <t xml:space="preserve">I believe my card has been compromised as there are funds showing that I did not receive.</t>
  </si>
  <si>
    <t xml:space="preserve">THere is some cash that is showing up on my app.</t>
  </si>
  <si>
    <t xml:space="preserve">My wallet was just stolen and I see my account already has a withdrawal. Can you please help me.</t>
  </si>
  <si>
    <t xml:space="preserve">Somebody made a withdrawal from my account for 500. I have my card so how can this be? Does somebody have a duplicate card or something? Help please.</t>
  </si>
  <si>
    <t xml:space="preserve">There is a cash withdrawal from an ATM listed but I don't remember making this withdrawal.</t>
  </si>
  <si>
    <t xml:space="preserve">I saw there is a cash withdrawal from my account via the app which I did not complete.</t>
  </si>
  <si>
    <t xml:space="preserve">The app says I made a cash withdrawal even though I didn't.</t>
  </si>
  <si>
    <t xml:space="preserve">What is this cash withdrawal on my statement?</t>
  </si>
  <si>
    <t xml:space="preserve">My app shows cash I didn't get.</t>
  </si>
  <si>
    <t xml:space="preserve">I see non-received cash in my app.</t>
  </si>
  <si>
    <t xml:space="preserve">The app is saying I made a withdrawl but I didn't.</t>
  </si>
  <si>
    <t xml:space="preserve">I see cash in my app but I did not get it.</t>
  </si>
  <si>
    <t xml:space="preserve">My app statement shows I took out cash from an ATM but I did not. What can I do?</t>
  </si>
  <si>
    <t xml:space="preserve">I think someone may have cloned my card or something.  My card isn't lost but I just saw a charge of $500 cash withdraw.  Can you help me?</t>
  </si>
  <si>
    <t xml:space="preserve">My card shows a cash withdrawal I don't recognize.</t>
  </si>
  <si>
    <t xml:space="preserve">I got a strange cash withdrawal in my statement</t>
  </si>
  <si>
    <t xml:space="preserve">Help! I just realised someone has apparently withdrawn money using my card! It's from some odd remote town where I definitely haven't been. Please freeze it immediately!</t>
  </si>
  <si>
    <t xml:space="preserve">My app is showing a cash balance that I did not receive.</t>
  </si>
  <si>
    <t xml:space="preserve">Help!  The app has an ATM withdrawl that I didn't make.</t>
  </si>
  <si>
    <t xml:space="preserve">I am seeing in the app, some cash witdhrawals that I did not authorize.</t>
  </si>
  <si>
    <t xml:space="preserve">Some cash shows up on my app.</t>
  </si>
  <si>
    <t xml:space="preserve">I am seeing unathorized transactions in the app, on my account.</t>
  </si>
  <si>
    <t xml:space="preserve">I AM MISSING CASH FROM MY BANK ACCOUNT ACCORDING TO MY APP</t>
  </si>
  <si>
    <t xml:space="preserve">There are funds in my app that I did not receive.</t>
  </si>
  <si>
    <t xml:space="preserve">A cash withdrawal has been done that I didn't do.</t>
  </si>
  <si>
    <t xml:space="preserve">I do not know what this cash withdrawal is</t>
  </si>
  <si>
    <t xml:space="preserve">There is unexpected money in my account.</t>
  </si>
  <si>
    <t xml:space="preserve">I see a cash withdrawal in the app that I did not do.</t>
  </si>
  <si>
    <t xml:space="preserve">Someone stole my wallet a couple of hours ago now and they have taken money from my account. Is there any way that you can help so I won't lose any more of my money.</t>
  </si>
  <si>
    <t xml:space="preserve">Hi, It's urgent, please freeze my card. As someone has withdrawn money using my card in odd remote town. Since i have not done this withdrawal. Do it fast.</t>
  </si>
  <si>
    <t xml:space="preserve">The app says that I got cash in an ATM and I didn't</t>
  </si>
  <si>
    <t xml:space="preserve">Please help me figure out the reason for the odd withdrawal amount from my account?</t>
  </si>
  <si>
    <t xml:space="preserve">What do I do if I do not recognise a cash withdrawal?</t>
  </si>
  <si>
    <t xml:space="preserve">I hope you can help me. Someone has stolen my wallet and now I have noticed that they have been taking money from my account.</t>
  </si>
  <si>
    <t xml:space="preserve">There was money taken out of my account, and I'm pretty sure I didn't do it.</t>
  </si>
  <si>
    <t xml:space="preserve">I was the victim of someone stealing my wallet.  My card is being used and it isn't me.  What should I do?</t>
  </si>
  <si>
    <t xml:space="preserve">I think there's been an unauthorized cash withdrawal from my account.</t>
  </si>
  <si>
    <t xml:space="preserve">What do I do if I see a cash withdrawal on my account that I don't remember making?</t>
  </si>
  <si>
    <t xml:space="preserve">I am seeing inside the App a some cash withdrawal that is not mine</t>
  </si>
  <si>
    <t xml:space="preserve">My app shows a money withdrawal that I did not do.</t>
  </si>
  <si>
    <t xml:space="preserve">I was trying to use my card and it was declined, when I tried to find out what happened I found cash withdraw for $500 that I didn't do.  Can you please help figure this out?</t>
  </si>
  <si>
    <t xml:space="preserve">I believe my card has been compromised because of a strange withdrawal</t>
  </si>
  <si>
    <t xml:space="preserve">There is money missing from my account.</t>
  </si>
  <si>
    <t xml:space="preserve">According to the app, I got cash from an ATM but I haven't made any transactions.</t>
  </si>
  <si>
    <t xml:space="preserve">It is urgency. Please freeze my card now. As someone in some odd remote town has withdrawn some money by using my card. As i did not withdraw any money.</t>
  </si>
  <si>
    <t xml:space="preserve">I am confused why there is cash I did not accept in my account</t>
  </si>
  <si>
    <t xml:space="preserve">I hope you can help me. My account has been compromised from a different town that I haven't been to. Can you please place a hold on my account until I can make it to the bank?</t>
  </si>
  <si>
    <t xml:space="preserve">There is a cash withdrawal in my account that isn't mine.</t>
  </si>
  <si>
    <t xml:space="preserve">There is a cash withdrawal on my statement that I did not make</t>
  </si>
  <si>
    <t xml:space="preserve">I am seeing in the App a some cash withdrawal that does not belong to me</t>
  </si>
  <si>
    <t xml:space="preserve">My bank app said that I got cash from an ATM, but that's a mistake.</t>
  </si>
  <si>
    <t xml:space="preserve">In the app, I see a withdrawal I didn't make.</t>
  </si>
  <si>
    <t xml:space="preserve">There are incorrect charges on my account, there was a WD that was made by someone else.  I still have my card though.</t>
  </si>
  <si>
    <t xml:space="preserve">I did not get the cash that is showing up in my app.</t>
  </si>
  <si>
    <t xml:space="preserve">Someone withdrew money from my account, and it wasn't me.</t>
  </si>
  <si>
    <t xml:space="preserve">there is money in my account that i didnt put there</t>
  </si>
  <si>
    <t xml:space="preserve">Somebody is taking money out of my account without my approval in another town separate from me. Please place a freeze on my account until I can make it to the bank.</t>
  </si>
  <si>
    <t xml:space="preserve">My app says I withdraw money from my account from an ATM.</t>
  </si>
  <si>
    <t xml:space="preserve">Can you tell me what the cash withdrawal is in my statement?</t>
  </si>
  <si>
    <t xml:space="preserve">My identity has been stolen. I still have my physical card but there are charges I didn't make on my account. How do I cancel this card or dispute the charges?</t>
  </si>
  <si>
    <t xml:space="preserve">There was just a withdrawal but it wasn't me, I've never even visited the town where the withdrawal happened.</t>
  </si>
  <si>
    <t xml:space="preserve">I am using the app, and I see cash withdrawals that I did not authorize.</t>
  </si>
  <si>
    <t xml:space="preserve">I did not make a cash withdrawal that is on my statement</t>
  </si>
  <si>
    <t xml:space="preserve">The app shows a withdrawal that I did not make or authorize.</t>
  </si>
  <si>
    <t xml:space="preserve">Money was taken out without my consent,</t>
  </si>
  <si>
    <t xml:space="preserve">I don't recognize this withdrawal on my statement</t>
  </si>
  <si>
    <t xml:space="preserve">How do I report a cash withdrawal that wasn't me?</t>
  </si>
  <si>
    <t xml:space="preserve">Why is there some cash that I did not deposit in my account?</t>
  </si>
  <si>
    <t xml:space="preserve">There's an unauthorized cash withdraw</t>
  </si>
  <si>
    <t xml:space="preserve">Help!  The app says I took out cash but I didn't!</t>
  </si>
  <si>
    <t xml:space="preserve">Hello, Just now i got to know withdrawal of money from of my account. As someone used my card to withdraw amount in any odd remote area. Since i have not been in that area, please freeze my card immediately.</t>
  </si>
  <si>
    <t xml:space="preserve">There has a recent suspicious withdrawal on my bank account. Is it possible to freeze my card?</t>
  </si>
  <si>
    <t xml:space="preserve">There's a cash withdrawal that  didn't make that is showing up.</t>
  </si>
  <si>
    <t xml:space="preserve">I see an unauthorized withdraw.</t>
  </si>
  <si>
    <t xml:space="preserve">I am seeing in the App a some cash withdrawal that I did not do</t>
  </si>
  <si>
    <t xml:space="preserve">I think somebody made an unauthorized copy of my card.  My account has a cash withdrawal for 500£ that I did not make.  Please help.</t>
  </si>
  <si>
    <t xml:space="preserve">My account shows that I made a cash withdrawal but I cannot remember doing so!</t>
  </si>
  <si>
    <t xml:space="preserve">Someone is using my card to purchase flights to New York it's not me because I'm not going to New York, please can you cancel the card and refund the money?</t>
  </si>
  <si>
    <t xml:space="preserve">I noticed that there is a withdrawal in the app that is not mine.</t>
  </si>
  <si>
    <t xml:space="preserve">Some cash was withdrawn in the app, but I did not do it.</t>
  </si>
  <si>
    <t xml:space="preserve">My wallet got stolen a couple hours ago and now I've seen there already is a withdrawal. Help this is absolutely urgent I don't want to loose more money</t>
  </si>
  <si>
    <t xml:space="preserve">A withdrawal is showing that I don't recognize</t>
  </si>
  <si>
    <t xml:space="preserve">There's a cash withdrawal I am certain I did not make</t>
  </si>
  <si>
    <t xml:space="preserve">What is this withdrawal as I do not remember making it.</t>
  </si>
  <si>
    <t xml:space="preserve">I have my card here with me and someone has just made a withdrawal for 500. Please help!</t>
  </si>
  <si>
    <t xml:space="preserve">I have a cash withdrawal that I do not recognise.</t>
  </si>
  <si>
    <t xml:space="preserve">Someone else used my card to withdraw cash from an ATM</t>
  </si>
  <si>
    <t xml:space="preserve">Some cash has been withdrawn but I didn't do it.</t>
  </si>
  <si>
    <t xml:space="preserve">I want my card frozen right away. Money was taken out in an odd location I have never heard of.</t>
  </si>
  <si>
    <t xml:space="preserve">I need my card frozen cause it was used without my consent to take money out. It was in an odd place.</t>
  </si>
  <si>
    <t xml:space="preserve">There's a $200 withdrawal on my statement that seems fishy to me.</t>
  </si>
  <si>
    <t xml:space="preserve">There's a cash withdrawal on my account that I didn't make</t>
  </si>
  <si>
    <t xml:space="preserve">Why is there a cash withdrawal I didn't make?</t>
  </si>
  <si>
    <t xml:space="preserve">The app says I made a cash withdrawal that I didn't make</t>
  </si>
  <si>
    <t xml:space="preserve">Help! I think someone has made a cash withdrawal with my card!</t>
  </si>
  <si>
    <t xml:space="preserve">What do I do when a charge has been made that I did not make?</t>
  </si>
  <si>
    <t xml:space="preserve">I need your help immediately.  There is a 500£ cash withdrawal that I know nothing about.  I think my account has become compromised.</t>
  </si>
  <si>
    <t xml:space="preserve">Can you tell me what this cash withdrawal is?</t>
  </si>
  <si>
    <t xml:space="preserve">How can I verify if a cash withdrawal was made from my account? I still have my card with me but I did not authorize the withdrawal that just occurred.</t>
  </si>
  <si>
    <t xml:space="preserve">I think someone might have a copy of my card because a 500 dollar withdrawal was made, and it wasn't me. Can you please help?</t>
  </si>
  <si>
    <t xml:space="preserve">Someone has access to my card info.  I still have the card, but someone just withdrew cash.  How do I get this corrected/stopped?!</t>
  </si>
  <si>
    <t xml:space="preserve">Why is my app showing me taking money that I did not take out?</t>
  </si>
  <si>
    <t xml:space="preserve">I see in the app some cash was withdrawn, but it's not mine.</t>
  </si>
  <si>
    <t xml:space="preserve">There is a withdrawal in my account I didn't make.</t>
  </si>
  <si>
    <t xml:space="preserve">What is the strange cash withdrawal on my statement?</t>
  </si>
  <si>
    <t xml:space="preserve">Why would the app show a withdrawal that I did not make?</t>
  </si>
  <si>
    <t xml:space="preserve">I have a cash withdrawal in my statement. Why is that?</t>
  </si>
  <si>
    <t xml:space="preserve">i didnt put that money in my account</t>
  </si>
  <si>
    <t xml:space="preserve">Some cash withdrawal that I didn't make showed up in the app.</t>
  </si>
  <si>
    <t xml:space="preserve">There is a cash withdrawl I don't remember.</t>
  </si>
  <si>
    <t xml:space="preserve">Someone stole my account, there's a withdrawal but it wasn't me, can we put a stop to it please?</t>
  </si>
  <si>
    <t xml:space="preserve">There are funds showing in my app that I did not receive.</t>
  </si>
  <si>
    <t xml:space="preserve">I didn't withdraw cash but I see that transaction on my app</t>
  </si>
  <si>
    <t xml:space="preserve">I have a cash withdrawal that I don't recognize.</t>
  </si>
  <si>
    <t xml:space="preserve">My wallet was just stolen, and they've already used my card! Please help, I can't afford to lose more money!</t>
  </si>
  <si>
    <t xml:space="preserve">Please help me, its urgent. Someone has withdrawn money from my account as few hours before my wallet has been. Now i want to stop withdrawal of more money.</t>
  </si>
  <si>
    <t xml:space="preserve">Help!  There is a cash withdrawl on the account that I didn't make!</t>
  </si>
  <si>
    <t xml:space="preserve">There is a cash withdrawal on my statement that I don't recognize</t>
  </si>
  <si>
    <t xml:space="preserve">The app is showing mt withdrawals that aren't  mine.</t>
  </si>
  <si>
    <t xml:space="preserve">My app says I made a withdrawal, but I didn't.</t>
  </si>
  <si>
    <t xml:space="preserve">There is random cash in my account.</t>
  </si>
  <si>
    <t xml:space="preserve">A cash withdrawal that I didn't authorize is shown on my account - can you please cancel my card as soon as possible?</t>
  </si>
  <si>
    <t xml:space="preserve">Cash I did not get showed up in my account</t>
  </si>
  <si>
    <t xml:space="preserve">My app says I withdraw funds from my account through an ATM.</t>
  </si>
  <si>
    <t xml:space="preserve">There has been an unusual withdrawal from my account, can you help?</t>
  </si>
  <si>
    <t xml:space="preserve">Some cash I didn't get shows in my app</t>
  </si>
  <si>
    <t xml:space="preserve">How much is the exchange fee?</t>
  </si>
  <si>
    <t xml:space="preserve">Are there any hidden extra fees for currency exchanges?</t>
  </si>
  <si>
    <t xml:space="preserve">If I exchange currencies on a frequent basis can I receive a discount?</t>
  </si>
  <si>
    <t xml:space="preserve">Is there any cost to change foreign money to local?</t>
  </si>
  <si>
    <t xml:space="preserve">What are the currency exchange fees?</t>
  </si>
  <si>
    <t xml:space="preserve">Do you charge a fee on currency exchange?</t>
  </si>
  <si>
    <t xml:space="preserve">What is the current exchange fee?</t>
  </si>
  <si>
    <t xml:space="preserve">Will I be charged an extra fee if I need to exchange currency?</t>
  </si>
  <si>
    <t xml:space="preserve">Currency exchanges have any extra fees?</t>
  </si>
  <si>
    <t xml:space="preserve">Does it cost extra to exchange foreign currencies?</t>
  </si>
  <si>
    <t xml:space="preserve">Is there any type of fee for currency exchange?</t>
  </si>
  <si>
    <t xml:space="preserve">How much more do you charge for currency exchange?</t>
  </si>
  <si>
    <t xml:space="preserve">When exchanging currencies, is there an extra fee?</t>
  </si>
  <si>
    <t xml:space="preserve">Exchange fee help?</t>
  </si>
  <si>
    <t xml:space="preserve">What's the exchange fee?</t>
  </si>
  <si>
    <t xml:space="preserve">exchanging currencies costs what?</t>
  </si>
  <si>
    <t xml:space="preserve">How much will I be charged for a cross-currency exchange?</t>
  </si>
  <si>
    <t xml:space="preserve">How much extra will I be charged for exchanging foreign currency?</t>
  </si>
  <si>
    <t xml:space="preserve">Do I pay extra for exchange?</t>
  </si>
  <si>
    <t xml:space="preserve">Do I need to pay extra for exchanging currencies?</t>
  </si>
  <si>
    <t xml:space="preserve">How much to exchange currencies?</t>
  </si>
  <si>
    <t xml:space="preserve">Could you help my figure out the exchange fee?</t>
  </si>
  <si>
    <t xml:space="preserve">IS there a fee to exchange currency?</t>
  </si>
  <si>
    <t xml:space="preserve">Do I get a discount if I exchange currencies a lot?</t>
  </si>
  <si>
    <t xml:space="preserve">What kind of costs are involved for exchanging currency?</t>
  </si>
  <si>
    <t xml:space="preserve">Are there any discounts in exchanging currencies frequently?</t>
  </si>
  <si>
    <t xml:space="preserve">Do you offer any discounts for someone who exchanges currencies frequently?</t>
  </si>
  <si>
    <t xml:space="preserve">Is there a pay structure for currency exchanges?</t>
  </si>
  <si>
    <t xml:space="preserve">would I need to pay extra for exchanging currencies?</t>
  </si>
  <si>
    <t xml:space="preserve">What is the charge for exchanging currencies?</t>
  </si>
  <si>
    <t xml:space="preserve">Are there any discounts for frequent currency exchanges?</t>
  </si>
  <si>
    <t xml:space="preserve">how much do I have to pay for exchange of currency?</t>
  </si>
  <si>
    <t xml:space="preserve">I need to exchange foreign currency will i be charged?</t>
  </si>
  <si>
    <t xml:space="preserve">Since I need to exchange currencies frequently, would you be able to offer me a discount?</t>
  </si>
  <si>
    <t xml:space="preserve">always exchanging currencies, do you offer a discount?</t>
  </si>
  <si>
    <t xml:space="preserve">How much do I have to pay to accept an international transfer?</t>
  </si>
  <si>
    <t xml:space="preserve">is there a foreign currencies charge?</t>
  </si>
  <si>
    <t xml:space="preserve">I exchange my currency quite a bit.  Do I get an exchange price break?</t>
  </si>
  <si>
    <t xml:space="preserve">If I exchange currencies on a regular basis, is there a discount?</t>
  </si>
  <si>
    <t xml:space="preserve">Do you charge extra for exchanging currencies?</t>
  </si>
  <si>
    <t xml:space="preserve">Will there be a charge for exchanging foreign currency?</t>
  </si>
  <si>
    <t xml:space="preserve">What's the cost for exchanges?</t>
  </si>
  <si>
    <t xml:space="preserve">How much does currency exchange cost?</t>
  </si>
  <si>
    <t xml:space="preserve">My currencies needed to be exchanged often and I was wondering if there were any discounts available for this?</t>
  </si>
  <si>
    <t xml:space="preserve">is there a frequent currency discount?</t>
  </si>
  <si>
    <t xml:space="preserve">Would I need to pay extra for currency exchanges?</t>
  </si>
  <si>
    <t xml:space="preserve">Are there any extras for exchanging currency?</t>
  </si>
  <si>
    <t xml:space="preserve">Will I get charged on a foreign currencies exchange?</t>
  </si>
  <si>
    <t xml:space="preserve">Fees for currency exchange</t>
  </si>
  <si>
    <t xml:space="preserve">I travel a lot, can I get a bulk currency exchange discount?</t>
  </si>
  <si>
    <t xml:space="preserve">what is the cost for exchanging currencies?</t>
  </si>
  <si>
    <t xml:space="preserve">Do exchanges cost more?</t>
  </si>
  <si>
    <t xml:space="preserve">Do currency exchanges cost extra?</t>
  </si>
  <si>
    <t xml:space="preserve">Is there an additional cost to exchange currencies?</t>
  </si>
  <si>
    <t xml:space="preserve">I've been to several different countries, can I exchange the cash with a discount for a large transaction?</t>
  </si>
  <si>
    <t xml:space="preserve">What do you charge for an exchange fee?</t>
  </si>
  <si>
    <t xml:space="preserve">I exchange currencies a lot.  Can I get a discount?</t>
  </si>
  <si>
    <t xml:space="preserve">Is there a charge for exchanging foreign currencies?</t>
  </si>
  <si>
    <t xml:space="preserve">What is the fee for accepting money from a foreign country?</t>
  </si>
  <si>
    <t xml:space="preserve">Is there a fee for currency exchange?</t>
  </si>
  <si>
    <t xml:space="preserve">How much do you charge for exchange rates?</t>
  </si>
  <si>
    <t xml:space="preserve">Will I have to pay extra to exchange money?</t>
  </si>
  <si>
    <t xml:space="preserve">If I exchange foreign currency, are there any other charges?</t>
  </si>
  <si>
    <t xml:space="preserve">What is the cost for currency exchanges?</t>
  </si>
  <si>
    <t xml:space="preserve">Do yo charge a fee for exchanging foreign currencies?</t>
  </si>
  <si>
    <t xml:space="preserve">What is the exchange fee that is charged?</t>
  </si>
  <si>
    <t xml:space="preserve">How much does it cost to exchange my balance into a foreign currency?</t>
  </si>
  <si>
    <t xml:space="preserve">Are there discounts for frequent currency exchanges?</t>
  </si>
  <si>
    <t xml:space="preserve">What is the currency exchange fee?</t>
  </si>
  <si>
    <t xml:space="preserve">Do you offer a discount for those who perform frequent currency exchanges?</t>
  </si>
  <si>
    <t xml:space="preserve">What kind of charges should I expect to exchange currencies?</t>
  </si>
  <si>
    <t xml:space="preserve">What is your currency exchange fee?</t>
  </si>
  <si>
    <t xml:space="preserve">I have foreign currency i would like to change how much will it cost me?</t>
  </si>
  <si>
    <t xml:space="preserve">Is there a charge for exchanging foreign currency?</t>
  </si>
  <si>
    <t xml:space="preserve">If I exchange currency frequently, can I get a discounted rate?</t>
  </si>
  <si>
    <t xml:space="preserve">Will there be a cost if I exchange currency?</t>
  </si>
  <si>
    <t xml:space="preserve">What fee will be charged for exchanges?</t>
  </si>
  <si>
    <t xml:space="preserve">Can I have a discount if I exchange currency often?</t>
  </si>
  <si>
    <t xml:space="preserve">Will you charge me for exchanging foreign currencies?</t>
  </si>
  <si>
    <t xml:space="preserve">What is the rate for exchange fees?</t>
  </si>
  <si>
    <t xml:space="preserve">What is the charge for exchanging currency?</t>
  </si>
  <si>
    <t xml:space="preserve">Is there a fee for exchanging currency?</t>
  </si>
  <si>
    <t xml:space="preserve">Does a discount apply if I exchange currencies frequently?</t>
  </si>
  <si>
    <t xml:space="preserve">How high is the exchange fee?</t>
  </si>
  <si>
    <t xml:space="preserve">If I exchange currencies frequently, is there a discount?</t>
  </si>
  <si>
    <t xml:space="preserve">How much is the charge for a foreign currency exchange?</t>
  </si>
  <si>
    <t xml:space="preserve">How much will I be charged for exchanging foreign currency</t>
  </si>
  <si>
    <t xml:space="preserve">Will I be charged for exchanging foreign currencies?</t>
  </si>
  <si>
    <t xml:space="preserve">Is there a few for exchanging foreign currencies?</t>
  </si>
  <si>
    <t xml:space="preserve">Please tell me what the exchange fee is.</t>
  </si>
  <si>
    <t xml:space="preserve">Please provide currency exchange rates</t>
  </si>
  <si>
    <t xml:space="preserve">What are the charges if I exchange foreign currency?</t>
  </si>
  <si>
    <t xml:space="preserve">Do I get any sort of discount on volume for a lot fo currency exchanges?</t>
  </si>
  <si>
    <t xml:space="preserve">Any extra charges for exchanging currencies?</t>
  </si>
  <si>
    <t xml:space="preserve">Are currency exchanges free?</t>
  </si>
  <si>
    <t xml:space="preserve">Will there be any extra fees if I exchange currencies?</t>
  </si>
  <si>
    <t xml:space="preserve">Does it cost anything to do currency exchanges?</t>
  </si>
  <si>
    <t xml:space="preserve">Is it free to exchange currency?</t>
  </si>
  <si>
    <t xml:space="preserve">If someone in a different country sends me money, do I have to pay a fee?</t>
  </si>
  <si>
    <t xml:space="preserve">how much is it to exchange currency</t>
  </si>
  <si>
    <t xml:space="preserve">Do I have to pay more for exchanges?</t>
  </si>
  <si>
    <t xml:space="preserve">Can I be charged for exchanging foreign currency?</t>
  </si>
  <si>
    <t xml:space="preserve">Would you be able to offer me a discount, since I need to exchange currencies frequently?</t>
  </si>
  <si>
    <t xml:space="preserve">Is it possible to have a discount for exchanging currency frequently?</t>
  </si>
  <si>
    <t xml:space="preserve">What's the fee for exchange of foreign currencies?</t>
  </si>
  <si>
    <t xml:space="preserve">My job requires me to do a lot of exchanging currency, and I was wondering about any possible discounts or lower prices.</t>
  </si>
  <si>
    <t xml:space="preserve">I wanted to know what discounts were offered for current exchanges as it is something that occurs frequently.</t>
  </si>
  <si>
    <t xml:space="preserve">Are there any fees when exchanging to foreign currencies?</t>
  </si>
  <si>
    <t xml:space="preserve">are there any exchange fees</t>
  </si>
  <si>
    <t xml:space="preserve">Is there an extra fee to exchange currencies?</t>
  </si>
  <si>
    <t xml:space="preserve">What is the fee for a foreign currency exchange?</t>
  </si>
  <si>
    <t xml:space="preserve">Do I need to pay more for exchanging currencies?</t>
  </si>
  <si>
    <t xml:space="preserve">where do i find out about exchange fees</t>
  </si>
  <si>
    <t xml:space="preserve">What exactly is the exchange fee?</t>
  </si>
  <si>
    <t xml:space="preserve">I need to exchange some foreign currency. What's the charge for doing that?</t>
  </si>
  <si>
    <t xml:space="preserve">Is there an additional charge to exchange currencies?</t>
  </si>
  <si>
    <t xml:space="preserve">Is there an extra charge to exchange different currencies?</t>
  </si>
  <si>
    <t xml:space="preserve">Is there a discount for multiple currency exchanges?</t>
  </si>
  <si>
    <t xml:space="preserve">Can you tell me about the exchange fee?</t>
  </si>
  <si>
    <t xml:space="preserve">Can you tell me what the exchange fee is?</t>
  </si>
  <si>
    <t xml:space="preserve">What commission do you take for currency exchage?</t>
  </si>
  <si>
    <t xml:space="preserve">What is the charge for using a Top up card in the US?</t>
  </si>
  <si>
    <t xml:space="preserve">What is the fee for topping up a US card?</t>
  </si>
  <si>
    <t xml:space="preserve">What fees are charged when I top up</t>
  </si>
  <si>
    <t xml:space="preserve">Is there a charge for topping up by card?</t>
  </si>
  <si>
    <t xml:space="preserve">Which US cards have top up charges?</t>
  </si>
  <si>
    <t xml:space="preserve">Will you charge me if I top up by card?</t>
  </si>
  <si>
    <t xml:space="preserve">how much does it cost to add money to my card</t>
  </si>
  <si>
    <t xml:space="preserve">How much are the fees for adding funds using an international card?</t>
  </si>
  <si>
    <t xml:space="preserve">Does it cost money to top up?</t>
  </si>
  <si>
    <t xml:space="preserve">should i add money via bank transfer instead</t>
  </si>
  <si>
    <t xml:space="preserve">Do I have to pay extra if I use an international card to top up my account?</t>
  </si>
  <si>
    <t xml:space="preserve">What are the charges for topping up US card?</t>
  </si>
  <si>
    <t xml:space="preserve">Do you charge if I use a European bank card for top up?</t>
  </si>
  <si>
    <t xml:space="preserve">I need to top up, but I have to use an international card.  Is there a cost for that?</t>
  </si>
  <si>
    <t xml:space="preserve">how much does it cost to add money</t>
  </si>
  <si>
    <t xml:space="preserve">Will I be charged for topping up?</t>
  </si>
  <si>
    <t xml:space="preserve">Do you have any fees if I want to add money using an international card.</t>
  </si>
  <si>
    <t xml:space="preserve">I am wanting to refill my card, is there a charge?</t>
  </si>
  <si>
    <t xml:space="preserve">Is there a fee to add money to an international card?</t>
  </si>
  <si>
    <t xml:space="preserve">Does it cost to add money to my card?</t>
  </si>
  <si>
    <t xml:space="preserve">Do I get charged for a top up from a European bank?</t>
  </si>
  <si>
    <t xml:space="preserve">Are their fee's for top ups?</t>
  </si>
  <si>
    <t xml:space="preserve">Does it cost to top up my card?</t>
  </si>
  <si>
    <t xml:space="preserve">how much is the fee for topping by card</t>
  </si>
  <si>
    <t xml:space="preserve">What is the fee if I use a European bank for a top up?</t>
  </si>
  <si>
    <t xml:space="preserve">Are there any charges for using a bank card to top up</t>
  </si>
  <si>
    <t xml:space="preserve">I was wondering if you will take any fees in exchange for top ups?</t>
  </si>
  <si>
    <t xml:space="preserve">Are there any charges for European bank card for top up?</t>
  </si>
  <si>
    <t xml:space="preserve">Are there still fees for european top-ups?</t>
  </si>
  <si>
    <t xml:space="preserve">How much are you going to charge me if I top up my US card?</t>
  </si>
  <si>
    <t xml:space="preserve">Will I be charged a fee to top up using a debit or credit card?</t>
  </si>
  <si>
    <t xml:space="preserve">If I top up using a European card is there a charge?</t>
  </si>
  <si>
    <t xml:space="preserve">Will I see fees from adding money with an international card?</t>
  </si>
  <si>
    <t xml:space="preserve">Do you charge extra for topping up with a debit or credit card?</t>
  </si>
  <si>
    <t xml:space="preserve">Is there a fee for european bank cards?</t>
  </si>
  <si>
    <t xml:space="preserve">What are the top up charges for all US cards?</t>
  </si>
  <si>
    <t xml:space="preserve">When I add money to my international card do you charge a fee to do so?</t>
  </si>
  <si>
    <t xml:space="preserve">Is there a top charge for US cards?</t>
  </si>
  <si>
    <t xml:space="preserve">Are there going to be fees from adding money with an international card?</t>
  </si>
  <si>
    <t xml:space="preserve">What is the charge for topping up a card?</t>
  </si>
  <si>
    <t xml:space="preserve">Does it cost anything to top up?</t>
  </si>
  <si>
    <t xml:space="preserve">Are there any charges for topping up a US-issued card?</t>
  </si>
  <si>
    <t xml:space="preserve">What fees to you have for top ups?</t>
  </si>
  <si>
    <t xml:space="preserve">Is there a fee to top up a US card using a debit or credit card?</t>
  </si>
  <si>
    <t xml:space="preserve">Do I get charged if I top up with my European bank card?</t>
  </si>
  <si>
    <t xml:space="preserve">How much is the charge to top up via credit card?</t>
  </si>
  <si>
    <t xml:space="preserve">Are you going to charge me to top up my card?</t>
  </si>
  <si>
    <t xml:space="preserve">What do you charge to top up US cards?</t>
  </si>
  <si>
    <t xml:space="preserve">Are there top up charges for US cards?</t>
  </si>
  <si>
    <t xml:space="preserve">How much does it cost to top up a US-issued card?</t>
  </si>
  <si>
    <t xml:space="preserve">Will you charge me for topping up with a European card?</t>
  </si>
  <si>
    <t xml:space="preserve">Do you charge a fee for adding money in USD?</t>
  </si>
  <si>
    <t xml:space="preserve">Are there charges for using a bank card to top up</t>
  </si>
  <si>
    <t xml:space="preserve">Are there fees for using an international card to top up?</t>
  </si>
  <si>
    <t xml:space="preserve">I topped off my card is that something you will charge me for?</t>
  </si>
  <si>
    <t xml:space="preserve">how should i add money to my card</t>
  </si>
  <si>
    <t xml:space="preserve">is it free to add money to my card</t>
  </si>
  <si>
    <t xml:space="preserve">Will I be charged any fees if I want to add money with an international card?</t>
  </si>
  <si>
    <t xml:space="preserve">Can I top up for free using a European card?</t>
  </si>
  <si>
    <t xml:space="preserve">Is topping up free?</t>
  </si>
  <si>
    <t xml:space="preserve">Is USD free to top up with a US card?</t>
  </si>
  <si>
    <t xml:space="preserve">how much do you charge to top up US cards?</t>
  </si>
  <si>
    <t xml:space="preserve">Is it free for top ups?</t>
  </si>
  <si>
    <t xml:space="preserve">what is the fee for topping up by card?</t>
  </si>
  <si>
    <t xml:space="preserve">Is there a charge to use a Top up card in the US?</t>
  </si>
  <si>
    <t xml:space="preserve">Will I get charged fees when I add money with an international card?</t>
  </si>
  <si>
    <t xml:space="preserve">Are there any charges for topping up my card?</t>
  </si>
  <si>
    <t xml:space="preserve">Is there a top-up fee if you add money in USD?</t>
  </si>
  <si>
    <t xml:space="preserve">Will I get charged for topping up with an international card?</t>
  </si>
  <si>
    <t xml:space="preserve">how much for topping up by card?</t>
  </si>
  <si>
    <t xml:space="preserve">Is there a fee for topping off a US card?</t>
  </si>
  <si>
    <t xml:space="preserve">Do you charge a fee for topping up a card?</t>
  </si>
  <si>
    <t xml:space="preserve">Do you have any card fees if I want to add money using an international card?</t>
  </si>
  <si>
    <t xml:space="preserve">What is the Top up rate charge for using a card in the US?</t>
  </si>
  <si>
    <t xml:space="preserve">Is there a fee for topping up a card?</t>
  </si>
  <si>
    <t xml:space="preserve">Will you charge me more if I use a European bank card for a top up?</t>
  </si>
  <si>
    <t xml:space="preserve">Is there a fee when I add money to my international card?</t>
  </si>
  <si>
    <t xml:space="preserve">Is there any fees for top ups?</t>
  </si>
  <si>
    <t xml:space="preserve">Can I get information on topping up?</t>
  </si>
  <si>
    <t xml:space="preserve">Is there a fee for topping up by charge card?</t>
  </si>
  <si>
    <t xml:space="preserve">Are there any charges for top ups?</t>
  </si>
  <si>
    <t xml:space="preserve">What are the top-up fees for my card?</t>
  </si>
  <si>
    <t xml:space="preserve">Would I be charged any fees if I added money to my account using an international card?</t>
  </si>
  <si>
    <t xml:space="preserve">Where can i top my card for free?</t>
  </si>
  <si>
    <t xml:space="preserve">What top up charges are there for US cards?</t>
  </si>
  <si>
    <t xml:space="preserve">Is there a charge for using an European bank card for top up?</t>
  </si>
  <si>
    <t xml:space="preserve">Will you charge an extra fee for top ups?</t>
  </si>
  <si>
    <t xml:space="preserve">What do I need to know about topping up?</t>
  </si>
  <si>
    <t xml:space="preserve">Will it cost extra to add money to an international card?</t>
  </si>
  <si>
    <t xml:space="preserve">What options do I have when topping up a US card?</t>
  </si>
  <si>
    <t xml:space="preserve">Is there a charge for top-ups?</t>
  </si>
  <si>
    <t xml:space="preserve">How much does it cost to us US cards?</t>
  </si>
  <si>
    <t xml:space="preserve">I am worried about fees for top up cards?</t>
  </si>
  <si>
    <t xml:space="preserve">Will I be charged a fee for topping up using a European card?</t>
  </si>
  <si>
    <t xml:space="preserve">I need to know what charges I will incur for using a European card for top up.</t>
  </si>
  <si>
    <t xml:space="preserve">If I add money with an international card, are there any fees?</t>
  </si>
  <si>
    <t xml:space="preserve">can I be charged for topping up by card</t>
  </si>
  <si>
    <t xml:space="preserve">What fees are there for adding money using an international card</t>
  </si>
  <si>
    <t xml:space="preserve">What are the top up fees for using an European bank card?</t>
  </si>
  <si>
    <t xml:space="preserve">Are there fees for adding money with an International card?</t>
  </si>
  <si>
    <t xml:space="preserve">European bank card for top up will come with any extra fees?</t>
  </si>
  <si>
    <t xml:space="preserve">Are there any fees if I want to add money using an international card?</t>
  </si>
  <si>
    <t xml:space="preserve">If I were to use a European bank card for a top up, will I incur a charge?</t>
  </si>
  <si>
    <t xml:space="preserve">Will you charge me more if I top up with an international card?</t>
  </si>
  <si>
    <t xml:space="preserve">Will I be charged for adding money using an international card?</t>
  </si>
  <si>
    <t xml:space="preserve">How much is it to use my US debit or credit card to top up?</t>
  </si>
  <si>
    <t xml:space="preserve">Will there be extra charges regarding to adding money into my international card?</t>
  </si>
  <si>
    <t xml:space="preserve">Will you assess me more fees if I top up with an international card?</t>
  </si>
  <si>
    <t xml:space="preserve">Is there a fee for adding funds with a credit card?</t>
  </si>
  <si>
    <t xml:space="preserve">Will there be any fees for top ups?</t>
  </si>
  <si>
    <t xml:space="preserve">If US cards have a top up charge, what is it?</t>
  </si>
  <si>
    <t xml:space="preserve">What are the fees for using a European bank card?</t>
  </si>
  <si>
    <t xml:space="preserve">How much does top up fees cost?</t>
  </si>
  <si>
    <t xml:space="preserve">I want to add money to my international card, so are there any fees charged to do this?</t>
  </si>
  <si>
    <t xml:space="preserve">Please help me with my card.  It won't activate.</t>
  </si>
  <si>
    <t xml:space="preserve">I tired but an unable to activate my card.</t>
  </si>
  <si>
    <t xml:space="preserve">I want to start using my card.</t>
  </si>
  <si>
    <t xml:space="preserve">How do I verify my new card?</t>
  </si>
  <si>
    <t xml:space="preserve">I tried activating my plug-in and it didn't piece of work</t>
  </si>
  <si>
    <t xml:space="preserve">How do i activate my card</t>
  </si>
  <si>
    <t xml:space="preserve">Can someone assist me with activating my card?</t>
  </si>
  <si>
    <t xml:space="preserve">My card needs to be activated.</t>
  </si>
  <si>
    <t xml:space="preserve">I was unable to activate my card.</t>
  </si>
  <si>
    <t xml:space="preserve">Is my card ready for use or does it need activated and if so how?</t>
  </si>
  <si>
    <t xml:space="preserve">Help me activate my new card.</t>
  </si>
  <si>
    <t xml:space="preserve">Do I need a photo ID to activate a my new card?</t>
  </si>
  <si>
    <t xml:space="preserve">I just got my new card, how do I activate it?</t>
  </si>
  <si>
    <t xml:space="preserve">Can I have my card activated?</t>
  </si>
  <si>
    <t xml:space="preserve">i cant seem to activate card</t>
  </si>
  <si>
    <t xml:space="preserve">It won't let me activate my card.</t>
  </si>
  <si>
    <t xml:space="preserve">I tried activation my card and it didn't employment</t>
  </si>
  <si>
    <t xml:space="preserve">I want to use my card. How do I activate it?</t>
  </si>
  <si>
    <t xml:space="preserve">Activate my card</t>
  </si>
  <si>
    <t xml:space="preserve">Can I get some help activating my new card?</t>
  </si>
  <si>
    <t xml:space="preserve">Is my card activated?</t>
  </si>
  <si>
    <t xml:space="preserve">I would like to activate my card.</t>
  </si>
  <si>
    <t xml:space="preserve">Can I call to get my card activated?</t>
  </si>
  <si>
    <t xml:space="preserve">How can I activate my new card? I didn't recieve any information with it about how to do so.</t>
  </si>
  <si>
    <t xml:space="preserve">How do I activate my new card I just got?</t>
  </si>
  <si>
    <t xml:space="preserve">will you be able to activate my card</t>
  </si>
  <si>
    <t xml:space="preserve">Can I get some help to get me card activated?</t>
  </si>
  <si>
    <t xml:space="preserve">I want to activate my new card.</t>
  </si>
  <si>
    <t xml:space="preserve">What would II do if I wanted to activate my new card</t>
  </si>
  <si>
    <t xml:space="preserve">What needs to be done to activate and use a card?</t>
  </si>
  <si>
    <t xml:space="preserve">Can I activate my card?</t>
  </si>
  <si>
    <t xml:space="preserve">I need assistance activating my card?</t>
  </si>
  <si>
    <t xml:space="preserve">I need assistance with activating my new card.</t>
  </si>
  <si>
    <t xml:space="preserve">How do I get my card active?</t>
  </si>
  <si>
    <t xml:space="preserve">What do I have to do to activate my card?</t>
  </si>
  <si>
    <t xml:space="preserve">What is needed to activate my card?</t>
  </si>
  <si>
    <t xml:space="preserve">How can my new card be activated?</t>
  </si>
  <si>
    <t xml:space="preserve">Can you activate my card pls</t>
  </si>
  <si>
    <t xml:space="preserve">How do I turn on my new card?</t>
  </si>
  <si>
    <t xml:space="preserve">Please assist me in activating the card.</t>
  </si>
  <si>
    <t xml:space="preserve">Would you be so kind as to activate my card? Thanks</t>
  </si>
  <si>
    <t xml:space="preserve">I tried activating my card and it doesn't work how do I solve this problem?</t>
  </si>
  <si>
    <t xml:space="preserve">Can I activate my card with the app?</t>
  </si>
  <si>
    <t xml:space="preserve">I want to start using my card, how do I activate it?</t>
  </si>
  <si>
    <t xml:space="preserve">What is the process to activate a card</t>
  </si>
  <si>
    <t xml:space="preserve">Hi, would you please activate my card?</t>
  </si>
  <si>
    <t xml:space="preserve">What do I need for activation of my card?</t>
  </si>
  <si>
    <t xml:space="preserve">How do I activate my card, so that I can start using it?</t>
  </si>
  <si>
    <t xml:space="preserve">I need my card activated.</t>
  </si>
  <si>
    <t xml:space="preserve">I would like to be assisted with the activation of my card.</t>
  </si>
  <si>
    <t xml:space="preserve">I just received my card and I'd like to activate it.</t>
  </si>
  <si>
    <t xml:space="preserve">can you assist me in activating my card?</t>
  </si>
  <si>
    <t xml:space="preserve">How do I activate my card to start using it?</t>
  </si>
  <si>
    <t xml:space="preserve">Instructions for activating card</t>
  </si>
  <si>
    <t xml:space="preserve">What do I need to do for the card activation?</t>
  </si>
  <si>
    <t xml:space="preserve">I am unable to activate my card, it won't let me.</t>
  </si>
  <si>
    <t xml:space="preserve">When are you going to activate my card?</t>
  </si>
  <si>
    <t xml:space="preserve">I need to activate my card.</t>
  </si>
  <si>
    <t xml:space="preserve">How can I activate my new card?</t>
  </si>
  <si>
    <t xml:space="preserve">What do I do to activate?</t>
  </si>
  <si>
    <t xml:space="preserve">What steps do I have to take to activate my card?</t>
  </si>
  <si>
    <t xml:space="preserve">My new card just arrived, how can I activate it?</t>
  </si>
  <si>
    <t xml:space="preserve">I am having trouble activating my card.</t>
  </si>
  <si>
    <t xml:space="preserve">My card is not able to be activated how do I get it to work?</t>
  </si>
  <si>
    <t xml:space="preserve">I'm not able to activate my card how do I fix this problem?</t>
  </si>
  <si>
    <t xml:space="preserve">I cannot activate my card.</t>
  </si>
  <si>
    <t xml:space="preserve">How can I activate the new card i got?</t>
  </si>
  <si>
    <t xml:space="preserve">how long should i wait ti activate my card</t>
  </si>
  <si>
    <t xml:space="preserve">How do I activate a card?</t>
  </si>
  <si>
    <t xml:space="preserve">What is the procedure for activating this card?</t>
  </si>
  <si>
    <t xml:space="preserve">My card needs to be activated asap</t>
  </si>
  <si>
    <t xml:space="preserve">What is the most efficient way to activate my new card?</t>
  </si>
  <si>
    <t xml:space="preserve">I couldn't complete card activation.</t>
  </si>
  <si>
    <t xml:space="preserve">Who do I call to activate my new card?</t>
  </si>
  <si>
    <t xml:space="preserve">You can activate your card in a few seconds by going to account, hitting activate, and just following the directions.</t>
  </si>
  <si>
    <t xml:space="preserve">Tell me what I need to do to activate my card.</t>
  </si>
  <si>
    <t xml:space="preserve">What is the process for activating a new card.</t>
  </si>
  <si>
    <t xml:space="preserve">My card activation is failing.</t>
  </si>
  <si>
    <t xml:space="preserve">I need to activate my card, how is that done?</t>
  </si>
  <si>
    <t xml:space="preserve">I would like to activate my card what do I need to do?</t>
  </si>
  <si>
    <t xml:space="preserve">I have my card now how do I activate it?</t>
  </si>
  <si>
    <t xml:space="preserve">How long does it take to activate my card?</t>
  </si>
  <si>
    <t xml:space="preserve">How do I activate my card so I can start using it?</t>
  </si>
  <si>
    <t xml:space="preserve">Explain the activation method for this card</t>
  </si>
  <si>
    <t xml:space="preserve">Can someone assist me with activating my new card?</t>
  </si>
  <si>
    <t xml:space="preserve">What is the process for activating my new card?</t>
  </si>
  <si>
    <t xml:space="preserve">I would like to have assistance with activating my card.</t>
  </si>
  <si>
    <t xml:space="preserve">Tell me how to renew my new card?</t>
  </si>
  <si>
    <t xml:space="preserve">My new card came in.  How do I activate?</t>
  </si>
  <si>
    <t xml:space="preserve">How do I active this card?</t>
  </si>
  <si>
    <t xml:space="preserve">what are the steps to activate my card?</t>
  </si>
  <si>
    <t xml:space="preserve">I have a new card and need to activate it</t>
  </si>
  <si>
    <t xml:space="preserve">I would like to get help from someone in your customer service department with assisting me with activating my card.</t>
  </si>
  <si>
    <t xml:space="preserve">What are the steps that I need to take to activate a new card?</t>
  </si>
  <si>
    <t xml:space="preserve">I tried activating my card and it didn't work</t>
  </si>
  <si>
    <t xml:space="preserve">I need my card to be activated right now.</t>
  </si>
  <si>
    <t xml:space="preserve">What information do I need to gather in order to activate my card?</t>
  </si>
  <si>
    <t xml:space="preserve">what do i need to have with me to activate card</t>
  </si>
  <si>
    <t xml:space="preserve">What am I going to need in order to activate my card?</t>
  </si>
  <si>
    <t xml:space="preserve">Show me how to activate my card</t>
  </si>
  <si>
    <t xml:space="preserve">I need more assistance with how to activate my card.</t>
  </si>
  <si>
    <t xml:space="preserve">Can you tell me how I go about activating a new card?</t>
  </si>
  <si>
    <t xml:space="preserve">My new card needs activating.</t>
  </si>
  <si>
    <t xml:space="preserve">Where do I activate my card?</t>
  </si>
  <si>
    <t xml:space="preserve">Do you know the process how to activate my card?</t>
  </si>
  <si>
    <t xml:space="preserve">How can i make my card active?</t>
  </si>
  <si>
    <t xml:space="preserve">Please help me with the activation of the new card.</t>
  </si>
  <si>
    <t xml:space="preserve">Can you help me activate my card</t>
  </si>
  <si>
    <t xml:space="preserve">My card activation attempt failed.</t>
  </si>
  <si>
    <t xml:space="preserve">I just got a new card, and I want to know how to activate.</t>
  </si>
  <si>
    <t xml:space="preserve">Would it be possible to activate my card?</t>
  </si>
  <si>
    <t xml:space="preserve">Card activation steps</t>
  </si>
  <si>
    <t xml:space="preserve">What is the process for activating my card and using it?</t>
  </si>
  <si>
    <t xml:space="preserve">I have a new card and I need to activate it.</t>
  </si>
  <si>
    <t xml:space="preserve">Do I have to go somewhere to activate my card?</t>
  </si>
  <si>
    <t xml:space="preserve">What do I do to activate my new card?</t>
  </si>
  <si>
    <t xml:space="preserve">I just got a new card how do I get it to start working?</t>
  </si>
  <si>
    <t xml:space="preserve">I need assistance to activate the card on my account.</t>
  </si>
  <si>
    <t xml:space="preserve">I can't activate my card?</t>
  </si>
  <si>
    <t xml:space="preserve">My new card is here, what's the process for activating it?</t>
  </si>
  <si>
    <t xml:space="preserve">Where can I activate my card?</t>
  </si>
  <si>
    <t xml:space="preserve">How can I switch on my new card?</t>
  </si>
  <si>
    <t xml:space="preserve">With my new card, how may I activate it?</t>
  </si>
  <si>
    <t xml:space="preserve">Help me activate my card.</t>
  </si>
  <si>
    <t xml:space="preserve">How long does it take to activate the card, as it does not look like its working?</t>
  </si>
  <si>
    <t xml:space="preserve">You can do that in just a few seconds. Go to account, hit activate, and follow the directions from there.</t>
  </si>
  <si>
    <t xml:space="preserve">Card activation is not working. What do i do?</t>
  </si>
  <si>
    <t xml:space="preserve">What identification is required to activate my card?</t>
  </si>
  <si>
    <t xml:space="preserve">I need to do a card activation.</t>
  </si>
  <si>
    <t xml:space="preserve">I want to activate my card, how do I do it?</t>
  </si>
  <si>
    <t xml:space="preserve">I want to activate the card.</t>
  </si>
  <si>
    <t xml:space="preserve">I am planning activating my card was it possible?</t>
  </si>
  <si>
    <t xml:space="preserve">The activation process for my card isn't working.</t>
  </si>
  <si>
    <t xml:space="preserve">Could you please tell me how to activate my new card?</t>
  </si>
  <si>
    <t xml:space="preserve">I need to actuate my card.</t>
  </si>
  <si>
    <t xml:space="preserve">I need info on activating my card?</t>
  </si>
  <si>
    <t xml:space="preserve">I would like my card activated.</t>
  </si>
  <si>
    <t xml:space="preserve">How can I make my card ready to use?</t>
  </si>
  <si>
    <t xml:space="preserve">Can I use my new card?</t>
  </si>
  <si>
    <t xml:space="preserve">What steps do I have to go through in order to activate my new card?</t>
  </si>
  <si>
    <t xml:space="preserve">I have a new card. How do I activate it?</t>
  </si>
  <si>
    <t xml:space="preserve">The activation process did not work, please help?</t>
  </si>
  <si>
    <t xml:space="preserve">I just got my card and cannot get it to work.</t>
  </si>
  <si>
    <t xml:space="preserve">Just received my replacement card, what steps do i need to take to activate it?</t>
  </si>
  <si>
    <t xml:space="preserve">I want to use my card, how would I activate it?</t>
  </si>
  <si>
    <t xml:space="preserve">How do I activate my new card</t>
  </si>
  <si>
    <t xml:space="preserve">What are the steps to activate the card, as it does not seem to work?</t>
  </si>
  <si>
    <t xml:space="preserve">I just got my new card.  How can I activate it?</t>
  </si>
  <si>
    <t xml:space="preserve">Please assist me with activation.</t>
  </si>
  <si>
    <t xml:space="preserve">Where do I go to activate my card?</t>
  </si>
  <si>
    <t xml:space="preserve">If you to to account, hit activate, and follow the instructions, you can activate it in just a few seconds.</t>
  </si>
  <si>
    <t xml:space="preserve">Is my new card activated?</t>
  </si>
  <si>
    <t xml:space="preserve">Help my activate my card.</t>
  </si>
  <si>
    <t xml:space="preserve">i cannot seem to activate card</t>
  </si>
  <si>
    <t xml:space="preserve">What do I need to do in order to use my card I just got?</t>
  </si>
  <si>
    <t xml:space="preserve">My new card has arrived, what's the activation procedure?</t>
  </si>
  <si>
    <t xml:space="preserve">How can my new card be renewed?</t>
  </si>
  <si>
    <t xml:space="preserve">What is the proper way to activate a card?</t>
  </si>
  <si>
    <t xml:space="preserve">How do I activate my card that just arrived?</t>
  </si>
  <si>
    <t xml:space="preserve">Why is there a charge when I took out money?</t>
  </si>
  <si>
    <t xml:space="preserve">Why have I been charged a fee for cash withdrawal?</t>
  </si>
  <si>
    <t xml:space="preserve">I made a cash withdrawl and there is a charge.  What is this?</t>
  </si>
  <si>
    <t xml:space="preserve">I am inquiring about why there was an extra fee charged when I used an ATM.</t>
  </si>
  <si>
    <t xml:space="preserve">Why am I being charged extra when I withdrew money?</t>
  </si>
  <si>
    <t xml:space="preserve">Why am I charged to get money from the ATM?</t>
  </si>
  <si>
    <t xml:space="preserve">I saw I was charged extra for money I withdrew?</t>
  </si>
  <si>
    <t xml:space="preserve">Is there an extra fee for using an ATM?</t>
  </si>
  <si>
    <t xml:space="preserve">Why did they take more money out then I withdrawed?</t>
  </si>
  <si>
    <t xml:space="preserve">I withdrew cash and was charged</t>
  </si>
  <si>
    <t xml:space="preserve">why has a cash withdrawal charged me?</t>
  </si>
  <si>
    <t xml:space="preserve">I was charged for getting cash.</t>
  </si>
  <si>
    <t xml:space="preserve">Hello, I have a question concerning an unfamiliar fee that I notice on my account. I see that you guys charge for ATM withdrawal. Never notice this fee until now. Can you please explain?</t>
  </si>
  <si>
    <t xml:space="preserve">Why am I charged a fee for withdrawing cash?</t>
  </si>
  <si>
    <t xml:space="preserve">Why was there a fee for my cash withdrawal?</t>
  </si>
  <si>
    <t xml:space="preserve">I don't understand why I was charged extra for withdrawing money?</t>
  </si>
  <si>
    <t xml:space="preserve">I made a transaction at an atm and was charged extra for it.</t>
  </si>
  <si>
    <t xml:space="preserve">I was charged extra when I made a cash withdraw, why?</t>
  </si>
  <si>
    <t xml:space="preserve">Why was I charged for cash withdrawal?</t>
  </si>
  <si>
    <t xml:space="preserve">Why was there a fee on my cash withdrawal?</t>
  </si>
  <si>
    <t xml:space="preserve">Why was I charged for a cash withdrawal at the ATM?</t>
  </si>
  <si>
    <t xml:space="preserve">Since when do you charge to make a withdrawal? I've always done it for free. So how much is it now?</t>
  </si>
  <si>
    <t xml:space="preserve">WHY IS THERE AN EXTRA FEE FOR USING THE ATM??!!!</t>
  </si>
  <si>
    <t xml:space="preserve">Is the fee with my cash withdrawal a mistake?</t>
  </si>
  <si>
    <t xml:space="preserve">Why did using an ATM cause me to have an extra fee charged?</t>
  </si>
  <si>
    <t xml:space="preserve">Why am I being charged for ATM cash withdrawals? The only reason I use it is because it's been free! Now you expect me to pay for them, and how much is that going to cost me?</t>
  </si>
  <si>
    <t xml:space="preserve">Why was my account assessed a fee for an ATM transaction?</t>
  </si>
  <si>
    <t xml:space="preserve">Why am I being charged for ATM fees?</t>
  </si>
  <si>
    <t xml:space="preserve">Why have I been charged for pulling cash out of my own account?</t>
  </si>
  <si>
    <t xml:space="preserve">Why was i charged for making a withdrawal? After i went grocery shopping i withdrew some money from my account and now there is another charge.</t>
  </si>
  <si>
    <t xml:space="preserve">Do you charge for making a withdrawal? I took some money out of my account earlier and I was charged for this.</t>
  </si>
  <si>
    <t xml:space="preserve">So, I was just charged for my recent ATM withdrawal and any withdrawal prior to this has been free. What is the issue here?</t>
  </si>
  <si>
    <t xml:space="preserve">Why was I charged an extra fee when using an ATM?</t>
  </si>
  <si>
    <t xml:space="preserve">When I got cash I was charged an extra fee!  Explain!</t>
  </si>
  <si>
    <t xml:space="preserve">I am not supposed to be charged a cash withdrawal fee, but I was.</t>
  </si>
  <si>
    <t xml:space="preserve">I have a question about fee for cash withdraw.</t>
  </si>
  <si>
    <t xml:space="preserve">Could you explain your rules for ATM fees?</t>
  </si>
  <si>
    <t xml:space="preserve">How do I avoid a fee to use an ATM?</t>
  </si>
  <si>
    <t xml:space="preserve">How much can I withdrawal in one month without incurring fees?</t>
  </si>
  <si>
    <t xml:space="preserve">Am I charged more for using the ATM?</t>
  </si>
  <si>
    <t xml:space="preserve">I just pulled money out of the ATM and was charged a fee, WHy?</t>
  </si>
  <si>
    <t xml:space="preserve">Why was I charged for withdrawing cash?</t>
  </si>
  <si>
    <t xml:space="preserve">When I withdrew my money, why was there an extra charge?</t>
  </si>
  <si>
    <t xml:space="preserve">I took out money and there is a fee.  Why?</t>
  </si>
  <si>
    <t xml:space="preserve">Is there a cash withdrawal fee? Because I just got charged?</t>
  </si>
  <si>
    <t xml:space="preserve">Hello, I wanted to get some more information about ATM Withdraw Fee. I have been withdrawing money for years and notice this charge on my account. I always thought it was no fee since its you guys ATM company that I am withdrawing. Can you please explain?</t>
  </si>
  <si>
    <t xml:space="preserve">How much money can I withdraw before fees? I noticed a fee on my card but I didn't think I had hit the limit of how much I could withdraw in a month.</t>
  </si>
  <si>
    <t xml:space="preserve">This is not right, I was told I could take out cash at the ATM for free?</t>
  </si>
  <si>
    <t xml:space="preserve">How come I got to pay to get my money from the ATM?</t>
  </si>
  <si>
    <t xml:space="preserve">I just saw a charge for a cash withdrawal that I made! ATM withdrawals have always been free in the past, so why is there suddenly a charge? What is it going to cost me now?</t>
  </si>
  <si>
    <t xml:space="preserve">Why are you charging for cash withdrawals? I went to withdraw some money earlier today after getting my groceries, and it appears there is a fee that wasn't there before</t>
  </si>
  <si>
    <t xml:space="preserve">What's up with the fee for getting cash?</t>
  </si>
  <si>
    <t xml:space="preserve">I was told that withdrawing cash from the ATM is free, but I'm charged a fee. Why is this?</t>
  </si>
  <si>
    <t xml:space="preserve">Why are fees charged for cash withdrawals? I went to withdraw some money earlier today after shopping. There's a new fee that there.</t>
  </si>
  <si>
    <t xml:space="preserve">When I withdrew money from my account the other day, I noticed that there was a fee.  I didn't think that there were any fees for withdrawals...?  How much will I be charged?</t>
  </si>
  <si>
    <t xml:space="preserve">I thought it was free to make a withdrawal. So how much does it cost now?</t>
  </si>
  <si>
    <t xml:space="preserve">I just had a look at my statement. Why have I been changed for using the ATM?</t>
  </si>
  <si>
    <t xml:space="preserve">Why are you charging me for ATM withdrawal? It has always been free before.</t>
  </si>
  <si>
    <t xml:space="preserve">Is there a reason I was charged an extra fee for using the ATM?</t>
  </si>
  <si>
    <t xml:space="preserve">There was an extra fee when I was at the ATM.  Why?</t>
  </si>
  <si>
    <t xml:space="preserve">I hate this ATM, it charged me an extra fee, Why did it charge?</t>
  </si>
  <si>
    <t xml:space="preserve">Why is it I am charged an extra fee when I use the ATM?</t>
  </si>
  <si>
    <t xml:space="preserve">What's up with the extra fee I got?</t>
  </si>
  <si>
    <t xml:space="preserve">Tell me why there is a charge on my cash withdrawl.</t>
  </si>
  <si>
    <t xml:space="preserve">Why was I charged for getting cash?</t>
  </si>
  <si>
    <t xml:space="preserve">Why am I being charged to make cash withdrawals? I thought they were supposed to be free!</t>
  </si>
  <si>
    <t xml:space="preserve">I should not have been charged a fee for cash withdrawal.</t>
  </si>
  <si>
    <t xml:space="preserve">I got charged a fee that shouldn't be there from my cash</t>
  </si>
  <si>
    <t xml:space="preserve">I was charged a fee for withdrawing cash.</t>
  </si>
  <si>
    <t xml:space="preserve">I want to get some cash from the ATM using my card but I dont want to be charged any fees. Ive taken some money out before with no fees, but recently Ive been getting charged. Why?</t>
  </si>
  <si>
    <t xml:space="preserve">I got this stupid fee after taking cash out, why?</t>
  </si>
  <si>
    <t xml:space="preserve">I was charged for a cash withdrawal, why?</t>
  </si>
  <si>
    <t xml:space="preserve">I got cash and was charged a fee that shouldn't be there!</t>
  </si>
  <si>
    <t xml:space="preserve">Please help!  There was an extra fee when I got cash.</t>
  </si>
  <si>
    <t xml:space="preserve">Why have I all of a sudden been charged for my ATM withdrawal? I thought the withdrawals were free because this is the first time I've ever had this problem.</t>
  </si>
  <si>
    <t xml:space="preserve">Can you tell me why I was charged to withdraw cash?</t>
  </si>
  <si>
    <t xml:space="preserve">Why was I charged a fee when I withdrew money?</t>
  </si>
  <si>
    <t xml:space="preserve">How come my cash withdrawal came with an unnecessary fee?!</t>
  </si>
  <si>
    <t xml:space="preserve">A percentage fee was charged to my withdrawal.</t>
  </si>
  <si>
    <t xml:space="preserve">Will I be charged for a cash withdrawal?</t>
  </si>
  <si>
    <t xml:space="preserve">Explain the extra ATM fees.</t>
  </si>
  <si>
    <t xml:space="preserve">I just took some cash out of a cash machine in Heathrow airport because I wanted to buy some new sunglasses for my holiday but you've added a fee to the withdrawal, what is this?</t>
  </si>
  <si>
    <t xml:space="preserve">The bank charged me fees for withdrawing cash!</t>
  </si>
  <si>
    <t xml:space="preserve">Why am I charged a fee for getting cash?</t>
  </si>
  <si>
    <t xml:space="preserve">I used an ATM and wanted to know why I was charged an extra fee.</t>
  </si>
  <si>
    <t xml:space="preserve">Is there a fee for a cash withdrawal?</t>
  </si>
  <si>
    <t xml:space="preserve">I was charged a fee when withdrawing cash, can you explain why?</t>
  </si>
  <si>
    <t xml:space="preserve">I received a fee for obtaining cash, is this correct?</t>
  </si>
  <si>
    <t xml:space="preserve">Today I noticed a charge for an ATM withdrawal on my account. Can you please fix this? It's supposed to be no charge.</t>
  </si>
  <si>
    <t xml:space="preserve">Why are you charging fees on cash withdrawals? I went to withdraw some money earlier today after buying groceries. There's a fee that wasn't there before.</t>
  </si>
  <si>
    <t xml:space="preserve">Is there a charge for cash withdrawals? I always thought it was free.</t>
  </si>
  <si>
    <t xml:space="preserve">Tell me why there is an extra charge when I used an ATM?</t>
  </si>
  <si>
    <t xml:space="preserve">Why did you charge me extra for withdrawing money?</t>
  </si>
  <si>
    <t xml:space="preserve">Is there always a charge when withdrawing money?</t>
  </si>
  <si>
    <t xml:space="preserve">I have a fee for cash withdrawal</t>
  </si>
  <si>
    <t xml:space="preserve">Make me understand why I am charged an extra fee when I use the ATM.</t>
  </si>
  <si>
    <t xml:space="preserve">Why am I being charge a fee when using an ATM?</t>
  </si>
  <si>
    <t xml:space="preserve">I was under the impression ATM cash withdrawals were free. Why was I suddenly charged for my most recent ATM transaction?</t>
  </si>
  <si>
    <t xml:space="preserve">I didn't realize that there were any fees for withdrawing money from my account--this has never happened to me before.  What exactly are the fees?</t>
  </si>
  <si>
    <t xml:space="preserve">Are there ATM fees?</t>
  </si>
  <si>
    <t xml:space="preserve">Do you charge for cash withdrawals?  I want to get my hands on my own money and you appear to be charging me for the pleasure! Why is this, you'd never get this with my high street bank!</t>
  </si>
  <si>
    <t xml:space="preserve">Is there a fee when I get cash from an ATM? Is there a limit I can take out? If there is a fee, what is it?</t>
  </si>
  <si>
    <t xml:space="preserve">Why was there a fee when I pulled cash?</t>
  </si>
  <si>
    <t xml:space="preserve">The ATM charged me an extra fee, Why?</t>
  </si>
  <si>
    <t xml:space="preserve">Why am I being charged for withdrawing cash but haven't in the past?</t>
  </si>
  <si>
    <t xml:space="preserve">Why did I get a fee for getting cash?</t>
  </si>
  <si>
    <t xml:space="preserve">I have been charged a fee for getting cash</t>
  </si>
  <si>
    <t xml:space="preserve">Why did I get charged when getting cash?</t>
  </si>
  <si>
    <t xml:space="preserve">I made a cash withdrawal and was charged a fee incorrectly can you help with this?</t>
  </si>
  <si>
    <t xml:space="preserve">I got charged fees for withdrawing cash!</t>
  </si>
  <si>
    <t xml:space="preserve">Since when were there charges for taking out cash from my account? It's always been free for me to do this before.  How much are the charges going to be?</t>
  </si>
  <si>
    <t xml:space="preserve">There was an unexpected fee for my cash withdrawal!</t>
  </si>
  <si>
    <t xml:space="preserve">There was an extra fee on my account when I got cash.</t>
  </si>
  <si>
    <t xml:space="preserve">While getting cash, I was charged a fee.</t>
  </si>
  <si>
    <t xml:space="preserve">Why did I get charged for a withdrawal?</t>
  </si>
  <si>
    <t xml:space="preserve">How come I got charged extra for withdrawing cash?</t>
  </si>
  <si>
    <t xml:space="preserve">Why am I being charged for getting cash?</t>
  </si>
  <si>
    <t xml:space="preserve">Why do I see extra charges for withdrawing my money?</t>
  </si>
  <si>
    <t xml:space="preserve">Anytime I've made an ATM withdrawal before it has always been free. I now say that I have been charged for my most recent ATM withdrawal. What's going on here?</t>
  </si>
  <si>
    <t xml:space="preserve">What's going on? I was just recently charged for an ATM withdrawal. I've never seen this charge before and before it's always been free.</t>
  </si>
  <si>
    <t xml:space="preserve">I saw a fee on my receipt from withdrawing money while shopping earlier.  Is there supposed to be a fee for this type of transaction?</t>
  </si>
  <si>
    <t xml:space="preserve">Why was I charged an extra fee from the ATM?</t>
  </si>
  <si>
    <t xml:space="preserve">extra fees on a cash withdrawal, not cool.</t>
  </si>
  <si>
    <t xml:space="preserve">Why am I being charged certain fees? I noticed a fee after I withdrew some money for groceries earlier today.</t>
  </si>
  <si>
    <t xml:space="preserve">Have you started charging for cash withdrawals? I always thought it was free until I noticed this fee. How much is the fee?</t>
  </si>
  <si>
    <t xml:space="preserve">Can you tell me why I was charged extra when I withdrew money?</t>
  </si>
  <si>
    <t xml:space="preserve">It seems I've suddenly been charged for my recent ATM cash withdrawal. What's up with that? I though withdrawals are free, you never charged me so far!</t>
  </si>
  <si>
    <t xml:space="preserve">I believe i was charged for making a withdrawal after i went grocery shopping. Are you guys charging for this now?</t>
  </si>
  <si>
    <t xml:space="preserve">Why was I charged when taking out money?</t>
  </si>
  <si>
    <t xml:space="preserve">is there a charge on withdrawals?</t>
  </si>
  <si>
    <t xml:space="preserve">Are there charges for cash withdrawals?</t>
  </si>
  <si>
    <t xml:space="preserve">Do I get charged for withdrawals?</t>
  </si>
  <si>
    <t xml:space="preserve">I was recently charged for withdrawing money from my bank ATM. How can that be possible when I haven't been charged for using it before?</t>
  </si>
  <si>
    <t xml:space="preserve">Why did I get charged for withdrawing cash?</t>
  </si>
  <si>
    <t xml:space="preserve">When did you start charging to make a withdrawal? How much is it now? I always thought it was free.</t>
  </si>
  <si>
    <t xml:space="preserve">What was the extra charge for withdrawing money?</t>
  </si>
  <si>
    <t xml:space="preserve">I was charged a fee with my cash withdrawal that I shouldn't have been charged.</t>
  </si>
  <si>
    <t xml:space="preserve">Why is there a fee for cash withdrawal?</t>
  </si>
  <si>
    <t xml:space="preserve">Why did using an ATM cause me to be charged an additional fee?</t>
  </si>
  <si>
    <t xml:space="preserve">Why did I get a fee from the ATM?</t>
  </si>
  <si>
    <t xml:space="preserve">to cash withdrawals charge me?</t>
  </si>
  <si>
    <t xml:space="preserve">Why was I charged a fee on a cash withdrawal?</t>
  </si>
  <si>
    <t xml:space="preserve">i withdraw cash from the ATM and was charged a fee</t>
  </si>
  <si>
    <t xml:space="preserve">Why did I get charged a fee, I thought it was free?</t>
  </si>
  <si>
    <t xml:space="preserve">I have never been charged for making an ATM cash withdrawal before, but I am now being charged a fee to withdraw cash. What happened?</t>
  </si>
  <si>
    <t xml:space="preserve">I withdrew cash and was charged. Why?</t>
  </si>
  <si>
    <t xml:space="preserve">Why do I have a charge for an ATM withdrawal? I thought these were free?</t>
  </si>
  <si>
    <t xml:space="preserve">I got a strange fee when I used the ATM.</t>
  </si>
  <si>
    <t xml:space="preserve">I used my card the other day to get cash from an ATM and was charged an extra fee. I don't understand why I am being charged a fee all of a sudden. I thought it was free to withdraw from an ATM?</t>
  </si>
  <si>
    <t xml:space="preserve">Why was there a fee with my cash withdrawal?</t>
  </si>
  <si>
    <t xml:space="preserve">what is this extra charge for a withdrawal?</t>
  </si>
  <si>
    <t xml:space="preserve">Is there a charge for getting cash?</t>
  </si>
  <si>
    <t xml:space="preserve">Hello, I have noticed a problem on my recent withdrawal at the banks atm machine.  I made a transaction and upon receiving my funds from the machine, a fee was assessed to my withdrawal.  Are these types of transactions free of charge?</t>
  </si>
  <si>
    <t xml:space="preserve">I have a strange transaction on my account which appears to pertain to a cash withdrawal I made outside Nandos in Leeds.  What is that for?  Is it fraud?</t>
  </si>
  <si>
    <t xml:space="preserve">Why did you charge me for taking out cash?</t>
  </si>
  <si>
    <t xml:space="preserve">The past few times I've been to the ATM, I was charged a withdrawal fee. Have your policies changed regarding fees?</t>
  </si>
  <si>
    <t xml:space="preserve">Why am i being charged for withdrawing cash funds?</t>
  </si>
  <si>
    <t xml:space="preserve">What is your policy on withdrawing cash from an ATM? There is a fee on my account that wasn't there before I paid for my groceries.</t>
  </si>
  <si>
    <t xml:space="preserve">What is the extra fee I was charged when using an ATM?</t>
  </si>
  <si>
    <t xml:space="preserve">Why am I charged whenever I withdraw cash?</t>
  </si>
  <si>
    <t xml:space="preserve">Why did you charge me extra when I withdrew cash?</t>
  </si>
  <si>
    <t xml:space="preserve">I used an ATM and there was an extra charge.</t>
  </si>
  <si>
    <t xml:space="preserve">that fee should not be there, you charged my cash for an unnecessary thing.</t>
  </si>
  <si>
    <t xml:space="preserve">Why was there an extra charge with the withdrawal of my money?</t>
  </si>
  <si>
    <t xml:space="preserve">Why did you charge a fee when I withdrew from an ATM?</t>
  </si>
  <si>
    <t xml:space="preserve">Why is there now a charge for making cash withdrawals? I wanted some cash after I went to the grocery store, and there's a new fee!</t>
  </si>
  <si>
    <t xml:space="preserve">Why am I being charged to withdrawal money?</t>
  </si>
  <si>
    <t xml:space="preserve">Why was I charged a fee for my withdrawal?</t>
  </si>
  <si>
    <t xml:space="preserve">Why did withdrawing money cost me extra?</t>
  </si>
  <si>
    <t xml:space="preserve">Why was I charged a fee for withdrawing money off my card?</t>
  </si>
  <si>
    <t xml:space="preserve">What is the fee for a cash withdrawal?</t>
  </si>
  <si>
    <t xml:space="preserve">I withdrew money and got a fee, please explain</t>
  </si>
  <si>
    <t xml:space="preserve">I used my card to get cash then I was charged a fee that I shouldn't have been charged.</t>
  </si>
  <si>
    <t xml:space="preserve">I noticed a different charge while I was taking my money out.</t>
  </si>
  <si>
    <t xml:space="preserve">Why was I charged a fee for withdrawing money?</t>
  </si>
  <si>
    <t xml:space="preserve">Do cash withdrawals cost anything?</t>
  </si>
  <si>
    <t xml:space="preserve">Why is there a fee for getting cash?</t>
  </si>
  <si>
    <t xml:space="preserve">Are there any express fees if i want my new card faster?</t>
  </si>
  <si>
    <t xml:space="preserve">Do I need to do something to get a new card once it expires?</t>
  </si>
  <si>
    <t xml:space="preserve">I am overseas in China, can I get a replacement card?</t>
  </si>
  <si>
    <t xml:space="preserve">Can I get a new card with new expiration date in China?</t>
  </si>
  <si>
    <t xml:space="preserve">Are there restrictions on new cards in China?</t>
  </si>
  <si>
    <t xml:space="preserve">Need a new card, mine is expiring.</t>
  </si>
  <si>
    <t xml:space="preserve">I need a new card to replace an expired one. Will it cost anything, and how soon?</t>
  </si>
  <si>
    <t xml:space="preserve">My card expires next week. How do I get a new one?</t>
  </si>
  <si>
    <t xml:space="preserve">What is the cost and time frame of getting a new card?</t>
  </si>
  <si>
    <t xml:space="preserve">Is it possible to get a new card in China?</t>
  </si>
  <si>
    <t xml:space="preserve">Does it cost much or take long to get a new card? Mine is about to expire.</t>
  </si>
  <si>
    <t xml:space="preserve">Are there steps I need to take before my card expires?</t>
  </si>
  <si>
    <t xml:space="preserve">My card is about to expire.  How do I get a new card?</t>
  </si>
  <si>
    <t xml:space="preserve">Will I receive a new card when mine expires?</t>
  </si>
  <si>
    <t xml:space="preserve">My card is due to expire</t>
  </si>
  <si>
    <t xml:space="preserve">What do I do if my card expires soon?</t>
  </si>
  <si>
    <t xml:space="preserve">If I am in China, can I still order a new card and if so, how?</t>
  </si>
  <si>
    <t xml:space="preserve">In a month, my card will reach its expiration date, am I required to request the next card?</t>
  </si>
  <si>
    <t xml:space="preserve">What happens if my card expires?</t>
  </si>
  <si>
    <t xml:space="preserve">My card's expiring a month from now, should I place an order for the new card?</t>
  </si>
  <si>
    <t xml:space="preserve">Will I be sent a new card before mine expires?</t>
  </si>
  <si>
    <t xml:space="preserve">The date my card expires is coming up</t>
  </si>
  <si>
    <t xml:space="preserve">How can I replace an expired card?</t>
  </si>
  <si>
    <t xml:space="preserve">How do I get a new card sent to China?</t>
  </si>
  <si>
    <t xml:space="preserve">After my card expires what should I do?</t>
  </si>
  <si>
    <t xml:space="preserve">My card is about to expire. What do I need to do to keep using my card?</t>
  </si>
  <si>
    <t xml:space="preserve">My card will expire soon, do I need to order a new one?</t>
  </si>
  <si>
    <t xml:space="preserve">Where can I have a new bank card sent to China?</t>
  </si>
  <si>
    <t xml:space="preserve">I'm in China and need a new card. Please help.</t>
  </si>
  <si>
    <t xml:space="preserve">Tell me what I should do after my card expires.</t>
  </si>
  <si>
    <t xml:space="preserve">How do I know when my card will expire?</t>
  </si>
  <si>
    <t xml:space="preserve">What is the procedure for an expired card?</t>
  </si>
  <si>
    <t xml:space="preserve">How do I order a new card when my old one is ready to expire?</t>
  </si>
  <si>
    <t xml:space="preserve">What do I do if my card is about to expire?</t>
  </si>
  <si>
    <t xml:space="preserve">What happens after my card expires?</t>
  </si>
  <si>
    <t xml:space="preserve">Where can I order a card when I am in China?</t>
  </si>
  <si>
    <t xml:space="preserve">How do I replace a card that's going to expire?</t>
  </si>
  <si>
    <t xml:space="preserve">If my card becomes expired what can I do?</t>
  </si>
  <si>
    <t xml:space="preserve">What steps should I take before my card expires?</t>
  </si>
  <si>
    <t xml:space="preserve">I need a new card before it expires.</t>
  </si>
  <si>
    <t xml:space="preserve">When will I get a new card when I order it, and how much will it cost.</t>
  </si>
  <si>
    <t xml:space="preserve">Can I wait for you to send me a new card when mine's about to expire?</t>
  </si>
  <si>
    <t xml:space="preserve">When my card expires soon, how fast is the replacement card sent and what are the costs?</t>
  </si>
  <si>
    <t xml:space="preserve">How do I order a new card? The current one is about to expire.</t>
  </si>
  <si>
    <t xml:space="preserve">Can I order a new card to China?</t>
  </si>
  <si>
    <t xml:space="preserve">Is ordering a new card from China available?</t>
  </si>
  <si>
    <t xml:space="preserve">What to do if my card is about to expire?</t>
  </si>
  <si>
    <t xml:space="preserve">My card is about to expire.  Are there any costs with a replacement card?  How quick do you mail it to me?</t>
  </si>
  <si>
    <t xml:space="preserve">Is there a way to order a new card while in China?</t>
  </si>
  <si>
    <t xml:space="preserve">The expiration date on my card is very soon, and I need to get a new one.  What are the price and delivery options for my replacement card?</t>
  </si>
  <si>
    <t xml:space="preserve">If my card is about to expire how long would it take to receive a new one and how much would that cost me?</t>
  </si>
  <si>
    <t xml:space="preserve">My card is about to expire.  How do I order another?</t>
  </si>
  <si>
    <t xml:space="preserve">My card is expiring soon, How do I order a new card?</t>
  </si>
  <si>
    <t xml:space="preserve">I need to order a new card as my old one will expire soon. Can you tell me how to order a new one?</t>
  </si>
  <si>
    <t xml:space="preserve">When my card expires what is the cost of a replacement and how fast?</t>
  </si>
  <si>
    <t xml:space="preserve">I will need a new card because mine is almost expired.  How fast do I get a replacement and what is the cost?</t>
  </si>
  <si>
    <t xml:space="preserve">Do I need to order a new card if mine is expiring?</t>
  </si>
  <si>
    <t xml:space="preserve">My card will expire next month, will I need to order a new one?</t>
  </si>
  <si>
    <t xml:space="preserve">Am I able to get this shipped to China?</t>
  </si>
  <si>
    <t xml:space="preserve">My card expires very soon.  What is the cost and delivery time to get a new one?</t>
  </si>
  <si>
    <t xml:space="preserve">The expiration date for my card is coming up, how do I get a new card?</t>
  </si>
  <si>
    <t xml:space="preserve">Tell me how to replace my expired card.</t>
  </si>
  <si>
    <t xml:space="preserve">Can I order a new card by phone?</t>
  </si>
  <si>
    <t xml:space="preserve">My card is expiring soon.</t>
  </si>
  <si>
    <t xml:space="preserve">My card is about to expired what will happen?</t>
  </si>
  <si>
    <t xml:space="preserve">What should I do when my card reaches its expiry date?</t>
  </si>
  <si>
    <t xml:space="preserve">Please inform me how to get a new card as mine is about to expire.</t>
  </si>
  <si>
    <t xml:space="preserve">My card expires soon, will you send me one automatically?</t>
  </si>
  <si>
    <t xml:space="preserve">want a new card what are the fees</t>
  </si>
  <si>
    <t xml:space="preserve">My card's expiration date is close.</t>
  </si>
  <si>
    <t xml:space="preserve">What will happen after my card expires?</t>
  </si>
  <si>
    <t xml:space="preserve">Can I get a new card in China?</t>
  </si>
  <si>
    <t xml:space="preserve">My card is about to expire, what do I do?</t>
  </si>
  <si>
    <t xml:space="preserve">Can I order a new card with the app?</t>
  </si>
  <si>
    <t xml:space="preserve">How do I replace my card before it expires next month?</t>
  </si>
  <si>
    <t xml:space="preserve">My card is expiring so how fast can I get a new one and how much will it be?</t>
  </si>
  <si>
    <t xml:space="preserve">I need a new card, my old card is expiring.</t>
  </si>
  <si>
    <t xml:space="preserve">How do I replace my card before it expires?</t>
  </si>
  <si>
    <t xml:space="preserve">What can I expect at card expiration?</t>
  </si>
  <si>
    <t xml:space="preserve">If I order a new card, how much will it be and how long will it take me to get it?</t>
  </si>
  <si>
    <t xml:space="preserve">How can I get a card sent to China?</t>
  </si>
  <si>
    <t xml:space="preserve">What should I do once my card expires?</t>
  </si>
  <si>
    <t xml:space="preserve">How do I order a new card if my current one is about to expire?</t>
  </si>
  <si>
    <t xml:space="preserve">I want to get a new card before my current one expires, how much will it cost me and how long will it take to get here.</t>
  </si>
  <si>
    <t xml:space="preserve">My card is going to expire, what do I do?</t>
  </si>
  <si>
    <t xml:space="preserve">Do I need to order a new card before it expires?</t>
  </si>
  <si>
    <t xml:space="preserve">Does it cost anything to get a new card? Mine's about to expire and I'd also like to know how long it takes to get the new one.</t>
  </si>
  <si>
    <t xml:space="preserve">My bank card has expired, how can I get a new physical card?</t>
  </si>
  <si>
    <t xml:space="preserve">how to get a new card in china</t>
  </si>
  <si>
    <t xml:space="preserve">How do I go about ordering a new bank card?</t>
  </si>
  <si>
    <t xml:space="preserve">I have a card that expires in the coming month, do I have to specifically ask for the updated card?</t>
  </si>
  <si>
    <t xml:space="preserve">If my card expires next month, will I need to order a new one?</t>
  </si>
  <si>
    <t xml:space="preserve">The expiration of my card is near, how do I order a new card?</t>
  </si>
  <si>
    <t xml:space="preserve">What do I do after my card expires?</t>
  </si>
  <si>
    <t xml:space="preserve">Do I need to re-apply to order a new card when my old one's about to expire?</t>
  </si>
  <si>
    <t xml:space="preserve">I need to renew a card that's about to expire</t>
  </si>
  <si>
    <t xml:space="preserve">If my card is going to expire this month, do I need to order a new one?</t>
  </si>
  <si>
    <t xml:space="preserve">Soon my card will expire, how do I get a new one?</t>
  </si>
  <si>
    <t xml:space="preserve">Can I order a new card?  Mine is about to expire.</t>
  </si>
  <si>
    <t xml:space="preserve">My card is due to expire soon.</t>
  </si>
  <si>
    <t xml:space="preserve">Can I keep using my card after it expires?</t>
  </si>
  <si>
    <t xml:space="preserve">How do I replace my card?</t>
  </si>
  <si>
    <t xml:space="preserve">Are new cards available from China?</t>
  </si>
  <si>
    <t xml:space="preserve">My card is almost going to expire.</t>
  </si>
  <si>
    <t xml:space="preserve">I'm in China and really need a new card.</t>
  </si>
  <si>
    <t xml:space="preserve">My card will expire soon, When do I need to order a new one?</t>
  </si>
  <si>
    <t xml:space="preserve">Does it cost anything and how long would it take to get a card if I need a new one? My card is about to expire.</t>
  </si>
  <si>
    <t xml:space="preserve">My card is about to expire. Do I have to go to a branch to order a new card?</t>
  </si>
  <si>
    <t xml:space="preserve">Will you send me a new card in China?</t>
  </si>
  <si>
    <t xml:space="preserve">What do I do about my expired card?</t>
  </si>
  <si>
    <t xml:space="preserve">Can I have a new card shipped to China?</t>
  </si>
  <si>
    <t xml:space="preserve">Am I able to have a card sent to China?</t>
  </si>
  <si>
    <t xml:space="preserve">My card's expiration is approaching, how do I replace it.</t>
  </si>
  <si>
    <t xml:space="preserve">How do I get a new card when my old one expires?</t>
  </si>
  <si>
    <t xml:space="preserve">What happens when my card expires?</t>
  </si>
  <si>
    <t xml:space="preserve">What is the process when my card is due to expire?</t>
  </si>
  <si>
    <t xml:space="preserve">My card expires soon</t>
  </si>
  <si>
    <t xml:space="preserve">My card is almost expired.  How fast will I get a new one and what is the cost?</t>
  </si>
  <si>
    <t xml:space="preserve">What is the process to get a new card when your old one expires?</t>
  </si>
  <si>
    <t xml:space="preserve">Help me order a new card that's going to be expired soon.</t>
  </si>
  <si>
    <t xml:space="preserve">What do I do when I get close to the expiration date of my card?</t>
  </si>
  <si>
    <t xml:space="preserve">My card is about to expire.  Where do I get a new one.</t>
  </si>
  <si>
    <t xml:space="preserve">want to get a new card in china</t>
  </si>
  <si>
    <t xml:space="preserve">Can you give me info about what to do when my card expires?</t>
  </si>
  <si>
    <t xml:space="preserve">My card has an expiration date, will you send a new one automatically?</t>
  </si>
  <si>
    <t xml:space="preserve">Can I get a new card even though I am in China?</t>
  </si>
  <si>
    <t xml:space="preserve">My card is expiring, how do I get a new one?</t>
  </si>
  <si>
    <t xml:space="preserve">I think my card is expiring, what happens then?</t>
  </si>
  <si>
    <t xml:space="preserve">How do I get a new expiration date?</t>
  </si>
  <si>
    <t xml:space="preserve">Hi, I have an apple watch. How do I use it to top up my card?</t>
  </si>
  <si>
    <t xml:space="preserve">Can I use google pay to top up?</t>
  </si>
  <si>
    <t xml:space="preserve">why top up is not working even if I got my American Express in Apple Bay?</t>
  </si>
  <si>
    <t xml:space="preserve">Can I deposit money using Apple Pay?</t>
  </si>
  <si>
    <t xml:space="preserve">Can I use google pay for topping -up</t>
  </si>
  <si>
    <t xml:space="preserve">I do I top up from my Apple Watch?</t>
  </si>
  <si>
    <t xml:space="preserve">I need to top up, can I use google pay?</t>
  </si>
  <si>
    <t xml:space="preserve">How do I go about topping up with Google Pay?</t>
  </si>
  <si>
    <t xml:space="preserve">google pay top up did not work</t>
  </si>
  <si>
    <t xml:space="preserve">Google play top up help?</t>
  </si>
  <si>
    <t xml:space="preserve">What currencies does google pay top up accept?</t>
  </si>
  <si>
    <t xml:space="preserve">Can I use my American Express card with Apple Pay?</t>
  </si>
  <si>
    <t xml:space="preserve">Why can't I get my top up to work in Apple Pay?</t>
  </si>
  <si>
    <t xml:space="preserve">Can I use my apple watch to top-up?</t>
  </si>
  <si>
    <t xml:space="preserve">Is top-up possible with Apple Pay?</t>
  </si>
  <si>
    <t xml:space="preserve">Why isn't my google top-up pay working?</t>
  </si>
  <si>
    <t xml:space="preserve">What do I do if my Google pay top up isn't working?</t>
  </si>
  <si>
    <t xml:space="preserve">Can I top up with Google Pay?</t>
  </si>
  <si>
    <t xml:space="preserve">Am I able to use Apple Pay?</t>
  </si>
  <si>
    <t xml:space="preserve">I got my American Express in Apple Pay, why is top up not working in my country?</t>
  </si>
  <si>
    <t xml:space="preserve">Can I add funds directly from my Apple Watch?</t>
  </si>
  <si>
    <t xml:space="preserve">Apple watch top up help, please?</t>
  </si>
  <si>
    <t xml:space="preserve">I am having a slight problem with my American express in apple play, can you help me fix the problem with top up?</t>
  </si>
  <si>
    <t xml:space="preserve">In regards to top-ups, can I do them via Google Pay?</t>
  </si>
  <si>
    <t xml:space="preserve">How do you Top Up on the apple watch?</t>
  </si>
  <si>
    <t xml:space="preserve">Am I able to top up with Apple Pay?</t>
  </si>
  <si>
    <t xml:space="preserve">Can I use top-up with Apple pay?</t>
  </si>
  <si>
    <t xml:space="preserve">I want to top up from my Apple Watch, can I?</t>
  </si>
  <si>
    <t xml:space="preserve">Can I use the apple watch to make a top-up?</t>
  </si>
  <si>
    <t xml:space="preserve">My American express works with my apple pay, why is top up not working?</t>
  </si>
  <si>
    <t xml:space="preserve">I would like to know if I can top up with Google Pay.</t>
  </si>
  <si>
    <t xml:space="preserve">Can I top-up via Apple Pay?</t>
  </si>
  <si>
    <t xml:space="preserve">Can I top up using my apple watch?</t>
  </si>
  <si>
    <t xml:space="preserve">Why is top up not working for my apple pay app</t>
  </si>
  <si>
    <t xml:space="preserve">Can I use Apple Pay to top-up?</t>
  </si>
  <si>
    <t xml:space="preserve">Why doesn't my Google pay top up work?</t>
  </si>
  <si>
    <t xml:space="preserve">How can I set up Google Pay on my device?</t>
  </si>
  <si>
    <t xml:space="preserve">Can you show me how to top up with Google play?</t>
  </si>
  <si>
    <t xml:space="preserve">I seem to be having trouble with my Google Pay Top. Can you please help?</t>
  </si>
  <si>
    <t xml:space="preserve">Does Google Pay offer a top up option?</t>
  </si>
  <si>
    <t xml:space="preserve">I got my American Express in Apple Pay, why is top up not working on my device?</t>
  </si>
  <si>
    <t xml:space="preserve">How do I get Top Up to work in Apple Pay?</t>
  </si>
  <si>
    <t xml:space="preserve">is apple pay a top up service?</t>
  </si>
  <si>
    <t xml:space="preserve">How do I top up using my Apple Watch?</t>
  </si>
  <si>
    <t xml:space="preserve">I want to top up my account. Can I do it with Google Pay?</t>
  </si>
  <si>
    <t xml:space="preserve">Can I use my apple watch to top up?</t>
  </si>
  <si>
    <t xml:space="preserve">I received my American Express in Apple Pay, is there a reason why top up is not functioning properly?</t>
  </si>
  <si>
    <t xml:space="preserve">Can I use my Apple Watch to pay for gas?</t>
  </si>
  <si>
    <t xml:space="preserve">I would like to use top-up with my Apple Pay.</t>
  </si>
  <si>
    <t xml:space="preserve">how do I get top up to work for my card</t>
  </si>
  <si>
    <t xml:space="preserve">My google top-up pay is not going through</t>
  </si>
  <si>
    <t xml:space="preserve">how do i set up my apple pay watch to connect to my account</t>
  </si>
  <si>
    <t xml:space="preserve">need help with google pay top up</t>
  </si>
  <si>
    <t xml:space="preserve">My Google pay top up isn't working.</t>
  </si>
  <si>
    <t xml:space="preserve">Help me please, My Apple Pay American Express top up does not work.</t>
  </si>
  <si>
    <t xml:space="preserve">Are top-ups allowed using Apple Pay?</t>
  </si>
  <si>
    <t xml:space="preserve">Is topping up with Apple Pay possible?</t>
  </si>
  <si>
    <t xml:space="preserve">what can I do if I got my American Express in Apple Bay but top up is not working?</t>
  </si>
  <si>
    <t xml:space="preserve">Top up is not working even though I have my AMEX in apple pay.</t>
  </si>
  <si>
    <t xml:space="preserve">where do I top up my google pay?</t>
  </si>
  <si>
    <t xml:space="preserve">Using Google Pay, can I top up?</t>
  </si>
  <si>
    <t xml:space="preserve">Why is top up not working if I use my American express with my apple pay?</t>
  </si>
  <si>
    <t xml:space="preserve">Unable to use my American Express with Apple Pay to top up my account</t>
  </si>
  <si>
    <t xml:space="preserve">Does my top up and apple pay work together?</t>
  </si>
  <si>
    <t xml:space="preserve">I can't use top up on Google Pay.</t>
  </si>
  <si>
    <t xml:space="preserve">I have received my American express in apple play, looks like top up has an issue, please help?</t>
  </si>
  <si>
    <t xml:space="preserve">Why isn't my google pay top up working?</t>
  </si>
  <si>
    <t xml:space="preserve">Is it possible for me to top up with Google Pay?</t>
  </si>
  <si>
    <t xml:space="preserve">Can apple pay handle top up exchanges?</t>
  </si>
  <si>
    <t xml:space="preserve">Am I able to Top Up with Apply Pay?</t>
  </si>
  <si>
    <t xml:space="preserve">How do i top up my google pay?</t>
  </si>
  <si>
    <t xml:space="preserve">I want to top up with my Apple Watch.</t>
  </si>
  <si>
    <t xml:space="preserve">Could google pay and top up be together?</t>
  </si>
  <si>
    <t xml:space="preserve">I can't get google pay to work right.</t>
  </si>
  <si>
    <t xml:space="preserve">Does google play offer the service to Top up?</t>
  </si>
  <si>
    <t xml:space="preserve">Can I top-up my google pay?</t>
  </si>
  <si>
    <t xml:space="preserve">Can I use American express with apple pay? Why does it make my top up not work?</t>
  </si>
  <si>
    <t xml:space="preserve">Can I top up my account with Google Pay?</t>
  </si>
  <si>
    <t xml:space="preserve">I cannot get my google pay to work.</t>
  </si>
  <si>
    <t xml:space="preserve">Is there a way to top up using my Apple Watch?</t>
  </si>
  <si>
    <t xml:space="preserve">I can't get my Google Pay Top to work. Are there any issues on your end?</t>
  </si>
  <si>
    <t xml:space="preserve">can I top up an apple pay?</t>
  </si>
  <si>
    <t xml:space="preserve">Can you explain why my Google Pay Top isn't working?</t>
  </si>
  <si>
    <t xml:space="preserve">Am I able to do top-ups with Google Pay?</t>
  </si>
  <si>
    <t xml:space="preserve">What are the steps needed to top up with Apple Pay?</t>
  </si>
  <si>
    <t xml:space="preserve">i received my American Express in Apple pay, is there a reason why top up is not working?</t>
  </si>
  <si>
    <t xml:space="preserve">Google Pay Top up isn't working</t>
  </si>
  <si>
    <t xml:space="preserve">Can you help me get Top Up to work in the Apple Pay function?</t>
  </si>
  <si>
    <t xml:space="preserve">Will be Apple Watch be able to let me top up?</t>
  </si>
  <si>
    <t xml:space="preserve">How can I top up with my apple watch?</t>
  </si>
  <si>
    <t xml:space="preserve">What services can I use to top up?</t>
  </si>
  <si>
    <t xml:space="preserve">Can an apple watch be used to tup-up?</t>
  </si>
  <si>
    <t xml:space="preserve">Can I use my Apple watch to fill my gas tank?</t>
  </si>
  <si>
    <t xml:space="preserve">Why isn't my Google Pay top up working for me? Did I do something wrong?</t>
  </si>
  <si>
    <t xml:space="preserve">What should I do to top up using my Apple Watch?</t>
  </si>
  <si>
    <t xml:space="preserve">my google pay seems to be acting up.</t>
  </si>
  <si>
    <t xml:space="preserve">top up google pay, is it possible?</t>
  </si>
  <si>
    <t xml:space="preserve">is it possible to top-up with google pay.</t>
  </si>
  <si>
    <t xml:space="preserve">how do i setup my apple pay</t>
  </si>
  <si>
    <t xml:space="preserve">is there a way to do top up with apple pay</t>
  </si>
  <si>
    <t xml:space="preserve">top up for my american express card is not working</t>
  </si>
  <si>
    <t xml:space="preserve">How to activate Google Pay for top up?</t>
  </si>
  <si>
    <t xml:space="preserve">My Google pay top up isn't working. Help.</t>
  </si>
  <si>
    <t xml:space="preserve">I can't see my Google Pay top up. Is it not working correctly?</t>
  </si>
  <si>
    <t xml:space="preserve">How can I get my Google pay top up to work?</t>
  </si>
  <si>
    <t xml:space="preserve">Google pay top up not working.</t>
  </si>
  <si>
    <t xml:space="preserve">My Apple Pay top up with my American Express card is not working? Please tell me why</t>
  </si>
  <si>
    <t xml:space="preserve">Is it possible to top up with Google Pay?</t>
  </si>
  <si>
    <t xml:space="preserve">Can top ups be done from an apple watch.</t>
  </si>
  <si>
    <t xml:space="preserve">Can you assist on apple watch top ups?</t>
  </si>
  <si>
    <t xml:space="preserve">i received my American Express in Apple pay, why is top up not working?</t>
  </si>
  <si>
    <t xml:space="preserve">How can I top up using google pay?</t>
  </si>
  <si>
    <t xml:space="preserve">i have been trying to add money with apple pay but it wont work, why?</t>
  </si>
  <si>
    <t xml:space="preserve">Google Pay isn't working. What is wrong?</t>
  </si>
  <si>
    <t xml:space="preserve">Google Pay won't let me top up.</t>
  </si>
  <si>
    <t xml:space="preserve">Apple pay is not accepting my American Express card, can you assist me with this problem?</t>
  </si>
  <si>
    <t xml:space="preserve">I got my American Express in Apple Pay, why is top up not working correctly?</t>
  </si>
  <si>
    <t xml:space="preserve">Can you please assist me in Apple Pay, in getting Top Up to work?</t>
  </si>
  <si>
    <t xml:space="preserve">Can I use google play as my primary app to Top up?</t>
  </si>
  <si>
    <t xml:space="preserve">Does Apple Watch support the topping-off of my account?</t>
  </si>
  <si>
    <t xml:space="preserve">I'm trying to use my Apple Watch to top up my google pay. Do I need a special app?</t>
  </si>
  <si>
    <t xml:space="preserve">Can I pay for my gas using my Apple watch?</t>
  </si>
  <si>
    <t xml:space="preserve">Can Google Pay be used for top up, please help?</t>
  </si>
  <si>
    <t xml:space="preserve">How can I top up with Google play?</t>
  </si>
  <si>
    <t xml:space="preserve">How can I top up with Apple Pay?</t>
  </si>
  <si>
    <t xml:space="preserve">Is it possible to use my apple watch for topping up?</t>
  </si>
  <si>
    <t xml:space="preserve">What do you require for identity verification?</t>
  </si>
  <si>
    <t xml:space="preserve">How can I prove I am me?</t>
  </si>
  <si>
    <t xml:space="preserve">I need to verify my identity. How do I do that?</t>
  </si>
  <si>
    <t xml:space="preserve">How do I verify my identity?</t>
  </si>
  <si>
    <t xml:space="preserve">How do I verify my identity online</t>
  </si>
  <si>
    <t xml:space="preserve">I'm not sure how to complete the identity checks process.</t>
  </si>
  <si>
    <t xml:space="preserve">why must I prove ID</t>
  </si>
  <si>
    <t xml:space="preserve">What am I going to need in order to verify my identity?</t>
  </si>
  <si>
    <t xml:space="preserve">How do I prove I am who I am?</t>
  </si>
  <si>
    <t xml:space="preserve">How and where can I find the identity checks?</t>
  </si>
  <si>
    <t xml:space="preserve">What are the requirements to verify my identity?</t>
  </si>
  <si>
    <t xml:space="preserve">What do I need to do to perform identity checks?</t>
  </si>
  <si>
    <t xml:space="preserve">Show me how to verify my identity?</t>
  </si>
  <si>
    <t xml:space="preserve">How recent do my documents need to be for verification?</t>
  </si>
  <si>
    <t xml:space="preserve">Can you tell me what I need to do for the identity check process?</t>
  </si>
  <si>
    <t xml:space="preserve">What documents are required for proof of identity?</t>
  </si>
  <si>
    <t xml:space="preserve">What documents do I need to validate my identity?</t>
  </si>
  <si>
    <t xml:space="preserve">Hi! What documents can I use to verify my identity?</t>
  </si>
  <si>
    <t xml:space="preserve">what steps do you take to check identity</t>
  </si>
  <si>
    <t xml:space="preserve">What will I need to verify my identity</t>
  </si>
  <si>
    <t xml:space="preserve">How can I verify my identity?</t>
  </si>
  <si>
    <t xml:space="preserve">What proof of identification is needed?</t>
  </si>
  <si>
    <t xml:space="preserve">How do I perform identity checks?</t>
  </si>
  <si>
    <t xml:space="preserve">What do I need for the identity verification?</t>
  </si>
  <si>
    <t xml:space="preserve">Can you tell me what I need for identity validation?</t>
  </si>
  <si>
    <t xml:space="preserve">What do you need for the identity verification</t>
  </si>
  <si>
    <t xml:space="preserve">What documents do I need to get together to verify my identity?</t>
  </si>
  <si>
    <t xml:space="preserve">How do I go through the identity checks?</t>
  </si>
  <si>
    <t xml:space="preserve">What steps do I need to take for the identity checking process?</t>
  </si>
  <si>
    <t xml:space="preserve">What are the steps to verify identity?</t>
  </si>
  <si>
    <t xml:space="preserve">What is the identity verification process?</t>
  </si>
  <si>
    <t xml:space="preserve">What are all of the different steps for identity checks?</t>
  </si>
  <si>
    <t xml:space="preserve">Where do I go to fill out the identity form?</t>
  </si>
  <si>
    <t xml:space="preserve">Please tell me how I verify my identity.</t>
  </si>
  <si>
    <t xml:space="preserve">How can I prove who I am?</t>
  </si>
  <si>
    <t xml:space="preserve">What works for identity verification?</t>
  </si>
  <si>
    <t xml:space="preserve">What do I need in regards to identification?</t>
  </si>
  <si>
    <t xml:space="preserve">Please tell me the steps to verify my identity.</t>
  </si>
  <si>
    <t xml:space="preserve">What forms of ID do you need for identity verification?</t>
  </si>
  <si>
    <t xml:space="preserve">Where can I verify my identity?</t>
  </si>
  <si>
    <t xml:space="preserve">I'm not sure what I need to verify my identity.</t>
  </si>
  <si>
    <t xml:space="preserve">Can you tell me what i need for the identity check?</t>
  </si>
  <si>
    <t xml:space="preserve">What do you require to verify someone's identity?</t>
  </si>
  <si>
    <t xml:space="preserve">What are the steps for identity checks?</t>
  </si>
  <si>
    <t xml:space="preserve">How do I verify my ID?</t>
  </si>
  <si>
    <t xml:space="preserve">If I don't have all my documents can they still verify my identity?</t>
  </si>
  <si>
    <t xml:space="preserve">why do I have to show my ID</t>
  </si>
  <si>
    <t xml:space="preserve">I don't know how to verify my identity.</t>
  </si>
  <si>
    <t xml:space="preserve">Do I need any kind of proof for the identity check?</t>
  </si>
  <si>
    <t xml:space="preserve">Can I get a full list of instructions for identity checks?</t>
  </si>
  <si>
    <t xml:space="preserve">Let me know what the steps for the identity checks are</t>
  </si>
  <si>
    <t xml:space="preserve">What do I need for the verification check?</t>
  </si>
  <si>
    <t xml:space="preserve">Where do I go to verify my identity?</t>
  </si>
  <si>
    <t xml:space="preserve">What needs to be provided for identity verification?</t>
  </si>
  <si>
    <t xml:space="preserve">I was told to verify my identity, how do I do that?</t>
  </si>
  <si>
    <t xml:space="preserve">Can I use my social security card as a form of identity?</t>
  </si>
  <si>
    <t xml:space="preserve">with what can I verify my identity?</t>
  </si>
  <si>
    <t xml:space="preserve">what documentation do I need for the identity check?</t>
  </si>
  <si>
    <t xml:space="preserve">How do I fill out the identity check?</t>
  </si>
  <si>
    <t xml:space="preserve">What documentation do you accept for the identity check?</t>
  </si>
  <si>
    <t xml:space="preserve">can i verify my identity i the app</t>
  </si>
  <si>
    <t xml:space="preserve">What has to be done to verify my identity?</t>
  </si>
  <si>
    <t xml:space="preserve">I have to verify my identity. What do I need to do?</t>
  </si>
  <si>
    <t xml:space="preserve">What type of ID do you accept?</t>
  </si>
  <si>
    <t xml:space="preserve">What do I need for the identity check?</t>
  </si>
  <si>
    <t xml:space="preserve">If I'm getting my identity verified, what all do I need?</t>
  </si>
  <si>
    <t xml:space="preserve">Explain how to verify my identity?</t>
  </si>
  <si>
    <t xml:space="preserve">What forms of ID work for verification?</t>
  </si>
  <si>
    <t xml:space="preserve">What are the steps of verifying an identity?</t>
  </si>
  <si>
    <t xml:space="preserve">Can I verify my identity?</t>
  </si>
  <si>
    <t xml:space="preserve">Where can I go to find out how to verify my identity?</t>
  </si>
  <si>
    <t xml:space="preserve">How do I validate my identity.</t>
  </si>
  <si>
    <t xml:space="preserve">im worried about fraud how do you protect my account</t>
  </si>
  <si>
    <t xml:space="preserve">What do you demand for identity verification?</t>
  </si>
  <si>
    <t xml:space="preserve">I'm trying to verify my identity but can't figure out how, what do I do?</t>
  </si>
  <si>
    <t xml:space="preserve">What documentation is needed for the identity check?</t>
  </si>
  <si>
    <t xml:space="preserve">Which documents do I need for this identity check?</t>
  </si>
  <si>
    <t xml:space="preserve">What can I use to verify my identity?</t>
  </si>
  <si>
    <t xml:space="preserve">What all is needed for the identity verification?</t>
  </si>
  <si>
    <t xml:space="preserve">For the identity check, do I need any kind of documentation?</t>
  </si>
  <si>
    <t xml:space="preserve">What is needed for identity verification?</t>
  </si>
  <si>
    <t xml:space="preserve">Tell me what the steps for the identity checks are</t>
  </si>
  <si>
    <t xml:space="preserve">What are acceptable documents to prove my identity?</t>
  </si>
  <si>
    <t xml:space="preserve">For the identity verification, what do you need?</t>
  </si>
  <si>
    <t xml:space="preserve">What documents do you need to verify my identity?</t>
  </si>
  <si>
    <t xml:space="preserve">How do i change my identity?</t>
  </si>
  <si>
    <t xml:space="preserve">Can I get information on the identity checks?</t>
  </si>
  <si>
    <t xml:space="preserve">Where in the app do I go to verify my identity?</t>
  </si>
  <si>
    <t xml:space="preserve">How can you assist on verifying my identity?</t>
  </si>
  <si>
    <t xml:space="preserve">How do I go about verifying my identity?</t>
  </si>
  <si>
    <t xml:space="preserve">why do I need to show ID</t>
  </si>
  <si>
    <t xml:space="preserve">What do you require for identification verification?</t>
  </si>
  <si>
    <t xml:space="preserve">What forms of ID should I use for verification?</t>
  </si>
  <si>
    <t xml:space="preserve">What are the steps for the identity checks?</t>
  </si>
  <si>
    <t xml:space="preserve">What ID do I need to verify my identity?</t>
  </si>
  <si>
    <t xml:space="preserve">How do I complete the ID check?</t>
  </si>
  <si>
    <t xml:space="preserve">How do you check my identity?</t>
  </si>
  <si>
    <t xml:space="preserve">What documents do I need for the identity check?</t>
  </si>
  <si>
    <t xml:space="preserve">What do I use to verify my identity?</t>
  </si>
  <si>
    <t xml:space="preserve">What is needed for the identity verification?</t>
  </si>
  <si>
    <t xml:space="preserve">For the identity check, what kind of documents do I need to have?</t>
  </si>
  <si>
    <t xml:space="preserve">What form of identification is accepted?</t>
  </si>
  <si>
    <t xml:space="preserve">What is necessary for the identity verification?</t>
  </si>
  <si>
    <t xml:space="preserve">what documents do i need to verify who i am</t>
  </si>
  <si>
    <t xml:space="preserve">Which countries are you available in?</t>
  </si>
  <si>
    <t xml:space="preserve">Where are you cards supported?</t>
  </si>
  <si>
    <t xml:space="preserve">How do I get a card if I live in the US?</t>
  </si>
  <si>
    <t xml:space="preserve">Please list the countries you support.</t>
  </si>
  <si>
    <t xml:space="preserve">Are these cards available in europe?</t>
  </si>
  <si>
    <t xml:space="preserve">If I live outside of the UK am I still eligible for a card?</t>
  </si>
  <si>
    <t xml:space="preserve">Can I get a card in the EU?</t>
  </si>
  <si>
    <t xml:space="preserve">Can I use my card in Austria?</t>
  </si>
  <si>
    <t xml:space="preserve">Do you have to be in the UK to get a card?</t>
  </si>
  <si>
    <t xml:space="preserve">Can I use this all over the world?</t>
  </si>
  <si>
    <t xml:space="preserve">Can I get a card even though I live in the US</t>
  </si>
  <si>
    <t xml:space="preserve">Do you provide cards to people not in the UK?</t>
  </si>
  <si>
    <t xml:space="preserve">What countries are you located in?</t>
  </si>
  <si>
    <t xml:space="preserve">Which countries does your service work in?</t>
  </si>
  <si>
    <t xml:space="preserve">Which countries do you operate in</t>
  </si>
  <si>
    <t xml:space="preserve">From what countries can I use an account?</t>
  </si>
  <si>
    <t xml:space="preserve">Can the card be mailed to Europe?</t>
  </si>
  <si>
    <t xml:space="preserve">Who gets support?</t>
  </si>
  <si>
    <t xml:space="preserve">i live in portugal. do you operate here?</t>
  </si>
  <si>
    <t xml:space="preserve">I live in the EU - can I get a card?</t>
  </si>
  <si>
    <t xml:space="preserve">What countries do your accounts send and receive to?</t>
  </si>
  <si>
    <t xml:space="preserve">How do I get a card in the EU?</t>
  </si>
  <si>
    <t xml:space="preserve">How does a US resident go about acquiring a new card?</t>
  </si>
  <si>
    <t xml:space="preserve">Can you tell me the countries you operate in?</t>
  </si>
  <si>
    <t xml:space="preserve">As far as courtries go which ones are supported?</t>
  </si>
  <si>
    <t xml:space="preserve">May I get one of your cards?  I live in the EU.</t>
  </si>
  <si>
    <t xml:space="preserve">can i get a card if I live in the usa?</t>
  </si>
  <si>
    <t xml:space="preserve">What countries do you operate in?</t>
  </si>
  <si>
    <t xml:space="preserve">Where are you present globally?</t>
  </si>
  <si>
    <t xml:space="preserve">What are the countries that you operate in?</t>
  </si>
  <si>
    <t xml:space="preserve">Which countries are supported</t>
  </si>
  <si>
    <t xml:space="preserve">Is this open to residents of all countries?</t>
  </si>
  <si>
    <t xml:space="preserve">Is it possible to get one of your cards in the European Union?</t>
  </si>
  <si>
    <t xml:space="preserve">Are you located in other countries?</t>
  </si>
  <si>
    <t xml:space="preserve">Although I am not located in the UK area, may i still receive a card?</t>
  </si>
  <si>
    <t xml:space="preserve">can usa residents get a card?</t>
  </si>
  <si>
    <t xml:space="preserve">What countries can I use my account in?</t>
  </si>
  <si>
    <t xml:space="preserve">What countries are you available in?</t>
  </si>
  <si>
    <t xml:space="preserve">Is it possible for a person who lives in the US to get a card?</t>
  </si>
  <si>
    <t xml:space="preserve">Are your cards supported in the EU?</t>
  </si>
  <si>
    <t xml:space="preserve">Are cards issued to people living in the US?</t>
  </si>
  <si>
    <t xml:space="preserve">In which countries does your app work</t>
  </si>
  <si>
    <t xml:space="preserve">Any chance of getting the card outside the UK?</t>
  </si>
  <si>
    <t xml:space="preserve">Which countries do you work with?</t>
  </si>
  <si>
    <t xml:space="preserve">I would like to know the countries you are offer services in?</t>
  </si>
  <si>
    <t xml:space="preserve">Can I get a card in the US?</t>
  </si>
  <si>
    <t xml:space="preserve">Can I get support?</t>
  </si>
  <si>
    <t xml:space="preserve">I don't live in the UK. Can I still get a card?</t>
  </si>
  <si>
    <t xml:space="preserve">Can you tell me what countries you offer support for?</t>
  </si>
  <si>
    <t xml:space="preserve">Can I use it outside of Europe?</t>
  </si>
  <si>
    <t xml:space="preserve">Can I apply for one of your cards if I live in the EU?</t>
  </si>
  <si>
    <t xml:space="preserve">can i get a card if i live in the US?</t>
  </si>
  <si>
    <t xml:space="preserve">What countries do your services support?</t>
  </si>
  <si>
    <t xml:space="preserve">Are cards available to those outside of the UK?</t>
  </si>
  <si>
    <t xml:space="preserve">Do you do business in the EU?</t>
  </si>
  <si>
    <t xml:space="preserve">Is it possible to get a card outside the UK?</t>
  </si>
  <si>
    <t xml:space="preserve">I live in Germany. Is that one of the countries you are in? What other countries are you in?</t>
  </si>
  <si>
    <t xml:space="preserve">What are the countries you have offices in?</t>
  </si>
  <si>
    <t xml:space="preserve">How do I sign up for a card if I'm in America?</t>
  </si>
  <si>
    <t xml:space="preserve">Will my new card work outside of the EU?</t>
  </si>
  <si>
    <t xml:space="preserve">Is it possible to get a card when i'm not in the UK?</t>
  </si>
  <si>
    <t xml:space="preserve">Can I get a card if I don't reside in the UK?</t>
  </si>
  <si>
    <t xml:space="preserve">If I don't live in the UK, can I get a card?</t>
  </si>
  <si>
    <t xml:space="preserve">can I use it in any country?</t>
  </si>
  <si>
    <t xml:space="preserve">What countries are you issuing cards for?</t>
  </si>
  <si>
    <t xml:space="preserve">Can I get a card? I live in the US.</t>
  </si>
  <si>
    <t xml:space="preserve">I would like to get your card in EU. Is that possible?</t>
  </si>
  <si>
    <t xml:space="preserve">Do you offer cards for those in other countries?</t>
  </si>
  <si>
    <t xml:space="preserve">I have my residency in the US, but I would love to get a card.</t>
  </si>
  <si>
    <t xml:space="preserve">I reside in the US, but I want a card.</t>
  </si>
  <si>
    <t xml:space="preserve">are there any country restrictions?</t>
  </si>
  <si>
    <t xml:space="preserve">How do I find out what countries you service and what countries you do not?</t>
  </si>
  <si>
    <t xml:space="preserve">what countries can i use my card in</t>
  </si>
  <si>
    <t xml:space="preserve">What countries can I use your services?</t>
  </si>
  <si>
    <t xml:space="preserve">I live in the EU.  Can I order one of your cards?</t>
  </si>
  <si>
    <t xml:space="preserve">Where can I get a card in the EU?</t>
  </si>
  <si>
    <t xml:space="preserve">Can I get a card that works in other countries like Africa and Indonesia?</t>
  </si>
  <si>
    <t xml:space="preserve">Are you available in my country?</t>
  </si>
  <si>
    <t xml:space="preserve">How many countries do you work in?</t>
  </si>
  <si>
    <t xml:space="preserve">Are you only able to get a card if you're in the UK?</t>
  </si>
  <si>
    <t xml:space="preserve">Which countries do you support?</t>
  </si>
  <si>
    <t xml:space="preserve">How do I know which countries you provide service in?</t>
  </si>
  <si>
    <t xml:space="preserve">Please tell me how to get a card if I reside in the US.</t>
  </si>
  <si>
    <t xml:space="preserve">What countries have access to this service.</t>
  </si>
  <si>
    <t xml:space="preserve">I live in America, but I would like a card.</t>
  </si>
  <si>
    <t xml:space="preserve">Do you issue cards for someone living in the US?</t>
  </si>
  <si>
    <t xml:space="preserve">Is this card available to Americans?</t>
  </si>
  <si>
    <t xml:space="preserve">Can I get a card although I'm not in the UK</t>
  </si>
  <si>
    <t xml:space="preserve">If I don't live in the UK, can I still get a card?</t>
  </si>
  <si>
    <t xml:space="preserve">Is there anywhere  In the  Eu  this card can not be delivered in</t>
  </si>
  <si>
    <t xml:space="preserve">I'm not in the UK, but can I still get a card?</t>
  </si>
  <si>
    <t xml:space="preserve">In which countries can I get a card?</t>
  </si>
  <si>
    <t xml:space="preserve">Can someone in the US have a card?</t>
  </si>
  <si>
    <t xml:space="preserve">Can I have a card even if I am not living in the UK?</t>
  </si>
  <si>
    <t xml:space="preserve">You operate in which countries?</t>
  </si>
  <si>
    <t xml:space="preserve">i want to get a card but i live in the US</t>
  </si>
  <si>
    <t xml:space="preserve">What are your supported countries?</t>
  </si>
  <si>
    <t xml:space="preserve">where do you have locations at</t>
  </si>
  <si>
    <t xml:space="preserve">Do you support countries other than mine?</t>
  </si>
  <si>
    <t xml:space="preserve">Do you support all countries?</t>
  </si>
  <si>
    <t xml:space="preserve">Can you tell me the countries you provide support for.</t>
  </si>
  <si>
    <t xml:space="preserve">I live in the EU, can I get one of your cards?</t>
  </si>
  <si>
    <t xml:space="preserve">Can an American resident apply to get a card?</t>
  </si>
  <si>
    <t xml:space="preserve">What countries can I use the card in?</t>
  </si>
  <si>
    <t xml:space="preserve">I need a new card and I live in the United States.</t>
  </si>
  <si>
    <t xml:space="preserve">Supported countries</t>
  </si>
  <si>
    <t xml:space="preserve">What are the countries you support.</t>
  </si>
  <si>
    <t xml:space="preserve">Which countries are you in?</t>
  </si>
  <si>
    <t xml:space="preserve">Where in the European Union can I get a card?</t>
  </si>
  <si>
    <t xml:space="preserve">I am in the EU. Can I get one of your cards?</t>
  </si>
  <si>
    <t xml:space="preserve">I live in the UK. Can I get a card?</t>
  </si>
  <si>
    <t xml:space="preserve">I need to get a card, but I live in the US.</t>
  </si>
  <si>
    <t xml:space="preserve">I am not in the UK can i get a card?</t>
  </si>
  <si>
    <t xml:space="preserve">Which countries do you currently support?</t>
  </si>
  <si>
    <t xml:space="preserve">Is it possible to get one the your cards in the EU?</t>
  </si>
  <si>
    <t xml:space="preserve">I want a card, but I'm not in the UK- can I get one still?</t>
  </si>
  <si>
    <t xml:space="preserve">Are your cards available in the EU?</t>
  </si>
  <si>
    <t xml:space="preserve">I'm in the EU. Can I get one of your cards?</t>
  </si>
  <si>
    <t xml:space="preserve">Is this card available to United States Residents?</t>
  </si>
  <si>
    <t xml:space="preserve">can I use it all over the world?</t>
  </si>
  <si>
    <t xml:space="preserve">Do you work in Greece?</t>
  </si>
  <si>
    <t xml:space="preserve">What countries do your accounts support?</t>
  </si>
  <si>
    <t xml:space="preserve">I live in the US and I would like to get a card. How do I go about getting one?</t>
  </si>
  <si>
    <t xml:space="preserve">I just moved to the US how do I get a card?</t>
  </si>
  <si>
    <t xml:space="preserve">You provide support in what countries?</t>
  </si>
  <si>
    <t xml:space="preserve">What countries are you supporting?</t>
  </si>
  <si>
    <t xml:space="preserve">What countries are getting support?</t>
  </si>
  <si>
    <t xml:space="preserve">Are cards available in the EU?</t>
  </si>
  <si>
    <t xml:space="preserve">Which countries are represented?</t>
  </si>
</sst>
</file>

<file path=xl/styles.xml><?xml version="1.0" encoding="utf-8"?>
<styleSheet xmlns="http://schemas.openxmlformats.org/spreadsheetml/2006/main">
  <numFmts count="5">
    <numFmt numFmtId="164" formatCode="General"/>
    <numFmt numFmtId="165" formatCode="#,##0"/>
    <numFmt numFmtId="166" formatCode="0.0%"/>
    <numFmt numFmtId="167" formatCode="0"/>
    <numFmt numFmtId="168" formatCode="General"/>
  </numFmts>
  <fonts count="16">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9"/>
      <color rgb="FF595959"/>
      <name val="Arial"/>
      <family val="0"/>
      <charset val="1"/>
    </font>
    <font>
      <b val="true"/>
      <sz val="12"/>
      <name val="Arial"/>
      <family val="0"/>
      <charset val="1"/>
    </font>
    <font>
      <sz val="11"/>
      <name val="Arial"/>
      <family val="0"/>
      <charset val="1"/>
    </font>
    <font>
      <b val="true"/>
      <sz val="11"/>
      <name val="Arial"/>
      <family val="0"/>
      <charset val="1"/>
    </font>
    <font>
      <b val="true"/>
      <sz val="14"/>
      <name val="Arial"/>
      <family val="0"/>
      <charset val="1"/>
    </font>
    <font>
      <b val="true"/>
      <sz val="11"/>
      <color rgb="FFFFFFFF"/>
      <name val="Arial"/>
      <family val="0"/>
      <charset val="1"/>
    </font>
    <font>
      <sz val="11"/>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
      <sz val="9"/>
      <name val="Consolas"/>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6"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center"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left" vertical="top" textRotation="0" wrapText="false" indent="0" shrinkToFit="false"/>
      <protection locked="true" hidden="false"/>
    </xf>
    <xf numFmtId="168" fontId="7" fillId="0"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
      <fill>
        <patternFill>
          <bgColor rgb="FFC6E0B4"/>
        </patternFill>
      </fill>
    </dxf>
    <dxf>
      <fill>
        <patternFill>
          <bgColor rgb="FFFFE699"/>
        </patternFill>
      </fill>
    </dxf>
    <dxf>
      <fill>
        <patternFill>
          <bgColor rgb="FFF8CBAD"/>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6E0B4"/>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000"/>
      <rgbColor rgb="FFFF9900"/>
      <rgbColor rgb="FFFF6600"/>
      <rgbColor rgb="FF59595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Query volume by business group and risk</a:t>
            </a:r>
          </a:p>
        </c:rich>
      </c:tx>
      <c:overlay val="0"/>
      <c:spPr>
        <a:noFill/>
        <a:ln w="0">
          <a:noFill/>
        </a:ln>
      </c:spPr>
    </c:title>
    <c:autoTitleDeleted val="0"/>
    <c:plotArea>
      <c:barChart>
        <c:barDir val="bar"/>
        <c:grouping val="stacked"/>
        <c:varyColors val="0"/>
        <c:ser>
          <c:idx val="0"/>
          <c:order val="0"/>
          <c:tx>
            <c:strRef>
              <c:f>Group_Summary!D5</c:f>
              <c:strCache>
                <c:ptCount val="1"/>
                <c:pt idx="0">
                  <c:v>Bot resolves (risk 1)</c:v>
                </c:pt>
              </c:strCache>
            </c:strRef>
          </c:tx>
          <c:spPr>
            <a:solidFill>
              <a:srgbClr val="70ad47"/>
            </a:solidFill>
            <a:ln w="0">
              <a:solidFill>
                <a:srgbClr val="70ad47"/>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Group_Summary!$A$6:$A$15</c:f>
              <c:strCache>
                <c:ptCount val="10"/>
                <c:pt idx="0">
                  <c:v>Card usage &amp; features</c:v>
                </c:pt>
                <c:pt idx="1">
                  <c:v>Card delivery &amp; activation</c:v>
                </c:pt>
                <c:pt idx="2">
                  <c:v>Fees &amp; charges</c:v>
                </c:pt>
                <c:pt idx="3">
                  <c:v>Top-ups</c:v>
                </c:pt>
                <c:pt idx="4">
                  <c:v>Exchange rates &amp; currencies</c:v>
                </c:pt>
                <c:pt idx="5">
                  <c:v>Account &amp; identity</c:v>
                </c:pt>
                <c:pt idx="6">
                  <c:v>Transfers</c:v>
                </c:pt>
                <c:pt idx="7">
                  <c:v>Cash, ATM &amp; deposits</c:v>
                </c:pt>
                <c:pt idx="8">
                  <c:v>Fraud &amp; security</c:v>
                </c:pt>
                <c:pt idx="9">
                  <c:v>Card payments &amp; refunds</c:v>
                </c:pt>
              </c:strCache>
            </c:strRef>
          </c:cat>
          <c:val>
            <c:numRef>
              <c:f>Group_Summary!$D$6:$D$15</c:f>
              <c:numCache>
                <c:formatCode>#,##0</c:formatCode>
                <c:ptCount val="10"/>
                <c:pt idx="0">
                  <c:v>1124</c:v>
                </c:pt>
                <c:pt idx="1">
                  <c:v>1047</c:v>
                </c:pt>
                <c:pt idx="2">
                  <c:v>882</c:v>
                </c:pt>
                <c:pt idx="3">
                  <c:v>567</c:v>
                </c:pt>
                <c:pt idx="4">
                  <c:v>485</c:v>
                </c:pt>
                <c:pt idx="5">
                  <c:v>448</c:v>
                </c:pt>
                <c:pt idx="6">
                  <c:v>336</c:v>
                </c:pt>
                <c:pt idx="7">
                  <c:v>0</c:v>
                </c:pt>
                <c:pt idx="8">
                  <c:v>0</c:v>
                </c:pt>
                <c:pt idx="9">
                  <c:v>0</c:v>
                </c:pt>
              </c:numCache>
            </c:numRef>
          </c:val>
        </c:ser>
        <c:ser>
          <c:idx val="1"/>
          <c:order val="1"/>
          <c:tx>
            <c:strRef>
              <c:f>Group_Summary!E5</c:f>
              <c:strCache>
                <c:ptCount val="1"/>
                <c:pt idx="0">
                  <c:v>Triage to agent (risk 2)</c:v>
                </c:pt>
              </c:strCache>
            </c:strRef>
          </c:tx>
          <c:spPr>
            <a:solidFill>
              <a:srgbClr val="ffc000"/>
            </a:solidFill>
            <a:ln w="0">
              <a:solidFill>
                <a:srgbClr val="ffc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Group_Summary!$A$6:$A$15</c:f>
              <c:strCache>
                <c:ptCount val="10"/>
                <c:pt idx="0">
                  <c:v>Card usage &amp; features</c:v>
                </c:pt>
                <c:pt idx="1">
                  <c:v>Card delivery &amp; activation</c:v>
                </c:pt>
                <c:pt idx="2">
                  <c:v>Fees &amp; charges</c:v>
                </c:pt>
                <c:pt idx="3">
                  <c:v>Top-ups</c:v>
                </c:pt>
                <c:pt idx="4">
                  <c:v>Exchange rates &amp; currencies</c:v>
                </c:pt>
                <c:pt idx="5">
                  <c:v>Account &amp; identity</c:v>
                </c:pt>
                <c:pt idx="6">
                  <c:v>Transfers</c:v>
                </c:pt>
                <c:pt idx="7">
                  <c:v>Cash, ATM &amp; deposits</c:v>
                </c:pt>
                <c:pt idx="8">
                  <c:v>Fraud &amp; security</c:v>
                </c:pt>
                <c:pt idx="9">
                  <c:v>Card payments &amp; refunds</c:v>
                </c:pt>
              </c:strCache>
            </c:strRef>
          </c:cat>
          <c:val>
            <c:numRef>
              <c:f>Group_Summary!$E$6:$E$15</c:f>
              <c:numCache>
                <c:formatCode>#,##0</c:formatCode>
                <c:ptCount val="10"/>
                <c:pt idx="0">
                  <c:v>367</c:v>
                </c:pt>
                <c:pt idx="1">
                  <c:v>0</c:v>
                </c:pt>
                <c:pt idx="2">
                  <c:v>166</c:v>
                </c:pt>
                <c:pt idx="3">
                  <c:v>440</c:v>
                </c:pt>
                <c:pt idx="4">
                  <c:v>330</c:v>
                </c:pt>
                <c:pt idx="5">
                  <c:v>328</c:v>
                </c:pt>
                <c:pt idx="6">
                  <c:v>1073</c:v>
                </c:pt>
                <c:pt idx="7">
                  <c:v>497</c:v>
                </c:pt>
                <c:pt idx="8">
                  <c:v>0</c:v>
                </c:pt>
                <c:pt idx="9">
                  <c:v>482</c:v>
                </c:pt>
              </c:numCache>
            </c:numRef>
          </c:val>
        </c:ser>
        <c:ser>
          <c:idx val="2"/>
          <c:order val="2"/>
          <c:tx>
            <c:strRef>
              <c:f>Group_Summary!F5</c:f>
              <c:strCache>
                <c:ptCount val="1"/>
                <c:pt idx="0">
                  <c:v>Human only (risk 3)</c:v>
                </c:pt>
              </c:strCache>
            </c:strRef>
          </c:tx>
          <c:spPr>
            <a:solidFill>
              <a:srgbClr val="c00000"/>
            </a:solidFill>
            <a:ln w="0">
              <a:solidFill>
                <a:srgbClr val="c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Group_Summary!$A$6:$A$15</c:f>
              <c:strCache>
                <c:ptCount val="10"/>
                <c:pt idx="0">
                  <c:v>Card usage &amp; features</c:v>
                </c:pt>
                <c:pt idx="1">
                  <c:v>Card delivery &amp; activation</c:v>
                </c:pt>
                <c:pt idx="2">
                  <c:v>Fees &amp; charges</c:v>
                </c:pt>
                <c:pt idx="3">
                  <c:v>Top-ups</c:v>
                </c:pt>
                <c:pt idx="4">
                  <c:v>Exchange rates &amp; currencies</c:v>
                </c:pt>
                <c:pt idx="5">
                  <c:v>Account &amp; identity</c:v>
                </c:pt>
                <c:pt idx="6">
                  <c:v>Transfers</c:v>
                </c:pt>
                <c:pt idx="7">
                  <c:v>Cash, ATM &amp; deposits</c:v>
                </c:pt>
                <c:pt idx="8">
                  <c:v>Fraud &amp; security</c:v>
                </c:pt>
                <c:pt idx="9">
                  <c:v>Card payments &amp; refunds</c:v>
                </c:pt>
              </c:strCache>
            </c:strRef>
          </c:cat>
          <c:val>
            <c:numRef>
              <c:f>Group_Summary!$F$6:$F$15</c:f>
              <c:numCache>
                <c:formatCode>#,##0</c:formatCode>
                <c:ptCount val="10"/>
                <c:pt idx="0">
                  <c:v>0</c:v>
                </c:pt>
                <c:pt idx="1">
                  <c:v>0</c:v>
                </c:pt>
                <c:pt idx="2">
                  <c:v>0</c:v>
                </c:pt>
                <c:pt idx="3">
                  <c:v>0</c:v>
                </c:pt>
                <c:pt idx="4">
                  <c:v>0</c:v>
                </c:pt>
                <c:pt idx="5">
                  <c:v>108</c:v>
                </c:pt>
                <c:pt idx="6">
                  <c:v>0</c:v>
                </c:pt>
                <c:pt idx="7">
                  <c:v>180</c:v>
                </c:pt>
                <c:pt idx="8">
                  <c:v>799</c:v>
                </c:pt>
                <c:pt idx="9">
                  <c:v>344</c:v>
                </c:pt>
              </c:numCache>
            </c:numRef>
          </c:val>
        </c:ser>
        <c:gapWidth val="150"/>
        <c:overlap val="100"/>
        <c:axId val="69966991"/>
        <c:axId val="73060007"/>
      </c:barChart>
      <c:catAx>
        <c:axId val="69966991"/>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060007"/>
        <c:crosses val="autoZero"/>
        <c:auto val="1"/>
        <c:lblAlgn val="ctr"/>
        <c:lblOffset val="100"/>
        <c:noMultiLvlLbl val="0"/>
      </c:catAx>
      <c:valAx>
        <c:axId val="73060007"/>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Queries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96699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16</xdr:row>
      <xdr:rowOff>39240</xdr:rowOff>
    </xdr:from>
    <xdr:to>
      <xdr:col>6</xdr:col>
      <xdr:colOff>856080</xdr:colOff>
      <xdr:row>33</xdr:row>
      <xdr:rowOff>40680</xdr:rowOff>
    </xdr:to>
    <xdr:graphicFrame>
      <xdr:nvGraphicFramePr>
        <xdr:cNvPr id="0" name="Chart 1"/>
        <xdr:cNvGraphicFramePr/>
      </xdr:nvGraphicFramePr>
      <xdr:xfrm>
        <a:off x="0" y="342900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Group_Summary!B16</f>
        <v>10003</v>
      </c>
    </row>
    <row r="6" customFormat="false" ht="15" hidden="false" customHeight="false" outlineLevel="0" collapsed="false">
      <c r="A6" s="4" t="s">
        <v>4</v>
      </c>
      <c r="B6" s="5" t="n">
        <f aca="false">Group_Summary!H16</f>
        <v>77</v>
      </c>
    </row>
    <row r="7" customFormat="false" ht="15" hidden="false" customHeight="false" outlineLevel="0" collapsed="false">
      <c r="A7" s="4" t="s">
        <v>5</v>
      </c>
      <c r="B7" s="6" t="n">
        <f aca="false">Group_Summary!D16/Group_Summary!B16</f>
        <v>0.488753373987804</v>
      </c>
    </row>
    <row r="8" customFormat="false" ht="15" hidden="false" customHeight="false" outlineLevel="0" collapsed="false">
      <c r="A8" s="4" t="s">
        <v>6</v>
      </c>
      <c r="B8" s="6" t="n">
        <f aca="false">Group_Summary!E16/Group_Summary!B16</f>
        <v>0.368189543137059</v>
      </c>
    </row>
    <row r="9" customFormat="false" ht="15" hidden="false" customHeight="false" outlineLevel="0" collapsed="false">
      <c r="A9" s="4" t="s">
        <v>7</v>
      </c>
      <c r="B9" s="6" t="n">
        <f aca="false">Group_Summary!F16/Group_Summary!B16</f>
        <v>0.143057082875137</v>
      </c>
    </row>
    <row r="10" customFormat="false" ht="15" hidden="false" customHeight="false" outlineLevel="0" collapsed="false">
      <c r="A10" s="4" t="s">
        <v>8</v>
      </c>
      <c r="B10" s="7" t="n">
        <f aca="false">Group_Summary!B3</f>
        <v>4</v>
      </c>
    </row>
    <row r="11" customFormat="false" ht="15" hidden="false" customHeight="false" outlineLevel="0" collapsed="false">
      <c r="A11" s="4" t="s">
        <v>9</v>
      </c>
      <c r="B11" s="5" t="n">
        <f aca="false">SUMIFS(Group_Summary!D6:D15,Group_Summary!J6:J15,"Pilot")</f>
        <v>3620</v>
      </c>
    </row>
    <row r="12" customFormat="false" ht="15" hidden="false" customHeight="false" outlineLevel="0" collapsed="false">
      <c r="A12" s="4" t="s">
        <v>10</v>
      </c>
      <c r="B12" s="6" t="n">
        <f aca="false">SUMIFS(Group_Summary!D6:D15,Group_Summary!J6:J15,"Pilot")/Group_Summary!B16</f>
        <v>0.361891432570229</v>
      </c>
    </row>
    <row r="14" customFormat="false" ht="15" hidden="false" customHeight="false" outlineLevel="0" collapsed="false">
      <c r="A14" s="3" t="s">
        <v>11</v>
      </c>
      <c r="C14" s="2" t="s">
        <v>12</v>
      </c>
    </row>
    <row r="15" customFormat="false" ht="15" hidden="false" customHeight="false" outlineLevel="0" collapsed="false">
      <c r="A15" s="8" t="str">
        <f aca="false">IFERROR(INDEX(Group_Summary!$A$6:$A$15,MATCH(1,Group_Summary!$I$6:$I$15,0)),"")</f>
        <v>Card usage &amp; features</v>
      </c>
      <c r="B15" s="9" t="n">
        <f aca="false">IFERROR(INDEX(Group_Summary!$D$6:$D$15,MATCH(1,Group_Summary!$I$6:$I$15,0)),"")</f>
        <v>1124</v>
      </c>
    </row>
    <row r="16" customFormat="false" ht="15" hidden="false" customHeight="false" outlineLevel="0" collapsed="false">
      <c r="A16" s="8" t="str">
        <f aca="false">IFERROR(INDEX(Group_Summary!$A$6:$A$15,MATCH(2,Group_Summary!$I$6:$I$15,0)),"")</f>
        <v>Card delivery &amp; activation</v>
      </c>
      <c r="B16" s="9" t="n">
        <f aca="false">IFERROR(INDEX(Group_Summary!$D$6:$D$15,MATCH(2,Group_Summary!$I$6:$I$15,0)),"")</f>
        <v>1047</v>
      </c>
    </row>
    <row r="17" customFormat="false" ht="15" hidden="false" customHeight="false" outlineLevel="0" collapsed="false">
      <c r="A17" s="8" t="str">
        <f aca="false">IFERROR(INDEX(Group_Summary!$A$6:$A$15,MATCH(3,Group_Summary!$I$6:$I$15,0)),"")</f>
        <v>Fees &amp; charges</v>
      </c>
      <c r="B17" s="9" t="n">
        <f aca="false">IFERROR(INDEX(Group_Summary!$D$6:$D$15,MATCH(3,Group_Summary!$I$6:$I$15,0)),"")</f>
        <v>882</v>
      </c>
    </row>
    <row r="18" customFormat="false" ht="15" hidden="false" customHeight="false" outlineLevel="0" collapsed="false">
      <c r="A18" s="8" t="str">
        <f aca="false">IFERROR(INDEX(Group_Summary!$A$6:$A$15,MATCH(4,Group_Summary!$I$6:$I$15,0)),"")</f>
        <v>Top-ups</v>
      </c>
      <c r="B18" s="9" t="n">
        <f aca="false">IFERROR(INDEX(Group_Summary!$D$6:$D$15,MATCH(4,Group_Summary!$I$6:$I$15,0)),"")</f>
        <v>567</v>
      </c>
    </row>
    <row r="20" customFormat="false" ht="15" hidden="false" customHeight="false" outlineLevel="0" collapsed="false">
      <c r="A20" s="3" t="s">
        <v>13</v>
      </c>
    </row>
    <row r="21" customFormat="false" ht="31.5" hidden="false" customHeight="true" outlineLevel="0" collapsed="false">
      <c r="A21" s="8" t="s">
        <v>14</v>
      </c>
      <c r="B21" s="10" t="s">
        <v>15</v>
      </c>
      <c r="C21" s="10"/>
    </row>
    <row r="22" customFormat="false" ht="31.5" hidden="false" customHeight="true" outlineLevel="0" collapsed="false">
      <c r="A22" s="8" t="s">
        <v>16</v>
      </c>
      <c r="B22" s="10" t="s">
        <v>17</v>
      </c>
      <c r="C22" s="10"/>
    </row>
    <row r="23" customFormat="false" ht="31.5" hidden="false" customHeight="true" outlineLevel="0" collapsed="false">
      <c r="A23" s="8" t="s">
        <v>18</v>
      </c>
      <c r="B23" s="10" t="s">
        <v>19</v>
      </c>
      <c r="C23" s="10"/>
    </row>
    <row r="24" customFormat="false" ht="31.5" hidden="false" customHeight="true" outlineLevel="0" collapsed="false">
      <c r="A24" s="8" t="s">
        <v>20</v>
      </c>
      <c r="B24" s="10" t="s">
        <v>21</v>
      </c>
      <c r="C24" s="10"/>
    </row>
    <row r="25" customFormat="false" ht="31.5" hidden="false" customHeight="true" outlineLevel="0" collapsed="false">
      <c r="A25" s="8" t="s">
        <v>22</v>
      </c>
      <c r="B25" s="10" t="s">
        <v>23</v>
      </c>
      <c r="C25" s="10"/>
    </row>
    <row r="27" customFormat="false" ht="15" hidden="false" customHeight="false" outlineLevel="0" collapsed="false">
      <c r="A27" s="2" t="s">
        <v>24</v>
      </c>
    </row>
    <row r="28" customFormat="false" ht="15" hidden="false" customHeight="false" outlineLevel="0" collapsed="false">
      <c r="A28" s="2" t="s">
        <v>25</v>
      </c>
    </row>
  </sheetData>
  <mergeCells count="5">
    <mergeCell ref="B21:C21"/>
    <mergeCell ref="B22:C22"/>
    <mergeCell ref="B23:C23"/>
    <mergeCell ref="B24:C24"/>
    <mergeCell ref="B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0"/>
    <col collapsed="false" customWidth="true" hidden="false" outlineLevel="0" max="3" min="3" style="0" width="10"/>
    <col collapsed="false" customWidth="true" hidden="false" outlineLevel="0" max="4" min="4" style="0" width="11"/>
    <col collapsed="false" customWidth="true" hidden="false" outlineLevel="0" max="5" min="5" style="0" width="10"/>
    <col collapsed="false" customWidth="true" hidden="false" outlineLevel="0" max="6" min="6" style="0" width="30"/>
    <col collapsed="false" customWidth="true" hidden="false" outlineLevel="0" max="7" min="7" style="0" width="14"/>
  </cols>
  <sheetData>
    <row r="1" customFormat="false" ht="17.35" hidden="false" customHeight="false" outlineLevel="0" collapsed="false">
      <c r="A1" s="11" t="s">
        <v>26</v>
      </c>
    </row>
    <row r="2" customFormat="false" ht="15" hidden="false" customHeight="false" outlineLevel="0" collapsed="false">
      <c r="A2" s="2" t="s">
        <v>27</v>
      </c>
    </row>
    <row r="4" customFormat="false" ht="26.85" hidden="false" customHeight="false" outlineLevel="0" collapsed="false">
      <c r="A4" s="12" t="s">
        <v>28</v>
      </c>
      <c r="B4" s="12" t="s">
        <v>29</v>
      </c>
      <c r="C4" s="12" t="s">
        <v>30</v>
      </c>
      <c r="D4" s="12" t="s">
        <v>31</v>
      </c>
      <c r="E4" s="12" t="s">
        <v>32</v>
      </c>
      <c r="F4" s="12" t="s">
        <v>33</v>
      </c>
      <c r="G4" s="12" t="s">
        <v>34</v>
      </c>
    </row>
    <row r="5" customFormat="false" ht="15" hidden="false" customHeight="false" outlineLevel="0" collapsed="false">
      <c r="A5" s="8" t="s">
        <v>35</v>
      </c>
      <c r="B5" s="8" t="s">
        <v>36</v>
      </c>
      <c r="C5" s="9" t="n">
        <f aca="false">COUNTIF(Raw_Data!$B$2:$B$10004,"why_verify_identity")</f>
        <v>121</v>
      </c>
      <c r="D5" s="13" t="n">
        <f aca="false">C5/SUM($C$5:$C$81)</f>
        <v>0.0120963710886734</v>
      </c>
      <c r="E5" s="14" t="n">
        <v>1</v>
      </c>
      <c r="F5" s="8" t="str">
        <f aca="false">IF(E5=1,"Bot resolves",IF(E5=2,"Bot triages, agent resolves","Immediate human handoff"))</f>
        <v>Bot resolves</v>
      </c>
      <c r="G5" s="8" t="str">
        <f aca="false">IF(AND(E5=1,INDEX(Group_Summary!$J$6:$J$15,MATCH(B5,Group_Summary!$A$6:$A$15,0))="Pilot"),"Yes","No")</f>
        <v>No</v>
      </c>
    </row>
    <row r="6" customFormat="false" ht="15" hidden="false" customHeight="false" outlineLevel="0" collapsed="false">
      <c r="A6" s="8" t="s">
        <v>37</v>
      </c>
      <c r="B6" s="8" t="s">
        <v>36</v>
      </c>
      <c r="C6" s="9" t="n">
        <f aca="false">COUNTIF(Raw_Data!$B$2:$B$10004,"edit_personal_details")</f>
        <v>121</v>
      </c>
      <c r="D6" s="13" t="n">
        <f aca="false">C6/SUM($C$5:$C$81)</f>
        <v>0.0120963710886734</v>
      </c>
      <c r="E6" s="14" t="n">
        <v>2</v>
      </c>
      <c r="F6" s="8" t="str">
        <f aca="false">IF(E6=1,"Bot resolves",IF(E6=2,"Bot triages, agent resolves","Immediate human handoff"))</f>
        <v>Bot triages, agent resolves</v>
      </c>
      <c r="G6" s="8" t="str">
        <f aca="false">IF(AND(E6=1,INDEX(Group_Summary!$J$6:$J$15,MATCH(B6,Group_Summary!$A$6:$A$15,0))="Pilot"),"Yes","No")</f>
        <v>No</v>
      </c>
    </row>
    <row r="7" customFormat="false" ht="15" hidden="false" customHeight="false" outlineLevel="0" collapsed="false">
      <c r="A7" s="8" t="s">
        <v>38</v>
      </c>
      <c r="B7" s="8" t="s">
        <v>36</v>
      </c>
      <c r="C7" s="9" t="n">
        <f aca="false">COUNTIF(Raw_Data!$B$2:$B$10004,"verify_source_of_funds")</f>
        <v>113</v>
      </c>
      <c r="D7" s="13" t="n">
        <f aca="false">C7/SUM($C$5:$C$81)</f>
        <v>0.011296611016695</v>
      </c>
      <c r="E7" s="14" t="n">
        <v>1</v>
      </c>
      <c r="F7" s="8" t="str">
        <f aca="false">IF(E7=1,"Bot resolves",IF(E7=2,"Bot triages, agent resolves","Immediate human handoff"))</f>
        <v>Bot resolves</v>
      </c>
      <c r="G7" s="8" t="str">
        <f aca="false">IF(AND(E7=1,INDEX(Group_Summary!$J$6:$J$15,MATCH(B7,Group_Summary!$A$6:$A$15,0))="Pilot"),"Yes","No")</f>
        <v>No</v>
      </c>
    </row>
    <row r="8" customFormat="false" ht="15" hidden="false" customHeight="false" outlineLevel="0" collapsed="false">
      <c r="A8" s="8" t="s">
        <v>39</v>
      </c>
      <c r="B8" s="8" t="s">
        <v>36</v>
      </c>
      <c r="C8" s="9" t="n">
        <f aca="false">COUNTIF(Raw_Data!$B$2:$B$10004,"age_limit")</f>
        <v>110</v>
      </c>
      <c r="D8" s="13" t="n">
        <f aca="false">C8/SUM($C$5:$C$81)</f>
        <v>0.0109967009897031</v>
      </c>
      <c r="E8" s="14" t="n">
        <v>1</v>
      </c>
      <c r="F8" s="8" t="str">
        <f aca="false">IF(E8=1,"Bot resolves",IF(E8=2,"Bot triages, agent resolves","Immediate human handoff"))</f>
        <v>Bot resolves</v>
      </c>
      <c r="G8" s="8" t="str">
        <f aca="false">IF(AND(E8=1,INDEX(Group_Summary!$J$6:$J$15,MATCH(B8,Group_Summary!$A$6:$A$15,0))="Pilot"),"Yes","No")</f>
        <v>No</v>
      </c>
    </row>
    <row r="9" customFormat="false" ht="15" hidden="false" customHeight="false" outlineLevel="0" collapsed="false">
      <c r="A9" s="8" t="s">
        <v>40</v>
      </c>
      <c r="B9" s="8" t="s">
        <v>36</v>
      </c>
      <c r="C9" s="9" t="n">
        <f aca="false">COUNTIF(Raw_Data!$B$2:$B$10004,"terminate_account")</f>
        <v>108</v>
      </c>
      <c r="D9" s="13" t="n">
        <f aca="false">C9/SUM($C$5:$C$81)</f>
        <v>0.0107967609717085</v>
      </c>
      <c r="E9" s="14" t="n">
        <v>3</v>
      </c>
      <c r="F9" s="8" t="str">
        <f aca="false">IF(E9=1,"Bot resolves",IF(E9=2,"Bot triages, agent resolves","Immediate human handoff"))</f>
        <v>Immediate human handoff</v>
      </c>
      <c r="G9" s="8" t="str">
        <f aca="false">IF(AND(E9=1,INDEX(Group_Summary!$J$6:$J$15,MATCH(B9,Group_Summary!$A$6:$A$15,0))="Pilot"),"Yes","No")</f>
        <v>No</v>
      </c>
    </row>
    <row r="10" customFormat="false" ht="15" hidden="false" customHeight="false" outlineLevel="0" collapsed="false">
      <c r="A10" s="8" t="s">
        <v>41</v>
      </c>
      <c r="B10" s="8" t="s">
        <v>36</v>
      </c>
      <c r="C10" s="9" t="n">
        <f aca="false">COUNTIF(Raw_Data!$B$2:$B$10004,"passcode_forgotten")</f>
        <v>105</v>
      </c>
      <c r="D10" s="13" t="n">
        <f aca="false">C10/SUM($C$5:$C$81)</f>
        <v>0.0104968509447166</v>
      </c>
      <c r="E10" s="14" t="n">
        <v>2</v>
      </c>
      <c r="F10" s="8" t="str">
        <f aca="false">IF(E10=1,"Bot resolves",IF(E10=2,"Bot triages, agent resolves","Immediate human handoff"))</f>
        <v>Bot triages, agent resolves</v>
      </c>
      <c r="G10" s="8" t="str">
        <f aca="false">IF(AND(E10=1,INDEX(Group_Summary!$J$6:$J$15,MATCH(B10,Group_Summary!$A$6:$A$15,0))="Pilot"),"Yes","No")</f>
        <v>No</v>
      </c>
    </row>
    <row r="11" customFormat="false" ht="15" hidden="false" customHeight="false" outlineLevel="0" collapsed="false">
      <c r="A11" s="8" t="s">
        <v>42</v>
      </c>
      <c r="B11" s="8" t="s">
        <v>36</v>
      </c>
      <c r="C11" s="9" t="n">
        <f aca="false">COUNTIF(Raw_Data!$B$2:$B$10004,"verify_my_identity")</f>
        <v>104</v>
      </c>
      <c r="D11" s="13" t="n">
        <f aca="false">C11/SUM($C$5:$C$81)</f>
        <v>0.0103968809357193</v>
      </c>
      <c r="E11" s="14" t="n">
        <v>1</v>
      </c>
      <c r="F11" s="8" t="str">
        <f aca="false">IF(E11=1,"Bot resolves",IF(E11=2,"Bot triages, agent resolves","Immediate human handoff"))</f>
        <v>Bot resolves</v>
      </c>
      <c r="G11" s="8" t="str">
        <f aca="false">IF(AND(E11=1,INDEX(Group_Summary!$J$6:$J$15,MATCH(B11,Group_Summary!$A$6:$A$15,0))="Pilot"),"Yes","No")</f>
        <v>No</v>
      </c>
    </row>
    <row r="12" customFormat="false" ht="15" hidden="false" customHeight="false" outlineLevel="0" collapsed="false">
      <c r="A12" s="8" t="s">
        <v>43</v>
      </c>
      <c r="B12" s="8" t="s">
        <v>36</v>
      </c>
      <c r="C12" s="9" t="n">
        <f aca="false">COUNTIF(Raw_Data!$B$2:$B$10004,"unable_to_verify_identity")</f>
        <v>102</v>
      </c>
      <c r="D12" s="13" t="n">
        <f aca="false">C12/SUM($C$5:$C$81)</f>
        <v>0.0101969409177247</v>
      </c>
      <c r="E12" s="14" t="n">
        <v>2</v>
      </c>
      <c r="F12" s="8" t="str">
        <f aca="false">IF(E12=1,"Bot resolves",IF(E12=2,"Bot triages, agent resolves","Immediate human handoff"))</f>
        <v>Bot triages, agent resolves</v>
      </c>
      <c r="G12" s="8" t="str">
        <f aca="false">IF(AND(E12=1,INDEX(Group_Summary!$J$6:$J$15,MATCH(B12,Group_Summary!$A$6:$A$15,0))="Pilot"),"Yes","No")</f>
        <v>No</v>
      </c>
    </row>
    <row r="13" customFormat="false" ht="15" hidden="false" customHeight="false" outlineLevel="0" collapsed="false">
      <c r="A13" s="8" t="s">
        <v>44</v>
      </c>
      <c r="B13" s="8" t="s">
        <v>45</v>
      </c>
      <c r="C13" s="9" t="n">
        <f aca="false">COUNTIF(Raw_Data!$B$2:$B$10004,"activate_my_card")</f>
        <v>159</v>
      </c>
      <c r="D13" s="13" t="n">
        <f aca="false">C13/SUM($C$5:$C$81)</f>
        <v>0.0158952314305708</v>
      </c>
      <c r="E13" s="14" t="n">
        <v>1</v>
      </c>
      <c r="F13" s="8" t="str">
        <f aca="false">IF(E13=1,"Bot resolves",IF(E13=2,"Bot triages, agent resolves","Immediate human handoff"))</f>
        <v>Bot resolves</v>
      </c>
      <c r="G13" s="8" t="str">
        <f aca="false">IF(AND(E13=1,INDEX(Group_Summary!$J$6:$J$15,MATCH(B13,Group_Summary!$A$6:$A$15,0))="Pilot"),"Yes","No")</f>
        <v>Yes</v>
      </c>
    </row>
    <row r="14" customFormat="false" ht="15" hidden="false" customHeight="false" outlineLevel="0" collapsed="false">
      <c r="A14" s="8" t="s">
        <v>46</v>
      </c>
      <c r="B14" s="8" t="s">
        <v>45</v>
      </c>
      <c r="C14" s="9" t="n">
        <f aca="false">COUNTIF(Raw_Data!$B$2:$B$10004,"card_arrival")</f>
        <v>153</v>
      </c>
      <c r="D14" s="13" t="n">
        <f aca="false">C14/SUM($C$5:$C$81)</f>
        <v>0.015295411376587</v>
      </c>
      <c r="E14" s="14" t="n">
        <v>1</v>
      </c>
      <c r="F14" s="8" t="str">
        <f aca="false">IF(E14=1,"Bot resolves",IF(E14=2,"Bot triages, agent resolves","Immediate human handoff"))</f>
        <v>Bot resolves</v>
      </c>
      <c r="G14" s="8" t="str">
        <f aca="false">IF(AND(E14=1,INDEX(Group_Summary!$J$6:$J$15,MATCH(B14,Group_Summary!$A$6:$A$15,0))="Pilot"),"Yes","No")</f>
        <v>Yes</v>
      </c>
    </row>
    <row r="15" customFormat="false" ht="15" hidden="false" customHeight="false" outlineLevel="0" collapsed="false">
      <c r="A15" s="8" t="s">
        <v>47</v>
      </c>
      <c r="B15" s="8" t="s">
        <v>45</v>
      </c>
      <c r="C15" s="9" t="n">
        <f aca="false">COUNTIF(Raw_Data!$B$2:$B$10004,"card_linking")</f>
        <v>139</v>
      </c>
      <c r="D15" s="13" t="n">
        <f aca="false">C15/SUM($C$5:$C$81)</f>
        <v>0.0138958312506248</v>
      </c>
      <c r="E15" s="14" t="n">
        <v>1</v>
      </c>
      <c r="F15" s="8" t="str">
        <f aca="false">IF(E15=1,"Bot resolves",IF(E15=2,"Bot triages, agent resolves","Immediate human handoff"))</f>
        <v>Bot resolves</v>
      </c>
      <c r="G15" s="8" t="str">
        <f aca="false">IF(AND(E15=1,INDEX(Group_Summary!$J$6:$J$15,MATCH(B15,Group_Summary!$A$6:$A$15,0))="Pilot"),"Yes","No")</f>
        <v>Yes</v>
      </c>
    </row>
    <row r="16" customFormat="false" ht="15" hidden="false" customHeight="false" outlineLevel="0" collapsed="false">
      <c r="A16" s="8" t="s">
        <v>48</v>
      </c>
      <c r="B16" s="8" t="s">
        <v>45</v>
      </c>
      <c r="C16" s="9" t="n">
        <f aca="false">COUNTIF(Raw_Data!$B$2:$B$10004,"getting_spare_card")</f>
        <v>129</v>
      </c>
      <c r="D16" s="13" t="n">
        <f aca="false">C16/SUM($C$5:$C$81)</f>
        <v>0.0128961311606518</v>
      </c>
      <c r="E16" s="14" t="n">
        <v>1</v>
      </c>
      <c r="F16" s="8" t="str">
        <f aca="false">IF(E16=1,"Bot resolves",IF(E16=2,"Bot triages, agent resolves","Immediate human handoff"))</f>
        <v>Bot resolves</v>
      </c>
      <c r="G16" s="8" t="str">
        <f aca="false">IF(AND(E16=1,INDEX(Group_Summary!$J$6:$J$15,MATCH(B16,Group_Summary!$A$6:$A$15,0))="Pilot"),"Yes","No")</f>
        <v>Yes</v>
      </c>
    </row>
    <row r="17" customFormat="false" ht="15" hidden="false" customHeight="false" outlineLevel="0" collapsed="false">
      <c r="A17" s="8" t="s">
        <v>49</v>
      </c>
      <c r="B17" s="8" t="s">
        <v>45</v>
      </c>
      <c r="C17" s="9" t="n">
        <f aca="false">COUNTIF(Raw_Data!$B$2:$B$10004,"card_about_to_expire")</f>
        <v>129</v>
      </c>
      <c r="D17" s="13" t="n">
        <f aca="false">C17/SUM($C$5:$C$81)</f>
        <v>0.0128961311606518</v>
      </c>
      <c r="E17" s="14" t="n">
        <v>1</v>
      </c>
      <c r="F17" s="8" t="str">
        <f aca="false">IF(E17=1,"Bot resolves",IF(E17=2,"Bot triages, agent resolves","Immediate human handoff"))</f>
        <v>Bot resolves</v>
      </c>
      <c r="G17" s="8" t="str">
        <f aca="false">IF(AND(E17=1,INDEX(Group_Summary!$J$6:$J$15,MATCH(B17,Group_Summary!$A$6:$A$15,0))="Pilot"),"Yes","No")</f>
        <v>Yes</v>
      </c>
    </row>
    <row r="18" customFormat="false" ht="15" hidden="false" customHeight="false" outlineLevel="0" collapsed="false">
      <c r="A18" s="8" t="s">
        <v>50</v>
      </c>
      <c r="B18" s="8" t="s">
        <v>45</v>
      </c>
      <c r="C18" s="9" t="n">
        <f aca="false">COUNTIF(Raw_Data!$B$2:$B$10004,"order_physical_card")</f>
        <v>120</v>
      </c>
      <c r="D18" s="13" t="n">
        <f aca="false">C18/SUM($C$5:$C$81)</f>
        <v>0.0119964010796761</v>
      </c>
      <c r="E18" s="14" t="n">
        <v>1</v>
      </c>
      <c r="F18" s="8" t="str">
        <f aca="false">IF(E18=1,"Bot resolves",IF(E18=2,"Bot triages, agent resolves","Immediate human handoff"))</f>
        <v>Bot resolves</v>
      </c>
      <c r="G18" s="8" t="str">
        <f aca="false">IF(AND(E18=1,INDEX(Group_Summary!$J$6:$J$15,MATCH(B18,Group_Summary!$A$6:$A$15,0))="Pilot"),"Yes","No")</f>
        <v>Yes</v>
      </c>
    </row>
    <row r="19" customFormat="false" ht="15" hidden="false" customHeight="false" outlineLevel="0" collapsed="false">
      <c r="A19" s="8" t="s">
        <v>51</v>
      </c>
      <c r="B19" s="8" t="s">
        <v>45</v>
      </c>
      <c r="C19" s="9" t="n">
        <f aca="false">COUNTIF(Raw_Data!$B$2:$B$10004,"card_delivery_estimate")</f>
        <v>112</v>
      </c>
      <c r="D19" s="13" t="n">
        <f aca="false">C19/SUM($C$5:$C$81)</f>
        <v>0.0111966410076977</v>
      </c>
      <c r="E19" s="14" t="n">
        <v>1</v>
      </c>
      <c r="F19" s="8" t="str">
        <f aca="false">IF(E19=1,"Bot resolves",IF(E19=2,"Bot triages, agent resolves","Immediate human handoff"))</f>
        <v>Bot resolves</v>
      </c>
      <c r="G19" s="8" t="str">
        <f aca="false">IF(AND(E19=1,INDEX(Group_Summary!$J$6:$J$15,MATCH(B19,Group_Summary!$A$6:$A$15,0))="Pilot"),"Yes","No")</f>
        <v>Yes</v>
      </c>
    </row>
    <row r="20" customFormat="false" ht="15" hidden="false" customHeight="false" outlineLevel="0" collapsed="false">
      <c r="A20" s="8" t="s">
        <v>52</v>
      </c>
      <c r="B20" s="8" t="s">
        <v>45</v>
      </c>
      <c r="C20" s="9" t="n">
        <f aca="false">COUNTIF(Raw_Data!$B$2:$B$10004,"get_physical_card")</f>
        <v>106</v>
      </c>
      <c r="D20" s="13" t="n">
        <f aca="false">C20/SUM($C$5:$C$81)</f>
        <v>0.0105968209537139</v>
      </c>
      <c r="E20" s="14" t="n">
        <v>1</v>
      </c>
      <c r="F20" s="8" t="str">
        <f aca="false">IF(E20=1,"Bot resolves",IF(E20=2,"Bot triages, agent resolves","Immediate human handoff"))</f>
        <v>Bot resolves</v>
      </c>
      <c r="G20" s="8" t="str">
        <f aca="false">IF(AND(E20=1,INDEX(Group_Summary!$J$6:$J$15,MATCH(B20,Group_Summary!$A$6:$A$15,0))="Pilot"),"Yes","No")</f>
        <v>Yes</v>
      </c>
    </row>
    <row r="21" customFormat="false" ht="15" hidden="false" customHeight="false" outlineLevel="0" collapsed="false">
      <c r="A21" s="8" t="s">
        <v>53</v>
      </c>
      <c r="B21" s="8" t="s">
        <v>54</v>
      </c>
      <c r="C21" s="9" t="n">
        <f aca="false">COUNTIF(Raw_Data!$B$2:$B$10004,"transaction_charged_twice")</f>
        <v>175</v>
      </c>
      <c r="D21" s="13" t="n">
        <f aca="false">C21/SUM($C$5:$C$81)</f>
        <v>0.0174947515745276</v>
      </c>
      <c r="E21" s="14" t="n">
        <v>3</v>
      </c>
      <c r="F21" s="8" t="str">
        <f aca="false">IF(E21=1,"Bot resolves",IF(E21=2,"Bot triages, agent resolves","Immediate human handoff"))</f>
        <v>Immediate human handoff</v>
      </c>
      <c r="G21" s="8" t="str">
        <f aca="false">IF(AND(E21=1,INDEX(Group_Summary!$J$6:$J$15,MATCH(B21,Group_Summary!$A$6:$A$15,0))="Pilot"),"Yes","No")</f>
        <v>No</v>
      </c>
    </row>
    <row r="22" customFormat="false" ht="15" hidden="false" customHeight="false" outlineLevel="0" collapsed="false">
      <c r="A22" s="8" t="s">
        <v>55</v>
      </c>
      <c r="B22" s="8" t="s">
        <v>54</v>
      </c>
      <c r="C22" s="9" t="n">
        <f aca="false">COUNTIF(Raw_Data!$B$2:$B$10004,"request_refund")</f>
        <v>169</v>
      </c>
      <c r="D22" s="13" t="n">
        <f aca="false">C22/SUM($C$5:$C$81)</f>
        <v>0.0168949315205438</v>
      </c>
      <c r="E22" s="14" t="n">
        <v>3</v>
      </c>
      <c r="F22" s="8" t="str">
        <f aca="false">IF(E22=1,"Bot resolves",IF(E22=2,"Bot triages, agent resolves","Immediate human handoff"))</f>
        <v>Immediate human handoff</v>
      </c>
      <c r="G22" s="8" t="str">
        <f aca="false">IF(AND(E22=1,INDEX(Group_Summary!$J$6:$J$15,MATCH(B22,Group_Summary!$A$6:$A$15,0))="Pilot"),"Yes","No")</f>
        <v>No</v>
      </c>
    </row>
    <row r="23" customFormat="false" ht="15" hidden="false" customHeight="false" outlineLevel="0" collapsed="false">
      <c r="A23" s="8" t="s">
        <v>56</v>
      </c>
      <c r="B23" s="8" t="s">
        <v>54</v>
      </c>
      <c r="C23" s="9" t="n">
        <f aca="false">COUNTIF(Raw_Data!$B$2:$B$10004,"Refund_not_showing_up")</f>
        <v>162</v>
      </c>
      <c r="D23" s="13" t="n">
        <f aca="false">C23/SUM($C$5:$C$81)</f>
        <v>0.0161951414575627</v>
      </c>
      <c r="E23" s="14" t="n">
        <v>2</v>
      </c>
      <c r="F23" s="8" t="str">
        <f aca="false">IF(E23=1,"Bot resolves",IF(E23=2,"Bot triages, agent resolves","Immediate human handoff"))</f>
        <v>Bot triages, agent resolves</v>
      </c>
      <c r="G23" s="8" t="str">
        <f aca="false">IF(AND(E23=1,INDEX(Group_Summary!$J$6:$J$15,MATCH(B23,Group_Summary!$A$6:$A$15,0))="Pilot"),"Yes","No")</f>
        <v>No</v>
      </c>
    </row>
    <row r="24" customFormat="false" ht="15" hidden="false" customHeight="false" outlineLevel="0" collapsed="false">
      <c r="A24" s="8" t="s">
        <v>57</v>
      </c>
      <c r="B24" s="8" t="s">
        <v>54</v>
      </c>
      <c r="C24" s="9" t="n">
        <f aca="false">COUNTIF(Raw_Data!$B$2:$B$10004,"reverted_card_payment~?")</f>
        <v>161</v>
      </c>
      <c r="D24" s="13" t="n">
        <f aca="false">C24/SUM($C$5:$C$81)</f>
        <v>0.0160951714485654</v>
      </c>
      <c r="E24" s="14" t="n">
        <v>2</v>
      </c>
      <c r="F24" s="8" t="str">
        <f aca="false">IF(E24=1,"Bot resolves",IF(E24=2,"Bot triages, agent resolves","Immediate human handoff"))</f>
        <v>Bot triages, agent resolves</v>
      </c>
      <c r="G24" s="8" t="str">
        <f aca="false">IF(AND(E24=1,INDEX(Group_Summary!$J$6:$J$15,MATCH(B24,Group_Summary!$A$6:$A$15,0))="Pilot"),"Yes","No")</f>
        <v>No</v>
      </c>
    </row>
    <row r="25" customFormat="false" ht="15" hidden="false" customHeight="false" outlineLevel="0" collapsed="false">
      <c r="A25" s="8" t="s">
        <v>58</v>
      </c>
      <c r="B25" s="8" t="s">
        <v>54</v>
      </c>
      <c r="C25" s="9" t="n">
        <f aca="false">COUNTIF(Raw_Data!$B$2:$B$10004,"pending_card_payment")</f>
        <v>159</v>
      </c>
      <c r="D25" s="13" t="n">
        <f aca="false">C25/SUM($C$5:$C$81)</f>
        <v>0.0158952314305708</v>
      </c>
      <c r="E25" s="14" t="n">
        <v>2</v>
      </c>
      <c r="F25" s="8" t="str">
        <f aca="false">IF(E25=1,"Bot resolves",IF(E25=2,"Bot triages, agent resolves","Immediate human handoff"))</f>
        <v>Bot triages, agent resolves</v>
      </c>
      <c r="G25" s="8" t="str">
        <f aca="false">IF(AND(E25=1,INDEX(Group_Summary!$J$6:$J$15,MATCH(B25,Group_Summary!$A$6:$A$15,0))="Pilot"),"Yes","No")</f>
        <v>No</v>
      </c>
    </row>
    <row r="26" customFormat="false" ht="15" hidden="false" customHeight="false" outlineLevel="0" collapsed="false">
      <c r="A26" s="8" t="s">
        <v>59</v>
      </c>
      <c r="B26" s="8" t="s">
        <v>60</v>
      </c>
      <c r="C26" s="9" t="n">
        <f aca="false">COUNTIF(Raw_Data!$B$2:$B$10004,"declined_card_payment")</f>
        <v>153</v>
      </c>
      <c r="D26" s="13" t="n">
        <f aca="false">C26/SUM($C$5:$C$81)</f>
        <v>0.015295411376587</v>
      </c>
      <c r="E26" s="14" t="n">
        <v>2</v>
      </c>
      <c r="F26" s="8" t="str">
        <f aca="false">IF(E26=1,"Bot resolves",IF(E26=2,"Bot triages, agent resolves","Immediate human handoff"))</f>
        <v>Bot triages, agent resolves</v>
      </c>
      <c r="G26" s="8" t="str">
        <f aca="false">IF(AND(E26=1,INDEX(Group_Summary!$J$6:$J$15,MATCH(B26,Group_Summary!$A$6:$A$15,0))="Pilot"),"Yes","No")</f>
        <v>No</v>
      </c>
    </row>
    <row r="27" customFormat="false" ht="15" hidden="false" customHeight="false" outlineLevel="0" collapsed="false">
      <c r="A27" s="8" t="s">
        <v>61</v>
      </c>
      <c r="B27" s="8" t="s">
        <v>60</v>
      </c>
      <c r="C27" s="9" t="n">
        <f aca="false">COUNTIF(Raw_Data!$B$2:$B$10004,"visa_or_mastercard")</f>
        <v>135</v>
      </c>
      <c r="D27" s="13" t="n">
        <f aca="false">C27/SUM($C$5:$C$81)</f>
        <v>0.0134959512146356</v>
      </c>
      <c r="E27" s="14" t="n">
        <v>1</v>
      </c>
      <c r="F27" s="8" t="str">
        <f aca="false">IF(E27=1,"Bot resolves",IF(E27=2,"Bot triages, agent resolves","Immediate human handoff"))</f>
        <v>Bot resolves</v>
      </c>
      <c r="G27" s="8" t="str">
        <f aca="false">IF(AND(E27=1,INDEX(Group_Summary!$J$6:$J$15,MATCH(B27,Group_Summary!$A$6:$A$15,0))="Pilot"),"Yes","No")</f>
        <v>Yes</v>
      </c>
    </row>
    <row r="28" customFormat="false" ht="15" hidden="false" customHeight="false" outlineLevel="0" collapsed="false">
      <c r="A28" s="8" t="s">
        <v>62</v>
      </c>
      <c r="B28" s="8" t="s">
        <v>60</v>
      </c>
      <c r="C28" s="9" t="n">
        <f aca="false">COUNTIF(Raw_Data!$B$2:$B$10004,"supported_cards_and_currencies")</f>
        <v>129</v>
      </c>
      <c r="D28" s="13" t="n">
        <f aca="false">C28/SUM($C$5:$C$81)</f>
        <v>0.0128961311606518</v>
      </c>
      <c r="E28" s="14" t="n">
        <v>1</v>
      </c>
      <c r="F28" s="8" t="str">
        <f aca="false">IF(E28=1,"Bot resolves",IF(E28=2,"Bot triages, agent resolves","Immediate human handoff"))</f>
        <v>Bot resolves</v>
      </c>
      <c r="G28" s="8" t="str">
        <f aca="false">IF(AND(E28=1,INDEX(Group_Summary!$J$6:$J$15,MATCH(B28,Group_Summary!$A$6:$A$15,0))="Pilot"),"Yes","No")</f>
        <v>Yes</v>
      </c>
    </row>
    <row r="29" customFormat="false" ht="15" hidden="false" customHeight="false" outlineLevel="0" collapsed="false">
      <c r="A29" s="8" t="s">
        <v>63</v>
      </c>
      <c r="B29" s="8" t="s">
        <v>60</v>
      </c>
      <c r="C29" s="9" t="n">
        <f aca="false">COUNTIF(Raw_Data!$B$2:$B$10004,"apple_pay_or_google_pay")</f>
        <v>126</v>
      </c>
      <c r="D29" s="13" t="n">
        <f aca="false">C29/SUM($C$5:$C$81)</f>
        <v>0.0125962211336599</v>
      </c>
      <c r="E29" s="14" t="n">
        <v>1</v>
      </c>
      <c r="F29" s="8" t="str">
        <f aca="false">IF(E29=1,"Bot resolves",IF(E29=2,"Bot triages, agent resolves","Immediate human handoff"))</f>
        <v>Bot resolves</v>
      </c>
      <c r="G29" s="8" t="str">
        <f aca="false">IF(AND(E29=1,INDEX(Group_Summary!$J$6:$J$15,MATCH(B29,Group_Summary!$A$6:$A$15,0))="Pilot"),"Yes","No")</f>
        <v>Yes</v>
      </c>
    </row>
    <row r="30" customFormat="false" ht="15" hidden="false" customHeight="false" outlineLevel="0" collapsed="false">
      <c r="A30" s="8" t="s">
        <v>64</v>
      </c>
      <c r="B30" s="8" t="s">
        <v>60</v>
      </c>
      <c r="C30" s="9" t="n">
        <f aca="false">COUNTIF(Raw_Data!$B$2:$B$10004,"change_pin")</f>
        <v>122</v>
      </c>
      <c r="D30" s="13" t="n">
        <f aca="false">C30/SUM($C$5:$C$81)</f>
        <v>0.0121963410976707</v>
      </c>
      <c r="E30" s="14" t="n">
        <v>1</v>
      </c>
      <c r="F30" s="8" t="str">
        <f aca="false">IF(E30=1,"Bot resolves",IF(E30=2,"Bot triages, agent resolves","Immediate human handoff"))</f>
        <v>Bot resolves</v>
      </c>
      <c r="G30" s="8" t="str">
        <f aca="false">IF(AND(E30=1,INDEX(Group_Summary!$J$6:$J$15,MATCH(B30,Group_Summary!$A$6:$A$15,0))="Pilot"),"Yes","No")</f>
        <v>Yes</v>
      </c>
    </row>
    <row r="31" customFormat="false" ht="15" hidden="false" customHeight="false" outlineLevel="0" collapsed="false">
      <c r="A31" s="8" t="s">
        <v>65</v>
      </c>
      <c r="B31" s="8" t="s">
        <v>60</v>
      </c>
      <c r="C31" s="9" t="n">
        <f aca="false">COUNTIF(Raw_Data!$B$2:$B$10004,"disposable_card_limits")</f>
        <v>121</v>
      </c>
      <c r="D31" s="13" t="n">
        <f aca="false">C31/SUM($C$5:$C$81)</f>
        <v>0.0120963710886734</v>
      </c>
      <c r="E31" s="14" t="n">
        <v>1</v>
      </c>
      <c r="F31" s="8" t="str">
        <f aca="false">IF(E31=1,"Bot resolves",IF(E31=2,"Bot triages, agent resolves","Immediate human handoff"))</f>
        <v>Bot resolves</v>
      </c>
      <c r="G31" s="8" t="str">
        <f aca="false">IF(AND(E31=1,INDEX(Group_Summary!$J$6:$J$15,MATCH(B31,Group_Summary!$A$6:$A$15,0))="Pilot"),"Yes","No")</f>
        <v>Yes</v>
      </c>
    </row>
    <row r="32" customFormat="false" ht="15" hidden="false" customHeight="false" outlineLevel="0" collapsed="false">
      <c r="A32" s="8" t="s">
        <v>66</v>
      </c>
      <c r="B32" s="8" t="s">
        <v>60</v>
      </c>
      <c r="C32" s="9" t="n">
        <f aca="false">COUNTIF(Raw_Data!$B$2:$B$10004,"pin_blocked")</f>
        <v>115</v>
      </c>
      <c r="D32" s="13" t="n">
        <f aca="false">C32/SUM($C$5:$C$81)</f>
        <v>0.0114965510346896</v>
      </c>
      <c r="E32" s="14" t="n">
        <v>1</v>
      </c>
      <c r="F32" s="8" t="str">
        <f aca="false">IF(E32=1,"Bot resolves",IF(E32=2,"Bot triages, agent resolves","Immediate human handoff"))</f>
        <v>Bot resolves</v>
      </c>
      <c r="G32" s="8" t="str">
        <f aca="false">IF(AND(E32=1,INDEX(Group_Summary!$J$6:$J$15,MATCH(B32,Group_Summary!$A$6:$A$15,0))="Pilot"),"Yes","No")</f>
        <v>Yes</v>
      </c>
    </row>
    <row r="33" customFormat="false" ht="15" hidden="false" customHeight="false" outlineLevel="0" collapsed="false">
      <c r="A33" s="8" t="s">
        <v>67</v>
      </c>
      <c r="B33" s="8" t="s">
        <v>60</v>
      </c>
      <c r="C33" s="9" t="n">
        <f aca="false">COUNTIF(Raw_Data!$B$2:$B$10004,"card_not_working")</f>
        <v>112</v>
      </c>
      <c r="D33" s="13" t="n">
        <f aca="false">C33/SUM($C$5:$C$81)</f>
        <v>0.0111966410076977</v>
      </c>
      <c r="E33" s="14" t="n">
        <v>2</v>
      </c>
      <c r="F33" s="8" t="str">
        <f aca="false">IF(E33=1,"Bot resolves",IF(E33=2,"Bot triages, agent resolves","Immediate human handoff"))</f>
        <v>Bot triages, agent resolves</v>
      </c>
      <c r="G33" s="8" t="str">
        <f aca="false">IF(AND(E33=1,INDEX(Group_Summary!$J$6:$J$15,MATCH(B33,Group_Summary!$A$6:$A$15,0))="Pilot"),"Yes","No")</f>
        <v>No</v>
      </c>
    </row>
    <row r="34" customFormat="false" ht="15" hidden="false" customHeight="false" outlineLevel="0" collapsed="false">
      <c r="A34" s="8" t="s">
        <v>68</v>
      </c>
      <c r="B34" s="8" t="s">
        <v>60</v>
      </c>
      <c r="C34" s="9" t="n">
        <f aca="false">COUNTIF(Raw_Data!$B$2:$B$10004,"getting_virtual_card")</f>
        <v>98</v>
      </c>
      <c r="D34" s="13" t="n">
        <f aca="false">C34/SUM($C$5:$C$81)</f>
        <v>0.00979706088173548</v>
      </c>
      <c r="E34" s="14" t="n">
        <v>1</v>
      </c>
      <c r="F34" s="8" t="str">
        <f aca="false">IF(E34=1,"Bot resolves",IF(E34=2,"Bot triages, agent resolves","Immediate human handoff"))</f>
        <v>Bot resolves</v>
      </c>
      <c r="G34" s="8" t="str">
        <f aca="false">IF(AND(E34=1,INDEX(Group_Summary!$J$6:$J$15,MATCH(B34,Group_Summary!$A$6:$A$15,0))="Pilot"),"Yes","No")</f>
        <v>Yes</v>
      </c>
    </row>
    <row r="35" customFormat="false" ht="15" hidden="false" customHeight="false" outlineLevel="0" collapsed="false">
      <c r="A35" s="8" t="s">
        <v>69</v>
      </c>
      <c r="B35" s="8" t="s">
        <v>60</v>
      </c>
      <c r="C35" s="9" t="n">
        <f aca="false">COUNTIF(Raw_Data!$B$2:$B$10004,"get_disposable_virtual_card")</f>
        <v>97</v>
      </c>
      <c r="D35" s="13" t="n">
        <f aca="false">C35/SUM($C$5:$C$81)</f>
        <v>0.00969709087273818</v>
      </c>
      <c r="E35" s="14" t="n">
        <v>1</v>
      </c>
      <c r="F35" s="8" t="str">
        <f aca="false">IF(E35=1,"Bot resolves",IF(E35=2,"Bot triages, agent resolves","Immediate human handoff"))</f>
        <v>Bot resolves</v>
      </c>
      <c r="G35" s="8" t="str">
        <f aca="false">IF(AND(E35=1,INDEX(Group_Summary!$J$6:$J$15,MATCH(B35,Group_Summary!$A$6:$A$15,0))="Pilot"),"Yes","No")</f>
        <v>Yes</v>
      </c>
    </row>
    <row r="36" customFormat="false" ht="15" hidden="false" customHeight="false" outlineLevel="0" collapsed="false">
      <c r="A36" s="8" t="s">
        <v>70</v>
      </c>
      <c r="B36" s="8" t="s">
        <v>60</v>
      </c>
      <c r="C36" s="9" t="n">
        <f aca="false">COUNTIF(Raw_Data!$B$2:$B$10004,"atm_support")</f>
        <v>87</v>
      </c>
      <c r="D36" s="13" t="n">
        <f aca="false">C36/SUM($C$5:$C$81)</f>
        <v>0.00869739078276517</v>
      </c>
      <c r="E36" s="14" t="n">
        <v>1</v>
      </c>
      <c r="F36" s="8" t="str">
        <f aca="false">IF(E36=1,"Bot resolves",IF(E36=2,"Bot triages, agent resolves","Immediate human handoff"))</f>
        <v>Bot resolves</v>
      </c>
      <c r="G36" s="8" t="str">
        <f aca="false">IF(AND(E36=1,INDEX(Group_Summary!$J$6:$J$15,MATCH(B36,Group_Summary!$A$6:$A$15,0))="Pilot"),"Yes","No")</f>
        <v>Yes</v>
      </c>
    </row>
    <row r="37" customFormat="false" ht="15" hidden="false" customHeight="false" outlineLevel="0" collapsed="false">
      <c r="A37" s="8" t="s">
        <v>71</v>
      </c>
      <c r="B37" s="8" t="s">
        <v>60</v>
      </c>
      <c r="C37" s="9" t="n">
        <f aca="false">COUNTIF(Raw_Data!$B$2:$B$10004,"card_swallowed")</f>
        <v>61</v>
      </c>
      <c r="D37" s="13" t="n">
        <f aca="false">C37/SUM($C$5:$C$81)</f>
        <v>0.00609817054883535</v>
      </c>
      <c r="E37" s="14" t="n">
        <v>2</v>
      </c>
      <c r="F37" s="8" t="str">
        <f aca="false">IF(E37=1,"Bot resolves",IF(E37=2,"Bot triages, agent resolves","Immediate human handoff"))</f>
        <v>Bot triages, agent resolves</v>
      </c>
      <c r="G37" s="8" t="str">
        <f aca="false">IF(AND(E37=1,INDEX(Group_Summary!$J$6:$J$15,MATCH(B37,Group_Summary!$A$6:$A$15,0))="Pilot"),"Yes","No")</f>
        <v>No</v>
      </c>
    </row>
    <row r="38" customFormat="false" ht="15" hidden="false" customHeight="false" outlineLevel="0" collapsed="false">
      <c r="A38" s="8" t="s">
        <v>72</v>
      </c>
      <c r="B38" s="8" t="s">
        <v>60</v>
      </c>
      <c r="C38" s="9" t="n">
        <f aca="false">COUNTIF(Raw_Data!$B$2:$B$10004,"card_acceptance")</f>
        <v>59</v>
      </c>
      <c r="D38" s="13" t="n">
        <f aca="false">C38/SUM($C$5:$C$81)</f>
        <v>0.00589823053084075</v>
      </c>
      <c r="E38" s="14" t="n">
        <v>1</v>
      </c>
      <c r="F38" s="8" t="str">
        <f aca="false">IF(E38=1,"Bot resolves",IF(E38=2,"Bot triages, agent resolves","Immediate human handoff"))</f>
        <v>Bot resolves</v>
      </c>
      <c r="G38" s="8" t="str">
        <f aca="false">IF(AND(E38=1,INDEX(Group_Summary!$J$6:$J$15,MATCH(B38,Group_Summary!$A$6:$A$15,0))="Pilot"),"Yes","No")</f>
        <v>Yes</v>
      </c>
    </row>
    <row r="39" customFormat="false" ht="15" hidden="false" customHeight="false" outlineLevel="0" collapsed="false">
      <c r="A39" s="8" t="s">
        <v>73</v>
      </c>
      <c r="B39" s="8" t="s">
        <v>60</v>
      </c>
      <c r="C39" s="9" t="n">
        <f aca="false">COUNTIF(Raw_Data!$B$2:$B$10004,"virtual_card_not_working")</f>
        <v>41</v>
      </c>
      <c r="D39" s="13" t="n">
        <f aca="false">C39/SUM($C$5:$C$81)</f>
        <v>0.00409877036888933</v>
      </c>
      <c r="E39" s="14" t="n">
        <v>2</v>
      </c>
      <c r="F39" s="8" t="str">
        <f aca="false">IF(E39=1,"Bot resolves",IF(E39=2,"Bot triages, agent resolves","Immediate human handoff"))</f>
        <v>Bot triages, agent resolves</v>
      </c>
      <c r="G39" s="8" t="str">
        <f aca="false">IF(AND(E39=1,INDEX(Group_Summary!$J$6:$J$15,MATCH(B39,Group_Summary!$A$6:$A$15,0))="Pilot"),"Yes","No")</f>
        <v>No</v>
      </c>
    </row>
    <row r="40" customFormat="false" ht="15" hidden="false" customHeight="false" outlineLevel="0" collapsed="false">
      <c r="A40" s="8" t="s">
        <v>74</v>
      </c>
      <c r="B40" s="8" t="s">
        <v>60</v>
      </c>
      <c r="C40" s="9" t="n">
        <f aca="false">COUNTIF(Raw_Data!$B$2:$B$10004,"contactless_not_working")</f>
        <v>35</v>
      </c>
      <c r="D40" s="13" t="n">
        <f aca="false">C40/SUM($C$5:$C$81)</f>
        <v>0.00349895031490553</v>
      </c>
      <c r="E40" s="14" t="n">
        <v>1</v>
      </c>
      <c r="F40" s="8" t="str">
        <f aca="false">IF(E40=1,"Bot resolves",IF(E40=2,"Bot triages, agent resolves","Immediate human handoff"))</f>
        <v>Bot resolves</v>
      </c>
      <c r="G40" s="8" t="str">
        <f aca="false">IF(AND(E40=1,INDEX(Group_Summary!$J$6:$J$15,MATCH(B40,Group_Summary!$A$6:$A$15,0))="Pilot"),"Yes","No")</f>
        <v>Yes</v>
      </c>
    </row>
    <row r="41" customFormat="false" ht="15" hidden="false" customHeight="false" outlineLevel="0" collapsed="false">
      <c r="A41" s="8" t="s">
        <v>75</v>
      </c>
      <c r="B41" s="8" t="s">
        <v>76</v>
      </c>
      <c r="C41" s="9" t="n">
        <f aca="false">COUNTIF(Raw_Data!$B$2:$B$10004,"balance_not_updated_after_cheque_or_cash_deposit")</f>
        <v>181</v>
      </c>
      <c r="D41" s="13" t="n">
        <f aca="false">C41/SUM($C$5:$C$81)</f>
        <v>0.0180945716285114</v>
      </c>
      <c r="E41" s="14" t="n">
        <v>2</v>
      </c>
      <c r="F41" s="8" t="str">
        <f aca="false">IF(E41=1,"Bot resolves",IF(E41=2,"Bot triages, agent resolves","Immediate human handoff"))</f>
        <v>Bot triages, agent resolves</v>
      </c>
      <c r="G41" s="8" t="str">
        <f aca="false">IF(AND(E41=1,INDEX(Group_Summary!$J$6:$J$15,MATCH(B41,Group_Summary!$A$6:$A$15,0))="Pilot"),"Yes","No")</f>
        <v>No</v>
      </c>
    </row>
    <row r="42" customFormat="false" ht="15" hidden="false" customHeight="false" outlineLevel="0" collapsed="false">
      <c r="A42" s="8" t="s">
        <v>77</v>
      </c>
      <c r="B42" s="8" t="s">
        <v>76</v>
      </c>
      <c r="C42" s="9" t="n">
        <f aca="false">COUNTIF(Raw_Data!$B$2:$B$10004,"wrong_amount_of_cash_received")</f>
        <v>180</v>
      </c>
      <c r="D42" s="13" t="n">
        <f aca="false">C42/SUM($C$5:$C$81)</f>
        <v>0.0179946016195141</v>
      </c>
      <c r="E42" s="14" t="n">
        <v>3</v>
      </c>
      <c r="F42" s="8" t="str">
        <f aca="false">IF(E42=1,"Bot resolves",IF(E42=2,"Bot triages, agent resolves","Immediate human handoff"))</f>
        <v>Immediate human handoff</v>
      </c>
      <c r="G42" s="8" t="str">
        <f aca="false">IF(AND(E42=1,INDEX(Group_Summary!$J$6:$J$15,MATCH(B42,Group_Summary!$A$6:$A$15,0))="Pilot"),"Yes","No")</f>
        <v>No</v>
      </c>
    </row>
    <row r="43" customFormat="false" ht="15" hidden="false" customHeight="false" outlineLevel="0" collapsed="false">
      <c r="A43" s="8" t="s">
        <v>78</v>
      </c>
      <c r="B43" s="8" t="s">
        <v>76</v>
      </c>
      <c r="C43" s="9" t="n">
        <f aca="false">COUNTIF(Raw_Data!$B$2:$B$10004,"declined_cash_withdrawal")</f>
        <v>173</v>
      </c>
      <c r="D43" s="13" t="n">
        <f aca="false">C43/SUM($C$5:$C$81)</f>
        <v>0.017294811556533</v>
      </c>
      <c r="E43" s="14" t="n">
        <v>2</v>
      </c>
      <c r="F43" s="8" t="str">
        <f aca="false">IF(E43=1,"Bot resolves",IF(E43=2,"Bot triages, agent resolves","Immediate human handoff"))</f>
        <v>Bot triages, agent resolves</v>
      </c>
      <c r="G43" s="8" t="str">
        <f aca="false">IF(AND(E43=1,INDEX(Group_Summary!$J$6:$J$15,MATCH(B43,Group_Summary!$A$6:$A$15,0))="Pilot"),"Yes","No")</f>
        <v>No</v>
      </c>
    </row>
    <row r="44" customFormat="false" ht="15" hidden="false" customHeight="false" outlineLevel="0" collapsed="false">
      <c r="A44" s="8" t="s">
        <v>79</v>
      </c>
      <c r="B44" s="8" t="s">
        <v>76</v>
      </c>
      <c r="C44" s="9" t="n">
        <f aca="false">COUNTIF(Raw_Data!$B$2:$B$10004,"pending_cash_withdrawal")</f>
        <v>143</v>
      </c>
      <c r="D44" s="13" t="n">
        <f aca="false">C44/SUM($C$5:$C$81)</f>
        <v>0.014295711286614</v>
      </c>
      <c r="E44" s="14" t="n">
        <v>2</v>
      </c>
      <c r="F44" s="8" t="str">
        <f aca="false">IF(E44=1,"Bot resolves",IF(E44=2,"Bot triages, agent resolves","Immediate human handoff"))</f>
        <v>Bot triages, agent resolves</v>
      </c>
      <c r="G44" s="8" t="str">
        <f aca="false">IF(AND(E44=1,INDEX(Group_Summary!$J$6:$J$15,MATCH(B44,Group_Summary!$A$6:$A$15,0))="Pilot"),"Yes","No")</f>
        <v>No</v>
      </c>
    </row>
    <row r="45" customFormat="false" ht="15" hidden="false" customHeight="false" outlineLevel="0" collapsed="false">
      <c r="A45" s="8" t="s">
        <v>80</v>
      </c>
      <c r="B45" s="8" t="s">
        <v>81</v>
      </c>
      <c r="C45" s="9" t="n">
        <f aca="false">COUNTIF(Raw_Data!$B$2:$B$10004,"card_payment_wrong_exchange_rate")</f>
        <v>167</v>
      </c>
      <c r="D45" s="13" t="n">
        <f aca="false">C45/SUM($C$5:$C$81)</f>
        <v>0.0166949915025492</v>
      </c>
      <c r="E45" s="14" t="n">
        <v>2</v>
      </c>
      <c r="F45" s="8" t="str">
        <f aca="false">IF(E45=1,"Bot resolves",IF(E45=2,"Bot triages, agent resolves","Immediate human handoff"))</f>
        <v>Bot triages, agent resolves</v>
      </c>
      <c r="G45" s="8" t="str">
        <f aca="false">IF(AND(E45=1,INDEX(Group_Summary!$J$6:$J$15,MATCH(B45,Group_Summary!$A$6:$A$15,0))="Pilot"),"Yes","No")</f>
        <v>No</v>
      </c>
    </row>
    <row r="46" customFormat="false" ht="15" hidden="false" customHeight="false" outlineLevel="0" collapsed="false">
      <c r="A46" s="8" t="s">
        <v>82</v>
      </c>
      <c r="B46" s="8" t="s">
        <v>81</v>
      </c>
      <c r="C46" s="9" t="n">
        <f aca="false">COUNTIF(Raw_Data!$B$2:$B$10004,"wrong_exchange_rate_for_cash_withdrawal")</f>
        <v>163</v>
      </c>
      <c r="D46" s="13" t="n">
        <f aca="false">C46/SUM($C$5:$C$81)</f>
        <v>0.01629511146656</v>
      </c>
      <c r="E46" s="14" t="n">
        <v>2</v>
      </c>
      <c r="F46" s="8" t="str">
        <f aca="false">IF(E46=1,"Bot resolves",IF(E46=2,"Bot triages, agent resolves","Immediate human handoff"))</f>
        <v>Bot triages, agent resolves</v>
      </c>
      <c r="G46" s="8" t="str">
        <f aca="false">IF(AND(E46=1,INDEX(Group_Summary!$J$6:$J$15,MATCH(B46,Group_Summary!$A$6:$A$15,0))="Pilot"),"Yes","No")</f>
        <v>No</v>
      </c>
    </row>
    <row r="47" customFormat="false" ht="15" hidden="false" customHeight="false" outlineLevel="0" collapsed="false">
      <c r="A47" s="8" t="s">
        <v>83</v>
      </c>
      <c r="B47" s="8" t="s">
        <v>81</v>
      </c>
      <c r="C47" s="9" t="n">
        <f aca="false">COUNTIF(Raw_Data!$B$2:$B$10004,"country_support")</f>
        <v>129</v>
      </c>
      <c r="D47" s="13" t="n">
        <f aca="false">C47/SUM($C$5:$C$81)</f>
        <v>0.0128961311606518</v>
      </c>
      <c r="E47" s="14" t="n">
        <v>1</v>
      </c>
      <c r="F47" s="8" t="str">
        <f aca="false">IF(E47=1,"Bot resolves",IF(E47=2,"Bot triages, agent resolves","Immediate human handoff"))</f>
        <v>Bot resolves</v>
      </c>
      <c r="G47" s="8" t="str">
        <f aca="false">IF(AND(E47=1,INDEX(Group_Summary!$J$6:$J$15,MATCH(B47,Group_Summary!$A$6:$A$15,0))="Pilot"),"Yes","No")</f>
        <v>No</v>
      </c>
    </row>
    <row r="48" customFormat="false" ht="15" hidden="false" customHeight="false" outlineLevel="0" collapsed="false">
      <c r="A48" s="8" t="s">
        <v>84</v>
      </c>
      <c r="B48" s="8" t="s">
        <v>81</v>
      </c>
      <c r="C48" s="9" t="n">
        <f aca="false">COUNTIF(Raw_Data!$B$2:$B$10004,"fiat_currency_support")</f>
        <v>126</v>
      </c>
      <c r="D48" s="13" t="n">
        <f aca="false">C48/SUM($C$5:$C$81)</f>
        <v>0.0125962211336599</v>
      </c>
      <c r="E48" s="14" t="n">
        <v>1</v>
      </c>
      <c r="F48" s="8" t="str">
        <f aca="false">IF(E48=1,"Bot resolves",IF(E48=2,"Bot triages, agent resolves","Immediate human handoff"))</f>
        <v>Bot resolves</v>
      </c>
      <c r="G48" s="8" t="str">
        <f aca="false">IF(AND(E48=1,INDEX(Group_Summary!$J$6:$J$15,MATCH(B48,Group_Summary!$A$6:$A$15,0))="Pilot"),"Yes","No")</f>
        <v>No</v>
      </c>
    </row>
    <row r="49" customFormat="false" ht="15" hidden="false" customHeight="false" outlineLevel="0" collapsed="false">
      <c r="A49" s="8" t="s">
        <v>85</v>
      </c>
      <c r="B49" s="8" t="s">
        <v>81</v>
      </c>
      <c r="C49" s="9" t="n">
        <f aca="false">COUNTIF(Raw_Data!$B$2:$B$10004,"exchange_via_app")</f>
        <v>118</v>
      </c>
      <c r="D49" s="13" t="n">
        <f aca="false">C49/SUM($C$5:$C$81)</f>
        <v>0.0117964610616815</v>
      </c>
      <c r="E49" s="14" t="n">
        <v>1</v>
      </c>
      <c r="F49" s="8" t="str">
        <f aca="false">IF(E49=1,"Bot resolves",IF(E49=2,"Bot triages, agent resolves","Immediate human handoff"))</f>
        <v>Bot resolves</v>
      </c>
      <c r="G49" s="8" t="str">
        <f aca="false">IF(AND(E49=1,INDEX(Group_Summary!$J$6:$J$15,MATCH(B49,Group_Summary!$A$6:$A$15,0))="Pilot"),"Yes","No")</f>
        <v>No</v>
      </c>
    </row>
    <row r="50" customFormat="false" ht="15" hidden="false" customHeight="false" outlineLevel="0" collapsed="false">
      <c r="A50" s="8" t="s">
        <v>86</v>
      </c>
      <c r="B50" s="8" t="s">
        <v>81</v>
      </c>
      <c r="C50" s="9" t="n">
        <f aca="false">COUNTIF(Raw_Data!$B$2:$B$10004,"exchange_rate")</f>
        <v>112</v>
      </c>
      <c r="D50" s="13" t="n">
        <f aca="false">C50/SUM($C$5:$C$81)</f>
        <v>0.0111966410076977</v>
      </c>
      <c r="E50" s="14" t="n">
        <v>1</v>
      </c>
      <c r="F50" s="8" t="str">
        <f aca="false">IF(E50=1,"Bot resolves",IF(E50=2,"Bot triages, agent resolves","Immediate human handoff"))</f>
        <v>Bot resolves</v>
      </c>
      <c r="G50" s="8" t="str">
        <f aca="false">IF(AND(E50=1,INDEX(Group_Summary!$J$6:$J$15,MATCH(B50,Group_Summary!$A$6:$A$15,0))="Pilot"),"Yes","No")</f>
        <v>No</v>
      </c>
    </row>
    <row r="51" customFormat="false" ht="15" hidden="false" customHeight="false" outlineLevel="0" collapsed="false">
      <c r="A51" s="8" t="s">
        <v>87</v>
      </c>
      <c r="B51" s="8" t="s">
        <v>88</v>
      </c>
      <c r="C51" s="9" t="n">
        <f aca="false">COUNTIF(Raw_Data!$B$2:$B$10004,"card_payment_fee_charged")</f>
        <v>187</v>
      </c>
      <c r="D51" s="13" t="n">
        <f aca="false">C51/SUM($C$5:$C$81)</f>
        <v>0.0186943916824953</v>
      </c>
      <c r="E51" s="14" t="n">
        <v>1</v>
      </c>
      <c r="F51" s="8" t="str">
        <f aca="false">IF(E51=1,"Bot resolves",IF(E51=2,"Bot triages, agent resolves","Immediate human handoff"))</f>
        <v>Bot resolves</v>
      </c>
      <c r="G51" s="8" t="str">
        <f aca="false">IF(AND(E51=1,INDEX(Group_Summary!$J$6:$J$15,MATCH(B51,Group_Summary!$A$6:$A$15,0))="Pilot"),"Yes","No")</f>
        <v>Yes</v>
      </c>
    </row>
    <row r="52" customFormat="false" ht="15" hidden="false" customHeight="false" outlineLevel="0" collapsed="false">
      <c r="A52" s="8" t="s">
        <v>89</v>
      </c>
      <c r="B52" s="8" t="s">
        <v>88</v>
      </c>
      <c r="C52" s="9" t="n">
        <f aca="false">COUNTIF(Raw_Data!$B$2:$B$10004,"cash_withdrawal_charge")</f>
        <v>177</v>
      </c>
      <c r="D52" s="13" t="n">
        <f aca="false">C52/SUM($C$5:$C$81)</f>
        <v>0.0176946915925222</v>
      </c>
      <c r="E52" s="14" t="n">
        <v>1</v>
      </c>
      <c r="F52" s="8" t="str">
        <f aca="false">IF(E52=1,"Bot resolves",IF(E52=2,"Bot triages, agent resolves","Immediate human handoff"))</f>
        <v>Bot resolves</v>
      </c>
      <c r="G52" s="8" t="str">
        <f aca="false">IF(AND(E52=1,INDEX(Group_Summary!$J$6:$J$15,MATCH(B52,Group_Summary!$A$6:$A$15,0))="Pilot"),"Yes","No")</f>
        <v>Yes</v>
      </c>
    </row>
    <row r="53" customFormat="false" ht="15" hidden="false" customHeight="false" outlineLevel="0" collapsed="false">
      <c r="A53" s="8" t="s">
        <v>90</v>
      </c>
      <c r="B53" s="8" t="s">
        <v>88</v>
      </c>
      <c r="C53" s="9" t="n">
        <f aca="false">COUNTIF(Raw_Data!$B$2:$B$10004,"transfer_fee_charged")</f>
        <v>172</v>
      </c>
      <c r="D53" s="13" t="n">
        <f aca="false">C53/SUM($C$5:$C$81)</f>
        <v>0.0171948415475357</v>
      </c>
      <c r="E53" s="14" t="n">
        <v>1</v>
      </c>
      <c r="F53" s="8" t="str">
        <f aca="false">IF(E53=1,"Bot resolves",IF(E53=2,"Bot triages, agent resolves","Immediate human handoff"))</f>
        <v>Bot resolves</v>
      </c>
      <c r="G53" s="8" t="str">
        <f aca="false">IF(AND(E53=1,INDEX(Group_Summary!$J$6:$J$15,MATCH(B53,Group_Summary!$A$6:$A$15,0))="Pilot"),"Yes","No")</f>
        <v>Yes</v>
      </c>
    </row>
    <row r="54" customFormat="false" ht="15" hidden="false" customHeight="false" outlineLevel="0" collapsed="false">
      <c r="A54" s="8" t="s">
        <v>91</v>
      </c>
      <c r="B54" s="8" t="s">
        <v>88</v>
      </c>
      <c r="C54" s="9" t="n">
        <f aca="false">COUNTIF(Raw_Data!$B$2:$B$10004,"extra_charge_on_statement")</f>
        <v>166</v>
      </c>
      <c r="D54" s="13" t="n">
        <f aca="false">C54/SUM($C$5:$C$81)</f>
        <v>0.0165950214935519</v>
      </c>
      <c r="E54" s="14" t="n">
        <v>2</v>
      </c>
      <c r="F54" s="8" t="str">
        <f aca="false">IF(E54=1,"Bot resolves",IF(E54=2,"Bot triages, agent resolves","Immediate human handoff"))</f>
        <v>Bot triages, agent resolves</v>
      </c>
      <c r="G54" s="8" t="str">
        <f aca="false">IF(AND(E54=1,INDEX(Group_Summary!$J$6:$J$15,MATCH(B54,Group_Summary!$A$6:$A$15,0))="Pilot"),"Yes","No")</f>
        <v>No</v>
      </c>
    </row>
    <row r="55" customFormat="false" ht="15" hidden="false" customHeight="false" outlineLevel="0" collapsed="false">
      <c r="A55" s="8" t="s">
        <v>92</v>
      </c>
      <c r="B55" s="8" t="s">
        <v>88</v>
      </c>
      <c r="C55" s="9" t="n">
        <f aca="false">COUNTIF(Raw_Data!$B$2:$B$10004,"exchange_charge")</f>
        <v>121</v>
      </c>
      <c r="D55" s="13" t="n">
        <f aca="false">C55/SUM($C$5:$C$81)</f>
        <v>0.0120963710886734</v>
      </c>
      <c r="E55" s="14" t="n">
        <v>1</v>
      </c>
      <c r="F55" s="8" t="str">
        <f aca="false">IF(E55=1,"Bot resolves",IF(E55=2,"Bot triages, agent resolves","Immediate human handoff"))</f>
        <v>Bot resolves</v>
      </c>
      <c r="G55" s="8" t="str">
        <f aca="false">IF(AND(E55=1,INDEX(Group_Summary!$J$6:$J$15,MATCH(B55,Group_Summary!$A$6:$A$15,0))="Pilot"),"Yes","No")</f>
        <v>Yes</v>
      </c>
    </row>
    <row r="56" customFormat="false" ht="15" hidden="false" customHeight="false" outlineLevel="0" collapsed="false">
      <c r="A56" s="8" t="s">
        <v>93</v>
      </c>
      <c r="B56" s="8" t="s">
        <v>88</v>
      </c>
      <c r="C56" s="9" t="n">
        <f aca="false">COUNTIF(Raw_Data!$B$2:$B$10004,"top_up_by_card_charge")</f>
        <v>114</v>
      </c>
      <c r="D56" s="13" t="n">
        <f aca="false">C56/SUM($C$5:$C$81)</f>
        <v>0.0113965810256923</v>
      </c>
      <c r="E56" s="14" t="n">
        <v>1</v>
      </c>
      <c r="F56" s="8" t="str">
        <f aca="false">IF(E56=1,"Bot resolves",IF(E56=2,"Bot triages, agent resolves","Immediate human handoff"))</f>
        <v>Bot resolves</v>
      </c>
      <c r="G56" s="8" t="str">
        <f aca="false">IF(AND(E56=1,INDEX(Group_Summary!$J$6:$J$15,MATCH(B56,Group_Summary!$A$6:$A$15,0))="Pilot"),"Yes","No")</f>
        <v>Yes</v>
      </c>
    </row>
    <row r="57" customFormat="false" ht="15" hidden="false" customHeight="false" outlineLevel="0" collapsed="false">
      <c r="A57" s="8" t="s">
        <v>94</v>
      </c>
      <c r="B57" s="8" t="s">
        <v>88</v>
      </c>
      <c r="C57" s="9" t="n">
        <f aca="false">COUNTIF(Raw_Data!$B$2:$B$10004,"top_up_by_bank_transfer_charge")</f>
        <v>111</v>
      </c>
      <c r="D57" s="13" t="n">
        <f aca="false">C57/SUM($C$5:$C$81)</f>
        <v>0.0110966709987004</v>
      </c>
      <c r="E57" s="14" t="n">
        <v>1</v>
      </c>
      <c r="F57" s="8" t="str">
        <f aca="false">IF(E57=1,"Bot resolves",IF(E57=2,"Bot triages, agent resolves","Immediate human handoff"))</f>
        <v>Bot resolves</v>
      </c>
      <c r="G57" s="8" t="str">
        <f aca="false">IF(AND(E57=1,INDEX(Group_Summary!$J$6:$J$15,MATCH(B57,Group_Summary!$A$6:$A$15,0))="Pilot"),"Yes","No")</f>
        <v>Yes</v>
      </c>
    </row>
    <row r="58" customFormat="false" ht="15" hidden="false" customHeight="false" outlineLevel="0" collapsed="false">
      <c r="A58" s="8" t="s">
        <v>95</v>
      </c>
      <c r="B58" s="8" t="s">
        <v>96</v>
      </c>
      <c r="C58" s="9" t="n">
        <f aca="false">COUNTIF(Raw_Data!$B$2:$B$10004,"direct_debit_payment_not_recognised")</f>
        <v>182</v>
      </c>
      <c r="D58" s="13" t="n">
        <f aca="false">C58/SUM($C$5:$C$81)</f>
        <v>0.0181945416375088</v>
      </c>
      <c r="E58" s="14" t="n">
        <v>3</v>
      </c>
      <c r="F58" s="8" t="str">
        <f aca="false">IF(E58=1,"Bot resolves",IF(E58=2,"Bot triages, agent resolves","Immediate human handoff"))</f>
        <v>Immediate human handoff</v>
      </c>
      <c r="G58" s="8" t="str">
        <f aca="false">IF(AND(E58=1,INDEX(Group_Summary!$J$6:$J$15,MATCH(B58,Group_Summary!$A$6:$A$15,0))="Pilot"),"Yes","No")</f>
        <v>No</v>
      </c>
    </row>
    <row r="59" customFormat="false" ht="15" hidden="false" customHeight="false" outlineLevel="0" collapsed="false">
      <c r="A59" s="8" t="s">
        <v>97</v>
      </c>
      <c r="B59" s="8" t="s">
        <v>96</v>
      </c>
      <c r="C59" s="9" t="n">
        <f aca="false">COUNTIF(Raw_Data!$B$2:$B$10004,"card_payment_not_recognised")</f>
        <v>168</v>
      </c>
      <c r="D59" s="13" t="n">
        <f aca="false">C59/SUM($C$5:$C$81)</f>
        <v>0.0167949615115465</v>
      </c>
      <c r="E59" s="14" t="n">
        <v>3</v>
      </c>
      <c r="F59" s="8" t="str">
        <f aca="false">IF(E59=1,"Bot resolves",IF(E59=2,"Bot triages, agent resolves","Immediate human handoff"))</f>
        <v>Immediate human handoff</v>
      </c>
      <c r="G59" s="8" t="str">
        <f aca="false">IF(AND(E59=1,INDEX(Group_Summary!$J$6:$J$15,MATCH(B59,Group_Summary!$A$6:$A$15,0))="Pilot"),"Yes","No")</f>
        <v>No</v>
      </c>
    </row>
    <row r="60" customFormat="false" ht="15" hidden="false" customHeight="false" outlineLevel="0" collapsed="false">
      <c r="A60" s="8" t="s">
        <v>98</v>
      </c>
      <c r="B60" s="8" t="s">
        <v>96</v>
      </c>
      <c r="C60" s="9" t="n">
        <f aca="false">COUNTIF(Raw_Data!$B$2:$B$10004,"cash_withdrawal_not_recognised")</f>
        <v>160</v>
      </c>
      <c r="D60" s="13" t="n">
        <f aca="false">C60/SUM($C$5:$C$81)</f>
        <v>0.0159952014395681</v>
      </c>
      <c r="E60" s="14" t="n">
        <v>3</v>
      </c>
      <c r="F60" s="8" t="str">
        <f aca="false">IF(E60=1,"Bot resolves",IF(E60=2,"Bot triages, agent resolves","Immediate human handoff"))</f>
        <v>Immediate human handoff</v>
      </c>
      <c r="G60" s="8" t="str">
        <f aca="false">IF(AND(E60=1,INDEX(Group_Summary!$J$6:$J$15,MATCH(B60,Group_Summary!$A$6:$A$15,0))="Pilot"),"Yes","No")</f>
        <v>No</v>
      </c>
    </row>
    <row r="61" customFormat="false" ht="15" hidden="false" customHeight="false" outlineLevel="0" collapsed="false">
      <c r="A61" s="8" t="s">
        <v>99</v>
      </c>
      <c r="B61" s="8" t="s">
        <v>96</v>
      </c>
      <c r="C61" s="9" t="n">
        <f aca="false">COUNTIF(Raw_Data!$B$2:$B$10004,"lost_or_stolen_phone")</f>
        <v>121</v>
      </c>
      <c r="D61" s="13" t="n">
        <f aca="false">C61/SUM($C$5:$C$81)</f>
        <v>0.0120963710886734</v>
      </c>
      <c r="E61" s="14" t="n">
        <v>3</v>
      </c>
      <c r="F61" s="8" t="str">
        <f aca="false">IF(E61=1,"Bot resolves",IF(E61=2,"Bot triages, agent resolves","Immediate human handoff"))</f>
        <v>Immediate human handoff</v>
      </c>
      <c r="G61" s="8" t="str">
        <f aca="false">IF(AND(E61=1,INDEX(Group_Summary!$J$6:$J$15,MATCH(B61,Group_Summary!$A$6:$A$15,0))="Pilot"),"Yes","No")</f>
        <v>No</v>
      </c>
    </row>
    <row r="62" customFormat="false" ht="15" hidden="false" customHeight="false" outlineLevel="0" collapsed="false">
      <c r="A62" s="8" t="s">
        <v>100</v>
      </c>
      <c r="B62" s="8" t="s">
        <v>96</v>
      </c>
      <c r="C62" s="9" t="n">
        <f aca="false">COUNTIF(Raw_Data!$B$2:$B$10004,"compromised_card")</f>
        <v>86</v>
      </c>
      <c r="D62" s="13" t="n">
        <f aca="false">C62/SUM($C$5:$C$81)</f>
        <v>0.00859742077376787</v>
      </c>
      <c r="E62" s="14" t="n">
        <v>3</v>
      </c>
      <c r="F62" s="8" t="str">
        <f aca="false">IF(E62=1,"Bot resolves",IF(E62=2,"Bot triages, agent resolves","Immediate human handoff"))</f>
        <v>Immediate human handoff</v>
      </c>
      <c r="G62" s="8" t="str">
        <f aca="false">IF(AND(E62=1,INDEX(Group_Summary!$J$6:$J$15,MATCH(B62,Group_Summary!$A$6:$A$15,0))="Pilot"),"Yes","No")</f>
        <v>No</v>
      </c>
    </row>
    <row r="63" customFormat="false" ht="15" hidden="false" customHeight="false" outlineLevel="0" collapsed="false">
      <c r="A63" s="8" t="s">
        <v>101</v>
      </c>
      <c r="B63" s="8" t="s">
        <v>96</v>
      </c>
      <c r="C63" s="9" t="n">
        <f aca="false">COUNTIF(Raw_Data!$B$2:$B$10004,"lost_or_stolen_card")</f>
        <v>82</v>
      </c>
      <c r="D63" s="13" t="n">
        <f aca="false">C63/SUM($C$5:$C$81)</f>
        <v>0.00819754073777867</v>
      </c>
      <c r="E63" s="14" t="n">
        <v>3</v>
      </c>
      <c r="F63" s="8" t="str">
        <f aca="false">IF(E63=1,"Bot resolves",IF(E63=2,"Bot triages, agent resolves","Immediate human handoff"))</f>
        <v>Immediate human handoff</v>
      </c>
      <c r="G63" s="8" t="str">
        <f aca="false">IF(AND(E63=1,INDEX(Group_Summary!$J$6:$J$15,MATCH(B63,Group_Summary!$A$6:$A$15,0))="Pilot"),"Yes","No")</f>
        <v>No</v>
      </c>
    </row>
    <row r="64" customFormat="false" ht="15" hidden="false" customHeight="false" outlineLevel="0" collapsed="false">
      <c r="A64" s="8" t="s">
        <v>102</v>
      </c>
      <c r="B64" s="8" t="s">
        <v>103</v>
      </c>
      <c r="C64" s="9" t="n">
        <f aca="false">COUNTIF(Raw_Data!$B$2:$B$10004,"pending_top_up")</f>
        <v>149</v>
      </c>
      <c r="D64" s="13" t="n">
        <f aca="false">C64/SUM($C$5:$C$81)</f>
        <v>0.0148955313405978</v>
      </c>
      <c r="E64" s="14" t="n">
        <v>2</v>
      </c>
      <c r="F64" s="8" t="str">
        <f aca="false">IF(E64=1,"Bot resolves",IF(E64=2,"Bot triages, agent resolves","Immediate human handoff"))</f>
        <v>Bot triages, agent resolves</v>
      </c>
      <c r="G64" s="8" t="str">
        <f aca="false">IF(AND(E64=1,INDEX(Group_Summary!$J$6:$J$15,MATCH(B64,Group_Summary!$A$6:$A$15,0))="Pilot"),"Yes","No")</f>
        <v>No</v>
      </c>
    </row>
    <row r="65" customFormat="false" ht="15" hidden="false" customHeight="false" outlineLevel="0" collapsed="false">
      <c r="A65" s="8" t="s">
        <v>104</v>
      </c>
      <c r="B65" s="8" t="s">
        <v>103</v>
      </c>
      <c r="C65" s="9" t="n">
        <f aca="false">COUNTIF(Raw_Data!$B$2:$B$10004,"top_up_reverted")</f>
        <v>146</v>
      </c>
      <c r="D65" s="13" t="n">
        <f aca="false">C65/SUM($C$5:$C$81)</f>
        <v>0.0145956213136059</v>
      </c>
      <c r="E65" s="14" t="n">
        <v>2</v>
      </c>
      <c r="F65" s="8" t="str">
        <f aca="false">IF(E65=1,"Bot resolves",IF(E65=2,"Bot triages, agent resolves","Immediate human handoff"))</f>
        <v>Bot triages, agent resolves</v>
      </c>
      <c r="G65" s="8" t="str">
        <f aca="false">IF(AND(E65=1,INDEX(Group_Summary!$J$6:$J$15,MATCH(B65,Group_Summary!$A$6:$A$15,0))="Pilot"),"Yes","No")</f>
        <v>No</v>
      </c>
    </row>
    <row r="66" customFormat="false" ht="15" hidden="false" customHeight="false" outlineLevel="0" collapsed="false">
      <c r="A66" s="8" t="s">
        <v>105</v>
      </c>
      <c r="B66" s="8" t="s">
        <v>103</v>
      </c>
      <c r="C66" s="9" t="n">
        <f aca="false">COUNTIF(Raw_Data!$B$2:$B$10004,"top_up_failed")</f>
        <v>145</v>
      </c>
      <c r="D66" s="13" t="n">
        <f aca="false">C66/SUM($C$5:$C$81)</f>
        <v>0.0144956513046086</v>
      </c>
      <c r="E66" s="14" t="n">
        <v>2</v>
      </c>
      <c r="F66" s="8" t="str">
        <f aca="false">IF(E66=1,"Bot resolves",IF(E66=2,"Bot triages, agent resolves","Immediate human handoff"))</f>
        <v>Bot triages, agent resolves</v>
      </c>
      <c r="G66" s="8" t="str">
        <f aca="false">IF(AND(E66=1,INDEX(Group_Summary!$J$6:$J$15,MATCH(B66,Group_Summary!$A$6:$A$15,0))="Pilot"),"Yes","No")</f>
        <v>No</v>
      </c>
    </row>
    <row r="67" customFormat="false" ht="15" hidden="false" customHeight="false" outlineLevel="0" collapsed="false">
      <c r="A67" s="8" t="s">
        <v>106</v>
      </c>
      <c r="B67" s="8" t="s">
        <v>103</v>
      </c>
      <c r="C67" s="9" t="n">
        <f aca="false">COUNTIF(Raw_Data!$B$2:$B$10004,"automatic_top_up")</f>
        <v>127</v>
      </c>
      <c r="D67" s="13" t="n">
        <f aca="false">C67/SUM($C$5:$C$81)</f>
        <v>0.0126961911426572</v>
      </c>
      <c r="E67" s="14" t="n">
        <v>1</v>
      </c>
      <c r="F67" s="8" t="str">
        <f aca="false">IF(E67=1,"Bot resolves",IF(E67=2,"Bot triages, agent resolves","Immediate human handoff"))</f>
        <v>Bot resolves</v>
      </c>
      <c r="G67" s="8" t="str">
        <f aca="false">IF(AND(E67=1,INDEX(Group_Summary!$J$6:$J$15,MATCH(B67,Group_Summary!$A$6:$A$15,0))="Pilot"),"Yes","No")</f>
        <v>Yes</v>
      </c>
    </row>
    <row r="68" customFormat="false" ht="15" hidden="false" customHeight="false" outlineLevel="0" collapsed="false">
      <c r="A68" s="8" t="s">
        <v>107</v>
      </c>
      <c r="B68" s="8" t="s">
        <v>103</v>
      </c>
      <c r="C68" s="9" t="n">
        <f aca="false">COUNTIF(Raw_Data!$B$2:$B$10004,"verify_top_up")</f>
        <v>126</v>
      </c>
      <c r="D68" s="13" t="n">
        <f aca="false">C68/SUM($C$5:$C$81)</f>
        <v>0.0125962211336599</v>
      </c>
      <c r="E68" s="14" t="n">
        <v>1</v>
      </c>
      <c r="F68" s="8" t="str">
        <f aca="false">IF(E68=1,"Bot resolves",IF(E68=2,"Bot triages, agent resolves","Immediate human handoff"))</f>
        <v>Bot resolves</v>
      </c>
      <c r="G68" s="8" t="str">
        <f aca="false">IF(AND(E68=1,INDEX(Group_Summary!$J$6:$J$15,MATCH(B68,Group_Summary!$A$6:$A$15,0))="Pilot"),"Yes","No")</f>
        <v>Yes</v>
      </c>
    </row>
    <row r="69" customFormat="false" ht="15" hidden="false" customHeight="false" outlineLevel="0" collapsed="false">
      <c r="A69" s="8" t="s">
        <v>108</v>
      </c>
      <c r="B69" s="8" t="s">
        <v>103</v>
      </c>
      <c r="C69" s="9" t="n">
        <f aca="false">COUNTIF(Raw_Data!$B$2:$B$10004,"top_up_by_cash_or_cheque")</f>
        <v>114</v>
      </c>
      <c r="D69" s="13" t="n">
        <f aca="false">C69/SUM($C$5:$C$81)</f>
        <v>0.0113965810256923</v>
      </c>
      <c r="E69" s="14" t="n">
        <v>1</v>
      </c>
      <c r="F69" s="8" t="str">
        <f aca="false">IF(E69=1,"Bot resolves",IF(E69=2,"Bot triages, agent resolves","Immediate human handoff"))</f>
        <v>Bot resolves</v>
      </c>
      <c r="G69" s="8" t="str">
        <f aca="false">IF(AND(E69=1,INDEX(Group_Summary!$J$6:$J$15,MATCH(B69,Group_Summary!$A$6:$A$15,0))="Pilot"),"Yes","No")</f>
        <v>Yes</v>
      </c>
    </row>
    <row r="70" customFormat="false" ht="15" hidden="false" customHeight="false" outlineLevel="0" collapsed="false">
      <c r="A70" s="8" t="s">
        <v>109</v>
      </c>
      <c r="B70" s="8" t="s">
        <v>103</v>
      </c>
      <c r="C70" s="9" t="n">
        <f aca="false">COUNTIF(Raw_Data!$B$2:$B$10004,"topping_up_by_card")</f>
        <v>103</v>
      </c>
      <c r="D70" s="13" t="n">
        <f aca="false">C70/SUM($C$5:$C$81)</f>
        <v>0.010296910926722</v>
      </c>
      <c r="E70" s="14" t="n">
        <v>1</v>
      </c>
      <c r="F70" s="8" t="str">
        <f aca="false">IF(E70=1,"Bot resolves",IF(E70=2,"Bot triages, agent resolves","Immediate human handoff"))</f>
        <v>Bot resolves</v>
      </c>
      <c r="G70" s="8" t="str">
        <f aca="false">IF(AND(E70=1,INDEX(Group_Summary!$J$6:$J$15,MATCH(B70,Group_Summary!$A$6:$A$15,0))="Pilot"),"Yes","No")</f>
        <v>Yes</v>
      </c>
    </row>
    <row r="71" customFormat="false" ht="15" hidden="false" customHeight="false" outlineLevel="0" collapsed="false">
      <c r="A71" s="8" t="s">
        <v>110</v>
      </c>
      <c r="B71" s="8" t="s">
        <v>103</v>
      </c>
      <c r="C71" s="9" t="n">
        <f aca="false">COUNTIF(Raw_Data!$B$2:$B$10004,"top_up_limits")</f>
        <v>97</v>
      </c>
      <c r="D71" s="13" t="n">
        <f aca="false">C71/SUM($C$5:$C$81)</f>
        <v>0.00969709087273818</v>
      </c>
      <c r="E71" s="14" t="n">
        <v>1</v>
      </c>
      <c r="F71" s="8" t="str">
        <f aca="false">IF(E71=1,"Bot resolves",IF(E71=2,"Bot triages, agent resolves","Immediate human handoff"))</f>
        <v>Bot resolves</v>
      </c>
      <c r="G71" s="8" t="str">
        <f aca="false">IF(AND(E71=1,INDEX(Group_Summary!$J$6:$J$15,MATCH(B71,Group_Summary!$A$6:$A$15,0))="Pilot"),"Yes","No")</f>
        <v>Yes</v>
      </c>
    </row>
    <row r="72" customFormat="false" ht="15" hidden="false" customHeight="false" outlineLevel="0" collapsed="false">
      <c r="A72" s="8" t="s">
        <v>111</v>
      </c>
      <c r="B72" s="8" t="s">
        <v>112</v>
      </c>
      <c r="C72" s="9" t="n">
        <f aca="false">COUNTIF(Raw_Data!$B$2:$B$10004,"transfer_not_received_by_recipient")</f>
        <v>171</v>
      </c>
      <c r="D72" s="13" t="n">
        <f aca="false">C72/SUM($C$5:$C$81)</f>
        <v>0.0170948715385384</v>
      </c>
      <c r="E72" s="14" t="n">
        <v>2</v>
      </c>
      <c r="F72" s="8" t="str">
        <f aca="false">IF(E72=1,"Bot resolves",IF(E72=2,"Bot triages, agent resolves","Immediate human handoff"))</f>
        <v>Bot triages, agent resolves</v>
      </c>
      <c r="G72" s="8" t="str">
        <f aca="false">IF(AND(E72=1,INDEX(Group_Summary!$J$6:$J$15,MATCH(B72,Group_Summary!$A$6:$A$15,0))="Pilot"),"Yes","No")</f>
        <v>No</v>
      </c>
    </row>
    <row r="73" customFormat="false" ht="15" hidden="false" customHeight="false" outlineLevel="0" collapsed="false">
      <c r="A73" s="8" t="s">
        <v>113</v>
      </c>
      <c r="B73" s="8" t="s">
        <v>112</v>
      </c>
      <c r="C73" s="9" t="n">
        <f aca="false">COUNTIF(Raw_Data!$B$2:$B$10004,"balance_not_updated_after_bank_transfer")</f>
        <v>171</v>
      </c>
      <c r="D73" s="13" t="n">
        <f aca="false">C73/SUM($C$5:$C$81)</f>
        <v>0.0170948715385384</v>
      </c>
      <c r="E73" s="14" t="n">
        <v>2</v>
      </c>
      <c r="F73" s="8" t="str">
        <f aca="false">IF(E73=1,"Bot resolves",IF(E73=2,"Bot triages, agent resolves","Immediate human handoff"))</f>
        <v>Bot triages, agent resolves</v>
      </c>
      <c r="G73" s="8" t="str">
        <f aca="false">IF(AND(E73=1,INDEX(Group_Summary!$J$6:$J$15,MATCH(B73,Group_Summary!$A$6:$A$15,0))="Pilot"),"Yes","No")</f>
        <v>No</v>
      </c>
    </row>
    <row r="74" customFormat="false" ht="15" hidden="false" customHeight="false" outlineLevel="0" collapsed="false">
      <c r="A74" s="8" t="s">
        <v>114</v>
      </c>
      <c r="B74" s="8" t="s">
        <v>112</v>
      </c>
      <c r="C74" s="9" t="n">
        <f aca="false">COUNTIF(Raw_Data!$B$2:$B$10004,"cancel_transfer")</f>
        <v>157</v>
      </c>
      <c r="D74" s="13" t="n">
        <f aca="false">C74/SUM($C$5:$C$81)</f>
        <v>0.0156952914125762</v>
      </c>
      <c r="E74" s="14" t="n">
        <v>2</v>
      </c>
      <c r="F74" s="8" t="str">
        <f aca="false">IF(E74=1,"Bot resolves",IF(E74=2,"Bot triages, agent resolves","Immediate human handoff"))</f>
        <v>Bot triages, agent resolves</v>
      </c>
      <c r="G74" s="8" t="str">
        <f aca="false">IF(AND(E74=1,INDEX(Group_Summary!$J$6:$J$15,MATCH(B74,Group_Summary!$A$6:$A$15,0))="Pilot"),"Yes","No")</f>
        <v>No</v>
      </c>
    </row>
    <row r="75" customFormat="false" ht="15" hidden="false" customHeight="false" outlineLevel="0" collapsed="false">
      <c r="A75" s="8" t="s">
        <v>115</v>
      </c>
      <c r="B75" s="8" t="s">
        <v>112</v>
      </c>
      <c r="C75" s="9" t="n">
        <f aca="false">COUNTIF(Raw_Data!$B$2:$B$10004,"beneficiary_not_allowed")</f>
        <v>156</v>
      </c>
      <c r="D75" s="13" t="n">
        <f aca="false">C75/SUM($C$5:$C$81)</f>
        <v>0.0155953214035789</v>
      </c>
      <c r="E75" s="14" t="n">
        <v>2</v>
      </c>
      <c r="F75" s="8" t="str">
        <f aca="false">IF(E75=1,"Bot resolves",IF(E75=2,"Bot triages, agent resolves","Immediate human handoff"))</f>
        <v>Bot triages, agent resolves</v>
      </c>
      <c r="G75" s="8" t="str">
        <f aca="false">IF(AND(E75=1,INDEX(Group_Summary!$J$6:$J$15,MATCH(B75,Group_Summary!$A$6:$A$15,0))="Pilot"),"Yes","No")</f>
        <v>No</v>
      </c>
    </row>
    <row r="76" customFormat="false" ht="15" hidden="false" customHeight="false" outlineLevel="0" collapsed="false">
      <c r="A76" s="8" t="s">
        <v>116</v>
      </c>
      <c r="B76" s="8" t="s">
        <v>112</v>
      </c>
      <c r="C76" s="9" t="n">
        <f aca="false">COUNTIF(Raw_Data!$B$2:$B$10004,"pending_transfer")</f>
        <v>148</v>
      </c>
      <c r="D76" s="13" t="n">
        <f aca="false">C76/SUM($C$5:$C$81)</f>
        <v>0.0147955613316005</v>
      </c>
      <c r="E76" s="14" t="n">
        <v>2</v>
      </c>
      <c r="F76" s="8" t="str">
        <f aca="false">IF(E76=1,"Bot resolves",IF(E76=2,"Bot triages, agent resolves","Immediate human handoff"))</f>
        <v>Bot triages, agent resolves</v>
      </c>
      <c r="G76" s="8" t="str">
        <f aca="false">IF(AND(E76=1,INDEX(Group_Summary!$J$6:$J$15,MATCH(B76,Group_Summary!$A$6:$A$15,0))="Pilot"),"Yes","No")</f>
        <v>No</v>
      </c>
    </row>
    <row r="77" customFormat="false" ht="15" hidden="false" customHeight="false" outlineLevel="0" collapsed="false">
      <c r="A77" s="8" t="s">
        <v>117</v>
      </c>
      <c r="B77" s="8" t="s">
        <v>112</v>
      </c>
      <c r="C77" s="9" t="n">
        <f aca="false">COUNTIF(Raw_Data!$B$2:$B$10004,"failed_transfer")</f>
        <v>137</v>
      </c>
      <c r="D77" s="13" t="n">
        <f aca="false">C77/SUM($C$5:$C$81)</f>
        <v>0.0136958912326302</v>
      </c>
      <c r="E77" s="14" t="n">
        <v>2</v>
      </c>
      <c r="F77" s="8" t="str">
        <f aca="false">IF(E77=1,"Bot resolves",IF(E77=2,"Bot triages, agent resolves","Immediate human handoff"))</f>
        <v>Bot triages, agent resolves</v>
      </c>
      <c r="G77" s="8" t="str">
        <f aca="false">IF(AND(E77=1,INDEX(Group_Summary!$J$6:$J$15,MATCH(B77,Group_Summary!$A$6:$A$15,0))="Pilot"),"Yes","No")</f>
        <v>No</v>
      </c>
    </row>
    <row r="78" customFormat="false" ht="15" hidden="false" customHeight="false" outlineLevel="0" collapsed="false">
      <c r="A78" s="8" t="s">
        <v>118</v>
      </c>
      <c r="B78" s="8" t="s">
        <v>112</v>
      </c>
      <c r="C78" s="9" t="n">
        <f aca="false">COUNTIF(Raw_Data!$B$2:$B$10004,"declined_transfer")</f>
        <v>133</v>
      </c>
      <c r="D78" s="13" t="n">
        <f aca="false">C78/SUM($C$5:$C$81)</f>
        <v>0.013296011196641</v>
      </c>
      <c r="E78" s="14" t="n">
        <v>2</v>
      </c>
      <c r="F78" s="8" t="str">
        <f aca="false">IF(E78=1,"Bot resolves",IF(E78=2,"Bot triages, agent resolves","Immediate human handoff"))</f>
        <v>Bot triages, agent resolves</v>
      </c>
      <c r="G78" s="8" t="str">
        <f aca="false">IF(AND(E78=1,INDEX(Group_Summary!$J$6:$J$15,MATCH(B78,Group_Summary!$A$6:$A$15,0))="Pilot"),"Yes","No")</f>
        <v>No</v>
      </c>
    </row>
    <row r="79" customFormat="false" ht="15" hidden="false" customHeight="false" outlineLevel="0" collapsed="false">
      <c r="A79" s="8" t="s">
        <v>119</v>
      </c>
      <c r="B79" s="8" t="s">
        <v>112</v>
      </c>
      <c r="C79" s="9" t="n">
        <f aca="false">COUNTIF(Raw_Data!$B$2:$B$10004,"transfer_timing")</f>
        <v>128</v>
      </c>
      <c r="D79" s="13" t="n">
        <f aca="false">C79/SUM($C$5:$C$81)</f>
        <v>0.0127961611516545</v>
      </c>
      <c r="E79" s="14" t="n">
        <v>1</v>
      </c>
      <c r="F79" s="8" t="str">
        <f aca="false">IF(E79=1,"Bot resolves",IF(E79=2,"Bot triages, agent resolves","Immediate human handoff"))</f>
        <v>Bot resolves</v>
      </c>
      <c r="G79" s="8" t="str">
        <f aca="false">IF(AND(E79=1,INDEX(Group_Summary!$J$6:$J$15,MATCH(B79,Group_Summary!$A$6:$A$15,0))="Pilot"),"Yes","No")</f>
        <v>No</v>
      </c>
    </row>
    <row r="80" customFormat="false" ht="15" hidden="false" customHeight="false" outlineLevel="0" collapsed="false">
      <c r="A80" s="8" t="s">
        <v>120</v>
      </c>
      <c r="B80" s="8" t="s">
        <v>112</v>
      </c>
      <c r="C80" s="9" t="n">
        <f aca="false">COUNTIF(Raw_Data!$B$2:$B$10004,"transfer_into_account")</f>
        <v>113</v>
      </c>
      <c r="D80" s="13" t="n">
        <f aca="false">C80/SUM($C$5:$C$81)</f>
        <v>0.011296611016695</v>
      </c>
      <c r="E80" s="14" t="n">
        <v>1</v>
      </c>
      <c r="F80" s="8" t="str">
        <f aca="false">IF(E80=1,"Bot resolves",IF(E80=2,"Bot triages, agent resolves","Immediate human handoff"))</f>
        <v>Bot resolves</v>
      </c>
      <c r="G80" s="8" t="str">
        <f aca="false">IF(AND(E80=1,INDEX(Group_Summary!$J$6:$J$15,MATCH(B80,Group_Summary!$A$6:$A$15,0))="Pilot"),"Yes","No")</f>
        <v>No</v>
      </c>
    </row>
    <row r="81" customFormat="false" ht="15" hidden="false" customHeight="false" outlineLevel="0" collapsed="false">
      <c r="A81" s="8" t="s">
        <v>121</v>
      </c>
      <c r="B81" s="8" t="s">
        <v>112</v>
      </c>
      <c r="C81" s="9" t="n">
        <f aca="false">COUNTIF(Raw_Data!$B$2:$B$10004,"receiving_money")</f>
        <v>95</v>
      </c>
      <c r="D81" s="13" t="n">
        <f aca="false">C81/SUM($C$5:$C$81)</f>
        <v>0.00949715085474358</v>
      </c>
      <c r="E81" s="14" t="n">
        <v>1</v>
      </c>
      <c r="F81" s="8" t="str">
        <f aca="false">IF(E81=1,"Bot resolves",IF(E81=2,"Bot triages, agent resolves","Immediate human handoff"))</f>
        <v>Bot resolves</v>
      </c>
      <c r="G81" s="8" t="str">
        <f aca="false">IF(AND(E81=1,INDEX(Group_Summary!$J$6:$J$15,MATCH(B81,Group_Summary!$A$6:$A$15,0))="Pilot"),"Yes","No")</f>
        <v>No</v>
      </c>
    </row>
    <row r="82" customFormat="false" ht="15" hidden="false" customHeight="false" outlineLevel="0" collapsed="false">
      <c r="A82" s="15" t="s">
        <v>122</v>
      </c>
      <c r="C82" s="16" t="n">
        <f aca="false">SUM(C5:C81)</f>
        <v>10003</v>
      </c>
      <c r="D82" s="17" t="n">
        <f aca="false">SUM(D5:D81)</f>
        <v>1</v>
      </c>
    </row>
  </sheetData>
  <autoFilter ref="A4:G81"/>
  <conditionalFormatting sqref="F5:F81">
    <cfRule type="expression" priority="2" aboveAverage="0" equalAverage="0" bottom="0" percent="0" rank="0" text="" dxfId="7">
      <formula>$E5=1</formula>
    </cfRule>
    <cfRule type="expression" priority="3" aboveAverage="0" equalAverage="0" bottom="0" percent="0" rank="0" text="" dxfId="8">
      <formula>$E5=2</formula>
    </cfRule>
    <cfRule type="expression" priority="4" aboveAverage="0" equalAverage="0" bottom="0" percent="0" rank="0" text="" dxfId="9">
      <formula>$E5=3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11"/>
    <col collapsed="false" customWidth="true" hidden="false" outlineLevel="0" max="4" min="4" style="0" width="13"/>
    <col collapsed="false" customWidth="true" hidden="false" outlineLevel="0" max="5" min="5" style="0" width="14"/>
    <col collapsed="false" customWidth="true" hidden="false" outlineLevel="0" max="6" min="6" style="0" width="12"/>
    <col collapsed="false" customWidth="true" hidden="false" outlineLevel="0" max="7" min="7" style="0" width="13"/>
    <col collapsed="false" customWidth="true" hidden="false" outlineLevel="0" max="8" min="8" style="0" width="9"/>
    <col collapsed="false" customWidth="true" hidden="false" outlineLevel="0" max="10" min="9" style="0" width="12"/>
  </cols>
  <sheetData>
    <row r="1" customFormat="false" ht="17.35" hidden="false" customHeight="false" outlineLevel="0" collapsed="false">
      <c r="A1" s="11" t="s">
        <v>123</v>
      </c>
    </row>
    <row r="2" customFormat="false" ht="15" hidden="false" customHeight="false" outlineLevel="0" collapsed="false">
      <c r="A2" s="2" t="s">
        <v>124</v>
      </c>
    </row>
    <row r="3" customFormat="false" ht="15" hidden="false" customHeight="false" outlineLevel="0" collapsed="false">
      <c r="A3" s="15" t="s">
        <v>125</v>
      </c>
      <c r="B3" s="18" t="n">
        <v>4</v>
      </c>
      <c r="C3" s="2" t="s">
        <v>126</v>
      </c>
    </row>
    <row r="5" customFormat="false" ht="39.55" hidden="false" customHeight="false" outlineLevel="0" collapsed="false">
      <c r="A5" s="12" t="s">
        <v>29</v>
      </c>
      <c r="B5" s="12" t="s">
        <v>30</v>
      </c>
      <c r="C5" s="12" t="s">
        <v>31</v>
      </c>
      <c r="D5" s="12" t="s">
        <v>127</v>
      </c>
      <c r="E5" s="12" t="s">
        <v>128</v>
      </c>
      <c r="F5" s="12" t="s">
        <v>129</v>
      </c>
      <c r="G5" s="12" t="s">
        <v>130</v>
      </c>
      <c r="H5" s="12" t="s">
        <v>4</v>
      </c>
      <c r="I5" s="12" t="s">
        <v>131</v>
      </c>
      <c r="J5" s="12" t="s">
        <v>132</v>
      </c>
    </row>
    <row r="6" customFormat="false" ht="15" hidden="false" customHeight="false" outlineLevel="0" collapsed="false">
      <c r="A6" s="8" t="s">
        <v>60</v>
      </c>
      <c r="B6" s="9" t="n">
        <f aca="false">SUMIFS(Intent_Analysis!$C$5:$C$81,Intent_Analysis!$B$5:$B$81,A6)</f>
        <v>1491</v>
      </c>
      <c r="C6" s="13" t="n">
        <f aca="false">B6/SUM($B$6:$B$15)</f>
        <v>0.149055283414976</v>
      </c>
      <c r="D6" s="9" t="n">
        <f aca="false">SUMIFS(Intent_Analysis!$C$5:$C$81,Intent_Analysis!$B$5:$B$81,$A6,Intent_Analysis!$E$5:$E$81,1)</f>
        <v>1124</v>
      </c>
      <c r="E6" s="9" t="n">
        <f aca="false">SUMIFS(Intent_Analysis!$C$5:$C$81,Intent_Analysis!$B$5:$B$81,$A6,Intent_Analysis!$E$5:$E$81,2)</f>
        <v>367</v>
      </c>
      <c r="F6" s="9" t="n">
        <f aca="false">SUMIFS(Intent_Analysis!$C$5:$C$81,Intent_Analysis!$B$5:$B$81,$A6,Intent_Analysis!$E$5:$E$81,3)</f>
        <v>0</v>
      </c>
      <c r="G6" s="13" t="n">
        <f aca="false">IF(B6=0,0,D6/B6)</f>
        <v>0.753856472166331</v>
      </c>
      <c r="H6" s="8" t="n">
        <f aca="false">COUNTIF(Intent_Analysis!$B$5:$B$81,A6)</f>
        <v>15</v>
      </c>
      <c r="I6" s="8" t="n">
        <f aca="false">RANK(D6,$D$6:$D$15,0)</f>
        <v>1</v>
      </c>
      <c r="J6" s="8" t="str">
        <f aca="false">IF(AND(I6&lt;=$B$3,D6&gt;0),"Pilot",IF(D6=0,"Not suited","Phase 2"))</f>
        <v>Pilot</v>
      </c>
    </row>
    <row r="7" customFormat="false" ht="15" hidden="false" customHeight="false" outlineLevel="0" collapsed="false">
      <c r="A7" s="8" t="s">
        <v>45</v>
      </c>
      <c r="B7" s="9" t="n">
        <f aca="false">SUMIFS(Intent_Analysis!$C$5:$C$81,Intent_Analysis!$B$5:$B$81,A7)</f>
        <v>1047</v>
      </c>
      <c r="C7" s="13" t="n">
        <f aca="false">B7/SUM($B$6:$B$15)</f>
        <v>0.104668599420174</v>
      </c>
      <c r="D7" s="9" t="n">
        <f aca="false">SUMIFS(Intent_Analysis!$C$5:$C$81,Intent_Analysis!$B$5:$B$81,$A7,Intent_Analysis!$E$5:$E$81,1)</f>
        <v>1047</v>
      </c>
      <c r="E7" s="9" t="n">
        <f aca="false">SUMIFS(Intent_Analysis!$C$5:$C$81,Intent_Analysis!$B$5:$B$81,$A7,Intent_Analysis!$E$5:$E$81,2)</f>
        <v>0</v>
      </c>
      <c r="F7" s="9" t="n">
        <f aca="false">SUMIFS(Intent_Analysis!$C$5:$C$81,Intent_Analysis!$B$5:$B$81,$A7,Intent_Analysis!$E$5:$E$81,3)</f>
        <v>0</v>
      </c>
      <c r="G7" s="13" t="n">
        <f aca="false">IF(B7=0,0,D7/B7)</f>
        <v>1</v>
      </c>
      <c r="H7" s="8" t="n">
        <f aca="false">COUNTIF(Intent_Analysis!$B$5:$B$81,A7)</f>
        <v>8</v>
      </c>
      <c r="I7" s="8" t="n">
        <f aca="false">RANK(D7,$D$6:$D$15,0)</f>
        <v>2</v>
      </c>
      <c r="J7" s="8" t="str">
        <f aca="false">IF(AND(I7&lt;=$B$3,D7&gt;0),"Pilot",IF(D7=0,"Not suited","Phase 2"))</f>
        <v>Pilot</v>
      </c>
    </row>
    <row r="8" customFormat="false" ht="15" hidden="false" customHeight="false" outlineLevel="0" collapsed="false">
      <c r="A8" s="8" t="s">
        <v>88</v>
      </c>
      <c r="B8" s="9" t="n">
        <f aca="false">SUMIFS(Intent_Analysis!$C$5:$C$81,Intent_Analysis!$B$5:$B$81,A8)</f>
        <v>1048</v>
      </c>
      <c r="C8" s="13" t="n">
        <f aca="false">B8/SUM($B$6:$B$15)</f>
        <v>0.104768569429171</v>
      </c>
      <c r="D8" s="9" t="n">
        <f aca="false">SUMIFS(Intent_Analysis!$C$5:$C$81,Intent_Analysis!$B$5:$B$81,$A8,Intent_Analysis!$E$5:$E$81,1)</f>
        <v>882</v>
      </c>
      <c r="E8" s="9" t="n">
        <f aca="false">SUMIFS(Intent_Analysis!$C$5:$C$81,Intent_Analysis!$B$5:$B$81,$A8,Intent_Analysis!$E$5:$E$81,2)</f>
        <v>166</v>
      </c>
      <c r="F8" s="9" t="n">
        <f aca="false">SUMIFS(Intent_Analysis!$C$5:$C$81,Intent_Analysis!$B$5:$B$81,$A8,Intent_Analysis!$E$5:$E$81,3)</f>
        <v>0</v>
      </c>
      <c r="G8" s="13" t="n">
        <f aca="false">IF(B8=0,0,D8/B8)</f>
        <v>0.841603053435115</v>
      </c>
      <c r="H8" s="8" t="n">
        <f aca="false">COUNTIF(Intent_Analysis!$B$5:$B$81,A8)</f>
        <v>7</v>
      </c>
      <c r="I8" s="8" t="n">
        <f aca="false">RANK(D8,$D$6:$D$15,0)</f>
        <v>3</v>
      </c>
      <c r="J8" s="8" t="str">
        <f aca="false">IF(AND(I8&lt;=$B$3,D8&gt;0),"Pilot",IF(D8=0,"Not suited","Phase 2"))</f>
        <v>Pilot</v>
      </c>
    </row>
    <row r="9" customFormat="false" ht="15" hidden="false" customHeight="false" outlineLevel="0" collapsed="false">
      <c r="A9" s="8" t="s">
        <v>103</v>
      </c>
      <c r="B9" s="9" t="n">
        <f aca="false">SUMIFS(Intent_Analysis!$C$5:$C$81,Intent_Analysis!$B$5:$B$81,A9)</f>
        <v>1007</v>
      </c>
      <c r="C9" s="13" t="n">
        <f aca="false">B9/SUM($B$6:$B$15)</f>
        <v>0.100669799060282</v>
      </c>
      <c r="D9" s="9" t="n">
        <f aca="false">SUMIFS(Intent_Analysis!$C$5:$C$81,Intent_Analysis!$B$5:$B$81,$A9,Intent_Analysis!$E$5:$E$81,1)</f>
        <v>567</v>
      </c>
      <c r="E9" s="9" t="n">
        <f aca="false">SUMIFS(Intent_Analysis!$C$5:$C$81,Intent_Analysis!$B$5:$B$81,$A9,Intent_Analysis!$E$5:$E$81,2)</f>
        <v>440</v>
      </c>
      <c r="F9" s="9" t="n">
        <f aca="false">SUMIFS(Intent_Analysis!$C$5:$C$81,Intent_Analysis!$B$5:$B$81,$A9,Intent_Analysis!$E$5:$E$81,3)</f>
        <v>0</v>
      </c>
      <c r="G9" s="13" t="n">
        <f aca="false">IF(B9=0,0,D9/B9)</f>
        <v>0.563058589870904</v>
      </c>
      <c r="H9" s="8" t="n">
        <f aca="false">COUNTIF(Intent_Analysis!$B$5:$B$81,A9)</f>
        <v>8</v>
      </c>
      <c r="I9" s="8" t="n">
        <f aca="false">RANK(D9,$D$6:$D$15,0)</f>
        <v>4</v>
      </c>
      <c r="J9" s="8" t="str">
        <f aca="false">IF(AND(I9&lt;=$B$3,D9&gt;0),"Pilot",IF(D9=0,"Not suited","Phase 2"))</f>
        <v>Pilot</v>
      </c>
    </row>
    <row r="10" customFormat="false" ht="15" hidden="false" customHeight="false" outlineLevel="0" collapsed="false">
      <c r="A10" s="8" t="s">
        <v>81</v>
      </c>
      <c r="B10" s="9" t="n">
        <f aca="false">SUMIFS(Intent_Analysis!$C$5:$C$81,Intent_Analysis!$B$5:$B$81,A10)</f>
        <v>815</v>
      </c>
      <c r="C10" s="13" t="n">
        <f aca="false">B10/SUM($B$6:$B$15)</f>
        <v>0.0814755573328002</v>
      </c>
      <c r="D10" s="9" t="n">
        <f aca="false">SUMIFS(Intent_Analysis!$C$5:$C$81,Intent_Analysis!$B$5:$B$81,$A10,Intent_Analysis!$E$5:$E$81,1)</f>
        <v>485</v>
      </c>
      <c r="E10" s="9" t="n">
        <f aca="false">SUMIFS(Intent_Analysis!$C$5:$C$81,Intent_Analysis!$B$5:$B$81,$A10,Intent_Analysis!$E$5:$E$81,2)</f>
        <v>330</v>
      </c>
      <c r="F10" s="9" t="n">
        <f aca="false">SUMIFS(Intent_Analysis!$C$5:$C$81,Intent_Analysis!$B$5:$B$81,$A10,Intent_Analysis!$E$5:$E$81,3)</f>
        <v>0</v>
      </c>
      <c r="G10" s="13" t="n">
        <f aca="false">IF(B10=0,0,D10/B10)</f>
        <v>0.595092024539877</v>
      </c>
      <c r="H10" s="8" t="n">
        <f aca="false">COUNTIF(Intent_Analysis!$B$5:$B$81,A10)</f>
        <v>6</v>
      </c>
      <c r="I10" s="8" t="n">
        <f aca="false">RANK(D10,$D$6:$D$15,0)</f>
        <v>5</v>
      </c>
      <c r="J10" s="8" t="str">
        <f aca="false">IF(AND(I10&lt;=$B$3,D10&gt;0),"Pilot",IF(D10=0,"Not suited","Phase 2"))</f>
        <v>Phase 2</v>
      </c>
    </row>
    <row r="11" customFormat="false" ht="15" hidden="false" customHeight="false" outlineLevel="0" collapsed="false">
      <c r="A11" s="8" t="s">
        <v>36</v>
      </c>
      <c r="B11" s="9" t="n">
        <f aca="false">SUMIFS(Intent_Analysis!$C$5:$C$81,Intent_Analysis!$B$5:$B$81,A11)</f>
        <v>884</v>
      </c>
      <c r="C11" s="13" t="n">
        <f aca="false">B11/SUM($B$6:$B$15)</f>
        <v>0.0883734879536139</v>
      </c>
      <c r="D11" s="9" t="n">
        <f aca="false">SUMIFS(Intent_Analysis!$C$5:$C$81,Intent_Analysis!$B$5:$B$81,$A11,Intent_Analysis!$E$5:$E$81,1)</f>
        <v>448</v>
      </c>
      <c r="E11" s="9" t="n">
        <f aca="false">SUMIFS(Intent_Analysis!$C$5:$C$81,Intent_Analysis!$B$5:$B$81,$A11,Intent_Analysis!$E$5:$E$81,2)</f>
        <v>328</v>
      </c>
      <c r="F11" s="9" t="n">
        <f aca="false">SUMIFS(Intent_Analysis!$C$5:$C$81,Intent_Analysis!$B$5:$B$81,$A11,Intent_Analysis!$E$5:$E$81,3)</f>
        <v>108</v>
      </c>
      <c r="G11" s="13" t="n">
        <f aca="false">IF(B11=0,0,D11/B11)</f>
        <v>0.506787330316742</v>
      </c>
      <c r="H11" s="8" t="n">
        <f aca="false">COUNTIF(Intent_Analysis!$B$5:$B$81,A11)</f>
        <v>8</v>
      </c>
      <c r="I11" s="8" t="n">
        <f aca="false">RANK(D11,$D$6:$D$15,0)</f>
        <v>6</v>
      </c>
      <c r="J11" s="8" t="str">
        <f aca="false">IF(AND(I11&lt;=$B$3,D11&gt;0),"Pilot",IF(D11=0,"Not suited","Phase 2"))</f>
        <v>Phase 2</v>
      </c>
    </row>
    <row r="12" customFormat="false" ht="15" hidden="false" customHeight="false" outlineLevel="0" collapsed="false">
      <c r="A12" s="8" t="s">
        <v>112</v>
      </c>
      <c r="B12" s="9" t="n">
        <f aca="false">SUMIFS(Intent_Analysis!$C$5:$C$81,Intent_Analysis!$B$5:$B$81,A12)</f>
        <v>1409</v>
      </c>
      <c r="C12" s="13" t="n">
        <f aca="false">B12/SUM($B$6:$B$15)</f>
        <v>0.140857742677197</v>
      </c>
      <c r="D12" s="9" t="n">
        <f aca="false">SUMIFS(Intent_Analysis!$C$5:$C$81,Intent_Analysis!$B$5:$B$81,$A12,Intent_Analysis!$E$5:$E$81,1)</f>
        <v>336</v>
      </c>
      <c r="E12" s="9" t="n">
        <f aca="false">SUMIFS(Intent_Analysis!$C$5:$C$81,Intent_Analysis!$B$5:$B$81,$A12,Intent_Analysis!$E$5:$E$81,2)</f>
        <v>1073</v>
      </c>
      <c r="F12" s="9" t="n">
        <f aca="false">SUMIFS(Intent_Analysis!$C$5:$C$81,Intent_Analysis!$B$5:$B$81,$A12,Intent_Analysis!$E$5:$E$81,3)</f>
        <v>0</v>
      </c>
      <c r="G12" s="13" t="n">
        <f aca="false">IF(B12=0,0,D12/B12)</f>
        <v>0.23846699787083</v>
      </c>
      <c r="H12" s="8" t="n">
        <f aca="false">COUNTIF(Intent_Analysis!$B$5:$B$81,A12)</f>
        <v>10</v>
      </c>
      <c r="I12" s="8" t="n">
        <f aca="false">RANK(D12,$D$6:$D$15,0)</f>
        <v>7</v>
      </c>
      <c r="J12" s="8" t="str">
        <f aca="false">IF(AND(I12&lt;=$B$3,D12&gt;0),"Pilot",IF(D12=0,"Not suited","Phase 2"))</f>
        <v>Phase 2</v>
      </c>
    </row>
    <row r="13" customFormat="false" ht="15" hidden="false" customHeight="false" outlineLevel="0" collapsed="false">
      <c r="A13" s="8" t="s">
        <v>76</v>
      </c>
      <c r="B13" s="9" t="n">
        <f aca="false">SUMIFS(Intent_Analysis!$C$5:$C$81,Intent_Analysis!$B$5:$B$81,A13)</f>
        <v>677</v>
      </c>
      <c r="C13" s="13" t="n">
        <f aca="false">B13/SUM($B$6:$B$15)</f>
        <v>0.0676796960911727</v>
      </c>
      <c r="D13" s="9" t="n">
        <f aca="false">SUMIFS(Intent_Analysis!$C$5:$C$81,Intent_Analysis!$B$5:$B$81,$A13,Intent_Analysis!$E$5:$E$81,1)</f>
        <v>0</v>
      </c>
      <c r="E13" s="9" t="n">
        <f aca="false">SUMIFS(Intent_Analysis!$C$5:$C$81,Intent_Analysis!$B$5:$B$81,$A13,Intent_Analysis!$E$5:$E$81,2)</f>
        <v>497</v>
      </c>
      <c r="F13" s="9" t="n">
        <f aca="false">SUMIFS(Intent_Analysis!$C$5:$C$81,Intent_Analysis!$B$5:$B$81,$A13,Intent_Analysis!$E$5:$E$81,3)</f>
        <v>180</v>
      </c>
      <c r="G13" s="13" t="n">
        <f aca="false">IF(B13=0,0,D13/B13)</f>
        <v>0</v>
      </c>
      <c r="H13" s="8" t="n">
        <f aca="false">COUNTIF(Intent_Analysis!$B$5:$B$81,A13)</f>
        <v>4</v>
      </c>
      <c r="I13" s="8" t="n">
        <f aca="false">RANK(D13,$D$6:$D$15,0)</f>
        <v>8</v>
      </c>
      <c r="J13" s="8" t="str">
        <f aca="false">IF(AND(I13&lt;=$B$3,D13&gt;0),"Pilot",IF(D13=0,"Not suited","Phase 2"))</f>
        <v>Not suited</v>
      </c>
    </row>
    <row r="14" customFormat="false" ht="15" hidden="false" customHeight="false" outlineLevel="0" collapsed="false">
      <c r="A14" s="8" t="s">
        <v>96</v>
      </c>
      <c r="B14" s="9" t="n">
        <f aca="false">SUMIFS(Intent_Analysis!$C$5:$C$81,Intent_Analysis!$B$5:$B$81,A14)</f>
        <v>799</v>
      </c>
      <c r="C14" s="13" t="n">
        <f aca="false">B14/SUM($B$6:$B$15)</f>
        <v>0.0798760371888433</v>
      </c>
      <c r="D14" s="9" t="n">
        <f aca="false">SUMIFS(Intent_Analysis!$C$5:$C$81,Intent_Analysis!$B$5:$B$81,$A14,Intent_Analysis!$E$5:$E$81,1)</f>
        <v>0</v>
      </c>
      <c r="E14" s="9" t="n">
        <f aca="false">SUMIFS(Intent_Analysis!$C$5:$C$81,Intent_Analysis!$B$5:$B$81,$A14,Intent_Analysis!$E$5:$E$81,2)</f>
        <v>0</v>
      </c>
      <c r="F14" s="9" t="n">
        <f aca="false">SUMIFS(Intent_Analysis!$C$5:$C$81,Intent_Analysis!$B$5:$B$81,$A14,Intent_Analysis!$E$5:$E$81,3)</f>
        <v>799</v>
      </c>
      <c r="G14" s="13" t="n">
        <f aca="false">IF(B14=0,0,D14/B14)</f>
        <v>0</v>
      </c>
      <c r="H14" s="8" t="n">
        <f aca="false">COUNTIF(Intent_Analysis!$B$5:$B$81,A14)</f>
        <v>6</v>
      </c>
      <c r="I14" s="8" t="n">
        <f aca="false">RANK(D14,$D$6:$D$15,0)</f>
        <v>8</v>
      </c>
      <c r="J14" s="8" t="str">
        <f aca="false">IF(AND(I14&lt;=$B$3,D14&gt;0),"Pilot",IF(D14=0,"Not suited","Phase 2"))</f>
        <v>Not suited</v>
      </c>
    </row>
    <row r="15" customFormat="false" ht="15" hidden="false" customHeight="false" outlineLevel="0" collapsed="false">
      <c r="A15" s="8" t="s">
        <v>54</v>
      </c>
      <c r="B15" s="9" t="n">
        <f aca="false">SUMIFS(Intent_Analysis!$C$5:$C$81,Intent_Analysis!$B$5:$B$81,A15)</f>
        <v>826</v>
      </c>
      <c r="C15" s="13" t="n">
        <f aca="false">B15/SUM($B$6:$B$15)</f>
        <v>0.0825752274317705</v>
      </c>
      <c r="D15" s="9" t="n">
        <f aca="false">SUMIFS(Intent_Analysis!$C$5:$C$81,Intent_Analysis!$B$5:$B$81,$A15,Intent_Analysis!$E$5:$E$81,1)</f>
        <v>0</v>
      </c>
      <c r="E15" s="9" t="n">
        <f aca="false">SUMIFS(Intent_Analysis!$C$5:$C$81,Intent_Analysis!$B$5:$B$81,$A15,Intent_Analysis!$E$5:$E$81,2)</f>
        <v>482</v>
      </c>
      <c r="F15" s="9" t="n">
        <f aca="false">SUMIFS(Intent_Analysis!$C$5:$C$81,Intent_Analysis!$B$5:$B$81,$A15,Intent_Analysis!$E$5:$E$81,3)</f>
        <v>344</v>
      </c>
      <c r="G15" s="13" t="n">
        <f aca="false">IF(B15=0,0,D15/B15)</f>
        <v>0</v>
      </c>
      <c r="H15" s="8" t="n">
        <f aca="false">COUNTIF(Intent_Analysis!$B$5:$B$81,A15)</f>
        <v>5</v>
      </c>
      <c r="I15" s="8" t="n">
        <f aca="false">RANK(D15,$D$6:$D$15,0)</f>
        <v>8</v>
      </c>
      <c r="J15" s="8" t="str">
        <f aca="false">IF(AND(I15&lt;=$B$3,D15&gt;0),"Pilot",IF(D15=0,"Not suited","Phase 2"))</f>
        <v>Not suited</v>
      </c>
    </row>
    <row r="16" customFormat="false" ht="15" hidden="false" customHeight="false" outlineLevel="0" collapsed="false">
      <c r="A16" s="15" t="s">
        <v>122</v>
      </c>
      <c r="B16" s="16" t="n">
        <f aca="false">SUM(B6:B15)</f>
        <v>10003</v>
      </c>
      <c r="C16" s="17" t="n">
        <f aca="false">SUM(C6:C15)</f>
        <v>1</v>
      </c>
      <c r="D16" s="16" t="n">
        <f aca="false">SUM(D6:D15)</f>
        <v>4889</v>
      </c>
      <c r="E16" s="16" t="n">
        <f aca="false">SUM(E6:E15)</f>
        <v>3683</v>
      </c>
      <c r="F16" s="16" t="n">
        <f aca="false">SUM(F6:F15)</f>
        <v>1431</v>
      </c>
      <c r="G16" s="17" t="n">
        <f aca="false">D16/B16</f>
        <v>0.488753373987804</v>
      </c>
      <c r="H16" s="16" t="n">
        <f aca="false">SUM(H6:H15)</f>
        <v>77</v>
      </c>
    </row>
  </sheetData>
  <conditionalFormatting sqref="J6:J15">
    <cfRule type="cellIs" priority="2" operator="equal" aboveAverage="0" equalAverage="0" bottom="0" percent="0" rank="0" text="" dxfId="7">
      <formula>"Pilot"</formula>
    </cfRule>
    <cfRule type="cellIs" priority="3" operator="equal" aboveAverage="0" equalAverage="0" bottom="0" percent="0" rank="0" text="" dxfId="8">
      <formula>"Phase 2"</formula>
    </cfRule>
    <cfRule type="cellIs" priority="4" operator="equal" aboveAverage="0" equalAverage="0" bottom="0" percent="0" rank="0" text="" dxfId="9">
      <formula>"Not suited"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5"/>
    <col collapsed="false" customWidth="true" hidden="false" outlineLevel="0" max="3" min="3" style="0" width="50"/>
    <col collapsed="false" customWidth="true" hidden="false" outlineLevel="0" max="4" min="4" style="0" width="45"/>
  </cols>
  <sheetData>
    <row r="1" customFormat="false" ht="17.35" hidden="false" customHeight="false" outlineLevel="0" collapsed="false">
      <c r="A1" s="11" t="s">
        <v>133</v>
      </c>
    </row>
    <row r="3" customFormat="false" ht="15" hidden="false" customHeight="false" outlineLevel="0" collapsed="false">
      <c r="A3" s="12" t="s">
        <v>134</v>
      </c>
      <c r="B3" s="12" t="s">
        <v>135</v>
      </c>
      <c r="C3" s="12" t="s">
        <v>136</v>
      </c>
      <c r="D3" s="12" t="s">
        <v>137</v>
      </c>
    </row>
    <row r="4" customFormat="false" ht="48" hidden="false" customHeight="true" outlineLevel="0" collapsed="false">
      <c r="A4" s="19" t="n">
        <v>1</v>
      </c>
      <c r="B4" s="19" t="s">
        <v>138</v>
      </c>
      <c r="C4" s="19" t="s">
        <v>139</v>
      </c>
      <c r="D4" s="19" t="s">
        <v>140</v>
      </c>
    </row>
    <row r="5" customFormat="false" ht="48" hidden="false" customHeight="true" outlineLevel="0" collapsed="false">
      <c r="A5" s="19" t="n">
        <v>2</v>
      </c>
      <c r="B5" s="19" t="s">
        <v>141</v>
      </c>
      <c r="C5" s="19" t="s">
        <v>142</v>
      </c>
      <c r="D5" s="19" t="s">
        <v>143</v>
      </c>
    </row>
    <row r="6" customFormat="false" ht="48" hidden="false" customHeight="true" outlineLevel="0" collapsed="false">
      <c r="A6" s="19" t="n">
        <v>3</v>
      </c>
      <c r="B6" s="19" t="s">
        <v>144</v>
      </c>
      <c r="C6" s="19" t="s">
        <v>145</v>
      </c>
      <c r="D6" s="19" t="s">
        <v>146</v>
      </c>
    </row>
    <row r="9" customFormat="false" ht="15" hidden="false" customHeight="false" outlineLevel="0" collapsed="false">
      <c r="A9" s="15" t="s">
        <v>147</v>
      </c>
    </row>
    <row r="10" customFormat="false" ht="15" hidden="false" customHeight="false" outlineLevel="0" collapsed="false">
      <c r="A10" s="8" t="s">
        <v>148</v>
      </c>
      <c r="B10" s="8" t="s">
        <v>149</v>
      </c>
    </row>
    <row r="11" customFormat="false" ht="15" hidden="false" customHeight="false" outlineLevel="0" collapsed="false">
      <c r="A11" s="8" t="s">
        <v>148</v>
      </c>
      <c r="B11" s="8" t="s">
        <v>150</v>
      </c>
    </row>
    <row r="12" customFormat="false" ht="15" hidden="false" customHeight="false" outlineLevel="0" collapsed="false">
      <c r="A12" s="8" t="s">
        <v>148</v>
      </c>
      <c r="B12" s="8" t="s">
        <v>151</v>
      </c>
    </row>
    <row r="13" customFormat="false" ht="15" hidden="false" customHeight="false" outlineLevel="0" collapsed="false">
      <c r="A13" s="8" t="s">
        <v>148</v>
      </c>
      <c r="B13" s="8" t="s">
        <v>152</v>
      </c>
    </row>
    <row r="14" customFormat="false" ht="15" hidden="false" customHeight="false" outlineLevel="0" collapsed="false">
      <c r="A14" s="8" t="s">
        <v>148</v>
      </c>
      <c r="B14" s="8"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 collapsed="false" customWidth="true" hidden="false" outlineLevel="0" max="3" min="3" style="0" width="70"/>
  </cols>
  <sheetData>
    <row r="1" customFormat="false" ht="17.35" hidden="false" customHeight="false" outlineLevel="0" collapsed="false">
      <c r="A1" s="11" t="s">
        <v>154</v>
      </c>
    </row>
    <row r="3" customFormat="false" ht="15" hidden="false" customHeight="false" outlineLevel="0" collapsed="false">
      <c r="A3" s="12" t="s">
        <v>155</v>
      </c>
      <c r="B3" s="12" t="s">
        <v>156</v>
      </c>
      <c r="C3" s="12" t="s">
        <v>157</v>
      </c>
    </row>
    <row r="4" customFormat="false" ht="42" hidden="false" customHeight="true" outlineLevel="0" collapsed="false">
      <c r="A4" s="20" t="s">
        <v>158</v>
      </c>
      <c r="B4" s="21" t="n">
        <f aca="false">COUNTA(Raw_Data!$A$2:$A$10004)</f>
        <v>10003</v>
      </c>
      <c r="C4" s="20" t="s">
        <v>159</v>
      </c>
    </row>
    <row r="5" customFormat="false" ht="42" hidden="false" customHeight="true" outlineLevel="0" collapsed="false">
      <c r="A5" s="20" t="s">
        <v>160</v>
      </c>
      <c r="B5" s="21" t="n">
        <f aca="false">COUNTA(Intent_Analysis!A5:A81)</f>
        <v>77</v>
      </c>
      <c r="C5" s="20" t="s">
        <v>161</v>
      </c>
    </row>
    <row r="6" customFormat="false" ht="42" hidden="false" customHeight="true" outlineLevel="0" collapsed="false">
      <c r="A6" s="20" t="s">
        <v>162</v>
      </c>
      <c r="B6" s="22" t="n">
        <f aca="false">COUNTBLANK(Raw_Data!$A$2:$A$10004)</f>
        <v>0</v>
      </c>
      <c r="C6" s="20" t="s">
        <v>163</v>
      </c>
    </row>
    <row r="7" customFormat="false" ht="42" hidden="false" customHeight="true" outlineLevel="0" collapsed="false">
      <c r="A7" s="20" t="s">
        <v>164</v>
      </c>
      <c r="B7" s="23" t="n">
        <v>0</v>
      </c>
      <c r="C7" s="20" t="s">
        <v>165</v>
      </c>
    </row>
    <row r="8" customFormat="false" ht="42" hidden="false" customHeight="true" outlineLevel="0" collapsed="false">
      <c r="A8" s="20" t="s">
        <v>166</v>
      </c>
      <c r="B8" s="22" t="str">
        <f aca="false">MIN(Intent_Analysis!C5:C81)&amp;" / "&amp;MAX(Intent_Analysis!C5:C81)</f>
        <v>35 / 187</v>
      </c>
      <c r="C8" s="20" t="s">
        <v>167</v>
      </c>
    </row>
    <row r="9" customFormat="false" ht="42" hidden="false" customHeight="true" outlineLevel="0" collapsed="false">
      <c r="A9" s="20" t="s">
        <v>168</v>
      </c>
      <c r="B9" s="23" t="n">
        <v>2</v>
      </c>
      <c r="C9" s="20" t="s">
        <v>169</v>
      </c>
    </row>
    <row r="10" customFormat="false" ht="42" hidden="false" customHeight="true" outlineLevel="0" collapsed="false">
      <c r="A10" s="20" t="s">
        <v>170</v>
      </c>
      <c r="B10" s="22" t="s">
        <v>171</v>
      </c>
      <c r="C10" s="20" t="s">
        <v>172</v>
      </c>
    </row>
    <row r="11" customFormat="false" ht="42" hidden="false" customHeight="true" outlineLevel="0" collapsed="false">
      <c r="A11" s="20" t="s">
        <v>173</v>
      </c>
      <c r="B11" s="22" t="s">
        <v>171</v>
      </c>
      <c r="C11" s="20" t="s">
        <v>174</v>
      </c>
    </row>
    <row r="12" customFormat="false" ht="42" hidden="false" customHeight="true" outlineLevel="0" collapsed="false">
      <c r="A12" s="20" t="s">
        <v>175</v>
      </c>
      <c r="B12" s="22" t="s">
        <v>171</v>
      </c>
      <c r="C12" s="20" t="s">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1" t="s">
        <v>177</v>
      </c>
    </row>
    <row r="3" customFormat="false" ht="15" hidden="false" customHeight="false" outlineLevel="0" collapsed="false">
      <c r="A3" s="24" t="s">
        <v>178</v>
      </c>
    </row>
    <row r="4" customFormat="false" ht="15" hidden="false" customHeight="false" outlineLevel="0" collapsed="false">
      <c r="A4" s="24" t="s">
        <v>179</v>
      </c>
    </row>
    <row r="5" customFormat="false" ht="15" hidden="false" customHeight="false" outlineLevel="0" collapsed="false">
      <c r="A5" s="24" t="s">
        <v>180</v>
      </c>
    </row>
    <row r="6" customFormat="false" ht="15" hidden="false" customHeight="false" outlineLevel="0" collapsed="false">
      <c r="A6" s="24" t="s">
        <v>178</v>
      </c>
    </row>
    <row r="7" customFormat="false" ht="15" hidden="false" customHeight="false" outlineLevel="0" collapsed="false">
      <c r="A7" s="24" t="s">
        <v>181</v>
      </c>
    </row>
    <row r="8" customFormat="false" ht="15" hidden="false" customHeight="false" outlineLevel="0" collapsed="false">
      <c r="A8" s="24"/>
    </row>
    <row r="9" customFormat="false" ht="15" hidden="false" customHeight="false" outlineLevel="0" collapsed="false">
      <c r="A9" s="24" t="s">
        <v>182</v>
      </c>
    </row>
    <row r="10" customFormat="false" ht="15" hidden="false" customHeight="false" outlineLevel="0" collapsed="false">
      <c r="A10" s="24" t="s">
        <v>183</v>
      </c>
    </row>
    <row r="11" customFormat="false" ht="15" hidden="false" customHeight="false" outlineLevel="0" collapsed="false">
      <c r="A11" s="24" t="s">
        <v>184</v>
      </c>
    </row>
    <row r="12" customFormat="false" ht="15" hidden="false" customHeight="false" outlineLevel="0" collapsed="false">
      <c r="A12" s="24" t="s">
        <v>185</v>
      </c>
    </row>
    <row r="13" customFormat="false" ht="15" hidden="false" customHeight="false" outlineLevel="0" collapsed="false">
      <c r="A13" s="24" t="s">
        <v>186</v>
      </c>
    </row>
    <row r="14" customFormat="false" ht="15" hidden="false" customHeight="false" outlineLevel="0" collapsed="false">
      <c r="A14" s="24" t="s">
        <v>187</v>
      </c>
    </row>
    <row r="15" customFormat="false" ht="15" hidden="false" customHeight="false" outlineLevel="0" collapsed="false">
      <c r="A15" s="24"/>
    </row>
    <row r="16" customFormat="false" ht="15" hidden="false" customHeight="false" outlineLevel="0" collapsed="false">
      <c r="A16" s="24" t="s">
        <v>188</v>
      </c>
    </row>
    <row r="17" customFormat="false" ht="15" hidden="false" customHeight="false" outlineLevel="0" collapsed="false">
      <c r="A17" s="24" t="s">
        <v>189</v>
      </c>
    </row>
    <row r="18" customFormat="false" ht="15" hidden="false" customHeight="false" outlineLevel="0" collapsed="false">
      <c r="A18" s="24" t="s">
        <v>190</v>
      </c>
    </row>
    <row r="19" customFormat="false" ht="15" hidden="false" customHeight="false" outlineLevel="0" collapsed="false">
      <c r="A19" s="24" t="s">
        <v>191</v>
      </c>
    </row>
    <row r="20" customFormat="false" ht="15" hidden="false" customHeight="false" outlineLevel="0" collapsed="false">
      <c r="A20" s="24" t="s">
        <v>192</v>
      </c>
    </row>
    <row r="21" customFormat="false" ht="15" hidden="false" customHeight="false" outlineLevel="0" collapsed="false">
      <c r="A21" s="24"/>
    </row>
    <row r="22" customFormat="false" ht="15" hidden="false" customHeight="false" outlineLevel="0" collapsed="false">
      <c r="A22" s="24" t="s">
        <v>193</v>
      </c>
    </row>
    <row r="23" customFormat="false" ht="15" hidden="false" customHeight="false" outlineLevel="0" collapsed="false">
      <c r="A23" s="24"/>
    </row>
    <row r="24" customFormat="false" ht="15" hidden="false" customHeight="false" outlineLevel="0" collapsed="false">
      <c r="A24" s="24" t="s">
        <v>194</v>
      </c>
    </row>
    <row r="25" customFormat="false" ht="15" hidden="false" customHeight="false" outlineLevel="0" collapsed="false">
      <c r="A25" s="24" t="s">
        <v>195</v>
      </c>
    </row>
    <row r="26" customFormat="false" ht="15" hidden="false" customHeight="false" outlineLevel="0" collapsed="false">
      <c r="A26" s="24" t="s">
        <v>196</v>
      </c>
    </row>
    <row r="27" customFormat="false" ht="15" hidden="false" customHeight="false" outlineLevel="0" collapsed="false">
      <c r="A27" s="24" t="s">
        <v>197</v>
      </c>
    </row>
    <row r="28" customFormat="false" ht="15" hidden="false" customHeight="false" outlineLevel="0" collapsed="false">
      <c r="A28" s="24" t="s">
        <v>198</v>
      </c>
    </row>
    <row r="29" customFormat="false" ht="15" hidden="false" customHeight="false" outlineLevel="0" collapsed="false">
      <c r="A29" s="24" t="s">
        <v>199</v>
      </c>
    </row>
    <row r="30" customFormat="false" ht="15" hidden="false" customHeight="false" outlineLevel="0" collapsed="false">
      <c r="A30" s="24"/>
    </row>
    <row r="31" customFormat="false" ht="15" hidden="false" customHeight="false" outlineLevel="0" collapsed="false">
      <c r="A31" s="24" t="s">
        <v>200</v>
      </c>
    </row>
    <row r="32" customFormat="false" ht="15" hidden="false" customHeight="false" outlineLevel="0" collapsed="false">
      <c r="A32" s="24" t="s">
        <v>201</v>
      </c>
    </row>
    <row r="33" customFormat="false" ht="15" hidden="false" customHeight="false" outlineLevel="0" collapsed="false">
      <c r="A33" s="24" t="s">
        <v>202</v>
      </c>
    </row>
    <row r="34" customFormat="false" ht="15" hidden="false" customHeight="false" outlineLevel="0" collapsed="false">
      <c r="A34" s="24" t="s">
        <v>203</v>
      </c>
    </row>
    <row r="35" customFormat="false" ht="15" hidden="false" customHeight="false" outlineLevel="0" collapsed="false">
      <c r="A35" s="24" t="s">
        <v>204</v>
      </c>
    </row>
    <row r="36" customFormat="false" ht="15" hidden="false" customHeight="false" outlineLevel="0" collapsed="false">
      <c r="A36" s="24" t="s">
        <v>205</v>
      </c>
    </row>
    <row r="37" customFormat="false" ht="15" hidden="false" customHeight="false" outlineLevel="0" collapsed="false">
      <c r="A37" s="24" t="s">
        <v>206</v>
      </c>
    </row>
    <row r="38" customFormat="false" ht="15" hidden="false" customHeight="false" outlineLevel="0" collapsed="false">
      <c r="A38" s="24" t="s">
        <v>207</v>
      </c>
    </row>
    <row r="39" customFormat="false" ht="15" hidden="false" customHeight="false" outlineLevel="0" collapsed="false">
      <c r="A39" s="24" t="s">
        <v>208</v>
      </c>
    </row>
    <row r="40" customFormat="false" ht="15" hidden="false" customHeight="false" outlineLevel="0" collapsed="false">
      <c r="A40" s="24" t="s">
        <v>187</v>
      </c>
    </row>
    <row r="41" customFormat="false" ht="15" hidden="false" customHeight="false" outlineLevel="0" collapsed="false">
      <c r="A41" s="24" t="s">
        <v>209</v>
      </c>
    </row>
    <row r="42" customFormat="false" ht="15" hidden="false" customHeight="false" outlineLevel="0" collapsed="false">
      <c r="A42" s="24" t="s">
        <v>210</v>
      </c>
    </row>
    <row r="43" customFormat="false" ht="15" hidden="false" customHeight="false" outlineLevel="0" collapsed="false">
      <c r="A43" s="24" t="s">
        <v>211</v>
      </c>
    </row>
    <row r="44" customFormat="false" ht="15" hidden="false" customHeight="false" outlineLevel="0" collapsed="false">
      <c r="A44" s="24" t="s">
        <v>212</v>
      </c>
    </row>
    <row r="45" customFormat="false" ht="15" hidden="false" customHeight="false" outlineLevel="0" collapsed="false">
      <c r="A45" s="24" t="s">
        <v>213</v>
      </c>
    </row>
    <row r="46" customFormat="false" ht="15" hidden="false" customHeight="false" outlineLevel="0" collapsed="false">
      <c r="A46" s="24" t="s">
        <v>214</v>
      </c>
    </row>
    <row r="47" customFormat="false" ht="15" hidden="false" customHeight="false" outlineLevel="0" collapsed="false">
      <c r="A47" s="24" t="s">
        <v>215</v>
      </c>
    </row>
    <row r="48" customFormat="false" ht="15" hidden="false" customHeight="false" outlineLevel="0" collapsed="false">
      <c r="A48" s="24" t="s">
        <v>216</v>
      </c>
    </row>
    <row r="49" customFormat="false" ht="15" hidden="false" customHeight="false" outlineLevel="0" collapsed="false">
      <c r="A49" s="24" t="s">
        <v>217</v>
      </c>
    </row>
    <row r="50" customFormat="false" ht="15" hidden="false" customHeight="false" outlineLevel="0" collapsed="false">
      <c r="A50" s="24" t="s">
        <v>218</v>
      </c>
    </row>
    <row r="51" customFormat="false" ht="15" hidden="false" customHeight="false" outlineLevel="0" collapsed="false">
      <c r="A51" s="24" t="s">
        <v>219</v>
      </c>
    </row>
    <row r="52" customFormat="false" ht="15" hidden="false" customHeight="false" outlineLevel="0" collapsed="false">
      <c r="A52" s="24" t="s">
        <v>220</v>
      </c>
    </row>
    <row r="53" customFormat="false" ht="15" hidden="false" customHeight="false" outlineLevel="0" collapsed="false">
      <c r="A53" s="24" t="s">
        <v>221</v>
      </c>
    </row>
    <row r="54" customFormat="false" ht="15" hidden="false" customHeight="false" outlineLevel="0" collapsed="false">
      <c r="A54" s="24" t="s">
        <v>222</v>
      </c>
    </row>
    <row r="55" customFormat="false" ht="15" hidden="false" customHeight="false" outlineLevel="0" collapsed="false">
      <c r="A55" s="24" t="s">
        <v>223</v>
      </c>
    </row>
    <row r="56" customFormat="false" ht="15" hidden="false" customHeight="false" outlineLevel="0" collapsed="false">
      <c r="A56" s="24" t="s">
        <v>224</v>
      </c>
    </row>
    <row r="57" customFormat="false" ht="15" hidden="false" customHeight="false" outlineLevel="0" collapsed="false">
      <c r="A57" s="24" t="s">
        <v>225</v>
      </c>
    </row>
    <row r="58" customFormat="false" ht="15" hidden="false" customHeight="false" outlineLevel="0" collapsed="false">
      <c r="A58" s="24" t="s">
        <v>226</v>
      </c>
    </row>
    <row r="59" customFormat="false" ht="15" hidden="false" customHeight="false" outlineLevel="0" collapsed="false">
      <c r="A59" s="24" t="s">
        <v>227</v>
      </c>
    </row>
    <row r="60" customFormat="false" ht="15" hidden="false" customHeight="false" outlineLevel="0" collapsed="false">
      <c r="A60" s="24" t="s">
        <v>228</v>
      </c>
    </row>
    <row r="61" customFormat="false" ht="15" hidden="false" customHeight="false" outlineLevel="0" collapsed="false">
      <c r="A61" s="24" t="s">
        <v>229</v>
      </c>
    </row>
    <row r="62" customFormat="false" ht="15" hidden="false" customHeight="false" outlineLevel="0" collapsed="false">
      <c r="A62" s="24" t="s">
        <v>230</v>
      </c>
    </row>
    <row r="63" customFormat="false" ht="15" hidden="false" customHeight="false" outlineLevel="0" collapsed="false">
      <c r="A63" s="24" t="s">
        <v>231</v>
      </c>
    </row>
    <row r="64" customFormat="false" ht="15" hidden="false" customHeight="false" outlineLevel="0" collapsed="false">
      <c r="A64" s="24" t="s">
        <v>232</v>
      </c>
    </row>
    <row r="65" customFormat="false" ht="15" hidden="false" customHeight="false" outlineLevel="0" collapsed="false">
      <c r="A65" s="24" t="s">
        <v>233</v>
      </c>
    </row>
    <row r="66" customFormat="false" ht="15" hidden="false" customHeight="false" outlineLevel="0" collapsed="false">
      <c r="A66" s="24" t="s">
        <v>234</v>
      </c>
    </row>
    <row r="67" customFormat="false" ht="15" hidden="false" customHeight="false" outlineLevel="0" collapsed="false">
      <c r="A67" s="24" t="s">
        <v>235</v>
      </c>
    </row>
    <row r="68" customFormat="false" ht="15" hidden="false" customHeight="false" outlineLevel="0" collapsed="false">
      <c r="A68" s="24" t="s">
        <v>236</v>
      </c>
    </row>
    <row r="69" customFormat="false" ht="15" hidden="false" customHeight="false" outlineLevel="0" collapsed="false">
      <c r="A69" s="24" t="s">
        <v>237</v>
      </c>
    </row>
    <row r="70" customFormat="false" ht="15" hidden="false" customHeight="false" outlineLevel="0" collapsed="false">
      <c r="A70" s="24" t="s">
        <v>238</v>
      </c>
    </row>
    <row r="71" customFormat="false" ht="15" hidden="false" customHeight="false" outlineLevel="0" collapsed="false">
      <c r="A71" s="24" t="s">
        <v>239</v>
      </c>
    </row>
    <row r="72" customFormat="false" ht="15" hidden="false" customHeight="false" outlineLevel="0" collapsed="false">
      <c r="A72" s="24" t="s">
        <v>240</v>
      </c>
    </row>
    <row r="73" customFormat="false" ht="15" hidden="false" customHeight="false" outlineLevel="0" collapsed="false">
      <c r="A73" s="24" t="s">
        <v>241</v>
      </c>
    </row>
    <row r="74" customFormat="false" ht="15" hidden="false" customHeight="false" outlineLevel="0" collapsed="false">
      <c r="A74" s="24" t="s">
        <v>242</v>
      </c>
    </row>
    <row r="75" customFormat="false" ht="15" hidden="false" customHeight="false" outlineLevel="0" collapsed="false">
      <c r="A75" s="24" t="s">
        <v>243</v>
      </c>
    </row>
    <row r="76" customFormat="false" ht="15" hidden="false" customHeight="false" outlineLevel="0" collapsed="false">
      <c r="A76" s="24" t="s">
        <v>244</v>
      </c>
    </row>
    <row r="77" customFormat="false" ht="15" hidden="false" customHeight="false" outlineLevel="0" collapsed="false">
      <c r="A77" s="24" t="s">
        <v>245</v>
      </c>
    </row>
    <row r="78" customFormat="false" ht="15" hidden="false" customHeight="false" outlineLevel="0" collapsed="false">
      <c r="A78" s="24" t="s">
        <v>246</v>
      </c>
    </row>
    <row r="79" customFormat="false" ht="15" hidden="false" customHeight="false" outlineLevel="0" collapsed="false">
      <c r="A79" s="24" t="s">
        <v>247</v>
      </c>
    </row>
    <row r="80" customFormat="false" ht="15" hidden="false" customHeight="false" outlineLevel="0" collapsed="false">
      <c r="A80" s="24" t="s">
        <v>248</v>
      </c>
    </row>
    <row r="81" customFormat="false" ht="15" hidden="false" customHeight="false" outlineLevel="0" collapsed="false">
      <c r="A81" s="24" t="s">
        <v>249</v>
      </c>
    </row>
    <row r="82" customFormat="false" ht="15" hidden="false" customHeight="false" outlineLevel="0" collapsed="false">
      <c r="A82" s="24" t="s">
        <v>250</v>
      </c>
    </row>
    <row r="83" customFormat="false" ht="15" hidden="false" customHeight="false" outlineLevel="0" collapsed="false">
      <c r="A83" s="24" t="s">
        <v>251</v>
      </c>
    </row>
    <row r="84" customFormat="false" ht="15" hidden="false" customHeight="false" outlineLevel="0" collapsed="false">
      <c r="A84" s="24" t="s">
        <v>252</v>
      </c>
    </row>
    <row r="85" customFormat="false" ht="15" hidden="false" customHeight="false" outlineLevel="0" collapsed="false">
      <c r="A85" s="24" t="s">
        <v>253</v>
      </c>
    </row>
    <row r="86" customFormat="false" ht="15" hidden="false" customHeight="false" outlineLevel="0" collapsed="false">
      <c r="A86" s="24" t="s">
        <v>254</v>
      </c>
    </row>
    <row r="87" customFormat="false" ht="15" hidden="false" customHeight="false" outlineLevel="0" collapsed="false">
      <c r="A87" s="24" t="s">
        <v>255</v>
      </c>
    </row>
    <row r="88" customFormat="false" ht="15" hidden="false" customHeight="false" outlineLevel="0" collapsed="false">
      <c r="A88" s="24" t="s">
        <v>256</v>
      </c>
    </row>
    <row r="89" customFormat="false" ht="15" hidden="false" customHeight="false" outlineLevel="0" collapsed="false">
      <c r="A89" s="24" t="s">
        <v>257</v>
      </c>
    </row>
    <row r="90" customFormat="false" ht="15" hidden="false" customHeight="false" outlineLevel="0" collapsed="false">
      <c r="A90" s="24" t="s">
        <v>258</v>
      </c>
    </row>
    <row r="91" customFormat="false" ht="15" hidden="false" customHeight="false" outlineLevel="0" collapsed="false">
      <c r="A91" s="24" t="s">
        <v>259</v>
      </c>
    </row>
    <row r="92" customFormat="false" ht="15" hidden="false" customHeight="false" outlineLevel="0" collapsed="false">
      <c r="A92" s="24" t="s">
        <v>260</v>
      </c>
    </row>
    <row r="93" customFormat="false" ht="15" hidden="false" customHeight="false" outlineLevel="0" collapsed="false">
      <c r="A93" s="24" t="s">
        <v>261</v>
      </c>
    </row>
    <row r="94" customFormat="false" ht="15" hidden="false" customHeight="false" outlineLevel="0" collapsed="false">
      <c r="A94" s="24" t="s">
        <v>262</v>
      </c>
    </row>
    <row r="95" customFormat="false" ht="15" hidden="false" customHeight="false" outlineLevel="0" collapsed="false">
      <c r="A95" s="24" t="s">
        <v>263</v>
      </c>
    </row>
    <row r="96" customFormat="false" ht="15" hidden="false" customHeight="false" outlineLevel="0" collapsed="false">
      <c r="A96" s="24" t="s">
        <v>264</v>
      </c>
    </row>
    <row r="97" customFormat="false" ht="15" hidden="false" customHeight="false" outlineLevel="0" collapsed="false">
      <c r="A97" s="24" t="s">
        <v>265</v>
      </c>
    </row>
    <row r="98" customFormat="false" ht="15" hidden="false" customHeight="false" outlineLevel="0" collapsed="false">
      <c r="A98" s="24" t="s">
        <v>266</v>
      </c>
    </row>
    <row r="99" customFormat="false" ht="15" hidden="false" customHeight="false" outlineLevel="0" collapsed="false">
      <c r="A99" s="24" t="s">
        <v>267</v>
      </c>
    </row>
    <row r="100" customFormat="false" ht="15" hidden="false" customHeight="false" outlineLevel="0" collapsed="false">
      <c r="A100" s="24" t="s">
        <v>268</v>
      </c>
    </row>
    <row r="101" customFormat="false" ht="15" hidden="false" customHeight="false" outlineLevel="0" collapsed="false">
      <c r="A101" s="24" t="s">
        <v>269</v>
      </c>
    </row>
    <row r="102" customFormat="false" ht="15" hidden="false" customHeight="false" outlineLevel="0" collapsed="false">
      <c r="A102" s="24" t="s">
        <v>270</v>
      </c>
    </row>
    <row r="103" customFormat="false" ht="15" hidden="false" customHeight="false" outlineLevel="0" collapsed="false">
      <c r="A103" s="24" t="s">
        <v>271</v>
      </c>
    </row>
    <row r="104" customFormat="false" ht="15" hidden="false" customHeight="false" outlineLevel="0" collapsed="false">
      <c r="A104" s="24" t="s">
        <v>272</v>
      </c>
    </row>
    <row r="105" customFormat="false" ht="15" hidden="false" customHeight="false" outlineLevel="0" collapsed="false">
      <c r="A105" s="24" t="s">
        <v>273</v>
      </c>
    </row>
    <row r="106" customFormat="false" ht="15" hidden="false" customHeight="false" outlineLevel="0" collapsed="false">
      <c r="A106" s="24" t="s">
        <v>274</v>
      </c>
    </row>
    <row r="107" customFormat="false" ht="15" hidden="false" customHeight="false" outlineLevel="0" collapsed="false">
      <c r="A107" s="24" t="s">
        <v>275</v>
      </c>
    </row>
    <row r="108" customFormat="false" ht="15" hidden="false" customHeight="false" outlineLevel="0" collapsed="false">
      <c r="A108" s="24" t="s">
        <v>276</v>
      </c>
    </row>
    <row r="109" customFormat="false" ht="15" hidden="false" customHeight="false" outlineLevel="0" collapsed="false">
      <c r="A109" s="24" t="s">
        <v>277</v>
      </c>
    </row>
    <row r="110" customFormat="false" ht="15" hidden="false" customHeight="false" outlineLevel="0" collapsed="false">
      <c r="A110" s="24" t="s">
        <v>278</v>
      </c>
    </row>
    <row r="111" customFormat="false" ht="15" hidden="false" customHeight="false" outlineLevel="0" collapsed="false">
      <c r="A111" s="24" t="s">
        <v>279</v>
      </c>
    </row>
    <row r="112" customFormat="false" ht="15" hidden="false" customHeight="false" outlineLevel="0" collapsed="false">
      <c r="A112" s="24" t="s">
        <v>280</v>
      </c>
    </row>
    <row r="113" customFormat="false" ht="15" hidden="false" customHeight="false" outlineLevel="0" collapsed="false">
      <c r="A113" s="24" t="s">
        <v>281</v>
      </c>
    </row>
    <row r="114" customFormat="false" ht="15" hidden="false" customHeight="false" outlineLevel="0" collapsed="false">
      <c r="A114" s="24" t="s">
        <v>282</v>
      </c>
    </row>
    <row r="115" customFormat="false" ht="15" hidden="false" customHeight="false" outlineLevel="0" collapsed="false">
      <c r="A115" s="24" t="s">
        <v>283</v>
      </c>
    </row>
    <row r="116" customFormat="false" ht="15" hidden="false" customHeight="false" outlineLevel="0" collapsed="false">
      <c r="A116" s="24" t="s">
        <v>284</v>
      </c>
    </row>
    <row r="117" customFormat="false" ht="15" hidden="false" customHeight="false" outlineLevel="0" collapsed="false">
      <c r="A117" s="24" t="s">
        <v>285</v>
      </c>
    </row>
    <row r="118" customFormat="false" ht="15" hidden="false" customHeight="false" outlineLevel="0" collapsed="false">
      <c r="A118" s="24" t="s">
        <v>286</v>
      </c>
    </row>
    <row r="119" customFormat="false" ht="15" hidden="false" customHeight="false" outlineLevel="0" collapsed="false">
      <c r="A119" s="24"/>
    </row>
    <row r="120" customFormat="false" ht="15" hidden="false" customHeight="false" outlineLevel="0" collapsed="false">
      <c r="A120" s="24" t="s">
        <v>287</v>
      </c>
    </row>
    <row r="121" customFormat="false" ht="15" hidden="false" customHeight="false" outlineLevel="0" collapsed="false">
      <c r="A121" s="24" t="s">
        <v>288</v>
      </c>
    </row>
    <row r="122" customFormat="false" ht="15" hidden="false" customHeight="false" outlineLevel="0" collapsed="false">
      <c r="A122" s="24" t="s">
        <v>289</v>
      </c>
    </row>
    <row r="123" customFormat="false" ht="15" hidden="false" customHeight="false" outlineLevel="0" collapsed="false">
      <c r="A123" s="24" t="s">
        <v>290</v>
      </c>
    </row>
    <row r="124" customFormat="false" ht="15" hidden="false" customHeight="false" outlineLevel="0" collapsed="false">
      <c r="A124" s="24"/>
    </row>
    <row r="125" customFormat="false" ht="15" hidden="false" customHeight="false" outlineLevel="0" collapsed="false">
      <c r="A125" s="24" t="s">
        <v>291</v>
      </c>
    </row>
    <row r="126" customFormat="false" ht="15" hidden="false" customHeight="false" outlineLevel="0" collapsed="false">
      <c r="A126" s="24" t="s">
        <v>292</v>
      </c>
    </row>
    <row r="127" customFormat="false" ht="15" hidden="false" customHeight="false" outlineLevel="0" collapsed="false">
      <c r="A127" s="24" t="s">
        <v>293</v>
      </c>
    </row>
    <row r="128" customFormat="false" ht="15" hidden="false" customHeight="false" outlineLevel="0" collapsed="false">
      <c r="A128" s="24" t="s">
        <v>294</v>
      </c>
    </row>
    <row r="129" customFormat="false" ht="15" hidden="false" customHeight="false" outlineLevel="0" collapsed="false">
      <c r="A129" s="24" t="s">
        <v>295</v>
      </c>
    </row>
    <row r="130" customFormat="false" ht="15" hidden="false" customHeight="false" outlineLevel="0" collapsed="false">
      <c r="A130" s="24" t="s">
        <v>296</v>
      </c>
    </row>
    <row r="131" customFormat="false" ht="15" hidden="false" customHeight="false" outlineLevel="0" collapsed="false">
      <c r="A131" s="24" t="s">
        <v>297</v>
      </c>
    </row>
    <row r="132" customFormat="false" ht="15" hidden="false" customHeight="false" outlineLevel="0" collapsed="false">
      <c r="A132" s="24" t="s">
        <v>298</v>
      </c>
    </row>
    <row r="133" customFormat="false" ht="15" hidden="false" customHeight="false" outlineLevel="0" collapsed="false">
      <c r="A133" s="24"/>
    </row>
    <row r="134" customFormat="false" ht="15" hidden="false" customHeight="false" outlineLevel="0" collapsed="false">
      <c r="A134" s="24" t="s">
        <v>299</v>
      </c>
    </row>
    <row r="135" customFormat="false" ht="15" hidden="false" customHeight="false" outlineLevel="0" collapsed="false">
      <c r="A135" s="24" t="s">
        <v>300</v>
      </c>
    </row>
    <row r="136" customFormat="false" ht="15" hidden="false" customHeight="false" outlineLevel="0" collapsed="false">
      <c r="A136" s="24" t="s">
        <v>301</v>
      </c>
    </row>
    <row r="137" customFormat="false" ht="15" hidden="false" customHeight="false" outlineLevel="0" collapsed="false">
      <c r="A137" s="24" t="s">
        <v>302</v>
      </c>
    </row>
    <row r="138" customFormat="false" ht="15" hidden="false" customHeight="false" outlineLevel="0" collapsed="false">
      <c r="A138" s="24" t="s">
        <v>303</v>
      </c>
    </row>
    <row r="139" customFormat="false" ht="15" hidden="false" customHeight="false" outlineLevel="0" collapsed="false">
      <c r="A139" s="24" t="s">
        <v>304</v>
      </c>
    </row>
    <row r="140" customFormat="false" ht="15" hidden="false" customHeight="false" outlineLevel="0" collapsed="false">
      <c r="A140" s="24" t="s">
        <v>305</v>
      </c>
    </row>
    <row r="141" customFormat="false" ht="15" hidden="false" customHeight="false" outlineLevel="0" collapsed="false">
      <c r="A141" s="24" t="s">
        <v>306</v>
      </c>
    </row>
    <row r="142" customFormat="false" ht="15" hidden="false" customHeight="false" outlineLevel="0" collapsed="false">
      <c r="A142" s="24" t="s">
        <v>295</v>
      </c>
    </row>
    <row r="143" customFormat="false" ht="15" hidden="false" customHeight="false" outlineLevel="0" collapsed="false">
      <c r="A143" s="24" t="s">
        <v>296</v>
      </c>
    </row>
    <row r="144" customFormat="false" ht="15" hidden="false" customHeight="false" outlineLevel="0" collapsed="false">
      <c r="A144" s="24" t="s">
        <v>307</v>
      </c>
    </row>
    <row r="145" customFormat="false" ht="15" hidden="false" customHeight="false" outlineLevel="0" collapsed="false">
      <c r="A145" s="24" t="s">
        <v>308</v>
      </c>
    </row>
    <row r="146" customFormat="false" ht="15" hidden="false" customHeight="false" outlineLevel="0" collapsed="false">
      <c r="A146" s="24"/>
    </row>
    <row r="147" customFormat="false" ht="15" hidden="false" customHeight="false" outlineLevel="0" collapsed="false">
      <c r="A147" s="24" t="s">
        <v>309</v>
      </c>
    </row>
    <row r="148" customFormat="false" ht="15" hidden="false" customHeight="false" outlineLevel="0" collapsed="false">
      <c r="A148" s="24" t="s">
        <v>310</v>
      </c>
    </row>
    <row r="149" customFormat="false" ht="15" hidden="false" customHeight="false" outlineLevel="0" collapsed="false">
      <c r="A149" s="24" t="s">
        <v>311</v>
      </c>
    </row>
    <row r="150" customFormat="false" ht="15" hidden="false" customHeight="false" outlineLevel="0" collapsed="false">
      <c r="A150" s="24" t="s">
        <v>295</v>
      </c>
    </row>
    <row r="151" customFormat="false" ht="15" hidden="false" customHeight="false" outlineLevel="0" collapsed="false">
      <c r="A151" s="24" t="s">
        <v>296</v>
      </c>
    </row>
    <row r="152" customFormat="false" ht="15" hidden="false" customHeight="false" outlineLevel="0" collapsed="false">
      <c r="A152" s="24" t="s">
        <v>312</v>
      </c>
    </row>
    <row r="153" customFormat="false" ht="15" hidden="false" customHeight="false" outlineLevel="0" collapsed="false">
      <c r="A153" s="24" t="s">
        <v>313</v>
      </c>
    </row>
    <row r="154" customFormat="false" ht="15" hidden="false" customHeight="false" outlineLevel="0" collapsed="false">
      <c r="A154" s="24"/>
    </row>
    <row r="155" customFormat="false" ht="15" hidden="false" customHeight="false" outlineLevel="0" collapsed="false">
      <c r="A155" s="24" t="s">
        <v>314</v>
      </c>
    </row>
    <row r="156" customFormat="false" ht="15" hidden="false" customHeight="false" outlineLevel="0" collapsed="false">
      <c r="A156" s="24" t="s">
        <v>315</v>
      </c>
    </row>
    <row r="157" customFormat="false" ht="15" hidden="false" customHeight="false" outlineLevel="0" collapsed="false">
      <c r="A157" s="24" t="s">
        <v>316</v>
      </c>
    </row>
    <row r="158" customFormat="false" ht="15" hidden="false" customHeight="false" outlineLevel="0" collapsed="false">
      <c r="A158" s="24" t="s">
        <v>317</v>
      </c>
    </row>
    <row r="159" customFormat="false" ht="15" hidden="false" customHeight="false" outlineLevel="0" collapsed="false">
      <c r="A159" s="24" t="s">
        <v>318</v>
      </c>
    </row>
    <row r="160" customFormat="false" ht="15" hidden="false" customHeight="false" outlineLevel="0" collapsed="false">
      <c r="A160" s="24" t="s">
        <v>319</v>
      </c>
    </row>
    <row r="161" customFormat="false" ht="15" hidden="false" customHeight="false" outlineLevel="0" collapsed="false">
      <c r="A161" s="24" t="s">
        <v>320</v>
      </c>
    </row>
    <row r="162" customFormat="false" ht="15" hidden="false" customHeight="false" outlineLevel="0" collapsed="false">
      <c r="A162" s="24" t="s">
        <v>321</v>
      </c>
    </row>
    <row r="163" customFormat="false" ht="15" hidden="false" customHeight="false" outlineLevel="0" collapsed="false">
      <c r="A163" s="24" t="s">
        <v>322</v>
      </c>
    </row>
    <row r="164" customFormat="false" ht="15" hidden="false" customHeight="false" outlineLevel="0" collapsed="false">
      <c r="A164" s="24" t="s">
        <v>323</v>
      </c>
    </row>
    <row r="165" customFormat="false" ht="15" hidden="false" customHeight="false" outlineLevel="0" collapsed="false">
      <c r="A165" s="24" t="s">
        <v>324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40"/>
    <col collapsed="false" customWidth="true" hidden="false" outlineLevel="0" max="3" min="3" style="0" width="30"/>
    <col collapsed="false" customWidth="true" hidden="false" outlineLevel="0" max="4" min="4" style="0" width="8"/>
  </cols>
  <sheetData>
    <row r="1" customFormat="false" ht="15" hidden="false" customHeight="false" outlineLevel="0" collapsed="false">
      <c r="A1" s="12" t="s">
        <v>325</v>
      </c>
      <c r="B1" s="12" t="s">
        <v>28</v>
      </c>
      <c r="C1" s="12" t="s">
        <v>29</v>
      </c>
      <c r="D1" s="12" t="s">
        <v>134</v>
      </c>
    </row>
    <row r="2" customFormat="false" ht="15" hidden="false" customHeight="false" outlineLevel="0" collapsed="false">
      <c r="A2" s="0" t="s">
        <v>326</v>
      </c>
      <c r="B2" s="0" t="s">
        <v>46</v>
      </c>
      <c r="C2" s="0" t="str">
        <f aca="false">INDEX(Intent_Analysis!$B$5:$B$81,MATCH(B2,Intent_Analysis!$A$5:$A$81,0))</f>
        <v>Card delivery &amp; activation</v>
      </c>
      <c r="D2" s="0" t="n">
        <f aca="false">INDEX(Intent_Analysis!$E$5:$E$81,MATCH(B2,Intent_Analysis!$A$5:$A$81,0))</f>
        <v>1</v>
      </c>
    </row>
    <row r="3" customFormat="false" ht="15" hidden="false" customHeight="false" outlineLevel="0" collapsed="false">
      <c r="A3" s="0" t="s">
        <v>327</v>
      </c>
      <c r="B3" s="0" t="s">
        <v>46</v>
      </c>
      <c r="C3" s="0" t="str">
        <f aca="false">INDEX(Intent_Analysis!$B$5:$B$81,MATCH(B3,Intent_Analysis!$A$5:$A$81,0))</f>
        <v>Card delivery &amp; activation</v>
      </c>
      <c r="D3" s="0" t="n">
        <f aca="false">INDEX(Intent_Analysis!$E$5:$E$81,MATCH(B3,Intent_Analysis!$A$5:$A$81,0))</f>
        <v>1</v>
      </c>
    </row>
    <row r="4" customFormat="false" ht="15" hidden="false" customHeight="false" outlineLevel="0" collapsed="false">
      <c r="A4" s="0" t="s">
        <v>328</v>
      </c>
      <c r="B4" s="0" t="s">
        <v>46</v>
      </c>
      <c r="C4" s="0" t="str">
        <f aca="false">INDEX(Intent_Analysis!$B$5:$B$81,MATCH(B4,Intent_Analysis!$A$5:$A$81,0))</f>
        <v>Card delivery &amp; activation</v>
      </c>
      <c r="D4" s="0" t="n">
        <f aca="false">INDEX(Intent_Analysis!$E$5:$E$81,MATCH(B4,Intent_Analysis!$A$5:$A$81,0))</f>
        <v>1</v>
      </c>
    </row>
    <row r="5" customFormat="false" ht="15" hidden="false" customHeight="false" outlineLevel="0" collapsed="false">
      <c r="A5" s="0" t="s">
        <v>329</v>
      </c>
      <c r="B5" s="0" t="s">
        <v>46</v>
      </c>
      <c r="C5" s="0" t="str">
        <f aca="false">INDEX(Intent_Analysis!$B$5:$B$81,MATCH(B5,Intent_Analysis!$A$5:$A$81,0))</f>
        <v>Card delivery &amp; activation</v>
      </c>
      <c r="D5" s="0" t="n">
        <f aca="false">INDEX(Intent_Analysis!$E$5:$E$81,MATCH(B5,Intent_Analysis!$A$5:$A$81,0))</f>
        <v>1</v>
      </c>
    </row>
    <row r="6" customFormat="false" ht="15" hidden="false" customHeight="false" outlineLevel="0" collapsed="false">
      <c r="A6" s="0" t="s">
        <v>330</v>
      </c>
      <c r="B6" s="0" t="s">
        <v>46</v>
      </c>
      <c r="C6" s="0" t="str">
        <f aca="false">INDEX(Intent_Analysis!$B$5:$B$81,MATCH(B6,Intent_Analysis!$A$5:$A$81,0))</f>
        <v>Card delivery &amp; activation</v>
      </c>
      <c r="D6" s="0" t="n">
        <f aca="false">INDEX(Intent_Analysis!$E$5:$E$81,MATCH(B6,Intent_Analysis!$A$5:$A$81,0))</f>
        <v>1</v>
      </c>
    </row>
    <row r="7" customFormat="false" ht="15" hidden="false" customHeight="false" outlineLevel="0" collapsed="false">
      <c r="A7" s="0" t="s">
        <v>331</v>
      </c>
      <c r="B7" s="0" t="s">
        <v>46</v>
      </c>
      <c r="C7" s="0" t="str">
        <f aca="false">INDEX(Intent_Analysis!$B$5:$B$81,MATCH(B7,Intent_Analysis!$A$5:$A$81,0))</f>
        <v>Card delivery &amp; activation</v>
      </c>
      <c r="D7" s="0" t="n">
        <f aca="false">INDEX(Intent_Analysis!$E$5:$E$81,MATCH(B7,Intent_Analysis!$A$5:$A$81,0))</f>
        <v>1</v>
      </c>
    </row>
    <row r="8" customFormat="false" ht="15" hidden="false" customHeight="false" outlineLevel="0" collapsed="false">
      <c r="A8" s="0" t="s">
        <v>332</v>
      </c>
      <c r="B8" s="0" t="s">
        <v>46</v>
      </c>
      <c r="C8" s="0" t="str">
        <f aca="false">INDEX(Intent_Analysis!$B$5:$B$81,MATCH(B8,Intent_Analysis!$A$5:$A$81,0))</f>
        <v>Card delivery &amp; activation</v>
      </c>
      <c r="D8" s="0" t="n">
        <f aca="false">INDEX(Intent_Analysis!$E$5:$E$81,MATCH(B8,Intent_Analysis!$A$5:$A$81,0))</f>
        <v>1</v>
      </c>
    </row>
    <row r="9" customFormat="false" ht="15" hidden="false" customHeight="false" outlineLevel="0" collapsed="false">
      <c r="A9" s="0" t="s">
        <v>333</v>
      </c>
      <c r="B9" s="0" t="s">
        <v>46</v>
      </c>
      <c r="C9" s="0" t="str">
        <f aca="false">INDEX(Intent_Analysis!$B$5:$B$81,MATCH(B9,Intent_Analysis!$A$5:$A$81,0))</f>
        <v>Card delivery &amp; activation</v>
      </c>
      <c r="D9" s="0" t="n">
        <f aca="false">INDEX(Intent_Analysis!$E$5:$E$81,MATCH(B9,Intent_Analysis!$A$5:$A$81,0))</f>
        <v>1</v>
      </c>
    </row>
    <row r="10" customFormat="false" ht="15" hidden="false" customHeight="false" outlineLevel="0" collapsed="false">
      <c r="A10" s="0" t="s">
        <v>334</v>
      </c>
      <c r="B10" s="0" t="s">
        <v>46</v>
      </c>
      <c r="C10" s="0" t="str">
        <f aca="false">INDEX(Intent_Analysis!$B$5:$B$81,MATCH(B10,Intent_Analysis!$A$5:$A$81,0))</f>
        <v>Card delivery &amp; activation</v>
      </c>
      <c r="D10" s="0" t="n">
        <f aca="false">INDEX(Intent_Analysis!$E$5:$E$81,MATCH(B10,Intent_Analysis!$A$5:$A$81,0))</f>
        <v>1</v>
      </c>
    </row>
    <row r="11" customFormat="false" ht="15" hidden="false" customHeight="false" outlineLevel="0" collapsed="false">
      <c r="A11" s="0" t="s">
        <v>335</v>
      </c>
      <c r="B11" s="0" t="s">
        <v>46</v>
      </c>
      <c r="C11" s="0" t="str">
        <f aca="false">INDEX(Intent_Analysis!$B$5:$B$81,MATCH(B11,Intent_Analysis!$A$5:$A$81,0))</f>
        <v>Card delivery &amp; activation</v>
      </c>
      <c r="D11" s="0" t="n">
        <f aca="false">INDEX(Intent_Analysis!$E$5:$E$81,MATCH(B11,Intent_Analysis!$A$5:$A$81,0))</f>
        <v>1</v>
      </c>
    </row>
    <row r="12" customFormat="false" ht="15" hidden="false" customHeight="false" outlineLevel="0" collapsed="false">
      <c r="A12" s="0" t="s">
        <v>336</v>
      </c>
      <c r="B12" s="0" t="s">
        <v>46</v>
      </c>
      <c r="C12" s="0" t="str">
        <f aca="false">INDEX(Intent_Analysis!$B$5:$B$81,MATCH(B12,Intent_Analysis!$A$5:$A$81,0))</f>
        <v>Card delivery &amp; activation</v>
      </c>
      <c r="D12" s="0" t="n">
        <f aca="false">INDEX(Intent_Analysis!$E$5:$E$81,MATCH(B12,Intent_Analysis!$A$5:$A$81,0))</f>
        <v>1</v>
      </c>
    </row>
    <row r="13" customFormat="false" ht="15" hidden="false" customHeight="false" outlineLevel="0" collapsed="false">
      <c r="A13" s="0" t="s">
        <v>337</v>
      </c>
      <c r="B13" s="0" t="s">
        <v>46</v>
      </c>
      <c r="C13" s="0" t="str">
        <f aca="false">INDEX(Intent_Analysis!$B$5:$B$81,MATCH(B13,Intent_Analysis!$A$5:$A$81,0))</f>
        <v>Card delivery &amp; activation</v>
      </c>
      <c r="D13" s="0" t="n">
        <f aca="false">INDEX(Intent_Analysis!$E$5:$E$81,MATCH(B13,Intent_Analysis!$A$5:$A$81,0))</f>
        <v>1</v>
      </c>
    </row>
    <row r="14" customFormat="false" ht="15" hidden="false" customHeight="false" outlineLevel="0" collapsed="false">
      <c r="A14" s="0" t="s">
        <v>338</v>
      </c>
      <c r="B14" s="0" t="s">
        <v>46</v>
      </c>
      <c r="C14" s="0" t="str">
        <f aca="false">INDEX(Intent_Analysis!$B$5:$B$81,MATCH(B14,Intent_Analysis!$A$5:$A$81,0))</f>
        <v>Card delivery &amp; activation</v>
      </c>
      <c r="D14" s="0" t="n">
        <f aca="false">INDEX(Intent_Analysis!$E$5:$E$81,MATCH(B14,Intent_Analysis!$A$5:$A$81,0))</f>
        <v>1</v>
      </c>
    </row>
    <row r="15" customFormat="false" ht="15" hidden="false" customHeight="false" outlineLevel="0" collapsed="false">
      <c r="A15" s="0" t="s">
        <v>339</v>
      </c>
      <c r="B15" s="0" t="s">
        <v>46</v>
      </c>
      <c r="C15" s="0" t="str">
        <f aca="false">INDEX(Intent_Analysis!$B$5:$B$81,MATCH(B15,Intent_Analysis!$A$5:$A$81,0))</f>
        <v>Card delivery &amp; activation</v>
      </c>
      <c r="D15" s="0" t="n">
        <f aca="false">INDEX(Intent_Analysis!$E$5:$E$81,MATCH(B15,Intent_Analysis!$A$5:$A$81,0))</f>
        <v>1</v>
      </c>
    </row>
    <row r="16" customFormat="false" ht="15" hidden="false" customHeight="false" outlineLevel="0" collapsed="false">
      <c r="A16" s="0" t="s">
        <v>340</v>
      </c>
      <c r="B16" s="0" t="s">
        <v>46</v>
      </c>
      <c r="C16" s="0" t="str">
        <f aca="false">INDEX(Intent_Analysis!$B$5:$B$81,MATCH(B16,Intent_Analysis!$A$5:$A$81,0))</f>
        <v>Card delivery &amp; activation</v>
      </c>
      <c r="D16" s="0" t="n">
        <f aca="false">INDEX(Intent_Analysis!$E$5:$E$81,MATCH(B16,Intent_Analysis!$A$5:$A$81,0))</f>
        <v>1</v>
      </c>
    </row>
    <row r="17" customFormat="false" ht="15" hidden="false" customHeight="false" outlineLevel="0" collapsed="false">
      <c r="A17" s="0" t="s">
        <v>341</v>
      </c>
      <c r="B17" s="0" t="s">
        <v>46</v>
      </c>
      <c r="C17" s="0" t="str">
        <f aca="false">INDEX(Intent_Analysis!$B$5:$B$81,MATCH(B17,Intent_Analysis!$A$5:$A$81,0))</f>
        <v>Card delivery &amp; activation</v>
      </c>
      <c r="D17" s="0" t="n">
        <f aca="false">INDEX(Intent_Analysis!$E$5:$E$81,MATCH(B17,Intent_Analysis!$A$5:$A$81,0))</f>
        <v>1</v>
      </c>
    </row>
    <row r="18" customFormat="false" ht="15" hidden="false" customHeight="false" outlineLevel="0" collapsed="false">
      <c r="A18" s="0" t="s">
        <v>342</v>
      </c>
      <c r="B18" s="0" t="s">
        <v>46</v>
      </c>
      <c r="C18" s="0" t="str">
        <f aca="false">INDEX(Intent_Analysis!$B$5:$B$81,MATCH(B18,Intent_Analysis!$A$5:$A$81,0))</f>
        <v>Card delivery &amp; activation</v>
      </c>
      <c r="D18" s="0" t="n">
        <f aca="false">INDEX(Intent_Analysis!$E$5:$E$81,MATCH(B18,Intent_Analysis!$A$5:$A$81,0))</f>
        <v>1</v>
      </c>
    </row>
    <row r="19" customFormat="false" ht="15" hidden="false" customHeight="false" outlineLevel="0" collapsed="false">
      <c r="A19" s="0" t="s">
        <v>343</v>
      </c>
      <c r="B19" s="0" t="s">
        <v>46</v>
      </c>
      <c r="C19" s="0" t="str">
        <f aca="false">INDEX(Intent_Analysis!$B$5:$B$81,MATCH(B19,Intent_Analysis!$A$5:$A$81,0))</f>
        <v>Card delivery &amp; activation</v>
      </c>
      <c r="D19" s="0" t="n">
        <f aca="false">INDEX(Intent_Analysis!$E$5:$E$81,MATCH(B19,Intent_Analysis!$A$5:$A$81,0))</f>
        <v>1</v>
      </c>
    </row>
    <row r="20" customFormat="false" ht="15" hidden="false" customHeight="false" outlineLevel="0" collapsed="false">
      <c r="A20" s="0" t="s">
        <v>344</v>
      </c>
      <c r="B20" s="0" t="s">
        <v>46</v>
      </c>
      <c r="C20" s="0" t="str">
        <f aca="false">INDEX(Intent_Analysis!$B$5:$B$81,MATCH(B20,Intent_Analysis!$A$5:$A$81,0))</f>
        <v>Card delivery &amp; activation</v>
      </c>
      <c r="D20" s="0" t="n">
        <f aca="false">INDEX(Intent_Analysis!$E$5:$E$81,MATCH(B20,Intent_Analysis!$A$5:$A$81,0))</f>
        <v>1</v>
      </c>
    </row>
    <row r="21" customFormat="false" ht="15" hidden="false" customHeight="false" outlineLevel="0" collapsed="false">
      <c r="A21" s="0" t="s">
        <v>345</v>
      </c>
      <c r="B21" s="0" t="s">
        <v>46</v>
      </c>
      <c r="C21" s="0" t="str">
        <f aca="false">INDEX(Intent_Analysis!$B$5:$B$81,MATCH(B21,Intent_Analysis!$A$5:$A$81,0))</f>
        <v>Card delivery &amp; activation</v>
      </c>
      <c r="D21" s="0" t="n">
        <f aca="false">INDEX(Intent_Analysis!$E$5:$E$81,MATCH(B21,Intent_Analysis!$A$5:$A$81,0))</f>
        <v>1</v>
      </c>
    </row>
    <row r="22" customFormat="false" ht="15" hidden="false" customHeight="false" outlineLevel="0" collapsed="false">
      <c r="A22" s="0" t="s">
        <v>346</v>
      </c>
      <c r="B22" s="0" t="s">
        <v>46</v>
      </c>
      <c r="C22" s="0" t="str">
        <f aca="false">INDEX(Intent_Analysis!$B$5:$B$81,MATCH(B22,Intent_Analysis!$A$5:$A$81,0))</f>
        <v>Card delivery &amp; activation</v>
      </c>
      <c r="D22" s="0" t="n">
        <f aca="false">INDEX(Intent_Analysis!$E$5:$E$81,MATCH(B22,Intent_Analysis!$A$5:$A$81,0))</f>
        <v>1</v>
      </c>
    </row>
    <row r="23" customFormat="false" ht="15" hidden="false" customHeight="false" outlineLevel="0" collapsed="false">
      <c r="A23" s="0" t="s">
        <v>347</v>
      </c>
      <c r="B23" s="0" t="s">
        <v>46</v>
      </c>
      <c r="C23" s="0" t="str">
        <f aca="false">INDEX(Intent_Analysis!$B$5:$B$81,MATCH(B23,Intent_Analysis!$A$5:$A$81,0))</f>
        <v>Card delivery &amp; activation</v>
      </c>
      <c r="D23" s="0" t="n">
        <f aca="false">INDEX(Intent_Analysis!$E$5:$E$81,MATCH(B23,Intent_Analysis!$A$5:$A$81,0))</f>
        <v>1</v>
      </c>
    </row>
    <row r="24" customFormat="false" ht="15" hidden="false" customHeight="false" outlineLevel="0" collapsed="false">
      <c r="A24" s="0" t="s">
        <v>348</v>
      </c>
      <c r="B24" s="0" t="s">
        <v>46</v>
      </c>
      <c r="C24" s="0" t="str">
        <f aca="false">INDEX(Intent_Analysis!$B$5:$B$81,MATCH(B24,Intent_Analysis!$A$5:$A$81,0))</f>
        <v>Card delivery &amp; activation</v>
      </c>
      <c r="D24" s="0" t="n">
        <f aca="false">INDEX(Intent_Analysis!$E$5:$E$81,MATCH(B24,Intent_Analysis!$A$5:$A$81,0))</f>
        <v>1</v>
      </c>
    </row>
    <row r="25" customFormat="false" ht="15" hidden="false" customHeight="false" outlineLevel="0" collapsed="false">
      <c r="A25" s="0" t="s">
        <v>349</v>
      </c>
      <c r="B25" s="0" t="s">
        <v>46</v>
      </c>
      <c r="C25" s="0" t="str">
        <f aca="false">INDEX(Intent_Analysis!$B$5:$B$81,MATCH(B25,Intent_Analysis!$A$5:$A$81,0))</f>
        <v>Card delivery &amp; activation</v>
      </c>
      <c r="D25" s="0" t="n">
        <f aca="false">INDEX(Intent_Analysis!$E$5:$E$81,MATCH(B25,Intent_Analysis!$A$5:$A$81,0))</f>
        <v>1</v>
      </c>
    </row>
    <row r="26" customFormat="false" ht="15" hidden="false" customHeight="false" outlineLevel="0" collapsed="false">
      <c r="A26" s="0" t="s">
        <v>350</v>
      </c>
      <c r="B26" s="0" t="s">
        <v>46</v>
      </c>
      <c r="C26" s="0" t="str">
        <f aca="false">INDEX(Intent_Analysis!$B$5:$B$81,MATCH(B26,Intent_Analysis!$A$5:$A$81,0))</f>
        <v>Card delivery &amp; activation</v>
      </c>
      <c r="D26" s="0" t="n">
        <f aca="false">INDEX(Intent_Analysis!$E$5:$E$81,MATCH(B26,Intent_Analysis!$A$5:$A$81,0))</f>
        <v>1</v>
      </c>
    </row>
    <row r="27" customFormat="false" ht="15" hidden="false" customHeight="false" outlineLevel="0" collapsed="false">
      <c r="A27" s="0" t="s">
        <v>351</v>
      </c>
      <c r="B27" s="0" t="s">
        <v>46</v>
      </c>
      <c r="C27" s="0" t="str">
        <f aca="false">INDEX(Intent_Analysis!$B$5:$B$81,MATCH(B27,Intent_Analysis!$A$5:$A$81,0))</f>
        <v>Card delivery &amp; activation</v>
      </c>
      <c r="D27" s="0" t="n">
        <f aca="false">INDEX(Intent_Analysis!$E$5:$E$81,MATCH(B27,Intent_Analysis!$A$5:$A$81,0))</f>
        <v>1</v>
      </c>
    </row>
    <row r="28" customFormat="false" ht="15" hidden="false" customHeight="false" outlineLevel="0" collapsed="false">
      <c r="A28" s="0" t="s">
        <v>352</v>
      </c>
      <c r="B28" s="0" t="s">
        <v>46</v>
      </c>
      <c r="C28" s="0" t="str">
        <f aca="false">INDEX(Intent_Analysis!$B$5:$B$81,MATCH(B28,Intent_Analysis!$A$5:$A$81,0))</f>
        <v>Card delivery &amp; activation</v>
      </c>
      <c r="D28" s="0" t="n">
        <f aca="false">INDEX(Intent_Analysis!$E$5:$E$81,MATCH(B28,Intent_Analysis!$A$5:$A$81,0))</f>
        <v>1</v>
      </c>
    </row>
    <row r="29" customFormat="false" ht="15" hidden="false" customHeight="false" outlineLevel="0" collapsed="false">
      <c r="A29" s="0" t="s">
        <v>353</v>
      </c>
      <c r="B29" s="0" t="s">
        <v>46</v>
      </c>
      <c r="C29" s="0" t="str">
        <f aca="false">INDEX(Intent_Analysis!$B$5:$B$81,MATCH(B29,Intent_Analysis!$A$5:$A$81,0))</f>
        <v>Card delivery &amp; activation</v>
      </c>
      <c r="D29" s="0" t="n">
        <f aca="false">INDEX(Intent_Analysis!$E$5:$E$81,MATCH(B29,Intent_Analysis!$A$5:$A$81,0))</f>
        <v>1</v>
      </c>
    </row>
    <row r="30" customFormat="false" ht="15" hidden="false" customHeight="false" outlineLevel="0" collapsed="false">
      <c r="A30" s="0" t="s">
        <v>354</v>
      </c>
      <c r="B30" s="0" t="s">
        <v>46</v>
      </c>
      <c r="C30" s="0" t="str">
        <f aca="false">INDEX(Intent_Analysis!$B$5:$B$81,MATCH(B30,Intent_Analysis!$A$5:$A$81,0))</f>
        <v>Card delivery &amp; activation</v>
      </c>
      <c r="D30" s="0" t="n">
        <f aca="false">INDEX(Intent_Analysis!$E$5:$E$81,MATCH(B30,Intent_Analysis!$A$5:$A$81,0))</f>
        <v>1</v>
      </c>
    </row>
    <row r="31" customFormat="false" ht="15" hidden="false" customHeight="false" outlineLevel="0" collapsed="false">
      <c r="A31" s="0" t="s">
        <v>355</v>
      </c>
      <c r="B31" s="0" t="s">
        <v>46</v>
      </c>
      <c r="C31" s="0" t="str">
        <f aca="false">INDEX(Intent_Analysis!$B$5:$B$81,MATCH(B31,Intent_Analysis!$A$5:$A$81,0))</f>
        <v>Card delivery &amp; activation</v>
      </c>
      <c r="D31" s="0" t="n">
        <f aca="false">INDEX(Intent_Analysis!$E$5:$E$81,MATCH(B31,Intent_Analysis!$A$5:$A$81,0))</f>
        <v>1</v>
      </c>
    </row>
    <row r="32" customFormat="false" ht="15" hidden="false" customHeight="false" outlineLevel="0" collapsed="false">
      <c r="A32" s="0" t="s">
        <v>356</v>
      </c>
      <c r="B32" s="0" t="s">
        <v>46</v>
      </c>
      <c r="C32" s="0" t="str">
        <f aca="false">INDEX(Intent_Analysis!$B$5:$B$81,MATCH(B32,Intent_Analysis!$A$5:$A$81,0))</f>
        <v>Card delivery &amp; activation</v>
      </c>
      <c r="D32" s="0" t="n">
        <f aca="false">INDEX(Intent_Analysis!$E$5:$E$81,MATCH(B32,Intent_Analysis!$A$5:$A$81,0))</f>
        <v>1</v>
      </c>
    </row>
    <row r="33" customFormat="false" ht="15" hidden="false" customHeight="false" outlineLevel="0" collapsed="false">
      <c r="A33" s="0" t="s">
        <v>357</v>
      </c>
      <c r="B33" s="0" t="s">
        <v>46</v>
      </c>
      <c r="C33" s="0" t="str">
        <f aca="false">INDEX(Intent_Analysis!$B$5:$B$81,MATCH(B33,Intent_Analysis!$A$5:$A$81,0))</f>
        <v>Card delivery &amp; activation</v>
      </c>
      <c r="D33" s="0" t="n">
        <f aca="false">INDEX(Intent_Analysis!$E$5:$E$81,MATCH(B33,Intent_Analysis!$A$5:$A$81,0))</f>
        <v>1</v>
      </c>
    </row>
    <row r="34" customFormat="false" ht="15" hidden="false" customHeight="false" outlineLevel="0" collapsed="false">
      <c r="A34" s="0" t="s">
        <v>358</v>
      </c>
      <c r="B34" s="0" t="s">
        <v>46</v>
      </c>
      <c r="C34" s="0" t="str">
        <f aca="false">INDEX(Intent_Analysis!$B$5:$B$81,MATCH(B34,Intent_Analysis!$A$5:$A$81,0))</f>
        <v>Card delivery &amp; activation</v>
      </c>
      <c r="D34" s="0" t="n">
        <f aca="false">INDEX(Intent_Analysis!$E$5:$E$81,MATCH(B34,Intent_Analysis!$A$5:$A$81,0))</f>
        <v>1</v>
      </c>
    </row>
    <row r="35" customFormat="false" ht="15" hidden="false" customHeight="false" outlineLevel="0" collapsed="false">
      <c r="A35" s="0" t="s">
        <v>359</v>
      </c>
      <c r="B35" s="0" t="s">
        <v>46</v>
      </c>
      <c r="C35" s="0" t="str">
        <f aca="false">INDEX(Intent_Analysis!$B$5:$B$81,MATCH(B35,Intent_Analysis!$A$5:$A$81,0))</f>
        <v>Card delivery &amp; activation</v>
      </c>
      <c r="D35" s="0" t="n">
        <f aca="false">INDEX(Intent_Analysis!$E$5:$E$81,MATCH(B35,Intent_Analysis!$A$5:$A$81,0))</f>
        <v>1</v>
      </c>
    </row>
    <row r="36" customFormat="false" ht="15" hidden="false" customHeight="false" outlineLevel="0" collapsed="false">
      <c r="A36" s="0" t="s">
        <v>360</v>
      </c>
      <c r="B36" s="0" t="s">
        <v>46</v>
      </c>
      <c r="C36" s="0" t="str">
        <f aca="false">INDEX(Intent_Analysis!$B$5:$B$81,MATCH(B36,Intent_Analysis!$A$5:$A$81,0))</f>
        <v>Card delivery &amp; activation</v>
      </c>
      <c r="D36" s="0" t="n">
        <f aca="false">INDEX(Intent_Analysis!$E$5:$E$81,MATCH(B36,Intent_Analysis!$A$5:$A$81,0))</f>
        <v>1</v>
      </c>
    </row>
    <row r="37" customFormat="false" ht="15" hidden="false" customHeight="false" outlineLevel="0" collapsed="false">
      <c r="A37" s="0" t="s">
        <v>361</v>
      </c>
      <c r="B37" s="0" t="s">
        <v>46</v>
      </c>
      <c r="C37" s="0" t="str">
        <f aca="false">INDEX(Intent_Analysis!$B$5:$B$81,MATCH(B37,Intent_Analysis!$A$5:$A$81,0))</f>
        <v>Card delivery &amp; activation</v>
      </c>
      <c r="D37" s="0" t="n">
        <f aca="false">INDEX(Intent_Analysis!$E$5:$E$81,MATCH(B37,Intent_Analysis!$A$5:$A$81,0))</f>
        <v>1</v>
      </c>
    </row>
    <row r="38" customFormat="false" ht="15" hidden="false" customHeight="false" outlineLevel="0" collapsed="false">
      <c r="A38" s="0" t="s">
        <v>362</v>
      </c>
      <c r="B38" s="0" t="s">
        <v>46</v>
      </c>
      <c r="C38" s="0" t="str">
        <f aca="false">INDEX(Intent_Analysis!$B$5:$B$81,MATCH(B38,Intent_Analysis!$A$5:$A$81,0))</f>
        <v>Card delivery &amp; activation</v>
      </c>
      <c r="D38" s="0" t="n">
        <f aca="false">INDEX(Intent_Analysis!$E$5:$E$81,MATCH(B38,Intent_Analysis!$A$5:$A$81,0))</f>
        <v>1</v>
      </c>
    </row>
    <row r="39" customFormat="false" ht="15" hidden="false" customHeight="false" outlineLevel="0" collapsed="false">
      <c r="A39" s="0" t="s">
        <v>363</v>
      </c>
      <c r="B39" s="0" t="s">
        <v>46</v>
      </c>
      <c r="C39" s="0" t="str">
        <f aca="false">INDEX(Intent_Analysis!$B$5:$B$81,MATCH(B39,Intent_Analysis!$A$5:$A$81,0))</f>
        <v>Card delivery &amp; activation</v>
      </c>
      <c r="D39" s="0" t="n">
        <f aca="false">INDEX(Intent_Analysis!$E$5:$E$81,MATCH(B39,Intent_Analysis!$A$5:$A$81,0))</f>
        <v>1</v>
      </c>
    </row>
    <row r="40" customFormat="false" ht="15" hidden="false" customHeight="false" outlineLevel="0" collapsed="false">
      <c r="A40" s="0" t="s">
        <v>364</v>
      </c>
      <c r="B40" s="0" t="s">
        <v>46</v>
      </c>
      <c r="C40" s="0" t="str">
        <f aca="false">INDEX(Intent_Analysis!$B$5:$B$81,MATCH(B40,Intent_Analysis!$A$5:$A$81,0))</f>
        <v>Card delivery &amp; activation</v>
      </c>
      <c r="D40" s="0" t="n">
        <f aca="false">INDEX(Intent_Analysis!$E$5:$E$81,MATCH(B40,Intent_Analysis!$A$5:$A$81,0))</f>
        <v>1</v>
      </c>
    </row>
    <row r="41" customFormat="false" ht="15" hidden="false" customHeight="false" outlineLevel="0" collapsed="false">
      <c r="A41" s="0" t="s">
        <v>365</v>
      </c>
      <c r="B41" s="0" t="s">
        <v>46</v>
      </c>
      <c r="C41" s="0" t="str">
        <f aca="false">INDEX(Intent_Analysis!$B$5:$B$81,MATCH(B41,Intent_Analysis!$A$5:$A$81,0))</f>
        <v>Card delivery &amp; activation</v>
      </c>
      <c r="D41" s="0" t="n">
        <f aca="false">INDEX(Intent_Analysis!$E$5:$E$81,MATCH(B41,Intent_Analysis!$A$5:$A$81,0))</f>
        <v>1</v>
      </c>
    </row>
    <row r="42" customFormat="false" ht="15" hidden="false" customHeight="false" outlineLevel="0" collapsed="false">
      <c r="A42" s="0" t="s">
        <v>366</v>
      </c>
      <c r="B42" s="0" t="s">
        <v>46</v>
      </c>
      <c r="C42" s="0" t="str">
        <f aca="false">INDEX(Intent_Analysis!$B$5:$B$81,MATCH(B42,Intent_Analysis!$A$5:$A$81,0))</f>
        <v>Card delivery &amp; activation</v>
      </c>
      <c r="D42" s="0" t="n">
        <f aca="false">INDEX(Intent_Analysis!$E$5:$E$81,MATCH(B42,Intent_Analysis!$A$5:$A$81,0))</f>
        <v>1</v>
      </c>
    </row>
    <row r="43" customFormat="false" ht="15" hidden="false" customHeight="false" outlineLevel="0" collapsed="false">
      <c r="A43" s="0" t="s">
        <v>367</v>
      </c>
      <c r="B43" s="0" t="s">
        <v>46</v>
      </c>
      <c r="C43" s="0" t="str">
        <f aca="false">INDEX(Intent_Analysis!$B$5:$B$81,MATCH(B43,Intent_Analysis!$A$5:$A$81,0))</f>
        <v>Card delivery &amp; activation</v>
      </c>
      <c r="D43" s="0" t="n">
        <f aca="false">INDEX(Intent_Analysis!$E$5:$E$81,MATCH(B43,Intent_Analysis!$A$5:$A$81,0))</f>
        <v>1</v>
      </c>
    </row>
    <row r="44" customFormat="false" ht="15" hidden="false" customHeight="false" outlineLevel="0" collapsed="false">
      <c r="A44" s="0" t="s">
        <v>368</v>
      </c>
      <c r="B44" s="0" t="s">
        <v>46</v>
      </c>
      <c r="C44" s="0" t="str">
        <f aca="false">INDEX(Intent_Analysis!$B$5:$B$81,MATCH(B44,Intent_Analysis!$A$5:$A$81,0))</f>
        <v>Card delivery &amp; activation</v>
      </c>
      <c r="D44" s="0" t="n">
        <f aca="false">INDEX(Intent_Analysis!$E$5:$E$81,MATCH(B44,Intent_Analysis!$A$5:$A$81,0))</f>
        <v>1</v>
      </c>
    </row>
    <row r="45" customFormat="false" ht="15" hidden="false" customHeight="false" outlineLevel="0" collapsed="false">
      <c r="A45" s="0" t="s">
        <v>369</v>
      </c>
      <c r="B45" s="0" t="s">
        <v>46</v>
      </c>
      <c r="C45" s="0" t="str">
        <f aca="false">INDEX(Intent_Analysis!$B$5:$B$81,MATCH(B45,Intent_Analysis!$A$5:$A$81,0))</f>
        <v>Card delivery &amp; activation</v>
      </c>
      <c r="D45" s="0" t="n">
        <f aca="false">INDEX(Intent_Analysis!$E$5:$E$81,MATCH(B45,Intent_Analysis!$A$5:$A$81,0))</f>
        <v>1</v>
      </c>
    </row>
    <row r="46" customFormat="false" ht="15" hidden="false" customHeight="false" outlineLevel="0" collapsed="false">
      <c r="A46" s="0" t="s">
        <v>370</v>
      </c>
      <c r="B46" s="0" t="s">
        <v>46</v>
      </c>
      <c r="C46" s="0" t="str">
        <f aca="false">INDEX(Intent_Analysis!$B$5:$B$81,MATCH(B46,Intent_Analysis!$A$5:$A$81,0))</f>
        <v>Card delivery &amp; activation</v>
      </c>
      <c r="D46" s="0" t="n">
        <f aca="false">INDEX(Intent_Analysis!$E$5:$E$81,MATCH(B46,Intent_Analysis!$A$5:$A$81,0))</f>
        <v>1</v>
      </c>
    </row>
    <row r="47" customFormat="false" ht="15" hidden="false" customHeight="false" outlineLevel="0" collapsed="false">
      <c r="A47" s="0" t="s">
        <v>371</v>
      </c>
      <c r="B47" s="0" t="s">
        <v>46</v>
      </c>
      <c r="C47" s="0" t="str">
        <f aca="false">INDEX(Intent_Analysis!$B$5:$B$81,MATCH(B47,Intent_Analysis!$A$5:$A$81,0))</f>
        <v>Card delivery &amp; activation</v>
      </c>
      <c r="D47" s="0" t="n">
        <f aca="false">INDEX(Intent_Analysis!$E$5:$E$81,MATCH(B47,Intent_Analysis!$A$5:$A$81,0))</f>
        <v>1</v>
      </c>
    </row>
    <row r="48" customFormat="false" ht="15" hidden="false" customHeight="false" outlineLevel="0" collapsed="false">
      <c r="A48" s="0" t="s">
        <v>372</v>
      </c>
      <c r="B48" s="0" t="s">
        <v>46</v>
      </c>
      <c r="C48" s="0" t="str">
        <f aca="false">INDEX(Intent_Analysis!$B$5:$B$81,MATCH(B48,Intent_Analysis!$A$5:$A$81,0))</f>
        <v>Card delivery &amp; activation</v>
      </c>
      <c r="D48" s="0" t="n">
        <f aca="false">INDEX(Intent_Analysis!$E$5:$E$81,MATCH(B48,Intent_Analysis!$A$5:$A$81,0))</f>
        <v>1</v>
      </c>
    </row>
    <row r="49" customFormat="false" ht="15" hidden="false" customHeight="false" outlineLevel="0" collapsed="false">
      <c r="A49" s="0" t="s">
        <v>373</v>
      </c>
      <c r="B49" s="0" t="s">
        <v>46</v>
      </c>
      <c r="C49" s="0" t="str">
        <f aca="false">INDEX(Intent_Analysis!$B$5:$B$81,MATCH(B49,Intent_Analysis!$A$5:$A$81,0))</f>
        <v>Card delivery &amp; activation</v>
      </c>
      <c r="D49" s="0" t="n">
        <f aca="false">INDEX(Intent_Analysis!$E$5:$E$81,MATCH(B49,Intent_Analysis!$A$5:$A$81,0))</f>
        <v>1</v>
      </c>
    </row>
    <row r="50" customFormat="false" ht="15" hidden="false" customHeight="false" outlineLevel="0" collapsed="false">
      <c r="A50" s="0" t="s">
        <v>374</v>
      </c>
      <c r="B50" s="0" t="s">
        <v>46</v>
      </c>
      <c r="C50" s="0" t="str">
        <f aca="false">INDEX(Intent_Analysis!$B$5:$B$81,MATCH(B50,Intent_Analysis!$A$5:$A$81,0))</f>
        <v>Card delivery &amp; activation</v>
      </c>
      <c r="D50" s="0" t="n">
        <f aca="false">INDEX(Intent_Analysis!$E$5:$E$81,MATCH(B50,Intent_Analysis!$A$5:$A$81,0))</f>
        <v>1</v>
      </c>
    </row>
    <row r="51" customFormat="false" ht="15" hidden="false" customHeight="false" outlineLevel="0" collapsed="false">
      <c r="A51" s="0" t="s">
        <v>375</v>
      </c>
      <c r="B51" s="0" t="s">
        <v>46</v>
      </c>
      <c r="C51" s="0" t="str">
        <f aca="false">INDEX(Intent_Analysis!$B$5:$B$81,MATCH(B51,Intent_Analysis!$A$5:$A$81,0))</f>
        <v>Card delivery &amp; activation</v>
      </c>
      <c r="D51" s="0" t="n">
        <f aca="false">INDEX(Intent_Analysis!$E$5:$E$81,MATCH(B51,Intent_Analysis!$A$5:$A$81,0))</f>
        <v>1</v>
      </c>
    </row>
    <row r="52" customFormat="false" ht="15" hidden="false" customHeight="false" outlineLevel="0" collapsed="false">
      <c r="A52" s="0" t="s">
        <v>376</v>
      </c>
      <c r="B52" s="0" t="s">
        <v>46</v>
      </c>
      <c r="C52" s="0" t="str">
        <f aca="false">INDEX(Intent_Analysis!$B$5:$B$81,MATCH(B52,Intent_Analysis!$A$5:$A$81,0))</f>
        <v>Card delivery &amp; activation</v>
      </c>
      <c r="D52" s="0" t="n">
        <f aca="false">INDEX(Intent_Analysis!$E$5:$E$81,MATCH(B52,Intent_Analysis!$A$5:$A$81,0))</f>
        <v>1</v>
      </c>
    </row>
    <row r="53" customFormat="false" ht="15" hidden="false" customHeight="false" outlineLevel="0" collapsed="false">
      <c r="A53" s="0" t="s">
        <v>377</v>
      </c>
      <c r="B53" s="0" t="s">
        <v>46</v>
      </c>
      <c r="C53" s="0" t="str">
        <f aca="false">INDEX(Intent_Analysis!$B$5:$B$81,MATCH(B53,Intent_Analysis!$A$5:$A$81,0))</f>
        <v>Card delivery &amp; activation</v>
      </c>
      <c r="D53" s="0" t="n">
        <f aca="false">INDEX(Intent_Analysis!$E$5:$E$81,MATCH(B53,Intent_Analysis!$A$5:$A$81,0))</f>
        <v>1</v>
      </c>
    </row>
    <row r="54" customFormat="false" ht="15" hidden="false" customHeight="false" outlineLevel="0" collapsed="false">
      <c r="A54" s="0" t="s">
        <v>378</v>
      </c>
      <c r="B54" s="0" t="s">
        <v>46</v>
      </c>
      <c r="C54" s="0" t="str">
        <f aca="false">INDEX(Intent_Analysis!$B$5:$B$81,MATCH(B54,Intent_Analysis!$A$5:$A$81,0))</f>
        <v>Card delivery &amp; activation</v>
      </c>
      <c r="D54" s="0" t="n">
        <f aca="false">INDEX(Intent_Analysis!$E$5:$E$81,MATCH(B54,Intent_Analysis!$A$5:$A$81,0))</f>
        <v>1</v>
      </c>
    </row>
    <row r="55" customFormat="false" ht="15" hidden="false" customHeight="false" outlineLevel="0" collapsed="false">
      <c r="A55" s="0" t="s">
        <v>379</v>
      </c>
      <c r="B55" s="0" t="s">
        <v>46</v>
      </c>
      <c r="C55" s="0" t="str">
        <f aca="false">INDEX(Intent_Analysis!$B$5:$B$81,MATCH(B55,Intent_Analysis!$A$5:$A$81,0))</f>
        <v>Card delivery &amp; activation</v>
      </c>
      <c r="D55" s="0" t="n">
        <f aca="false">INDEX(Intent_Analysis!$E$5:$E$81,MATCH(B55,Intent_Analysis!$A$5:$A$81,0))</f>
        <v>1</v>
      </c>
    </row>
    <row r="56" customFormat="false" ht="15" hidden="false" customHeight="false" outlineLevel="0" collapsed="false">
      <c r="A56" s="0" t="s">
        <v>380</v>
      </c>
      <c r="B56" s="0" t="s">
        <v>46</v>
      </c>
      <c r="C56" s="0" t="str">
        <f aca="false">INDEX(Intent_Analysis!$B$5:$B$81,MATCH(B56,Intent_Analysis!$A$5:$A$81,0))</f>
        <v>Card delivery &amp; activation</v>
      </c>
      <c r="D56" s="0" t="n">
        <f aca="false">INDEX(Intent_Analysis!$E$5:$E$81,MATCH(B56,Intent_Analysis!$A$5:$A$81,0))</f>
        <v>1</v>
      </c>
    </row>
    <row r="57" customFormat="false" ht="15" hidden="false" customHeight="false" outlineLevel="0" collapsed="false">
      <c r="A57" s="0" t="s">
        <v>381</v>
      </c>
      <c r="B57" s="0" t="s">
        <v>46</v>
      </c>
      <c r="C57" s="0" t="str">
        <f aca="false">INDEX(Intent_Analysis!$B$5:$B$81,MATCH(B57,Intent_Analysis!$A$5:$A$81,0))</f>
        <v>Card delivery &amp; activation</v>
      </c>
      <c r="D57" s="0" t="n">
        <f aca="false">INDEX(Intent_Analysis!$E$5:$E$81,MATCH(B57,Intent_Analysis!$A$5:$A$81,0))</f>
        <v>1</v>
      </c>
    </row>
    <row r="58" customFormat="false" ht="15" hidden="false" customHeight="false" outlineLevel="0" collapsed="false">
      <c r="A58" s="0" t="s">
        <v>382</v>
      </c>
      <c r="B58" s="0" t="s">
        <v>46</v>
      </c>
      <c r="C58" s="0" t="str">
        <f aca="false">INDEX(Intent_Analysis!$B$5:$B$81,MATCH(B58,Intent_Analysis!$A$5:$A$81,0))</f>
        <v>Card delivery &amp; activation</v>
      </c>
      <c r="D58" s="0" t="n">
        <f aca="false">INDEX(Intent_Analysis!$E$5:$E$81,MATCH(B58,Intent_Analysis!$A$5:$A$81,0))</f>
        <v>1</v>
      </c>
    </row>
    <row r="59" customFormat="false" ht="15" hidden="false" customHeight="false" outlineLevel="0" collapsed="false">
      <c r="A59" s="0" t="s">
        <v>383</v>
      </c>
      <c r="B59" s="0" t="s">
        <v>46</v>
      </c>
      <c r="C59" s="0" t="str">
        <f aca="false">INDEX(Intent_Analysis!$B$5:$B$81,MATCH(B59,Intent_Analysis!$A$5:$A$81,0))</f>
        <v>Card delivery &amp; activation</v>
      </c>
      <c r="D59" s="0" t="n">
        <f aca="false">INDEX(Intent_Analysis!$E$5:$E$81,MATCH(B59,Intent_Analysis!$A$5:$A$81,0))</f>
        <v>1</v>
      </c>
    </row>
    <row r="60" customFormat="false" ht="15" hidden="false" customHeight="false" outlineLevel="0" collapsed="false">
      <c r="A60" s="0" t="s">
        <v>384</v>
      </c>
      <c r="B60" s="0" t="s">
        <v>46</v>
      </c>
      <c r="C60" s="0" t="str">
        <f aca="false">INDEX(Intent_Analysis!$B$5:$B$81,MATCH(B60,Intent_Analysis!$A$5:$A$81,0))</f>
        <v>Card delivery &amp; activation</v>
      </c>
      <c r="D60" s="0" t="n">
        <f aca="false">INDEX(Intent_Analysis!$E$5:$E$81,MATCH(B60,Intent_Analysis!$A$5:$A$81,0))</f>
        <v>1</v>
      </c>
    </row>
    <row r="61" customFormat="false" ht="15" hidden="false" customHeight="false" outlineLevel="0" collapsed="false">
      <c r="A61" s="0" t="s">
        <v>385</v>
      </c>
      <c r="B61" s="0" t="s">
        <v>46</v>
      </c>
      <c r="C61" s="0" t="str">
        <f aca="false">INDEX(Intent_Analysis!$B$5:$B$81,MATCH(B61,Intent_Analysis!$A$5:$A$81,0))</f>
        <v>Card delivery &amp; activation</v>
      </c>
      <c r="D61" s="0" t="n">
        <f aca="false">INDEX(Intent_Analysis!$E$5:$E$81,MATCH(B61,Intent_Analysis!$A$5:$A$81,0))</f>
        <v>1</v>
      </c>
    </row>
    <row r="62" customFormat="false" ht="15" hidden="false" customHeight="false" outlineLevel="0" collapsed="false">
      <c r="A62" s="0" t="s">
        <v>386</v>
      </c>
      <c r="B62" s="0" t="s">
        <v>46</v>
      </c>
      <c r="C62" s="0" t="str">
        <f aca="false">INDEX(Intent_Analysis!$B$5:$B$81,MATCH(B62,Intent_Analysis!$A$5:$A$81,0))</f>
        <v>Card delivery &amp; activation</v>
      </c>
      <c r="D62" s="0" t="n">
        <f aca="false">INDEX(Intent_Analysis!$E$5:$E$81,MATCH(B62,Intent_Analysis!$A$5:$A$81,0))</f>
        <v>1</v>
      </c>
    </row>
    <row r="63" customFormat="false" ht="15" hidden="false" customHeight="false" outlineLevel="0" collapsed="false">
      <c r="A63" s="0" t="s">
        <v>387</v>
      </c>
      <c r="B63" s="0" t="s">
        <v>46</v>
      </c>
      <c r="C63" s="0" t="str">
        <f aca="false">INDEX(Intent_Analysis!$B$5:$B$81,MATCH(B63,Intent_Analysis!$A$5:$A$81,0))</f>
        <v>Card delivery &amp; activation</v>
      </c>
      <c r="D63" s="0" t="n">
        <f aca="false">INDEX(Intent_Analysis!$E$5:$E$81,MATCH(B63,Intent_Analysis!$A$5:$A$81,0))</f>
        <v>1</v>
      </c>
    </row>
    <row r="64" customFormat="false" ht="15" hidden="false" customHeight="false" outlineLevel="0" collapsed="false">
      <c r="A64" s="0" t="s">
        <v>388</v>
      </c>
      <c r="B64" s="0" t="s">
        <v>46</v>
      </c>
      <c r="C64" s="0" t="str">
        <f aca="false">INDEX(Intent_Analysis!$B$5:$B$81,MATCH(B64,Intent_Analysis!$A$5:$A$81,0))</f>
        <v>Card delivery &amp; activation</v>
      </c>
      <c r="D64" s="0" t="n">
        <f aca="false">INDEX(Intent_Analysis!$E$5:$E$81,MATCH(B64,Intent_Analysis!$A$5:$A$81,0))</f>
        <v>1</v>
      </c>
    </row>
    <row r="65" customFormat="false" ht="15" hidden="false" customHeight="false" outlineLevel="0" collapsed="false">
      <c r="A65" s="0" t="s">
        <v>389</v>
      </c>
      <c r="B65" s="0" t="s">
        <v>46</v>
      </c>
      <c r="C65" s="0" t="str">
        <f aca="false">INDEX(Intent_Analysis!$B$5:$B$81,MATCH(B65,Intent_Analysis!$A$5:$A$81,0))</f>
        <v>Card delivery &amp; activation</v>
      </c>
      <c r="D65" s="0" t="n">
        <f aca="false">INDEX(Intent_Analysis!$E$5:$E$81,MATCH(B65,Intent_Analysis!$A$5:$A$81,0))</f>
        <v>1</v>
      </c>
    </row>
    <row r="66" customFormat="false" ht="15" hidden="false" customHeight="false" outlineLevel="0" collapsed="false">
      <c r="A66" s="0" t="s">
        <v>390</v>
      </c>
      <c r="B66" s="0" t="s">
        <v>46</v>
      </c>
      <c r="C66" s="0" t="str">
        <f aca="false">INDEX(Intent_Analysis!$B$5:$B$81,MATCH(B66,Intent_Analysis!$A$5:$A$81,0))</f>
        <v>Card delivery &amp; activation</v>
      </c>
      <c r="D66" s="0" t="n">
        <f aca="false">INDEX(Intent_Analysis!$E$5:$E$81,MATCH(B66,Intent_Analysis!$A$5:$A$81,0))</f>
        <v>1</v>
      </c>
    </row>
    <row r="67" customFormat="false" ht="15" hidden="false" customHeight="false" outlineLevel="0" collapsed="false">
      <c r="A67" s="0" t="s">
        <v>391</v>
      </c>
      <c r="B67" s="0" t="s">
        <v>46</v>
      </c>
      <c r="C67" s="0" t="str">
        <f aca="false">INDEX(Intent_Analysis!$B$5:$B$81,MATCH(B67,Intent_Analysis!$A$5:$A$81,0))</f>
        <v>Card delivery &amp; activation</v>
      </c>
      <c r="D67" s="0" t="n">
        <f aca="false">INDEX(Intent_Analysis!$E$5:$E$81,MATCH(B67,Intent_Analysis!$A$5:$A$81,0))</f>
        <v>1</v>
      </c>
    </row>
    <row r="68" customFormat="false" ht="15" hidden="false" customHeight="false" outlineLevel="0" collapsed="false">
      <c r="A68" s="0" t="s">
        <v>392</v>
      </c>
      <c r="B68" s="0" t="s">
        <v>46</v>
      </c>
      <c r="C68" s="0" t="str">
        <f aca="false">INDEX(Intent_Analysis!$B$5:$B$81,MATCH(B68,Intent_Analysis!$A$5:$A$81,0))</f>
        <v>Card delivery &amp; activation</v>
      </c>
      <c r="D68" s="0" t="n">
        <f aca="false">INDEX(Intent_Analysis!$E$5:$E$81,MATCH(B68,Intent_Analysis!$A$5:$A$81,0))</f>
        <v>1</v>
      </c>
    </row>
    <row r="69" customFormat="false" ht="15" hidden="false" customHeight="false" outlineLevel="0" collapsed="false">
      <c r="A69" s="0" t="s">
        <v>393</v>
      </c>
      <c r="B69" s="0" t="s">
        <v>46</v>
      </c>
      <c r="C69" s="0" t="str">
        <f aca="false">INDEX(Intent_Analysis!$B$5:$B$81,MATCH(B69,Intent_Analysis!$A$5:$A$81,0))</f>
        <v>Card delivery &amp; activation</v>
      </c>
      <c r="D69" s="0" t="n">
        <f aca="false">INDEX(Intent_Analysis!$E$5:$E$81,MATCH(B69,Intent_Analysis!$A$5:$A$81,0))</f>
        <v>1</v>
      </c>
    </row>
    <row r="70" customFormat="false" ht="15" hidden="false" customHeight="false" outlineLevel="0" collapsed="false">
      <c r="A70" s="0" t="s">
        <v>394</v>
      </c>
      <c r="B70" s="0" t="s">
        <v>46</v>
      </c>
      <c r="C70" s="0" t="str">
        <f aca="false">INDEX(Intent_Analysis!$B$5:$B$81,MATCH(B70,Intent_Analysis!$A$5:$A$81,0))</f>
        <v>Card delivery &amp; activation</v>
      </c>
      <c r="D70" s="0" t="n">
        <f aca="false">INDEX(Intent_Analysis!$E$5:$E$81,MATCH(B70,Intent_Analysis!$A$5:$A$81,0))</f>
        <v>1</v>
      </c>
    </row>
    <row r="71" customFormat="false" ht="15" hidden="false" customHeight="false" outlineLevel="0" collapsed="false">
      <c r="A71" s="0" t="s">
        <v>395</v>
      </c>
      <c r="B71" s="0" t="s">
        <v>46</v>
      </c>
      <c r="C71" s="0" t="str">
        <f aca="false">INDEX(Intent_Analysis!$B$5:$B$81,MATCH(B71,Intent_Analysis!$A$5:$A$81,0))</f>
        <v>Card delivery &amp; activation</v>
      </c>
      <c r="D71" s="0" t="n">
        <f aca="false">INDEX(Intent_Analysis!$E$5:$E$81,MATCH(B71,Intent_Analysis!$A$5:$A$81,0))</f>
        <v>1</v>
      </c>
    </row>
    <row r="72" customFormat="false" ht="15" hidden="false" customHeight="false" outlineLevel="0" collapsed="false">
      <c r="A72" s="0" t="s">
        <v>396</v>
      </c>
      <c r="B72" s="0" t="s">
        <v>46</v>
      </c>
      <c r="C72" s="0" t="str">
        <f aca="false">INDEX(Intent_Analysis!$B$5:$B$81,MATCH(B72,Intent_Analysis!$A$5:$A$81,0))</f>
        <v>Card delivery &amp; activation</v>
      </c>
      <c r="D72" s="0" t="n">
        <f aca="false">INDEX(Intent_Analysis!$E$5:$E$81,MATCH(B72,Intent_Analysis!$A$5:$A$81,0))</f>
        <v>1</v>
      </c>
    </row>
    <row r="73" customFormat="false" ht="15" hidden="false" customHeight="false" outlineLevel="0" collapsed="false">
      <c r="A73" s="0" t="s">
        <v>397</v>
      </c>
      <c r="B73" s="0" t="s">
        <v>46</v>
      </c>
      <c r="C73" s="0" t="str">
        <f aca="false">INDEX(Intent_Analysis!$B$5:$B$81,MATCH(B73,Intent_Analysis!$A$5:$A$81,0))</f>
        <v>Card delivery &amp; activation</v>
      </c>
      <c r="D73" s="0" t="n">
        <f aca="false">INDEX(Intent_Analysis!$E$5:$E$81,MATCH(B73,Intent_Analysis!$A$5:$A$81,0))</f>
        <v>1</v>
      </c>
    </row>
    <row r="74" customFormat="false" ht="15" hidden="false" customHeight="false" outlineLevel="0" collapsed="false">
      <c r="A74" s="0" t="s">
        <v>398</v>
      </c>
      <c r="B74" s="0" t="s">
        <v>46</v>
      </c>
      <c r="C74" s="0" t="str">
        <f aca="false">INDEX(Intent_Analysis!$B$5:$B$81,MATCH(B74,Intent_Analysis!$A$5:$A$81,0))</f>
        <v>Card delivery &amp; activation</v>
      </c>
      <c r="D74" s="0" t="n">
        <f aca="false">INDEX(Intent_Analysis!$E$5:$E$81,MATCH(B74,Intent_Analysis!$A$5:$A$81,0))</f>
        <v>1</v>
      </c>
    </row>
    <row r="75" customFormat="false" ht="15" hidden="false" customHeight="false" outlineLevel="0" collapsed="false">
      <c r="A75" s="0" t="s">
        <v>399</v>
      </c>
      <c r="B75" s="0" t="s">
        <v>46</v>
      </c>
      <c r="C75" s="0" t="str">
        <f aca="false">INDEX(Intent_Analysis!$B$5:$B$81,MATCH(B75,Intent_Analysis!$A$5:$A$81,0))</f>
        <v>Card delivery &amp; activation</v>
      </c>
      <c r="D75" s="0" t="n">
        <f aca="false">INDEX(Intent_Analysis!$E$5:$E$81,MATCH(B75,Intent_Analysis!$A$5:$A$81,0))</f>
        <v>1</v>
      </c>
    </row>
    <row r="76" customFormat="false" ht="15" hidden="false" customHeight="false" outlineLevel="0" collapsed="false">
      <c r="A76" s="0" t="s">
        <v>400</v>
      </c>
      <c r="B76" s="0" t="s">
        <v>46</v>
      </c>
      <c r="C76" s="0" t="str">
        <f aca="false">INDEX(Intent_Analysis!$B$5:$B$81,MATCH(B76,Intent_Analysis!$A$5:$A$81,0))</f>
        <v>Card delivery &amp; activation</v>
      </c>
      <c r="D76" s="0" t="n">
        <f aca="false">INDEX(Intent_Analysis!$E$5:$E$81,MATCH(B76,Intent_Analysis!$A$5:$A$81,0))</f>
        <v>1</v>
      </c>
    </row>
    <row r="77" customFormat="false" ht="15" hidden="false" customHeight="false" outlineLevel="0" collapsed="false">
      <c r="A77" s="0" t="s">
        <v>401</v>
      </c>
      <c r="B77" s="0" t="s">
        <v>46</v>
      </c>
      <c r="C77" s="0" t="str">
        <f aca="false">INDEX(Intent_Analysis!$B$5:$B$81,MATCH(B77,Intent_Analysis!$A$5:$A$81,0))</f>
        <v>Card delivery &amp; activation</v>
      </c>
      <c r="D77" s="0" t="n">
        <f aca="false">INDEX(Intent_Analysis!$E$5:$E$81,MATCH(B77,Intent_Analysis!$A$5:$A$81,0))</f>
        <v>1</v>
      </c>
    </row>
    <row r="78" customFormat="false" ht="15" hidden="false" customHeight="false" outlineLevel="0" collapsed="false">
      <c r="A78" s="0" t="s">
        <v>402</v>
      </c>
      <c r="B78" s="0" t="s">
        <v>46</v>
      </c>
      <c r="C78" s="0" t="str">
        <f aca="false">INDEX(Intent_Analysis!$B$5:$B$81,MATCH(B78,Intent_Analysis!$A$5:$A$81,0))</f>
        <v>Card delivery &amp; activation</v>
      </c>
      <c r="D78" s="0" t="n">
        <f aca="false">INDEX(Intent_Analysis!$E$5:$E$81,MATCH(B78,Intent_Analysis!$A$5:$A$81,0))</f>
        <v>1</v>
      </c>
    </row>
    <row r="79" customFormat="false" ht="15" hidden="false" customHeight="false" outlineLevel="0" collapsed="false">
      <c r="A79" s="0" t="s">
        <v>403</v>
      </c>
      <c r="B79" s="0" t="s">
        <v>46</v>
      </c>
      <c r="C79" s="0" t="str">
        <f aca="false">INDEX(Intent_Analysis!$B$5:$B$81,MATCH(B79,Intent_Analysis!$A$5:$A$81,0))</f>
        <v>Card delivery &amp; activation</v>
      </c>
      <c r="D79" s="0" t="n">
        <f aca="false">INDEX(Intent_Analysis!$E$5:$E$81,MATCH(B79,Intent_Analysis!$A$5:$A$81,0))</f>
        <v>1</v>
      </c>
    </row>
    <row r="80" customFormat="false" ht="15" hidden="false" customHeight="false" outlineLevel="0" collapsed="false">
      <c r="A80" s="0" t="s">
        <v>404</v>
      </c>
      <c r="B80" s="0" t="s">
        <v>46</v>
      </c>
      <c r="C80" s="0" t="str">
        <f aca="false">INDEX(Intent_Analysis!$B$5:$B$81,MATCH(B80,Intent_Analysis!$A$5:$A$81,0))</f>
        <v>Card delivery &amp; activation</v>
      </c>
      <c r="D80" s="0" t="n">
        <f aca="false">INDEX(Intent_Analysis!$E$5:$E$81,MATCH(B80,Intent_Analysis!$A$5:$A$81,0))</f>
        <v>1</v>
      </c>
    </row>
    <row r="81" customFormat="false" ht="15" hidden="false" customHeight="false" outlineLevel="0" collapsed="false">
      <c r="A81" s="0" t="s">
        <v>405</v>
      </c>
      <c r="B81" s="0" t="s">
        <v>46</v>
      </c>
      <c r="C81" s="0" t="str">
        <f aca="false">INDEX(Intent_Analysis!$B$5:$B$81,MATCH(B81,Intent_Analysis!$A$5:$A$81,0))</f>
        <v>Card delivery &amp; activation</v>
      </c>
      <c r="D81" s="0" t="n">
        <f aca="false">INDEX(Intent_Analysis!$E$5:$E$81,MATCH(B81,Intent_Analysis!$A$5:$A$81,0))</f>
        <v>1</v>
      </c>
    </row>
    <row r="82" customFormat="false" ht="15" hidden="false" customHeight="false" outlineLevel="0" collapsed="false">
      <c r="A82" s="0" t="s">
        <v>406</v>
      </c>
      <c r="B82" s="0" t="s">
        <v>46</v>
      </c>
      <c r="C82" s="0" t="str">
        <f aca="false">INDEX(Intent_Analysis!$B$5:$B$81,MATCH(B82,Intent_Analysis!$A$5:$A$81,0))</f>
        <v>Card delivery &amp; activation</v>
      </c>
      <c r="D82" s="0" t="n">
        <f aca="false">INDEX(Intent_Analysis!$E$5:$E$81,MATCH(B82,Intent_Analysis!$A$5:$A$81,0))</f>
        <v>1</v>
      </c>
    </row>
    <row r="83" customFormat="false" ht="15" hidden="false" customHeight="false" outlineLevel="0" collapsed="false">
      <c r="A83" s="0" t="s">
        <v>407</v>
      </c>
      <c r="B83" s="0" t="s">
        <v>46</v>
      </c>
      <c r="C83" s="0" t="str">
        <f aca="false">INDEX(Intent_Analysis!$B$5:$B$81,MATCH(B83,Intent_Analysis!$A$5:$A$81,0))</f>
        <v>Card delivery &amp; activation</v>
      </c>
      <c r="D83" s="0" t="n">
        <f aca="false">INDEX(Intent_Analysis!$E$5:$E$81,MATCH(B83,Intent_Analysis!$A$5:$A$81,0))</f>
        <v>1</v>
      </c>
    </row>
    <row r="84" customFormat="false" ht="15" hidden="false" customHeight="false" outlineLevel="0" collapsed="false">
      <c r="A84" s="0" t="s">
        <v>408</v>
      </c>
      <c r="B84" s="0" t="s">
        <v>46</v>
      </c>
      <c r="C84" s="0" t="str">
        <f aca="false">INDEX(Intent_Analysis!$B$5:$B$81,MATCH(B84,Intent_Analysis!$A$5:$A$81,0))</f>
        <v>Card delivery &amp; activation</v>
      </c>
      <c r="D84" s="0" t="n">
        <f aca="false">INDEX(Intent_Analysis!$E$5:$E$81,MATCH(B84,Intent_Analysis!$A$5:$A$81,0))</f>
        <v>1</v>
      </c>
    </row>
    <row r="85" customFormat="false" ht="15" hidden="false" customHeight="false" outlineLevel="0" collapsed="false">
      <c r="A85" s="0" t="s">
        <v>409</v>
      </c>
      <c r="B85" s="0" t="s">
        <v>46</v>
      </c>
      <c r="C85" s="0" t="str">
        <f aca="false">INDEX(Intent_Analysis!$B$5:$B$81,MATCH(B85,Intent_Analysis!$A$5:$A$81,0))</f>
        <v>Card delivery &amp; activation</v>
      </c>
      <c r="D85" s="0" t="n">
        <f aca="false">INDEX(Intent_Analysis!$E$5:$E$81,MATCH(B85,Intent_Analysis!$A$5:$A$81,0))</f>
        <v>1</v>
      </c>
    </row>
    <row r="86" customFormat="false" ht="15" hidden="false" customHeight="false" outlineLevel="0" collapsed="false">
      <c r="A86" s="0" t="s">
        <v>410</v>
      </c>
      <c r="B86" s="0" t="s">
        <v>46</v>
      </c>
      <c r="C86" s="0" t="str">
        <f aca="false">INDEX(Intent_Analysis!$B$5:$B$81,MATCH(B86,Intent_Analysis!$A$5:$A$81,0))</f>
        <v>Card delivery &amp; activation</v>
      </c>
      <c r="D86" s="0" t="n">
        <f aca="false">INDEX(Intent_Analysis!$E$5:$E$81,MATCH(B86,Intent_Analysis!$A$5:$A$81,0))</f>
        <v>1</v>
      </c>
    </row>
    <row r="87" customFormat="false" ht="15" hidden="false" customHeight="false" outlineLevel="0" collapsed="false">
      <c r="A87" s="0" t="s">
        <v>411</v>
      </c>
      <c r="B87" s="0" t="s">
        <v>46</v>
      </c>
      <c r="C87" s="0" t="str">
        <f aca="false">INDEX(Intent_Analysis!$B$5:$B$81,MATCH(B87,Intent_Analysis!$A$5:$A$81,0))</f>
        <v>Card delivery &amp; activation</v>
      </c>
      <c r="D87" s="0" t="n">
        <f aca="false">INDEX(Intent_Analysis!$E$5:$E$81,MATCH(B87,Intent_Analysis!$A$5:$A$81,0))</f>
        <v>1</v>
      </c>
    </row>
    <row r="88" customFormat="false" ht="15" hidden="false" customHeight="false" outlineLevel="0" collapsed="false">
      <c r="A88" s="0" t="s">
        <v>412</v>
      </c>
      <c r="B88" s="0" t="s">
        <v>46</v>
      </c>
      <c r="C88" s="0" t="str">
        <f aca="false">INDEX(Intent_Analysis!$B$5:$B$81,MATCH(B88,Intent_Analysis!$A$5:$A$81,0))</f>
        <v>Card delivery &amp; activation</v>
      </c>
      <c r="D88" s="0" t="n">
        <f aca="false">INDEX(Intent_Analysis!$E$5:$E$81,MATCH(B88,Intent_Analysis!$A$5:$A$81,0))</f>
        <v>1</v>
      </c>
    </row>
    <row r="89" customFormat="false" ht="15" hidden="false" customHeight="false" outlineLevel="0" collapsed="false">
      <c r="A89" s="0" t="s">
        <v>413</v>
      </c>
      <c r="B89" s="0" t="s">
        <v>46</v>
      </c>
      <c r="C89" s="0" t="str">
        <f aca="false">INDEX(Intent_Analysis!$B$5:$B$81,MATCH(B89,Intent_Analysis!$A$5:$A$81,0))</f>
        <v>Card delivery &amp; activation</v>
      </c>
      <c r="D89" s="0" t="n">
        <f aca="false">INDEX(Intent_Analysis!$E$5:$E$81,MATCH(B89,Intent_Analysis!$A$5:$A$81,0))</f>
        <v>1</v>
      </c>
    </row>
    <row r="90" customFormat="false" ht="15" hidden="false" customHeight="false" outlineLevel="0" collapsed="false">
      <c r="A90" s="0" t="s">
        <v>414</v>
      </c>
      <c r="B90" s="0" t="s">
        <v>46</v>
      </c>
      <c r="C90" s="0" t="str">
        <f aca="false">INDEX(Intent_Analysis!$B$5:$B$81,MATCH(B90,Intent_Analysis!$A$5:$A$81,0))</f>
        <v>Card delivery &amp; activation</v>
      </c>
      <c r="D90" s="0" t="n">
        <f aca="false">INDEX(Intent_Analysis!$E$5:$E$81,MATCH(B90,Intent_Analysis!$A$5:$A$81,0))</f>
        <v>1</v>
      </c>
    </row>
    <row r="91" customFormat="false" ht="15" hidden="false" customHeight="false" outlineLevel="0" collapsed="false">
      <c r="A91" s="0" t="s">
        <v>415</v>
      </c>
      <c r="B91" s="0" t="s">
        <v>46</v>
      </c>
      <c r="C91" s="0" t="str">
        <f aca="false">INDEX(Intent_Analysis!$B$5:$B$81,MATCH(B91,Intent_Analysis!$A$5:$A$81,0))</f>
        <v>Card delivery &amp; activation</v>
      </c>
      <c r="D91" s="0" t="n">
        <f aca="false">INDEX(Intent_Analysis!$E$5:$E$81,MATCH(B91,Intent_Analysis!$A$5:$A$81,0))</f>
        <v>1</v>
      </c>
    </row>
    <row r="92" customFormat="false" ht="15" hidden="false" customHeight="false" outlineLevel="0" collapsed="false">
      <c r="A92" s="0" t="s">
        <v>416</v>
      </c>
      <c r="B92" s="0" t="s">
        <v>46</v>
      </c>
      <c r="C92" s="0" t="str">
        <f aca="false">INDEX(Intent_Analysis!$B$5:$B$81,MATCH(B92,Intent_Analysis!$A$5:$A$81,0))</f>
        <v>Card delivery &amp; activation</v>
      </c>
      <c r="D92" s="0" t="n">
        <f aca="false">INDEX(Intent_Analysis!$E$5:$E$81,MATCH(B92,Intent_Analysis!$A$5:$A$81,0))</f>
        <v>1</v>
      </c>
    </row>
    <row r="93" customFormat="false" ht="15" hidden="false" customHeight="false" outlineLevel="0" collapsed="false">
      <c r="A93" s="0" t="s">
        <v>417</v>
      </c>
      <c r="B93" s="0" t="s">
        <v>46</v>
      </c>
      <c r="C93" s="0" t="str">
        <f aca="false">INDEX(Intent_Analysis!$B$5:$B$81,MATCH(B93,Intent_Analysis!$A$5:$A$81,0))</f>
        <v>Card delivery &amp; activation</v>
      </c>
      <c r="D93" s="0" t="n">
        <f aca="false">INDEX(Intent_Analysis!$E$5:$E$81,MATCH(B93,Intent_Analysis!$A$5:$A$81,0))</f>
        <v>1</v>
      </c>
    </row>
    <row r="94" customFormat="false" ht="15" hidden="false" customHeight="false" outlineLevel="0" collapsed="false">
      <c r="A94" s="0" t="s">
        <v>418</v>
      </c>
      <c r="B94" s="0" t="s">
        <v>46</v>
      </c>
      <c r="C94" s="0" t="str">
        <f aca="false">INDEX(Intent_Analysis!$B$5:$B$81,MATCH(B94,Intent_Analysis!$A$5:$A$81,0))</f>
        <v>Card delivery &amp; activation</v>
      </c>
      <c r="D94" s="0" t="n">
        <f aca="false">INDEX(Intent_Analysis!$E$5:$E$81,MATCH(B94,Intent_Analysis!$A$5:$A$81,0))</f>
        <v>1</v>
      </c>
    </row>
    <row r="95" customFormat="false" ht="15" hidden="false" customHeight="false" outlineLevel="0" collapsed="false">
      <c r="A95" s="0" t="s">
        <v>419</v>
      </c>
      <c r="B95" s="0" t="s">
        <v>46</v>
      </c>
      <c r="C95" s="0" t="str">
        <f aca="false">INDEX(Intent_Analysis!$B$5:$B$81,MATCH(B95,Intent_Analysis!$A$5:$A$81,0))</f>
        <v>Card delivery &amp; activation</v>
      </c>
      <c r="D95" s="0" t="n">
        <f aca="false">INDEX(Intent_Analysis!$E$5:$E$81,MATCH(B95,Intent_Analysis!$A$5:$A$81,0))</f>
        <v>1</v>
      </c>
    </row>
    <row r="96" customFormat="false" ht="15" hidden="false" customHeight="false" outlineLevel="0" collapsed="false">
      <c r="A96" s="0" t="s">
        <v>420</v>
      </c>
      <c r="B96" s="0" t="s">
        <v>46</v>
      </c>
      <c r="C96" s="0" t="str">
        <f aca="false">INDEX(Intent_Analysis!$B$5:$B$81,MATCH(B96,Intent_Analysis!$A$5:$A$81,0))</f>
        <v>Card delivery &amp; activation</v>
      </c>
      <c r="D96" s="0" t="n">
        <f aca="false">INDEX(Intent_Analysis!$E$5:$E$81,MATCH(B96,Intent_Analysis!$A$5:$A$81,0))</f>
        <v>1</v>
      </c>
    </row>
    <row r="97" customFormat="false" ht="15" hidden="false" customHeight="false" outlineLevel="0" collapsed="false">
      <c r="A97" s="0" t="s">
        <v>421</v>
      </c>
      <c r="B97" s="0" t="s">
        <v>46</v>
      </c>
      <c r="C97" s="0" t="str">
        <f aca="false">INDEX(Intent_Analysis!$B$5:$B$81,MATCH(B97,Intent_Analysis!$A$5:$A$81,0))</f>
        <v>Card delivery &amp; activation</v>
      </c>
      <c r="D97" s="0" t="n">
        <f aca="false">INDEX(Intent_Analysis!$E$5:$E$81,MATCH(B97,Intent_Analysis!$A$5:$A$81,0))</f>
        <v>1</v>
      </c>
    </row>
    <row r="98" customFormat="false" ht="15" hidden="false" customHeight="false" outlineLevel="0" collapsed="false">
      <c r="A98" s="0" t="s">
        <v>422</v>
      </c>
      <c r="B98" s="0" t="s">
        <v>46</v>
      </c>
      <c r="C98" s="0" t="str">
        <f aca="false">INDEX(Intent_Analysis!$B$5:$B$81,MATCH(B98,Intent_Analysis!$A$5:$A$81,0))</f>
        <v>Card delivery &amp; activation</v>
      </c>
      <c r="D98" s="0" t="n">
        <f aca="false">INDEX(Intent_Analysis!$E$5:$E$81,MATCH(B98,Intent_Analysis!$A$5:$A$81,0))</f>
        <v>1</v>
      </c>
    </row>
    <row r="99" customFormat="false" ht="15" hidden="false" customHeight="false" outlineLevel="0" collapsed="false">
      <c r="A99" s="0" t="s">
        <v>423</v>
      </c>
      <c r="B99" s="0" t="s">
        <v>46</v>
      </c>
      <c r="C99" s="0" t="str">
        <f aca="false">INDEX(Intent_Analysis!$B$5:$B$81,MATCH(B99,Intent_Analysis!$A$5:$A$81,0))</f>
        <v>Card delivery &amp; activation</v>
      </c>
      <c r="D99" s="0" t="n">
        <f aca="false">INDEX(Intent_Analysis!$E$5:$E$81,MATCH(B99,Intent_Analysis!$A$5:$A$81,0))</f>
        <v>1</v>
      </c>
    </row>
    <row r="100" customFormat="false" ht="15" hidden="false" customHeight="false" outlineLevel="0" collapsed="false">
      <c r="A100" s="0" t="s">
        <v>424</v>
      </c>
      <c r="B100" s="0" t="s">
        <v>46</v>
      </c>
      <c r="C100" s="0" t="str">
        <f aca="false">INDEX(Intent_Analysis!$B$5:$B$81,MATCH(B100,Intent_Analysis!$A$5:$A$81,0))</f>
        <v>Card delivery &amp; activation</v>
      </c>
      <c r="D100" s="0" t="n">
        <f aca="false">INDEX(Intent_Analysis!$E$5:$E$81,MATCH(B100,Intent_Analysis!$A$5:$A$81,0))</f>
        <v>1</v>
      </c>
    </row>
    <row r="101" customFormat="false" ht="15" hidden="false" customHeight="false" outlineLevel="0" collapsed="false">
      <c r="A101" s="0" t="s">
        <v>425</v>
      </c>
      <c r="B101" s="0" t="s">
        <v>46</v>
      </c>
      <c r="C101" s="0" t="str">
        <f aca="false">INDEX(Intent_Analysis!$B$5:$B$81,MATCH(B101,Intent_Analysis!$A$5:$A$81,0))</f>
        <v>Card delivery &amp; activation</v>
      </c>
      <c r="D101" s="0" t="n">
        <f aca="false">INDEX(Intent_Analysis!$E$5:$E$81,MATCH(B101,Intent_Analysis!$A$5:$A$81,0))</f>
        <v>1</v>
      </c>
    </row>
    <row r="102" customFormat="false" ht="15" hidden="false" customHeight="false" outlineLevel="0" collapsed="false">
      <c r="A102" s="0" t="s">
        <v>426</v>
      </c>
      <c r="B102" s="0" t="s">
        <v>46</v>
      </c>
      <c r="C102" s="0" t="str">
        <f aca="false">INDEX(Intent_Analysis!$B$5:$B$81,MATCH(B102,Intent_Analysis!$A$5:$A$81,0))</f>
        <v>Card delivery &amp; activation</v>
      </c>
      <c r="D102" s="0" t="n">
        <f aca="false">INDEX(Intent_Analysis!$E$5:$E$81,MATCH(B102,Intent_Analysis!$A$5:$A$81,0))</f>
        <v>1</v>
      </c>
    </row>
    <row r="103" customFormat="false" ht="15" hidden="false" customHeight="false" outlineLevel="0" collapsed="false">
      <c r="A103" s="0" t="s">
        <v>427</v>
      </c>
      <c r="B103" s="0" t="s">
        <v>46</v>
      </c>
      <c r="C103" s="0" t="str">
        <f aca="false">INDEX(Intent_Analysis!$B$5:$B$81,MATCH(B103,Intent_Analysis!$A$5:$A$81,0))</f>
        <v>Card delivery &amp; activation</v>
      </c>
      <c r="D103" s="0" t="n">
        <f aca="false">INDEX(Intent_Analysis!$E$5:$E$81,MATCH(B103,Intent_Analysis!$A$5:$A$81,0))</f>
        <v>1</v>
      </c>
    </row>
    <row r="104" customFormat="false" ht="15" hidden="false" customHeight="false" outlineLevel="0" collapsed="false">
      <c r="A104" s="0" t="s">
        <v>428</v>
      </c>
      <c r="B104" s="0" t="s">
        <v>46</v>
      </c>
      <c r="C104" s="0" t="str">
        <f aca="false">INDEX(Intent_Analysis!$B$5:$B$81,MATCH(B104,Intent_Analysis!$A$5:$A$81,0))</f>
        <v>Card delivery &amp; activation</v>
      </c>
      <c r="D104" s="0" t="n">
        <f aca="false">INDEX(Intent_Analysis!$E$5:$E$81,MATCH(B104,Intent_Analysis!$A$5:$A$81,0))</f>
        <v>1</v>
      </c>
    </row>
    <row r="105" customFormat="false" ht="15" hidden="false" customHeight="false" outlineLevel="0" collapsed="false">
      <c r="A105" s="0" t="s">
        <v>429</v>
      </c>
      <c r="B105" s="0" t="s">
        <v>46</v>
      </c>
      <c r="C105" s="0" t="str">
        <f aca="false">INDEX(Intent_Analysis!$B$5:$B$81,MATCH(B105,Intent_Analysis!$A$5:$A$81,0))</f>
        <v>Card delivery &amp; activation</v>
      </c>
      <c r="D105" s="0" t="n">
        <f aca="false">INDEX(Intent_Analysis!$E$5:$E$81,MATCH(B105,Intent_Analysis!$A$5:$A$81,0))</f>
        <v>1</v>
      </c>
    </row>
    <row r="106" customFormat="false" ht="15" hidden="false" customHeight="false" outlineLevel="0" collapsed="false">
      <c r="A106" s="0" t="s">
        <v>430</v>
      </c>
      <c r="B106" s="0" t="s">
        <v>46</v>
      </c>
      <c r="C106" s="0" t="str">
        <f aca="false">INDEX(Intent_Analysis!$B$5:$B$81,MATCH(B106,Intent_Analysis!$A$5:$A$81,0))</f>
        <v>Card delivery &amp; activation</v>
      </c>
      <c r="D106" s="0" t="n">
        <f aca="false">INDEX(Intent_Analysis!$E$5:$E$81,MATCH(B106,Intent_Analysis!$A$5:$A$81,0))</f>
        <v>1</v>
      </c>
    </row>
    <row r="107" customFormat="false" ht="15" hidden="false" customHeight="false" outlineLevel="0" collapsed="false">
      <c r="A107" s="0" t="s">
        <v>431</v>
      </c>
      <c r="B107" s="0" t="s">
        <v>46</v>
      </c>
      <c r="C107" s="0" t="str">
        <f aca="false">INDEX(Intent_Analysis!$B$5:$B$81,MATCH(B107,Intent_Analysis!$A$5:$A$81,0))</f>
        <v>Card delivery &amp; activation</v>
      </c>
      <c r="D107" s="0" t="n">
        <f aca="false">INDEX(Intent_Analysis!$E$5:$E$81,MATCH(B107,Intent_Analysis!$A$5:$A$81,0))</f>
        <v>1</v>
      </c>
    </row>
    <row r="108" customFormat="false" ht="15" hidden="false" customHeight="false" outlineLevel="0" collapsed="false">
      <c r="A108" s="0" t="s">
        <v>432</v>
      </c>
      <c r="B108" s="0" t="s">
        <v>46</v>
      </c>
      <c r="C108" s="0" t="str">
        <f aca="false">INDEX(Intent_Analysis!$B$5:$B$81,MATCH(B108,Intent_Analysis!$A$5:$A$81,0))</f>
        <v>Card delivery &amp; activation</v>
      </c>
      <c r="D108" s="0" t="n">
        <f aca="false">INDEX(Intent_Analysis!$E$5:$E$81,MATCH(B108,Intent_Analysis!$A$5:$A$81,0))</f>
        <v>1</v>
      </c>
    </row>
    <row r="109" customFormat="false" ht="15" hidden="false" customHeight="false" outlineLevel="0" collapsed="false">
      <c r="A109" s="0" t="s">
        <v>433</v>
      </c>
      <c r="B109" s="0" t="s">
        <v>46</v>
      </c>
      <c r="C109" s="0" t="str">
        <f aca="false">INDEX(Intent_Analysis!$B$5:$B$81,MATCH(B109,Intent_Analysis!$A$5:$A$81,0))</f>
        <v>Card delivery &amp; activation</v>
      </c>
      <c r="D109" s="0" t="n">
        <f aca="false">INDEX(Intent_Analysis!$E$5:$E$81,MATCH(B109,Intent_Analysis!$A$5:$A$81,0))</f>
        <v>1</v>
      </c>
    </row>
    <row r="110" customFormat="false" ht="15" hidden="false" customHeight="false" outlineLevel="0" collapsed="false">
      <c r="A110" s="0" t="s">
        <v>434</v>
      </c>
      <c r="B110" s="0" t="s">
        <v>46</v>
      </c>
      <c r="C110" s="0" t="str">
        <f aca="false">INDEX(Intent_Analysis!$B$5:$B$81,MATCH(B110,Intent_Analysis!$A$5:$A$81,0))</f>
        <v>Card delivery &amp; activation</v>
      </c>
      <c r="D110" s="0" t="n">
        <f aca="false">INDEX(Intent_Analysis!$E$5:$E$81,MATCH(B110,Intent_Analysis!$A$5:$A$81,0))</f>
        <v>1</v>
      </c>
    </row>
    <row r="111" customFormat="false" ht="15" hidden="false" customHeight="false" outlineLevel="0" collapsed="false">
      <c r="A111" s="0" t="s">
        <v>435</v>
      </c>
      <c r="B111" s="0" t="s">
        <v>46</v>
      </c>
      <c r="C111" s="0" t="str">
        <f aca="false">INDEX(Intent_Analysis!$B$5:$B$81,MATCH(B111,Intent_Analysis!$A$5:$A$81,0))</f>
        <v>Card delivery &amp; activation</v>
      </c>
      <c r="D111" s="0" t="n">
        <f aca="false">INDEX(Intent_Analysis!$E$5:$E$81,MATCH(B111,Intent_Analysis!$A$5:$A$81,0))</f>
        <v>1</v>
      </c>
    </row>
    <row r="112" customFormat="false" ht="15" hidden="false" customHeight="false" outlineLevel="0" collapsed="false">
      <c r="A112" s="0" t="s">
        <v>436</v>
      </c>
      <c r="B112" s="0" t="s">
        <v>46</v>
      </c>
      <c r="C112" s="0" t="str">
        <f aca="false">INDEX(Intent_Analysis!$B$5:$B$81,MATCH(B112,Intent_Analysis!$A$5:$A$81,0))</f>
        <v>Card delivery &amp; activation</v>
      </c>
      <c r="D112" s="0" t="n">
        <f aca="false">INDEX(Intent_Analysis!$E$5:$E$81,MATCH(B112,Intent_Analysis!$A$5:$A$81,0))</f>
        <v>1</v>
      </c>
    </row>
    <row r="113" customFormat="false" ht="15" hidden="false" customHeight="false" outlineLevel="0" collapsed="false">
      <c r="A113" s="0" t="s">
        <v>437</v>
      </c>
      <c r="B113" s="0" t="s">
        <v>46</v>
      </c>
      <c r="C113" s="0" t="str">
        <f aca="false">INDEX(Intent_Analysis!$B$5:$B$81,MATCH(B113,Intent_Analysis!$A$5:$A$81,0))</f>
        <v>Card delivery &amp; activation</v>
      </c>
      <c r="D113" s="0" t="n">
        <f aca="false">INDEX(Intent_Analysis!$E$5:$E$81,MATCH(B113,Intent_Analysis!$A$5:$A$81,0))</f>
        <v>1</v>
      </c>
    </row>
    <row r="114" customFormat="false" ht="15" hidden="false" customHeight="false" outlineLevel="0" collapsed="false">
      <c r="A114" s="0" t="s">
        <v>438</v>
      </c>
      <c r="B114" s="0" t="s">
        <v>46</v>
      </c>
      <c r="C114" s="0" t="str">
        <f aca="false">INDEX(Intent_Analysis!$B$5:$B$81,MATCH(B114,Intent_Analysis!$A$5:$A$81,0))</f>
        <v>Card delivery &amp; activation</v>
      </c>
      <c r="D114" s="0" t="n">
        <f aca="false">INDEX(Intent_Analysis!$E$5:$E$81,MATCH(B114,Intent_Analysis!$A$5:$A$81,0))</f>
        <v>1</v>
      </c>
    </row>
    <row r="115" customFormat="false" ht="15" hidden="false" customHeight="false" outlineLevel="0" collapsed="false">
      <c r="A115" s="0" t="s">
        <v>439</v>
      </c>
      <c r="B115" s="0" t="s">
        <v>46</v>
      </c>
      <c r="C115" s="0" t="str">
        <f aca="false">INDEX(Intent_Analysis!$B$5:$B$81,MATCH(B115,Intent_Analysis!$A$5:$A$81,0))</f>
        <v>Card delivery &amp; activation</v>
      </c>
      <c r="D115" s="0" t="n">
        <f aca="false">INDEX(Intent_Analysis!$E$5:$E$81,MATCH(B115,Intent_Analysis!$A$5:$A$81,0))</f>
        <v>1</v>
      </c>
    </row>
    <row r="116" customFormat="false" ht="15" hidden="false" customHeight="false" outlineLevel="0" collapsed="false">
      <c r="A116" s="0" t="s">
        <v>440</v>
      </c>
      <c r="B116" s="0" t="s">
        <v>46</v>
      </c>
      <c r="C116" s="0" t="str">
        <f aca="false">INDEX(Intent_Analysis!$B$5:$B$81,MATCH(B116,Intent_Analysis!$A$5:$A$81,0))</f>
        <v>Card delivery &amp; activation</v>
      </c>
      <c r="D116" s="0" t="n">
        <f aca="false">INDEX(Intent_Analysis!$E$5:$E$81,MATCH(B116,Intent_Analysis!$A$5:$A$81,0))</f>
        <v>1</v>
      </c>
    </row>
    <row r="117" customFormat="false" ht="15" hidden="false" customHeight="false" outlineLevel="0" collapsed="false">
      <c r="A117" s="0" t="s">
        <v>441</v>
      </c>
      <c r="B117" s="0" t="s">
        <v>46</v>
      </c>
      <c r="C117" s="0" t="str">
        <f aca="false">INDEX(Intent_Analysis!$B$5:$B$81,MATCH(B117,Intent_Analysis!$A$5:$A$81,0))</f>
        <v>Card delivery &amp; activation</v>
      </c>
      <c r="D117" s="0" t="n">
        <f aca="false">INDEX(Intent_Analysis!$E$5:$E$81,MATCH(B117,Intent_Analysis!$A$5:$A$81,0))</f>
        <v>1</v>
      </c>
    </row>
    <row r="118" customFormat="false" ht="15" hidden="false" customHeight="false" outlineLevel="0" collapsed="false">
      <c r="A118" s="0" t="s">
        <v>442</v>
      </c>
      <c r="B118" s="0" t="s">
        <v>46</v>
      </c>
      <c r="C118" s="0" t="str">
        <f aca="false">INDEX(Intent_Analysis!$B$5:$B$81,MATCH(B118,Intent_Analysis!$A$5:$A$81,0))</f>
        <v>Card delivery &amp; activation</v>
      </c>
      <c r="D118" s="0" t="n">
        <f aca="false">INDEX(Intent_Analysis!$E$5:$E$81,MATCH(B118,Intent_Analysis!$A$5:$A$81,0))</f>
        <v>1</v>
      </c>
    </row>
    <row r="119" customFormat="false" ht="15" hidden="false" customHeight="false" outlineLevel="0" collapsed="false">
      <c r="A119" s="0" t="s">
        <v>443</v>
      </c>
      <c r="B119" s="0" t="s">
        <v>46</v>
      </c>
      <c r="C119" s="0" t="str">
        <f aca="false">INDEX(Intent_Analysis!$B$5:$B$81,MATCH(B119,Intent_Analysis!$A$5:$A$81,0))</f>
        <v>Card delivery &amp; activation</v>
      </c>
      <c r="D119" s="0" t="n">
        <f aca="false">INDEX(Intent_Analysis!$E$5:$E$81,MATCH(B119,Intent_Analysis!$A$5:$A$81,0))</f>
        <v>1</v>
      </c>
    </row>
    <row r="120" customFormat="false" ht="15" hidden="false" customHeight="false" outlineLevel="0" collapsed="false">
      <c r="A120" s="0" t="s">
        <v>444</v>
      </c>
      <c r="B120" s="0" t="s">
        <v>46</v>
      </c>
      <c r="C120" s="0" t="str">
        <f aca="false">INDEX(Intent_Analysis!$B$5:$B$81,MATCH(B120,Intent_Analysis!$A$5:$A$81,0))</f>
        <v>Card delivery &amp; activation</v>
      </c>
      <c r="D120" s="0" t="n">
        <f aca="false">INDEX(Intent_Analysis!$E$5:$E$81,MATCH(B120,Intent_Analysis!$A$5:$A$81,0))</f>
        <v>1</v>
      </c>
    </row>
    <row r="121" customFormat="false" ht="15" hidden="false" customHeight="false" outlineLevel="0" collapsed="false">
      <c r="A121" s="0" t="s">
        <v>445</v>
      </c>
      <c r="B121" s="0" t="s">
        <v>46</v>
      </c>
      <c r="C121" s="0" t="str">
        <f aca="false">INDEX(Intent_Analysis!$B$5:$B$81,MATCH(B121,Intent_Analysis!$A$5:$A$81,0))</f>
        <v>Card delivery &amp; activation</v>
      </c>
      <c r="D121" s="0" t="n">
        <f aca="false">INDEX(Intent_Analysis!$E$5:$E$81,MATCH(B121,Intent_Analysis!$A$5:$A$81,0))</f>
        <v>1</v>
      </c>
    </row>
    <row r="122" customFormat="false" ht="15" hidden="false" customHeight="false" outlineLevel="0" collapsed="false">
      <c r="A122" s="0" t="s">
        <v>446</v>
      </c>
      <c r="B122" s="0" t="s">
        <v>46</v>
      </c>
      <c r="C122" s="0" t="str">
        <f aca="false">INDEX(Intent_Analysis!$B$5:$B$81,MATCH(B122,Intent_Analysis!$A$5:$A$81,0))</f>
        <v>Card delivery &amp; activation</v>
      </c>
      <c r="D122" s="0" t="n">
        <f aca="false">INDEX(Intent_Analysis!$E$5:$E$81,MATCH(B122,Intent_Analysis!$A$5:$A$81,0))</f>
        <v>1</v>
      </c>
    </row>
    <row r="123" customFormat="false" ht="15" hidden="false" customHeight="false" outlineLevel="0" collapsed="false">
      <c r="A123" s="0" t="s">
        <v>447</v>
      </c>
      <c r="B123" s="0" t="s">
        <v>46</v>
      </c>
      <c r="C123" s="0" t="str">
        <f aca="false">INDEX(Intent_Analysis!$B$5:$B$81,MATCH(B123,Intent_Analysis!$A$5:$A$81,0))</f>
        <v>Card delivery &amp; activation</v>
      </c>
      <c r="D123" s="0" t="n">
        <f aca="false">INDEX(Intent_Analysis!$E$5:$E$81,MATCH(B123,Intent_Analysis!$A$5:$A$81,0))</f>
        <v>1</v>
      </c>
    </row>
    <row r="124" customFormat="false" ht="15" hidden="false" customHeight="false" outlineLevel="0" collapsed="false">
      <c r="A124" s="0" t="s">
        <v>448</v>
      </c>
      <c r="B124" s="0" t="s">
        <v>46</v>
      </c>
      <c r="C124" s="0" t="str">
        <f aca="false">INDEX(Intent_Analysis!$B$5:$B$81,MATCH(B124,Intent_Analysis!$A$5:$A$81,0))</f>
        <v>Card delivery &amp; activation</v>
      </c>
      <c r="D124" s="0" t="n">
        <f aca="false">INDEX(Intent_Analysis!$E$5:$E$81,MATCH(B124,Intent_Analysis!$A$5:$A$81,0))</f>
        <v>1</v>
      </c>
    </row>
    <row r="125" customFormat="false" ht="15" hidden="false" customHeight="false" outlineLevel="0" collapsed="false">
      <c r="A125" s="0" t="s">
        <v>449</v>
      </c>
      <c r="B125" s="0" t="s">
        <v>46</v>
      </c>
      <c r="C125" s="0" t="str">
        <f aca="false">INDEX(Intent_Analysis!$B$5:$B$81,MATCH(B125,Intent_Analysis!$A$5:$A$81,0))</f>
        <v>Card delivery &amp; activation</v>
      </c>
      <c r="D125" s="0" t="n">
        <f aca="false">INDEX(Intent_Analysis!$E$5:$E$81,MATCH(B125,Intent_Analysis!$A$5:$A$81,0))</f>
        <v>1</v>
      </c>
    </row>
    <row r="126" customFormat="false" ht="15" hidden="false" customHeight="false" outlineLevel="0" collapsed="false">
      <c r="A126" s="0" t="s">
        <v>450</v>
      </c>
      <c r="B126" s="0" t="s">
        <v>46</v>
      </c>
      <c r="C126" s="0" t="str">
        <f aca="false">INDEX(Intent_Analysis!$B$5:$B$81,MATCH(B126,Intent_Analysis!$A$5:$A$81,0))</f>
        <v>Card delivery &amp; activation</v>
      </c>
      <c r="D126" s="0" t="n">
        <f aca="false">INDEX(Intent_Analysis!$E$5:$E$81,MATCH(B126,Intent_Analysis!$A$5:$A$81,0))</f>
        <v>1</v>
      </c>
    </row>
    <row r="127" customFormat="false" ht="15" hidden="false" customHeight="false" outlineLevel="0" collapsed="false">
      <c r="A127" s="0" t="s">
        <v>451</v>
      </c>
      <c r="B127" s="0" t="s">
        <v>46</v>
      </c>
      <c r="C127" s="0" t="str">
        <f aca="false">INDEX(Intent_Analysis!$B$5:$B$81,MATCH(B127,Intent_Analysis!$A$5:$A$81,0))</f>
        <v>Card delivery &amp; activation</v>
      </c>
      <c r="D127" s="0" t="n">
        <f aca="false">INDEX(Intent_Analysis!$E$5:$E$81,MATCH(B127,Intent_Analysis!$A$5:$A$81,0))</f>
        <v>1</v>
      </c>
    </row>
    <row r="128" customFormat="false" ht="15" hidden="false" customHeight="false" outlineLevel="0" collapsed="false">
      <c r="A128" s="0" t="s">
        <v>452</v>
      </c>
      <c r="B128" s="0" t="s">
        <v>46</v>
      </c>
      <c r="C128" s="0" t="str">
        <f aca="false">INDEX(Intent_Analysis!$B$5:$B$81,MATCH(B128,Intent_Analysis!$A$5:$A$81,0))</f>
        <v>Card delivery &amp; activation</v>
      </c>
      <c r="D128" s="0" t="n">
        <f aca="false">INDEX(Intent_Analysis!$E$5:$E$81,MATCH(B128,Intent_Analysis!$A$5:$A$81,0))</f>
        <v>1</v>
      </c>
    </row>
    <row r="129" customFormat="false" ht="15" hidden="false" customHeight="false" outlineLevel="0" collapsed="false">
      <c r="A129" s="0" t="s">
        <v>453</v>
      </c>
      <c r="B129" s="0" t="s">
        <v>46</v>
      </c>
      <c r="C129" s="0" t="str">
        <f aca="false">INDEX(Intent_Analysis!$B$5:$B$81,MATCH(B129,Intent_Analysis!$A$5:$A$81,0))</f>
        <v>Card delivery &amp; activation</v>
      </c>
      <c r="D129" s="0" t="n">
        <f aca="false">INDEX(Intent_Analysis!$E$5:$E$81,MATCH(B129,Intent_Analysis!$A$5:$A$81,0))</f>
        <v>1</v>
      </c>
    </row>
    <row r="130" customFormat="false" ht="15" hidden="false" customHeight="false" outlineLevel="0" collapsed="false">
      <c r="A130" s="0" t="s">
        <v>454</v>
      </c>
      <c r="B130" s="0" t="s">
        <v>46</v>
      </c>
      <c r="C130" s="0" t="str">
        <f aca="false">INDEX(Intent_Analysis!$B$5:$B$81,MATCH(B130,Intent_Analysis!$A$5:$A$81,0))</f>
        <v>Card delivery &amp; activation</v>
      </c>
      <c r="D130" s="0" t="n">
        <f aca="false">INDEX(Intent_Analysis!$E$5:$E$81,MATCH(B130,Intent_Analysis!$A$5:$A$81,0))</f>
        <v>1</v>
      </c>
    </row>
    <row r="131" customFormat="false" ht="15" hidden="false" customHeight="false" outlineLevel="0" collapsed="false">
      <c r="A131" s="0" t="s">
        <v>455</v>
      </c>
      <c r="B131" s="0" t="s">
        <v>46</v>
      </c>
      <c r="C131" s="0" t="str">
        <f aca="false">INDEX(Intent_Analysis!$B$5:$B$81,MATCH(B131,Intent_Analysis!$A$5:$A$81,0))</f>
        <v>Card delivery &amp; activation</v>
      </c>
      <c r="D131" s="0" t="n">
        <f aca="false">INDEX(Intent_Analysis!$E$5:$E$81,MATCH(B131,Intent_Analysis!$A$5:$A$81,0))</f>
        <v>1</v>
      </c>
    </row>
    <row r="132" customFormat="false" ht="15" hidden="false" customHeight="false" outlineLevel="0" collapsed="false">
      <c r="A132" s="0" t="s">
        <v>456</v>
      </c>
      <c r="B132" s="0" t="s">
        <v>46</v>
      </c>
      <c r="C132" s="0" t="str">
        <f aca="false">INDEX(Intent_Analysis!$B$5:$B$81,MATCH(B132,Intent_Analysis!$A$5:$A$81,0))</f>
        <v>Card delivery &amp; activation</v>
      </c>
      <c r="D132" s="0" t="n">
        <f aca="false">INDEX(Intent_Analysis!$E$5:$E$81,MATCH(B132,Intent_Analysis!$A$5:$A$81,0))</f>
        <v>1</v>
      </c>
    </row>
    <row r="133" customFormat="false" ht="15" hidden="false" customHeight="false" outlineLevel="0" collapsed="false">
      <c r="A133" s="0" t="s">
        <v>457</v>
      </c>
      <c r="B133" s="0" t="s">
        <v>46</v>
      </c>
      <c r="C133" s="0" t="str">
        <f aca="false">INDEX(Intent_Analysis!$B$5:$B$81,MATCH(B133,Intent_Analysis!$A$5:$A$81,0))</f>
        <v>Card delivery &amp; activation</v>
      </c>
      <c r="D133" s="0" t="n">
        <f aca="false">INDEX(Intent_Analysis!$E$5:$E$81,MATCH(B133,Intent_Analysis!$A$5:$A$81,0))</f>
        <v>1</v>
      </c>
    </row>
    <row r="134" customFormat="false" ht="15" hidden="false" customHeight="false" outlineLevel="0" collapsed="false">
      <c r="A134" s="0" t="s">
        <v>458</v>
      </c>
      <c r="B134" s="0" t="s">
        <v>46</v>
      </c>
      <c r="C134" s="0" t="str">
        <f aca="false">INDEX(Intent_Analysis!$B$5:$B$81,MATCH(B134,Intent_Analysis!$A$5:$A$81,0))</f>
        <v>Card delivery &amp; activation</v>
      </c>
      <c r="D134" s="0" t="n">
        <f aca="false">INDEX(Intent_Analysis!$E$5:$E$81,MATCH(B134,Intent_Analysis!$A$5:$A$81,0))</f>
        <v>1</v>
      </c>
    </row>
    <row r="135" customFormat="false" ht="15" hidden="false" customHeight="false" outlineLevel="0" collapsed="false">
      <c r="A135" s="0" t="s">
        <v>459</v>
      </c>
      <c r="B135" s="0" t="s">
        <v>46</v>
      </c>
      <c r="C135" s="0" t="str">
        <f aca="false">INDEX(Intent_Analysis!$B$5:$B$81,MATCH(B135,Intent_Analysis!$A$5:$A$81,0))</f>
        <v>Card delivery &amp; activation</v>
      </c>
      <c r="D135" s="0" t="n">
        <f aca="false">INDEX(Intent_Analysis!$E$5:$E$81,MATCH(B135,Intent_Analysis!$A$5:$A$81,0))</f>
        <v>1</v>
      </c>
    </row>
    <row r="136" customFormat="false" ht="15" hidden="false" customHeight="false" outlineLevel="0" collapsed="false">
      <c r="A136" s="0" t="s">
        <v>460</v>
      </c>
      <c r="B136" s="0" t="s">
        <v>46</v>
      </c>
      <c r="C136" s="0" t="str">
        <f aca="false">INDEX(Intent_Analysis!$B$5:$B$81,MATCH(B136,Intent_Analysis!$A$5:$A$81,0))</f>
        <v>Card delivery &amp; activation</v>
      </c>
      <c r="D136" s="0" t="n">
        <f aca="false">INDEX(Intent_Analysis!$E$5:$E$81,MATCH(B136,Intent_Analysis!$A$5:$A$81,0))</f>
        <v>1</v>
      </c>
    </row>
    <row r="137" customFormat="false" ht="15" hidden="false" customHeight="false" outlineLevel="0" collapsed="false">
      <c r="A137" s="0" t="s">
        <v>461</v>
      </c>
      <c r="B137" s="0" t="s">
        <v>46</v>
      </c>
      <c r="C137" s="0" t="str">
        <f aca="false">INDEX(Intent_Analysis!$B$5:$B$81,MATCH(B137,Intent_Analysis!$A$5:$A$81,0))</f>
        <v>Card delivery &amp; activation</v>
      </c>
      <c r="D137" s="0" t="n">
        <f aca="false">INDEX(Intent_Analysis!$E$5:$E$81,MATCH(B137,Intent_Analysis!$A$5:$A$81,0))</f>
        <v>1</v>
      </c>
    </row>
    <row r="138" customFormat="false" ht="15" hidden="false" customHeight="false" outlineLevel="0" collapsed="false">
      <c r="A138" s="0" t="s">
        <v>462</v>
      </c>
      <c r="B138" s="0" t="s">
        <v>46</v>
      </c>
      <c r="C138" s="0" t="str">
        <f aca="false">INDEX(Intent_Analysis!$B$5:$B$81,MATCH(B138,Intent_Analysis!$A$5:$A$81,0))</f>
        <v>Card delivery &amp; activation</v>
      </c>
      <c r="D138" s="0" t="n">
        <f aca="false">INDEX(Intent_Analysis!$E$5:$E$81,MATCH(B138,Intent_Analysis!$A$5:$A$81,0))</f>
        <v>1</v>
      </c>
    </row>
    <row r="139" customFormat="false" ht="15" hidden="false" customHeight="false" outlineLevel="0" collapsed="false">
      <c r="A139" s="0" t="s">
        <v>463</v>
      </c>
      <c r="B139" s="0" t="s">
        <v>46</v>
      </c>
      <c r="C139" s="0" t="str">
        <f aca="false">INDEX(Intent_Analysis!$B$5:$B$81,MATCH(B139,Intent_Analysis!$A$5:$A$81,0))</f>
        <v>Card delivery &amp; activation</v>
      </c>
      <c r="D139" s="0" t="n">
        <f aca="false">INDEX(Intent_Analysis!$E$5:$E$81,MATCH(B139,Intent_Analysis!$A$5:$A$81,0))</f>
        <v>1</v>
      </c>
    </row>
    <row r="140" customFormat="false" ht="15" hidden="false" customHeight="false" outlineLevel="0" collapsed="false">
      <c r="A140" s="0" t="s">
        <v>464</v>
      </c>
      <c r="B140" s="0" t="s">
        <v>46</v>
      </c>
      <c r="C140" s="0" t="str">
        <f aca="false">INDEX(Intent_Analysis!$B$5:$B$81,MATCH(B140,Intent_Analysis!$A$5:$A$81,0))</f>
        <v>Card delivery &amp; activation</v>
      </c>
      <c r="D140" s="0" t="n">
        <f aca="false">INDEX(Intent_Analysis!$E$5:$E$81,MATCH(B140,Intent_Analysis!$A$5:$A$81,0))</f>
        <v>1</v>
      </c>
    </row>
    <row r="141" customFormat="false" ht="15" hidden="false" customHeight="false" outlineLevel="0" collapsed="false">
      <c r="A141" s="0" t="s">
        <v>465</v>
      </c>
      <c r="B141" s="0" t="s">
        <v>46</v>
      </c>
      <c r="C141" s="0" t="str">
        <f aca="false">INDEX(Intent_Analysis!$B$5:$B$81,MATCH(B141,Intent_Analysis!$A$5:$A$81,0))</f>
        <v>Card delivery &amp; activation</v>
      </c>
      <c r="D141" s="0" t="n">
        <f aca="false">INDEX(Intent_Analysis!$E$5:$E$81,MATCH(B141,Intent_Analysis!$A$5:$A$81,0))</f>
        <v>1</v>
      </c>
    </row>
    <row r="142" customFormat="false" ht="15" hidden="false" customHeight="false" outlineLevel="0" collapsed="false">
      <c r="A142" s="0" t="s">
        <v>466</v>
      </c>
      <c r="B142" s="0" t="s">
        <v>46</v>
      </c>
      <c r="C142" s="0" t="str">
        <f aca="false">INDEX(Intent_Analysis!$B$5:$B$81,MATCH(B142,Intent_Analysis!$A$5:$A$81,0))</f>
        <v>Card delivery &amp; activation</v>
      </c>
      <c r="D142" s="0" t="n">
        <f aca="false">INDEX(Intent_Analysis!$E$5:$E$81,MATCH(B142,Intent_Analysis!$A$5:$A$81,0))</f>
        <v>1</v>
      </c>
    </row>
    <row r="143" customFormat="false" ht="15" hidden="false" customHeight="false" outlineLevel="0" collapsed="false">
      <c r="A143" s="0" t="s">
        <v>467</v>
      </c>
      <c r="B143" s="0" t="s">
        <v>46</v>
      </c>
      <c r="C143" s="0" t="str">
        <f aca="false">INDEX(Intent_Analysis!$B$5:$B$81,MATCH(B143,Intent_Analysis!$A$5:$A$81,0))</f>
        <v>Card delivery &amp; activation</v>
      </c>
      <c r="D143" s="0" t="n">
        <f aca="false">INDEX(Intent_Analysis!$E$5:$E$81,MATCH(B143,Intent_Analysis!$A$5:$A$81,0))</f>
        <v>1</v>
      </c>
    </row>
    <row r="144" customFormat="false" ht="15" hidden="false" customHeight="false" outlineLevel="0" collapsed="false">
      <c r="A144" s="0" t="s">
        <v>468</v>
      </c>
      <c r="B144" s="0" t="s">
        <v>46</v>
      </c>
      <c r="C144" s="0" t="str">
        <f aca="false">INDEX(Intent_Analysis!$B$5:$B$81,MATCH(B144,Intent_Analysis!$A$5:$A$81,0))</f>
        <v>Card delivery &amp; activation</v>
      </c>
      <c r="D144" s="0" t="n">
        <f aca="false">INDEX(Intent_Analysis!$E$5:$E$81,MATCH(B144,Intent_Analysis!$A$5:$A$81,0))</f>
        <v>1</v>
      </c>
    </row>
    <row r="145" customFormat="false" ht="15" hidden="false" customHeight="false" outlineLevel="0" collapsed="false">
      <c r="A145" s="0" t="s">
        <v>469</v>
      </c>
      <c r="B145" s="0" t="s">
        <v>46</v>
      </c>
      <c r="C145" s="0" t="str">
        <f aca="false">INDEX(Intent_Analysis!$B$5:$B$81,MATCH(B145,Intent_Analysis!$A$5:$A$81,0))</f>
        <v>Card delivery &amp; activation</v>
      </c>
      <c r="D145" s="0" t="n">
        <f aca="false">INDEX(Intent_Analysis!$E$5:$E$81,MATCH(B145,Intent_Analysis!$A$5:$A$81,0))</f>
        <v>1</v>
      </c>
    </row>
    <row r="146" customFormat="false" ht="15" hidden="false" customHeight="false" outlineLevel="0" collapsed="false">
      <c r="A146" s="0" t="s">
        <v>470</v>
      </c>
      <c r="B146" s="0" t="s">
        <v>46</v>
      </c>
      <c r="C146" s="0" t="str">
        <f aca="false">INDEX(Intent_Analysis!$B$5:$B$81,MATCH(B146,Intent_Analysis!$A$5:$A$81,0))</f>
        <v>Card delivery &amp; activation</v>
      </c>
      <c r="D146" s="0" t="n">
        <f aca="false">INDEX(Intent_Analysis!$E$5:$E$81,MATCH(B146,Intent_Analysis!$A$5:$A$81,0))</f>
        <v>1</v>
      </c>
    </row>
    <row r="147" customFormat="false" ht="15" hidden="false" customHeight="false" outlineLevel="0" collapsed="false">
      <c r="A147" s="0" t="s">
        <v>471</v>
      </c>
      <c r="B147" s="0" t="s">
        <v>46</v>
      </c>
      <c r="C147" s="0" t="str">
        <f aca="false">INDEX(Intent_Analysis!$B$5:$B$81,MATCH(B147,Intent_Analysis!$A$5:$A$81,0))</f>
        <v>Card delivery &amp; activation</v>
      </c>
      <c r="D147" s="0" t="n">
        <f aca="false">INDEX(Intent_Analysis!$E$5:$E$81,MATCH(B147,Intent_Analysis!$A$5:$A$81,0))</f>
        <v>1</v>
      </c>
    </row>
    <row r="148" customFormat="false" ht="15" hidden="false" customHeight="false" outlineLevel="0" collapsed="false">
      <c r="A148" s="0" t="s">
        <v>472</v>
      </c>
      <c r="B148" s="0" t="s">
        <v>46</v>
      </c>
      <c r="C148" s="0" t="str">
        <f aca="false">INDEX(Intent_Analysis!$B$5:$B$81,MATCH(B148,Intent_Analysis!$A$5:$A$81,0))</f>
        <v>Card delivery &amp; activation</v>
      </c>
      <c r="D148" s="0" t="n">
        <f aca="false">INDEX(Intent_Analysis!$E$5:$E$81,MATCH(B148,Intent_Analysis!$A$5:$A$81,0))</f>
        <v>1</v>
      </c>
    </row>
    <row r="149" customFormat="false" ht="15" hidden="false" customHeight="false" outlineLevel="0" collapsed="false">
      <c r="A149" s="0" t="s">
        <v>473</v>
      </c>
      <c r="B149" s="0" t="s">
        <v>46</v>
      </c>
      <c r="C149" s="0" t="str">
        <f aca="false">INDEX(Intent_Analysis!$B$5:$B$81,MATCH(B149,Intent_Analysis!$A$5:$A$81,0))</f>
        <v>Card delivery &amp; activation</v>
      </c>
      <c r="D149" s="0" t="n">
        <f aca="false">INDEX(Intent_Analysis!$E$5:$E$81,MATCH(B149,Intent_Analysis!$A$5:$A$81,0))</f>
        <v>1</v>
      </c>
    </row>
    <row r="150" customFormat="false" ht="15" hidden="false" customHeight="false" outlineLevel="0" collapsed="false">
      <c r="A150" s="0" t="s">
        <v>474</v>
      </c>
      <c r="B150" s="0" t="s">
        <v>46</v>
      </c>
      <c r="C150" s="0" t="str">
        <f aca="false">INDEX(Intent_Analysis!$B$5:$B$81,MATCH(B150,Intent_Analysis!$A$5:$A$81,0))</f>
        <v>Card delivery &amp; activation</v>
      </c>
      <c r="D150" s="0" t="n">
        <f aca="false">INDEX(Intent_Analysis!$E$5:$E$81,MATCH(B150,Intent_Analysis!$A$5:$A$81,0))</f>
        <v>1</v>
      </c>
    </row>
    <row r="151" customFormat="false" ht="15" hidden="false" customHeight="false" outlineLevel="0" collapsed="false">
      <c r="A151" s="0" t="s">
        <v>475</v>
      </c>
      <c r="B151" s="0" t="s">
        <v>46</v>
      </c>
      <c r="C151" s="0" t="str">
        <f aca="false">INDEX(Intent_Analysis!$B$5:$B$81,MATCH(B151,Intent_Analysis!$A$5:$A$81,0))</f>
        <v>Card delivery &amp; activation</v>
      </c>
      <c r="D151" s="0" t="n">
        <f aca="false">INDEX(Intent_Analysis!$E$5:$E$81,MATCH(B151,Intent_Analysis!$A$5:$A$81,0))</f>
        <v>1</v>
      </c>
    </row>
    <row r="152" customFormat="false" ht="15" hidden="false" customHeight="false" outlineLevel="0" collapsed="false">
      <c r="A152" s="0" t="s">
        <v>476</v>
      </c>
      <c r="B152" s="0" t="s">
        <v>46</v>
      </c>
      <c r="C152" s="0" t="str">
        <f aca="false">INDEX(Intent_Analysis!$B$5:$B$81,MATCH(B152,Intent_Analysis!$A$5:$A$81,0))</f>
        <v>Card delivery &amp; activation</v>
      </c>
      <c r="D152" s="0" t="n">
        <f aca="false">INDEX(Intent_Analysis!$E$5:$E$81,MATCH(B152,Intent_Analysis!$A$5:$A$81,0))</f>
        <v>1</v>
      </c>
    </row>
    <row r="153" customFormat="false" ht="15" hidden="false" customHeight="false" outlineLevel="0" collapsed="false">
      <c r="A153" s="0" t="s">
        <v>477</v>
      </c>
      <c r="B153" s="0" t="s">
        <v>46</v>
      </c>
      <c r="C153" s="0" t="str">
        <f aca="false">INDEX(Intent_Analysis!$B$5:$B$81,MATCH(B153,Intent_Analysis!$A$5:$A$81,0))</f>
        <v>Card delivery &amp; activation</v>
      </c>
      <c r="D153" s="0" t="n">
        <f aca="false">INDEX(Intent_Analysis!$E$5:$E$81,MATCH(B153,Intent_Analysis!$A$5:$A$81,0))</f>
        <v>1</v>
      </c>
    </row>
    <row r="154" customFormat="false" ht="15" hidden="false" customHeight="false" outlineLevel="0" collapsed="false">
      <c r="A154" s="0" t="s">
        <v>478</v>
      </c>
      <c r="B154" s="0" t="s">
        <v>46</v>
      </c>
      <c r="C154" s="0" t="str">
        <f aca="false">INDEX(Intent_Analysis!$B$5:$B$81,MATCH(B154,Intent_Analysis!$A$5:$A$81,0))</f>
        <v>Card delivery &amp; activation</v>
      </c>
      <c r="D154" s="0" t="n">
        <f aca="false">INDEX(Intent_Analysis!$E$5:$E$81,MATCH(B154,Intent_Analysis!$A$5:$A$81,0))</f>
        <v>1</v>
      </c>
    </row>
    <row r="155" customFormat="false" ht="15" hidden="false" customHeight="false" outlineLevel="0" collapsed="false">
      <c r="A155" s="0" t="s">
        <v>479</v>
      </c>
      <c r="B155" s="0" t="s">
        <v>47</v>
      </c>
      <c r="C155" s="0" t="str">
        <f aca="false">INDEX(Intent_Analysis!$B$5:$B$81,MATCH(B155,Intent_Analysis!$A$5:$A$81,0))</f>
        <v>Card delivery &amp; activation</v>
      </c>
      <c r="D155" s="0" t="n">
        <f aca="false">INDEX(Intent_Analysis!$E$5:$E$81,MATCH(B155,Intent_Analysis!$A$5:$A$81,0))</f>
        <v>1</v>
      </c>
    </row>
    <row r="156" customFormat="false" ht="15" hidden="false" customHeight="false" outlineLevel="0" collapsed="false">
      <c r="A156" s="0" t="s">
        <v>480</v>
      </c>
      <c r="B156" s="0" t="s">
        <v>47</v>
      </c>
      <c r="C156" s="0" t="str">
        <f aca="false">INDEX(Intent_Analysis!$B$5:$B$81,MATCH(B156,Intent_Analysis!$A$5:$A$81,0))</f>
        <v>Card delivery &amp; activation</v>
      </c>
      <c r="D156" s="0" t="n">
        <f aca="false">INDEX(Intent_Analysis!$E$5:$E$81,MATCH(B156,Intent_Analysis!$A$5:$A$81,0))</f>
        <v>1</v>
      </c>
    </row>
    <row r="157" customFormat="false" ht="15" hidden="false" customHeight="false" outlineLevel="0" collapsed="false">
      <c r="A157" s="0" t="s">
        <v>481</v>
      </c>
      <c r="B157" s="0" t="s">
        <v>47</v>
      </c>
      <c r="C157" s="0" t="str">
        <f aca="false">INDEX(Intent_Analysis!$B$5:$B$81,MATCH(B157,Intent_Analysis!$A$5:$A$81,0))</f>
        <v>Card delivery &amp; activation</v>
      </c>
      <c r="D157" s="0" t="n">
        <f aca="false">INDEX(Intent_Analysis!$E$5:$E$81,MATCH(B157,Intent_Analysis!$A$5:$A$81,0))</f>
        <v>1</v>
      </c>
    </row>
    <row r="158" customFormat="false" ht="15" hidden="false" customHeight="false" outlineLevel="0" collapsed="false">
      <c r="A158" s="0" t="s">
        <v>482</v>
      </c>
      <c r="B158" s="0" t="s">
        <v>47</v>
      </c>
      <c r="C158" s="0" t="str">
        <f aca="false">INDEX(Intent_Analysis!$B$5:$B$81,MATCH(B158,Intent_Analysis!$A$5:$A$81,0))</f>
        <v>Card delivery &amp; activation</v>
      </c>
      <c r="D158" s="0" t="n">
        <f aca="false">INDEX(Intent_Analysis!$E$5:$E$81,MATCH(B158,Intent_Analysis!$A$5:$A$81,0))</f>
        <v>1</v>
      </c>
    </row>
    <row r="159" customFormat="false" ht="15" hidden="false" customHeight="false" outlineLevel="0" collapsed="false">
      <c r="A159" s="0" t="s">
        <v>483</v>
      </c>
      <c r="B159" s="0" t="s">
        <v>47</v>
      </c>
      <c r="C159" s="0" t="str">
        <f aca="false">INDEX(Intent_Analysis!$B$5:$B$81,MATCH(B159,Intent_Analysis!$A$5:$A$81,0))</f>
        <v>Card delivery &amp; activation</v>
      </c>
      <c r="D159" s="0" t="n">
        <f aca="false">INDEX(Intent_Analysis!$E$5:$E$81,MATCH(B159,Intent_Analysis!$A$5:$A$81,0))</f>
        <v>1</v>
      </c>
    </row>
    <row r="160" customFormat="false" ht="15" hidden="false" customHeight="false" outlineLevel="0" collapsed="false">
      <c r="A160" s="0" t="s">
        <v>484</v>
      </c>
      <c r="B160" s="0" t="s">
        <v>47</v>
      </c>
      <c r="C160" s="0" t="str">
        <f aca="false">INDEX(Intent_Analysis!$B$5:$B$81,MATCH(B160,Intent_Analysis!$A$5:$A$81,0))</f>
        <v>Card delivery &amp; activation</v>
      </c>
      <c r="D160" s="0" t="n">
        <f aca="false">INDEX(Intent_Analysis!$E$5:$E$81,MATCH(B160,Intent_Analysis!$A$5:$A$81,0))</f>
        <v>1</v>
      </c>
    </row>
    <row r="161" customFormat="false" ht="15" hidden="false" customHeight="false" outlineLevel="0" collapsed="false">
      <c r="A161" s="0" t="s">
        <v>485</v>
      </c>
      <c r="B161" s="0" t="s">
        <v>47</v>
      </c>
      <c r="C161" s="0" t="str">
        <f aca="false">INDEX(Intent_Analysis!$B$5:$B$81,MATCH(B161,Intent_Analysis!$A$5:$A$81,0))</f>
        <v>Card delivery &amp; activation</v>
      </c>
      <c r="D161" s="0" t="n">
        <f aca="false">INDEX(Intent_Analysis!$E$5:$E$81,MATCH(B161,Intent_Analysis!$A$5:$A$81,0))</f>
        <v>1</v>
      </c>
    </row>
    <row r="162" customFormat="false" ht="15" hidden="false" customHeight="false" outlineLevel="0" collapsed="false">
      <c r="A162" s="0" t="s">
        <v>486</v>
      </c>
      <c r="B162" s="0" t="s">
        <v>47</v>
      </c>
      <c r="C162" s="0" t="str">
        <f aca="false">INDEX(Intent_Analysis!$B$5:$B$81,MATCH(B162,Intent_Analysis!$A$5:$A$81,0))</f>
        <v>Card delivery &amp; activation</v>
      </c>
      <c r="D162" s="0" t="n">
        <f aca="false">INDEX(Intent_Analysis!$E$5:$E$81,MATCH(B162,Intent_Analysis!$A$5:$A$81,0))</f>
        <v>1</v>
      </c>
    </row>
    <row r="163" customFormat="false" ht="15" hidden="false" customHeight="false" outlineLevel="0" collapsed="false">
      <c r="A163" s="0" t="s">
        <v>487</v>
      </c>
      <c r="B163" s="0" t="s">
        <v>47</v>
      </c>
      <c r="C163" s="0" t="str">
        <f aca="false">INDEX(Intent_Analysis!$B$5:$B$81,MATCH(B163,Intent_Analysis!$A$5:$A$81,0))</f>
        <v>Card delivery &amp; activation</v>
      </c>
      <c r="D163" s="0" t="n">
        <f aca="false">INDEX(Intent_Analysis!$E$5:$E$81,MATCH(B163,Intent_Analysis!$A$5:$A$81,0))</f>
        <v>1</v>
      </c>
    </row>
    <row r="164" customFormat="false" ht="15" hidden="false" customHeight="false" outlineLevel="0" collapsed="false">
      <c r="A164" s="0" t="s">
        <v>488</v>
      </c>
      <c r="B164" s="0" t="s">
        <v>47</v>
      </c>
      <c r="C164" s="0" t="str">
        <f aca="false">INDEX(Intent_Analysis!$B$5:$B$81,MATCH(B164,Intent_Analysis!$A$5:$A$81,0))</f>
        <v>Card delivery &amp; activation</v>
      </c>
      <c r="D164" s="0" t="n">
        <f aca="false">INDEX(Intent_Analysis!$E$5:$E$81,MATCH(B164,Intent_Analysis!$A$5:$A$81,0))</f>
        <v>1</v>
      </c>
    </row>
    <row r="165" customFormat="false" ht="15" hidden="false" customHeight="false" outlineLevel="0" collapsed="false">
      <c r="A165" s="0" t="s">
        <v>489</v>
      </c>
      <c r="B165" s="0" t="s">
        <v>47</v>
      </c>
      <c r="C165" s="0" t="str">
        <f aca="false">INDEX(Intent_Analysis!$B$5:$B$81,MATCH(B165,Intent_Analysis!$A$5:$A$81,0))</f>
        <v>Card delivery &amp; activation</v>
      </c>
      <c r="D165" s="0" t="n">
        <f aca="false">INDEX(Intent_Analysis!$E$5:$E$81,MATCH(B165,Intent_Analysis!$A$5:$A$81,0))</f>
        <v>1</v>
      </c>
    </row>
    <row r="166" customFormat="false" ht="15" hidden="false" customHeight="false" outlineLevel="0" collapsed="false">
      <c r="A166" s="0" t="s">
        <v>490</v>
      </c>
      <c r="B166" s="0" t="s">
        <v>47</v>
      </c>
      <c r="C166" s="0" t="str">
        <f aca="false">INDEX(Intent_Analysis!$B$5:$B$81,MATCH(B166,Intent_Analysis!$A$5:$A$81,0))</f>
        <v>Card delivery &amp; activation</v>
      </c>
      <c r="D166" s="0" t="n">
        <f aca="false">INDEX(Intent_Analysis!$E$5:$E$81,MATCH(B166,Intent_Analysis!$A$5:$A$81,0))</f>
        <v>1</v>
      </c>
    </row>
    <row r="167" customFormat="false" ht="15" hidden="false" customHeight="false" outlineLevel="0" collapsed="false">
      <c r="A167" s="0" t="s">
        <v>491</v>
      </c>
      <c r="B167" s="0" t="s">
        <v>47</v>
      </c>
      <c r="C167" s="0" t="str">
        <f aca="false">INDEX(Intent_Analysis!$B$5:$B$81,MATCH(B167,Intent_Analysis!$A$5:$A$81,0))</f>
        <v>Card delivery &amp; activation</v>
      </c>
      <c r="D167" s="0" t="n">
        <f aca="false">INDEX(Intent_Analysis!$E$5:$E$81,MATCH(B167,Intent_Analysis!$A$5:$A$81,0))</f>
        <v>1</v>
      </c>
    </row>
    <row r="168" customFormat="false" ht="15" hidden="false" customHeight="false" outlineLevel="0" collapsed="false">
      <c r="A168" s="0" t="s">
        <v>492</v>
      </c>
      <c r="B168" s="0" t="s">
        <v>47</v>
      </c>
      <c r="C168" s="0" t="str">
        <f aca="false">INDEX(Intent_Analysis!$B$5:$B$81,MATCH(B168,Intent_Analysis!$A$5:$A$81,0))</f>
        <v>Card delivery &amp; activation</v>
      </c>
      <c r="D168" s="0" t="n">
        <f aca="false">INDEX(Intent_Analysis!$E$5:$E$81,MATCH(B168,Intent_Analysis!$A$5:$A$81,0))</f>
        <v>1</v>
      </c>
    </row>
    <row r="169" customFormat="false" ht="15" hidden="false" customHeight="false" outlineLevel="0" collapsed="false">
      <c r="A169" s="0" t="s">
        <v>493</v>
      </c>
      <c r="B169" s="0" t="s">
        <v>47</v>
      </c>
      <c r="C169" s="0" t="str">
        <f aca="false">INDEX(Intent_Analysis!$B$5:$B$81,MATCH(B169,Intent_Analysis!$A$5:$A$81,0))</f>
        <v>Card delivery &amp; activation</v>
      </c>
      <c r="D169" s="0" t="n">
        <f aca="false">INDEX(Intent_Analysis!$E$5:$E$81,MATCH(B169,Intent_Analysis!$A$5:$A$81,0))</f>
        <v>1</v>
      </c>
    </row>
    <row r="170" customFormat="false" ht="15" hidden="false" customHeight="false" outlineLevel="0" collapsed="false">
      <c r="A170" s="0" t="s">
        <v>494</v>
      </c>
      <c r="B170" s="0" t="s">
        <v>47</v>
      </c>
      <c r="C170" s="0" t="str">
        <f aca="false">INDEX(Intent_Analysis!$B$5:$B$81,MATCH(B170,Intent_Analysis!$A$5:$A$81,0))</f>
        <v>Card delivery &amp; activation</v>
      </c>
      <c r="D170" s="0" t="n">
        <f aca="false">INDEX(Intent_Analysis!$E$5:$E$81,MATCH(B170,Intent_Analysis!$A$5:$A$81,0))</f>
        <v>1</v>
      </c>
    </row>
    <row r="171" customFormat="false" ht="15" hidden="false" customHeight="false" outlineLevel="0" collapsed="false">
      <c r="A171" s="0" t="s">
        <v>495</v>
      </c>
      <c r="B171" s="0" t="s">
        <v>47</v>
      </c>
      <c r="C171" s="0" t="str">
        <f aca="false">INDEX(Intent_Analysis!$B$5:$B$81,MATCH(B171,Intent_Analysis!$A$5:$A$81,0))</f>
        <v>Card delivery &amp; activation</v>
      </c>
      <c r="D171" s="0" t="n">
        <f aca="false">INDEX(Intent_Analysis!$E$5:$E$81,MATCH(B171,Intent_Analysis!$A$5:$A$81,0))</f>
        <v>1</v>
      </c>
    </row>
    <row r="172" customFormat="false" ht="15" hidden="false" customHeight="false" outlineLevel="0" collapsed="false">
      <c r="A172" s="0" t="s">
        <v>496</v>
      </c>
      <c r="B172" s="0" t="s">
        <v>47</v>
      </c>
      <c r="C172" s="0" t="str">
        <f aca="false">INDEX(Intent_Analysis!$B$5:$B$81,MATCH(B172,Intent_Analysis!$A$5:$A$81,0))</f>
        <v>Card delivery &amp; activation</v>
      </c>
      <c r="D172" s="0" t="n">
        <f aca="false">INDEX(Intent_Analysis!$E$5:$E$81,MATCH(B172,Intent_Analysis!$A$5:$A$81,0))</f>
        <v>1</v>
      </c>
    </row>
    <row r="173" customFormat="false" ht="15" hidden="false" customHeight="false" outlineLevel="0" collapsed="false">
      <c r="A173" s="0" t="s">
        <v>497</v>
      </c>
      <c r="B173" s="0" t="s">
        <v>47</v>
      </c>
      <c r="C173" s="0" t="str">
        <f aca="false">INDEX(Intent_Analysis!$B$5:$B$81,MATCH(B173,Intent_Analysis!$A$5:$A$81,0))</f>
        <v>Card delivery &amp; activation</v>
      </c>
      <c r="D173" s="0" t="n">
        <f aca="false">INDEX(Intent_Analysis!$E$5:$E$81,MATCH(B173,Intent_Analysis!$A$5:$A$81,0))</f>
        <v>1</v>
      </c>
    </row>
    <row r="174" customFormat="false" ht="15" hidden="false" customHeight="false" outlineLevel="0" collapsed="false">
      <c r="A174" s="0" t="s">
        <v>498</v>
      </c>
      <c r="B174" s="0" t="s">
        <v>47</v>
      </c>
      <c r="C174" s="0" t="str">
        <f aca="false">INDEX(Intent_Analysis!$B$5:$B$81,MATCH(B174,Intent_Analysis!$A$5:$A$81,0))</f>
        <v>Card delivery &amp; activation</v>
      </c>
      <c r="D174" s="0" t="n">
        <f aca="false">INDEX(Intent_Analysis!$E$5:$E$81,MATCH(B174,Intent_Analysis!$A$5:$A$81,0))</f>
        <v>1</v>
      </c>
    </row>
    <row r="175" customFormat="false" ht="15" hidden="false" customHeight="false" outlineLevel="0" collapsed="false">
      <c r="A175" s="0" t="s">
        <v>499</v>
      </c>
      <c r="B175" s="0" t="s">
        <v>47</v>
      </c>
      <c r="C175" s="0" t="str">
        <f aca="false">INDEX(Intent_Analysis!$B$5:$B$81,MATCH(B175,Intent_Analysis!$A$5:$A$81,0))</f>
        <v>Card delivery &amp; activation</v>
      </c>
      <c r="D175" s="0" t="n">
        <f aca="false">INDEX(Intent_Analysis!$E$5:$E$81,MATCH(B175,Intent_Analysis!$A$5:$A$81,0))</f>
        <v>1</v>
      </c>
    </row>
    <row r="176" customFormat="false" ht="15" hidden="false" customHeight="false" outlineLevel="0" collapsed="false">
      <c r="A176" s="0" t="s">
        <v>500</v>
      </c>
      <c r="B176" s="0" t="s">
        <v>47</v>
      </c>
      <c r="C176" s="0" t="str">
        <f aca="false">INDEX(Intent_Analysis!$B$5:$B$81,MATCH(B176,Intent_Analysis!$A$5:$A$81,0))</f>
        <v>Card delivery &amp; activation</v>
      </c>
      <c r="D176" s="0" t="n">
        <f aca="false">INDEX(Intent_Analysis!$E$5:$E$81,MATCH(B176,Intent_Analysis!$A$5:$A$81,0))</f>
        <v>1</v>
      </c>
    </row>
    <row r="177" customFormat="false" ht="15" hidden="false" customHeight="false" outlineLevel="0" collapsed="false">
      <c r="A177" s="0" t="s">
        <v>501</v>
      </c>
      <c r="B177" s="0" t="s">
        <v>47</v>
      </c>
      <c r="C177" s="0" t="str">
        <f aca="false">INDEX(Intent_Analysis!$B$5:$B$81,MATCH(B177,Intent_Analysis!$A$5:$A$81,0))</f>
        <v>Card delivery &amp; activation</v>
      </c>
      <c r="D177" s="0" t="n">
        <f aca="false">INDEX(Intent_Analysis!$E$5:$E$81,MATCH(B177,Intent_Analysis!$A$5:$A$81,0))</f>
        <v>1</v>
      </c>
    </row>
    <row r="178" customFormat="false" ht="15" hidden="false" customHeight="false" outlineLevel="0" collapsed="false">
      <c r="A178" s="0" t="s">
        <v>502</v>
      </c>
      <c r="B178" s="0" t="s">
        <v>47</v>
      </c>
      <c r="C178" s="0" t="str">
        <f aca="false">INDEX(Intent_Analysis!$B$5:$B$81,MATCH(B178,Intent_Analysis!$A$5:$A$81,0))</f>
        <v>Card delivery &amp; activation</v>
      </c>
      <c r="D178" s="0" t="n">
        <f aca="false">INDEX(Intent_Analysis!$E$5:$E$81,MATCH(B178,Intent_Analysis!$A$5:$A$81,0))</f>
        <v>1</v>
      </c>
    </row>
    <row r="179" customFormat="false" ht="15" hidden="false" customHeight="false" outlineLevel="0" collapsed="false">
      <c r="A179" s="0" t="s">
        <v>503</v>
      </c>
      <c r="B179" s="0" t="s">
        <v>47</v>
      </c>
      <c r="C179" s="0" t="str">
        <f aca="false">INDEX(Intent_Analysis!$B$5:$B$81,MATCH(B179,Intent_Analysis!$A$5:$A$81,0))</f>
        <v>Card delivery &amp; activation</v>
      </c>
      <c r="D179" s="0" t="n">
        <f aca="false">INDEX(Intent_Analysis!$E$5:$E$81,MATCH(B179,Intent_Analysis!$A$5:$A$81,0))</f>
        <v>1</v>
      </c>
    </row>
    <row r="180" customFormat="false" ht="15" hidden="false" customHeight="false" outlineLevel="0" collapsed="false">
      <c r="A180" s="0" t="s">
        <v>504</v>
      </c>
      <c r="B180" s="0" t="s">
        <v>47</v>
      </c>
      <c r="C180" s="0" t="str">
        <f aca="false">INDEX(Intent_Analysis!$B$5:$B$81,MATCH(B180,Intent_Analysis!$A$5:$A$81,0))</f>
        <v>Card delivery &amp; activation</v>
      </c>
      <c r="D180" s="0" t="n">
        <f aca="false">INDEX(Intent_Analysis!$E$5:$E$81,MATCH(B180,Intent_Analysis!$A$5:$A$81,0))</f>
        <v>1</v>
      </c>
    </row>
    <row r="181" customFormat="false" ht="15" hidden="false" customHeight="false" outlineLevel="0" collapsed="false">
      <c r="A181" s="0" t="s">
        <v>505</v>
      </c>
      <c r="B181" s="0" t="s">
        <v>47</v>
      </c>
      <c r="C181" s="0" t="str">
        <f aca="false">INDEX(Intent_Analysis!$B$5:$B$81,MATCH(B181,Intent_Analysis!$A$5:$A$81,0))</f>
        <v>Card delivery &amp; activation</v>
      </c>
      <c r="D181" s="0" t="n">
        <f aca="false">INDEX(Intent_Analysis!$E$5:$E$81,MATCH(B181,Intent_Analysis!$A$5:$A$81,0))</f>
        <v>1</v>
      </c>
    </row>
    <row r="182" customFormat="false" ht="15" hidden="false" customHeight="false" outlineLevel="0" collapsed="false">
      <c r="A182" s="0" t="s">
        <v>506</v>
      </c>
      <c r="B182" s="0" t="s">
        <v>47</v>
      </c>
      <c r="C182" s="0" t="str">
        <f aca="false">INDEX(Intent_Analysis!$B$5:$B$81,MATCH(B182,Intent_Analysis!$A$5:$A$81,0))</f>
        <v>Card delivery &amp; activation</v>
      </c>
      <c r="D182" s="0" t="n">
        <f aca="false">INDEX(Intent_Analysis!$E$5:$E$81,MATCH(B182,Intent_Analysis!$A$5:$A$81,0))</f>
        <v>1</v>
      </c>
    </row>
    <row r="183" customFormat="false" ht="15" hidden="false" customHeight="false" outlineLevel="0" collapsed="false">
      <c r="A183" s="0" t="s">
        <v>507</v>
      </c>
      <c r="B183" s="0" t="s">
        <v>47</v>
      </c>
      <c r="C183" s="0" t="str">
        <f aca="false">INDEX(Intent_Analysis!$B$5:$B$81,MATCH(B183,Intent_Analysis!$A$5:$A$81,0))</f>
        <v>Card delivery &amp; activation</v>
      </c>
      <c r="D183" s="0" t="n">
        <f aca="false">INDEX(Intent_Analysis!$E$5:$E$81,MATCH(B183,Intent_Analysis!$A$5:$A$81,0))</f>
        <v>1</v>
      </c>
    </row>
    <row r="184" customFormat="false" ht="15" hidden="false" customHeight="false" outlineLevel="0" collapsed="false">
      <c r="A184" s="0" t="s">
        <v>508</v>
      </c>
      <c r="B184" s="0" t="s">
        <v>47</v>
      </c>
      <c r="C184" s="0" t="str">
        <f aca="false">INDEX(Intent_Analysis!$B$5:$B$81,MATCH(B184,Intent_Analysis!$A$5:$A$81,0))</f>
        <v>Card delivery &amp; activation</v>
      </c>
      <c r="D184" s="0" t="n">
        <f aca="false">INDEX(Intent_Analysis!$E$5:$E$81,MATCH(B184,Intent_Analysis!$A$5:$A$81,0))</f>
        <v>1</v>
      </c>
    </row>
    <row r="185" customFormat="false" ht="15" hidden="false" customHeight="false" outlineLevel="0" collapsed="false">
      <c r="A185" s="0" t="s">
        <v>509</v>
      </c>
      <c r="B185" s="0" t="s">
        <v>47</v>
      </c>
      <c r="C185" s="0" t="str">
        <f aca="false">INDEX(Intent_Analysis!$B$5:$B$81,MATCH(B185,Intent_Analysis!$A$5:$A$81,0))</f>
        <v>Card delivery &amp; activation</v>
      </c>
      <c r="D185" s="0" t="n">
        <f aca="false">INDEX(Intent_Analysis!$E$5:$E$81,MATCH(B185,Intent_Analysis!$A$5:$A$81,0))</f>
        <v>1</v>
      </c>
    </row>
    <row r="186" customFormat="false" ht="15" hidden="false" customHeight="false" outlineLevel="0" collapsed="false">
      <c r="A186" s="0" t="s">
        <v>510</v>
      </c>
      <c r="B186" s="0" t="s">
        <v>47</v>
      </c>
      <c r="C186" s="0" t="str">
        <f aca="false">INDEX(Intent_Analysis!$B$5:$B$81,MATCH(B186,Intent_Analysis!$A$5:$A$81,0))</f>
        <v>Card delivery &amp; activation</v>
      </c>
      <c r="D186" s="0" t="n">
        <f aca="false">INDEX(Intent_Analysis!$E$5:$E$81,MATCH(B186,Intent_Analysis!$A$5:$A$81,0))</f>
        <v>1</v>
      </c>
    </row>
    <row r="187" customFormat="false" ht="15" hidden="false" customHeight="false" outlineLevel="0" collapsed="false">
      <c r="A187" s="0" t="s">
        <v>511</v>
      </c>
      <c r="B187" s="0" t="s">
        <v>47</v>
      </c>
      <c r="C187" s="0" t="str">
        <f aca="false">INDEX(Intent_Analysis!$B$5:$B$81,MATCH(B187,Intent_Analysis!$A$5:$A$81,0))</f>
        <v>Card delivery &amp; activation</v>
      </c>
      <c r="D187" s="0" t="n">
        <f aca="false">INDEX(Intent_Analysis!$E$5:$E$81,MATCH(B187,Intent_Analysis!$A$5:$A$81,0))</f>
        <v>1</v>
      </c>
    </row>
    <row r="188" customFormat="false" ht="15" hidden="false" customHeight="false" outlineLevel="0" collapsed="false">
      <c r="A188" s="0" t="s">
        <v>512</v>
      </c>
      <c r="B188" s="0" t="s">
        <v>47</v>
      </c>
      <c r="C188" s="0" t="str">
        <f aca="false">INDEX(Intent_Analysis!$B$5:$B$81,MATCH(B188,Intent_Analysis!$A$5:$A$81,0))</f>
        <v>Card delivery &amp; activation</v>
      </c>
      <c r="D188" s="0" t="n">
        <f aca="false">INDEX(Intent_Analysis!$E$5:$E$81,MATCH(B188,Intent_Analysis!$A$5:$A$81,0))</f>
        <v>1</v>
      </c>
    </row>
    <row r="189" customFormat="false" ht="15" hidden="false" customHeight="false" outlineLevel="0" collapsed="false">
      <c r="A189" s="0" t="s">
        <v>513</v>
      </c>
      <c r="B189" s="0" t="s">
        <v>47</v>
      </c>
      <c r="C189" s="0" t="str">
        <f aca="false">INDEX(Intent_Analysis!$B$5:$B$81,MATCH(B189,Intent_Analysis!$A$5:$A$81,0))</f>
        <v>Card delivery &amp; activation</v>
      </c>
      <c r="D189" s="0" t="n">
        <f aca="false">INDEX(Intent_Analysis!$E$5:$E$81,MATCH(B189,Intent_Analysis!$A$5:$A$81,0))</f>
        <v>1</v>
      </c>
    </row>
    <row r="190" customFormat="false" ht="15" hidden="false" customHeight="false" outlineLevel="0" collapsed="false">
      <c r="A190" s="0" t="s">
        <v>514</v>
      </c>
      <c r="B190" s="0" t="s">
        <v>47</v>
      </c>
      <c r="C190" s="0" t="str">
        <f aca="false">INDEX(Intent_Analysis!$B$5:$B$81,MATCH(B190,Intent_Analysis!$A$5:$A$81,0))</f>
        <v>Card delivery &amp; activation</v>
      </c>
      <c r="D190" s="0" t="n">
        <f aca="false">INDEX(Intent_Analysis!$E$5:$E$81,MATCH(B190,Intent_Analysis!$A$5:$A$81,0))</f>
        <v>1</v>
      </c>
    </row>
    <row r="191" customFormat="false" ht="15" hidden="false" customHeight="false" outlineLevel="0" collapsed="false">
      <c r="A191" s="0" t="s">
        <v>515</v>
      </c>
      <c r="B191" s="0" t="s">
        <v>47</v>
      </c>
      <c r="C191" s="0" t="str">
        <f aca="false">INDEX(Intent_Analysis!$B$5:$B$81,MATCH(B191,Intent_Analysis!$A$5:$A$81,0))</f>
        <v>Card delivery &amp; activation</v>
      </c>
      <c r="D191" s="0" t="n">
        <f aca="false">INDEX(Intent_Analysis!$E$5:$E$81,MATCH(B191,Intent_Analysis!$A$5:$A$81,0))</f>
        <v>1</v>
      </c>
    </row>
    <row r="192" customFormat="false" ht="15" hidden="false" customHeight="false" outlineLevel="0" collapsed="false">
      <c r="A192" s="0" t="s">
        <v>516</v>
      </c>
      <c r="B192" s="0" t="s">
        <v>47</v>
      </c>
      <c r="C192" s="0" t="str">
        <f aca="false">INDEX(Intent_Analysis!$B$5:$B$81,MATCH(B192,Intent_Analysis!$A$5:$A$81,0))</f>
        <v>Card delivery &amp; activation</v>
      </c>
      <c r="D192" s="0" t="n">
        <f aca="false">INDEX(Intent_Analysis!$E$5:$E$81,MATCH(B192,Intent_Analysis!$A$5:$A$81,0))</f>
        <v>1</v>
      </c>
    </row>
    <row r="193" customFormat="false" ht="15" hidden="false" customHeight="false" outlineLevel="0" collapsed="false">
      <c r="A193" s="0" t="s">
        <v>517</v>
      </c>
      <c r="B193" s="0" t="s">
        <v>47</v>
      </c>
      <c r="C193" s="0" t="str">
        <f aca="false">INDEX(Intent_Analysis!$B$5:$B$81,MATCH(B193,Intent_Analysis!$A$5:$A$81,0))</f>
        <v>Card delivery &amp; activation</v>
      </c>
      <c r="D193" s="0" t="n">
        <f aca="false">INDEX(Intent_Analysis!$E$5:$E$81,MATCH(B193,Intent_Analysis!$A$5:$A$81,0))</f>
        <v>1</v>
      </c>
    </row>
    <row r="194" customFormat="false" ht="15" hidden="false" customHeight="false" outlineLevel="0" collapsed="false">
      <c r="A194" s="0" t="s">
        <v>518</v>
      </c>
      <c r="B194" s="0" t="s">
        <v>47</v>
      </c>
      <c r="C194" s="0" t="str">
        <f aca="false">INDEX(Intent_Analysis!$B$5:$B$81,MATCH(B194,Intent_Analysis!$A$5:$A$81,0))</f>
        <v>Card delivery &amp; activation</v>
      </c>
      <c r="D194" s="0" t="n">
        <f aca="false">INDEX(Intent_Analysis!$E$5:$E$81,MATCH(B194,Intent_Analysis!$A$5:$A$81,0))</f>
        <v>1</v>
      </c>
    </row>
    <row r="195" customFormat="false" ht="15" hidden="false" customHeight="false" outlineLevel="0" collapsed="false">
      <c r="A195" s="0" t="s">
        <v>519</v>
      </c>
      <c r="B195" s="0" t="s">
        <v>47</v>
      </c>
      <c r="C195" s="0" t="str">
        <f aca="false">INDEX(Intent_Analysis!$B$5:$B$81,MATCH(B195,Intent_Analysis!$A$5:$A$81,0))</f>
        <v>Card delivery &amp; activation</v>
      </c>
      <c r="D195" s="0" t="n">
        <f aca="false">INDEX(Intent_Analysis!$E$5:$E$81,MATCH(B195,Intent_Analysis!$A$5:$A$81,0))</f>
        <v>1</v>
      </c>
    </row>
    <row r="196" customFormat="false" ht="15" hidden="false" customHeight="false" outlineLevel="0" collapsed="false">
      <c r="A196" s="0" t="s">
        <v>520</v>
      </c>
      <c r="B196" s="0" t="s">
        <v>47</v>
      </c>
      <c r="C196" s="0" t="str">
        <f aca="false">INDEX(Intent_Analysis!$B$5:$B$81,MATCH(B196,Intent_Analysis!$A$5:$A$81,0))</f>
        <v>Card delivery &amp; activation</v>
      </c>
      <c r="D196" s="0" t="n">
        <f aca="false">INDEX(Intent_Analysis!$E$5:$E$81,MATCH(B196,Intent_Analysis!$A$5:$A$81,0))</f>
        <v>1</v>
      </c>
    </row>
    <row r="197" customFormat="false" ht="15" hidden="false" customHeight="false" outlineLevel="0" collapsed="false">
      <c r="A197" s="0" t="s">
        <v>521</v>
      </c>
      <c r="B197" s="0" t="s">
        <v>47</v>
      </c>
      <c r="C197" s="0" t="str">
        <f aca="false">INDEX(Intent_Analysis!$B$5:$B$81,MATCH(B197,Intent_Analysis!$A$5:$A$81,0))</f>
        <v>Card delivery &amp; activation</v>
      </c>
      <c r="D197" s="0" t="n">
        <f aca="false">INDEX(Intent_Analysis!$E$5:$E$81,MATCH(B197,Intent_Analysis!$A$5:$A$81,0))</f>
        <v>1</v>
      </c>
    </row>
    <row r="198" customFormat="false" ht="15" hidden="false" customHeight="false" outlineLevel="0" collapsed="false">
      <c r="A198" s="0" t="s">
        <v>522</v>
      </c>
      <c r="B198" s="0" t="s">
        <v>47</v>
      </c>
      <c r="C198" s="0" t="str">
        <f aca="false">INDEX(Intent_Analysis!$B$5:$B$81,MATCH(B198,Intent_Analysis!$A$5:$A$81,0))</f>
        <v>Card delivery &amp; activation</v>
      </c>
      <c r="D198" s="0" t="n">
        <f aca="false">INDEX(Intent_Analysis!$E$5:$E$81,MATCH(B198,Intent_Analysis!$A$5:$A$81,0))</f>
        <v>1</v>
      </c>
    </row>
    <row r="199" customFormat="false" ht="15" hidden="false" customHeight="false" outlineLevel="0" collapsed="false">
      <c r="A199" s="0" t="s">
        <v>523</v>
      </c>
      <c r="B199" s="0" t="s">
        <v>47</v>
      </c>
      <c r="C199" s="0" t="str">
        <f aca="false">INDEX(Intent_Analysis!$B$5:$B$81,MATCH(B199,Intent_Analysis!$A$5:$A$81,0))</f>
        <v>Card delivery &amp; activation</v>
      </c>
      <c r="D199" s="0" t="n">
        <f aca="false">INDEX(Intent_Analysis!$E$5:$E$81,MATCH(B199,Intent_Analysis!$A$5:$A$81,0))</f>
        <v>1</v>
      </c>
    </row>
    <row r="200" customFormat="false" ht="15" hidden="false" customHeight="false" outlineLevel="0" collapsed="false">
      <c r="A200" s="0" t="s">
        <v>524</v>
      </c>
      <c r="B200" s="0" t="s">
        <v>47</v>
      </c>
      <c r="C200" s="0" t="str">
        <f aca="false">INDEX(Intent_Analysis!$B$5:$B$81,MATCH(B200,Intent_Analysis!$A$5:$A$81,0))</f>
        <v>Card delivery &amp; activation</v>
      </c>
      <c r="D200" s="0" t="n">
        <f aca="false">INDEX(Intent_Analysis!$E$5:$E$81,MATCH(B200,Intent_Analysis!$A$5:$A$81,0))</f>
        <v>1</v>
      </c>
    </row>
    <row r="201" customFormat="false" ht="15" hidden="false" customHeight="false" outlineLevel="0" collapsed="false">
      <c r="A201" s="0" t="s">
        <v>525</v>
      </c>
      <c r="B201" s="0" t="s">
        <v>47</v>
      </c>
      <c r="C201" s="0" t="str">
        <f aca="false">INDEX(Intent_Analysis!$B$5:$B$81,MATCH(B201,Intent_Analysis!$A$5:$A$81,0))</f>
        <v>Card delivery &amp; activation</v>
      </c>
      <c r="D201" s="0" t="n">
        <f aca="false">INDEX(Intent_Analysis!$E$5:$E$81,MATCH(B201,Intent_Analysis!$A$5:$A$81,0))</f>
        <v>1</v>
      </c>
    </row>
    <row r="202" customFormat="false" ht="15" hidden="false" customHeight="false" outlineLevel="0" collapsed="false">
      <c r="A202" s="0" t="s">
        <v>526</v>
      </c>
      <c r="B202" s="0" t="s">
        <v>47</v>
      </c>
      <c r="C202" s="0" t="str">
        <f aca="false">INDEX(Intent_Analysis!$B$5:$B$81,MATCH(B202,Intent_Analysis!$A$5:$A$81,0))</f>
        <v>Card delivery &amp; activation</v>
      </c>
      <c r="D202" s="0" t="n">
        <f aca="false">INDEX(Intent_Analysis!$E$5:$E$81,MATCH(B202,Intent_Analysis!$A$5:$A$81,0))</f>
        <v>1</v>
      </c>
    </row>
    <row r="203" customFormat="false" ht="15" hidden="false" customHeight="false" outlineLevel="0" collapsed="false">
      <c r="A203" s="0" t="s">
        <v>527</v>
      </c>
      <c r="B203" s="0" t="s">
        <v>47</v>
      </c>
      <c r="C203" s="0" t="str">
        <f aca="false">INDEX(Intent_Analysis!$B$5:$B$81,MATCH(B203,Intent_Analysis!$A$5:$A$81,0))</f>
        <v>Card delivery &amp; activation</v>
      </c>
      <c r="D203" s="0" t="n">
        <f aca="false">INDEX(Intent_Analysis!$E$5:$E$81,MATCH(B203,Intent_Analysis!$A$5:$A$81,0))</f>
        <v>1</v>
      </c>
    </row>
    <row r="204" customFormat="false" ht="15" hidden="false" customHeight="false" outlineLevel="0" collapsed="false">
      <c r="A204" s="0" t="s">
        <v>528</v>
      </c>
      <c r="B204" s="0" t="s">
        <v>47</v>
      </c>
      <c r="C204" s="0" t="str">
        <f aca="false">INDEX(Intent_Analysis!$B$5:$B$81,MATCH(B204,Intent_Analysis!$A$5:$A$81,0))</f>
        <v>Card delivery &amp; activation</v>
      </c>
      <c r="D204" s="0" t="n">
        <f aca="false">INDEX(Intent_Analysis!$E$5:$E$81,MATCH(B204,Intent_Analysis!$A$5:$A$81,0))</f>
        <v>1</v>
      </c>
    </row>
    <row r="205" customFormat="false" ht="15" hidden="false" customHeight="false" outlineLevel="0" collapsed="false">
      <c r="A205" s="0" t="s">
        <v>529</v>
      </c>
      <c r="B205" s="0" t="s">
        <v>47</v>
      </c>
      <c r="C205" s="0" t="str">
        <f aca="false">INDEX(Intent_Analysis!$B$5:$B$81,MATCH(B205,Intent_Analysis!$A$5:$A$81,0))</f>
        <v>Card delivery &amp; activation</v>
      </c>
      <c r="D205" s="0" t="n">
        <f aca="false">INDEX(Intent_Analysis!$E$5:$E$81,MATCH(B205,Intent_Analysis!$A$5:$A$81,0))</f>
        <v>1</v>
      </c>
    </row>
    <row r="206" customFormat="false" ht="15" hidden="false" customHeight="false" outlineLevel="0" collapsed="false">
      <c r="A206" s="0" t="s">
        <v>530</v>
      </c>
      <c r="B206" s="0" t="s">
        <v>47</v>
      </c>
      <c r="C206" s="0" t="str">
        <f aca="false">INDEX(Intent_Analysis!$B$5:$B$81,MATCH(B206,Intent_Analysis!$A$5:$A$81,0))</f>
        <v>Card delivery &amp; activation</v>
      </c>
      <c r="D206" s="0" t="n">
        <f aca="false">INDEX(Intent_Analysis!$E$5:$E$81,MATCH(B206,Intent_Analysis!$A$5:$A$81,0))</f>
        <v>1</v>
      </c>
    </row>
    <row r="207" customFormat="false" ht="15" hidden="false" customHeight="false" outlineLevel="0" collapsed="false">
      <c r="A207" s="0" t="s">
        <v>531</v>
      </c>
      <c r="B207" s="0" t="s">
        <v>47</v>
      </c>
      <c r="C207" s="0" t="str">
        <f aca="false">INDEX(Intent_Analysis!$B$5:$B$81,MATCH(B207,Intent_Analysis!$A$5:$A$81,0))</f>
        <v>Card delivery &amp; activation</v>
      </c>
      <c r="D207" s="0" t="n">
        <f aca="false">INDEX(Intent_Analysis!$E$5:$E$81,MATCH(B207,Intent_Analysis!$A$5:$A$81,0))</f>
        <v>1</v>
      </c>
    </row>
    <row r="208" customFormat="false" ht="15" hidden="false" customHeight="false" outlineLevel="0" collapsed="false">
      <c r="A208" s="0" t="s">
        <v>532</v>
      </c>
      <c r="B208" s="0" t="s">
        <v>47</v>
      </c>
      <c r="C208" s="0" t="str">
        <f aca="false">INDEX(Intent_Analysis!$B$5:$B$81,MATCH(B208,Intent_Analysis!$A$5:$A$81,0))</f>
        <v>Card delivery &amp; activation</v>
      </c>
      <c r="D208" s="0" t="n">
        <f aca="false">INDEX(Intent_Analysis!$E$5:$E$81,MATCH(B208,Intent_Analysis!$A$5:$A$81,0))</f>
        <v>1</v>
      </c>
    </row>
    <row r="209" customFormat="false" ht="15" hidden="false" customHeight="false" outlineLevel="0" collapsed="false">
      <c r="A209" s="0" t="s">
        <v>533</v>
      </c>
      <c r="B209" s="0" t="s">
        <v>47</v>
      </c>
      <c r="C209" s="0" t="str">
        <f aca="false">INDEX(Intent_Analysis!$B$5:$B$81,MATCH(B209,Intent_Analysis!$A$5:$A$81,0))</f>
        <v>Card delivery &amp; activation</v>
      </c>
      <c r="D209" s="0" t="n">
        <f aca="false">INDEX(Intent_Analysis!$E$5:$E$81,MATCH(B209,Intent_Analysis!$A$5:$A$81,0))</f>
        <v>1</v>
      </c>
    </row>
    <row r="210" customFormat="false" ht="15" hidden="false" customHeight="false" outlineLevel="0" collapsed="false">
      <c r="A210" s="0" t="s">
        <v>534</v>
      </c>
      <c r="B210" s="0" t="s">
        <v>47</v>
      </c>
      <c r="C210" s="0" t="str">
        <f aca="false">INDEX(Intent_Analysis!$B$5:$B$81,MATCH(B210,Intent_Analysis!$A$5:$A$81,0))</f>
        <v>Card delivery &amp; activation</v>
      </c>
      <c r="D210" s="0" t="n">
        <f aca="false">INDEX(Intent_Analysis!$E$5:$E$81,MATCH(B210,Intent_Analysis!$A$5:$A$81,0))</f>
        <v>1</v>
      </c>
    </row>
    <row r="211" customFormat="false" ht="15" hidden="false" customHeight="false" outlineLevel="0" collapsed="false">
      <c r="A211" s="0" t="s">
        <v>535</v>
      </c>
      <c r="B211" s="0" t="s">
        <v>47</v>
      </c>
      <c r="C211" s="0" t="str">
        <f aca="false">INDEX(Intent_Analysis!$B$5:$B$81,MATCH(B211,Intent_Analysis!$A$5:$A$81,0))</f>
        <v>Card delivery &amp; activation</v>
      </c>
      <c r="D211" s="0" t="n">
        <f aca="false">INDEX(Intent_Analysis!$E$5:$E$81,MATCH(B211,Intent_Analysis!$A$5:$A$81,0))</f>
        <v>1</v>
      </c>
    </row>
    <row r="212" customFormat="false" ht="15" hidden="false" customHeight="false" outlineLevel="0" collapsed="false">
      <c r="A212" s="0" t="s">
        <v>536</v>
      </c>
      <c r="B212" s="0" t="s">
        <v>47</v>
      </c>
      <c r="C212" s="0" t="str">
        <f aca="false">INDEX(Intent_Analysis!$B$5:$B$81,MATCH(B212,Intent_Analysis!$A$5:$A$81,0))</f>
        <v>Card delivery &amp; activation</v>
      </c>
      <c r="D212" s="0" t="n">
        <f aca="false">INDEX(Intent_Analysis!$E$5:$E$81,MATCH(B212,Intent_Analysis!$A$5:$A$81,0))</f>
        <v>1</v>
      </c>
    </row>
    <row r="213" customFormat="false" ht="15" hidden="false" customHeight="false" outlineLevel="0" collapsed="false">
      <c r="A213" s="0" t="s">
        <v>537</v>
      </c>
      <c r="B213" s="0" t="s">
        <v>47</v>
      </c>
      <c r="C213" s="0" t="str">
        <f aca="false">INDEX(Intent_Analysis!$B$5:$B$81,MATCH(B213,Intent_Analysis!$A$5:$A$81,0))</f>
        <v>Card delivery &amp; activation</v>
      </c>
      <c r="D213" s="0" t="n">
        <f aca="false">INDEX(Intent_Analysis!$E$5:$E$81,MATCH(B213,Intent_Analysis!$A$5:$A$81,0))</f>
        <v>1</v>
      </c>
    </row>
    <row r="214" customFormat="false" ht="15" hidden="false" customHeight="false" outlineLevel="0" collapsed="false">
      <c r="A214" s="0" t="s">
        <v>538</v>
      </c>
      <c r="B214" s="0" t="s">
        <v>47</v>
      </c>
      <c r="C214" s="0" t="str">
        <f aca="false">INDEX(Intent_Analysis!$B$5:$B$81,MATCH(B214,Intent_Analysis!$A$5:$A$81,0))</f>
        <v>Card delivery &amp; activation</v>
      </c>
      <c r="D214" s="0" t="n">
        <f aca="false">INDEX(Intent_Analysis!$E$5:$E$81,MATCH(B214,Intent_Analysis!$A$5:$A$81,0))</f>
        <v>1</v>
      </c>
    </row>
    <row r="215" customFormat="false" ht="15" hidden="false" customHeight="false" outlineLevel="0" collapsed="false">
      <c r="A215" s="0" t="s">
        <v>539</v>
      </c>
      <c r="B215" s="0" t="s">
        <v>47</v>
      </c>
      <c r="C215" s="0" t="str">
        <f aca="false">INDEX(Intent_Analysis!$B$5:$B$81,MATCH(B215,Intent_Analysis!$A$5:$A$81,0))</f>
        <v>Card delivery &amp; activation</v>
      </c>
      <c r="D215" s="0" t="n">
        <f aca="false">INDEX(Intent_Analysis!$E$5:$E$81,MATCH(B215,Intent_Analysis!$A$5:$A$81,0))</f>
        <v>1</v>
      </c>
    </row>
    <row r="216" customFormat="false" ht="15" hidden="false" customHeight="false" outlineLevel="0" collapsed="false">
      <c r="A216" s="0" t="s">
        <v>540</v>
      </c>
      <c r="B216" s="0" t="s">
        <v>47</v>
      </c>
      <c r="C216" s="0" t="str">
        <f aca="false">INDEX(Intent_Analysis!$B$5:$B$81,MATCH(B216,Intent_Analysis!$A$5:$A$81,0))</f>
        <v>Card delivery &amp; activation</v>
      </c>
      <c r="D216" s="0" t="n">
        <f aca="false">INDEX(Intent_Analysis!$E$5:$E$81,MATCH(B216,Intent_Analysis!$A$5:$A$81,0))</f>
        <v>1</v>
      </c>
    </row>
    <row r="217" customFormat="false" ht="15" hidden="false" customHeight="false" outlineLevel="0" collapsed="false">
      <c r="A217" s="0" t="s">
        <v>541</v>
      </c>
      <c r="B217" s="0" t="s">
        <v>47</v>
      </c>
      <c r="C217" s="0" t="str">
        <f aca="false">INDEX(Intent_Analysis!$B$5:$B$81,MATCH(B217,Intent_Analysis!$A$5:$A$81,0))</f>
        <v>Card delivery &amp; activation</v>
      </c>
      <c r="D217" s="0" t="n">
        <f aca="false">INDEX(Intent_Analysis!$E$5:$E$81,MATCH(B217,Intent_Analysis!$A$5:$A$81,0))</f>
        <v>1</v>
      </c>
    </row>
    <row r="218" customFormat="false" ht="15" hidden="false" customHeight="false" outlineLevel="0" collapsed="false">
      <c r="A218" s="0" t="s">
        <v>542</v>
      </c>
      <c r="B218" s="0" t="s">
        <v>47</v>
      </c>
      <c r="C218" s="0" t="str">
        <f aca="false">INDEX(Intent_Analysis!$B$5:$B$81,MATCH(B218,Intent_Analysis!$A$5:$A$81,0))</f>
        <v>Card delivery &amp; activation</v>
      </c>
      <c r="D218" s="0" t="n">
        <f aca="false">INDEX(Intent_Analysis!$E$5:$E$81,MATCH(B218,Intent_Analysis!$A$5:$A$81,0))</f>
        <v>1</v>
      </c>
    </row>
    <row r="219" customFormat="false" ht="15" hidden="false" customHeight="false" outlineLevel="0" collapsed="false">
      <c r="A219" s="0" t="s">
        <v>543</v>
      </c>
      <c r="B219" s="0" t="s">
        <v>47</v>
      </c>
      <c r="C219" s="0" t="str">
        <f aca="false">INDEX(Intent_Analysis!$B$5:$B$81,MATCH(B219,Intent_Analysis!$A$5:$A$81,0))</f>
        <v>Card delivery &amp; activation</v>
      </c>
      <c r="D219" s="0" t="n">
        <f aca="false">INDEX(Intent_Analysis!$E$5:$E$81,MATCH(B219,Intent_Analysis!$A$5:$A$81,0))</f>
        <v>1</v>
      </c>
    </row>
    <row r="220" customFormat="false" ht="15" hidden="false" customHeight="false" outlineLevel="0" collapsed="false">
      <c r="A220" s="0" t="s">
        <v>544</v>
      </c>
      <c r="B220" s="0" t="s">
        <v>47</v>
      </c>
      <c r="C220" s="0" t="str">
        <f aca="false">INDEX(Intent_Analysis!$B$5:$B$81,MATCH(B220,Intent_Analysis!$A$5:$A$81,0))</f>
        <v>Card delivery &amp; activation</v>
      </c>
      <c r="D220" s="0" t="n">
        <f aca="false">INDEX(Intent_Analysis!$E$5:$E$81,MATCH(B220,Intent_Analysis!$A$5:$A$81,0))</f>
        <v>1</v>
      </c>
    </row>
    <row r="221" customFormat="false" ht="15" hidden="false" customHeight="false" outlineLevel="0" collapsed="false">
      <c r="A221" s="0" t="s">
        <v>545</v>
      </c>
      <c r="B221" s="0" t="s">
        <v>47</v>
      </c>
      <c r="C221" s="0" t="str">
        <f aca="false">INDEX(Intent_Analysis!$B$5:$B$81,MATCH(B221,Intent_Analysis!$A$5:$A$81,0))</f>
        <v>Card delivery &amp; activation</v>
      </c>
      <c r="D221" s="0" t="n">
        <f aca="false">INDEX(Intent_Analysis!$E$5:$E$81,MATCH(B221,Intent_Analysis!$A$5:$A$81,0))</f>
        <v>1</v>
      </c>
    </row>
    <row r="222" customFormat="false" ht="15" hidden="false" customHeight="false" outlineLevel="0" collapsed="false">
      <c r="A222" s="0" t="s">
        <v>546</v>
      </c>
      <c r="B222" s="0" t="s">
        <v>47</v>
      </c>
      <c r="C222" s="0" t="str">
        <f aca="false">INDEX(Intent_Analysis!$B$5:$B$81,MATCH(B222,Intent_Analysis!$A$5:$A$81,0))</f>
        <v>Card delivery &amp; activation</v>
      </c>
      <c r="D222" s="0" t="n">
        <f aca="false">INDEX(Intent_Analysis!$E$5:$E$81,MATCH(B222,Intent_Analysis!$A$5:$A$81,0))</f>
        <v>1</v>
      </c>
    </row>
    <row r="223" customFormat="false" ht="15" hidden="false" customHeight="false" outlineLevel="0" collapsed="false">
      <c r="A223" s="0" t="s">
        <v>547</v>
      </c>
      <c r="B223" s="0" t="s">
        <v>47</v>
      </c>
      <c r="C223" s="0" t="str">
        <f aca="false">INDEX(Intent_Analysis!$B$5:$B$81,MATCH(B223,Intent_Analysis!$A$5:$A$81,0))</f>
        <v>Card delivery &amp; activation</v>
      </c>
      <c r="D223" s="0" t="n">
        <f aca="false">INDEX(Intent_Analysis!$E$5:$E$81,MATCH(B223,Intent_Analysis!$A$5:$A$81,0))</f>
        <v>1</v>
      </c>
    </row>
    <row r="224" customFormat="false" ht="15" hidden="false" customHeight="false" outlineLevel="0" collapsed="false">
      <c r="A224" s="0" t="s">
        <v>548</v>
      </c>
      <c r="B224" s="0" t="s">
        <v>47</v>
      </c>
      <c r="C224" s="0" t="str">
        <f aca="false">INDEX(Intent_Analysis!$B$5:$B$81,MATCH(B224,Intent_Analysis!$A$5:$A$81,0))</f>
        <v>Card delivery &amp; activation</v>
      </c>
      <c r="D224" s="0" t="n">
        <f aca="false">INDEX(Intent_Analysis!$E$5:$E$81,MATCH(B224,Intent_Analysis!$A$5:$A$81,0))</f>
        <v>1</v>
      </c>
    </row>
    <row r="225" customFormat="false" ht="15" hidden="false" customHeight="false" outlineLevel="0" collapsed="false">
      <c r="A225" s="0" t="s">
        <v>549</v>
      </c>
      <c r="B225" s="0" t="s">
        <v>47</v>
      </c>
      <c r="C225" s="0" t="str">
        <f aca="false">INDEX(Intent_Analysis!$B$5:$B$81,MATCH(B225,Intent_Analysis!$A$5:$A$81,0))</f>
        <v>Card delivery &amp; activation</v>
      </c>
      <c r="D225" s="0" t="n">
        <f aca="false">INDEX(Intent_Analysis!$E$5:$E$81,MATCH(B225,Intent_Analysis!$A$5:$A$81,0))</f>
        <v>1</v>
      </c>
    </row>
    <row r="226" customFormat="false" ht="15" hidden="false" customHeight="false" outlineLevel="0" collapsed="false">
      <c r="A226" s="0" t="s">
        <v>550</v>
      </c>
      <c r="B226" s="0" t="s">
        <v>47</v>
      </c>
      <c r="C226" s="0" t="str">
        <f aca="false">INDEX(Intent_Analysis!$B$5:$B$81,MATCH(B226,Intent_Analysis!$A$5:$A$81,0))</f>
        <v>Card delivery &amp; activation</v>
      </c>
      <c r="D226" s="0" t="n">
        <f aca="false">INDEX(Intent_Analysis!$E$5:$E$81,MATCH(B226,Intent_Analysis!$A$5:$A$81,0))</f>
        <v>1</v>
      </c>
    </row>
    <row r="227" customFormat="false" ht="15" hidden="false" customHeight="false" outlineLevel="0" collapsed="false">
      <c r="A227" s="0" t="s">
        <v>551</v>
      </c>
      <c r="B227" s="0" t="s">
        <v>47</v>
      </c>
      <c r="C227" s="0" t="str">
        <f aca="false">INDEX(Intent_Analysis!$B$5:$B$81,MATCH(B227,Intent_Analysis!$A$5:$A$81,0))</f>
        <v>Card delivery &amp; activation</v>
      </c>
      <c r="D227" s="0" t="n">
        <f aca="false">INDEX(Intent_Analysis!$E$5:$E$81,MATCH(B227,Intent_Analysis!$A$5:$A$81,0))</f>
        <v>1</v>
      </c>
    </row>
    <row r="228" customFormat="false" ht="15" hidden="false" customHeight="false" outlineLevel="0" collapsed="false">
      <c r="A228" s="0" t="s">
        <v>552</v>
      </c>
      <c r="B228" s="0" t="s">
        <v>47</v>
      </c>
      <c r="C228" s="0" t="str">
        <f aca="false">INDEX(Intent_Analysis!$B$5:$B$81,MATCH(B228,Intent_Analysis!$A$5:$A$81,0))</f>
        <v>Card delivery &amp; activation</v>
      </c>
      <c r="D228" s="0" t="n">
        <f aca="false">INDEX(Intent_Analysis!$E$5:$E$81,MATCH(B228,Intent_Analysis!$A$5:$A$81,0))</f>
        <v>1</v>
      </c>
    </row>
    <row r="229" customFormat="false" ht="15" hidden="false" customHeight="false" outlineLevel="0" collapsed="false">
      <c r="A229" s="0" t="s">
        <v>553</v>
      </c>
      <c r="B229" s="0" t="s">
        <v>47</v>
      </c>
      <c r="C229" s="0" t="str">
        <f aca="false">INDEX(Intent_Analysis!$B$5:$B$81,MATCH(B229,Intent_Analysis!$A$5:$A$81,0))</f>
        <v>Card delivery &amp; activation</v>
      </c>
      <c r="D229" s="0" t="n">
        <f aca="false">INDEX(Intent_Analysis!$E$5:$E$81,MATCH(B229,Intent_Analysis!$A$5:$A$81,0))</f>
        <v>1</v>
      </c>
    </row>
    <row r="230" customFormat="false" ht="15" hidden="false" customHeight="false" outlineLevel="0" collapsed="false">
      <c r="A230" s="0" t="s">
        <v>554</v>
      </c>
      <c r="B230" s="0" t="s">
        <v>47</v>
      </c>
      <c r="C230" s="0" t="str">
        <f aca="false">INDEX(Intent_Analysis!$B$5:$B$81,MATCH(B230,Intent_Analysis!$A$5:$A$81,0))</f>
        <v>Card delivery &amp; activation</v>
      </c>
      <c r="D230" s="0" t="n">
        <f aca="false">INDEX(Intent_Analysis!$E$5:$E$81,MATCH(B230,Intent_Analysis!$A$5:$A$81,0))</f>
        <v>1</v>
      </c>
    </row>
    <row r="231" customFormat="false" ht="15" hidden="false" customHeight="false" outlineLevel="0" collapsed="false">
      <c r="A231" s="0" t="s">
        <v>555</v>
      </c>
      <c r="B231" s="0" t="s">
        <v>47</v>
      </c>
      <c r="C231" s="0" t="str">
        <f aca="false">INDEX(Intent_Analysis!$B$5:$B$81,MATCH(B231,Intent_Analysis!$A$5:$A$81,0))</f>
        <v>Card delivery &amp; activation</v>
      </c>
      <c r="D231" s="0" t="n">
        <f aca="false">INDEX(Intent_Analysis!$E$5:$E$81,MATCH(B231,Intent_Analysis!$A$5:$A$81,0))</f>
        <v>1</v>
      </c>
    </row>
    <row r="232" customFormat="false" ht="15" hidden="false" customHeight="false" outlineLevel="0" collapsed="false">
      <c r="A232" s="0" t="s">
        <v>556</v>
      </c>
      <c r="B232" s="0" t="s">
        <v>47</v>
      </c>
      <c r="C232" s="0" t="str">
        <f aca="false">INDEX(Intent_Analysis!$B$5:$B$81,MATCH(B232,Intent_Analysis!$A$5:$A$81,0))</f>
        <v>Card delivery &amp; activation</v>
      </c>
      <c r="D232" s="0" t="n">
        <f aca="false">INDEX(Intent_Analysis!$E$5:$E$81,MATCH(B232,Intent_Analysis!$A$5:$A$81,0))</f>
        <v>1</v>
      </c>
    </row>
    <row r="233" customFormat="false" ht="15" hidden="false" customHeight="false" outlineLevel="0" collapsed="false">
      <c r="A233" s="0" t="s">
        <v>557</v>
      </c>
      <c r="B233" s="0" t="s">
        <v>47</v>
      </c>
      <c r="C233" s="0" t="str">
        <f aca="false">INDEX(Intent_Analysis!$B$5:$B$81,MATCH(B233,Intent_Analysis!$A$5:$A$81,0))</f>
        <v>Card delivery &amp; activation</v>
      </c>
      <c r="D233" s="0" t="n">
        <f aca="false">INDEX(Intent_Analysis!$E$5:$E$81,MATCH(B233,Intent_Analysis!$A$5:$A$81,0))</f>
        <v>1</v>
      </c>
    </row>
    <row r="234" customFormat="false" ht="15" hidden="false" customHeight="false" outlineLevel="0" collapsed="false">
      <c r="A234" s="0" t="s">
        <v>558</v>
      </c>
      <c r="B234" s="0" t="s">
        <v>47</v>
      </c>
      <c r="C234" s="0" t="str">
        <f aca="false">INDEX(Intent_Analysis!$B$5:$B$81,MATCH(B234,Intent_Analysis!$A$5:$A$81,0))</f>
        <v>Card delivery &amp; activation</v>
      </c>
      <c r="D234" s="0" t="n">
        <f aca="false">INDEX(Intent_Analysis!$E$5:$E$81,MATCH(B234,Intent_Analysis!$A$5:$A$81,0))</f>
        <v>1</v>
      </c>
    </row>
    <row r="235" customFormat="false" ht="15" hidden="false" customHeight="false" outlineLevel="0" collapsed="false">
      <c r="A235" s="0" t="s">
        <v>559</v>
      </c>
      <c r="B235" s="0" t="s">
        <v>47</v>
      </c>
      <c r="C235" s="0" t="str">
        <f aca="false">INDEX(Intent_Analysis!$B$5:$B$81,MATCH(B235,Intent_Analysis!$A$5:$A$81,0))</f>
        <v>Card delivery &amp; activation</v>
      </c>
      <c r="D235" s="0" t="n">
        <f aca="false">INDEX(Intent_Analysis!$E$5:$E$81,MATCH(B235,Intent_Analysis!$A$5:$A$81,0))</f>
        <v>1</v>
      </c>
    </row>
    <row r="236" customFormat="false" ht="15" hidden="false" customHeight="false" outlineLevel="0" collapsed="false">
      <c r="A236" s="0" t="s">
        <v>560</v>
      </c>
      <c r="B236" s="0" t="s">
        <v>47</v>
      </c>
      <c r="C236" s="0" t="str">
        <f aca="false">INDEX(Intent_Analysis!$B$5:$B$81,MATCH(B236,Intent_Analysis!$A$5:$A$81,0))</f>
        <v>Card delivery &amp; activation</v>
      </c>
      <c r="D236" s="0" t="n">
        <f aca="false">INDEX(Intent_Analysis!$E$5:$E$81,MATCH(B236,Intent_Analysis!$A$5:$A$81,0))</f>
        <v>1</v>
      </c>
    </row>
    <row r="237" customFormat="false" ht="15" hidden="false" customHeight="false" outlineLevel="0" collapsed="false">
      <c r="A237" s="0" t="s">
        <v>561</v>
      </c>
      <c r="B237" s="0" t="s">
        <v>47</v>
      </c>
      <c r="C237" s="0" t="str">
        <f aca="false">INDEX(Intent_Analysis!$B$5:$B$81,MATCH(B237,Intent_Analysis!$A$5:$A$81,0))</f>
        <v>Card delivery &amp; activation</v>
      </c>
      <c r="D237" s="0" t="n">
        <f aca="false">INDEX(Intent_Analysis!$E$5:$E$81,MATCH(B237,Intent_Analysis!$A$5:$A$81,0))</f>
        <v>1</v>
      </c>
    </row>
    <row r="238" customFormat="false" ht="15" hidden="false" customHeight="false" outlineLevel="0" collapsed="false">
      <c r="A238" s="0" t="s">
        <v>562</v>
      </c>
      <c r="B238" s="0" t="s">
        <v>47</v>
      </c>
      <c r="C238" s="0" t="str">
        <f aca="false">INDEX(Intent_Analysis!$B$5:$B$81,MATCH(B238,Intent_Analysis!$A$5:$A$81,0))</f>
        <v>Card delivery &amp; activation</v>
      </c>
      <c r="D238" s="0" t="n">
        <f aca="false">INDEX(Intent_Analysis!$E$5:$E$81,MATCH(B238,Intent_Analysis!$A$5:$A$81,0))</f>
        <v>1</v>
      </c>
    </row>
    <row r="239" customFormat="false" ht="15" hidden="false" customHeight="false" outlineLevel="0" collapsed="false">
      <c r="A239" s="0" t="s">
        <v>563</v>
      </c>
      <c r="B239" s="0" t="s">
        <v>47</v>
      </c>
      <c r="C239" s="0" t="str">
        <f aca="false">INDEX(Intent_Analysis!$B$5:$B$81,MATCH(B239,Intent_Analysis!$A$5:$A$81,0))</f>
        <v>Card delivery &amp; activation</v>
      </c>
      <c r="D239" s="0" t="n">
        <f aca="false">INDEX(Intent_Analysis!$E$5:$E$81,MATCH(B239,Intent_Analysis!$A$5:$A$81,0))</f>
        <v>1</v>
      </c>
    </row>
    <row r="240" customFormat="false" ht="15" hidden="false" customHeight="false" outlineLevel="0" collapsed="false">
      <c r="A240" s="0" t="s">
        <v>564</v>
      </c>
      <c r="B240" s="0" t="s">
        <v>47</v>
      </c>
      <c r="C240" s="0" t="str">
        <f aca="false">INDEX(Intent_Analysis!$B$5:$B$81,MATCH(B240,Intent_Analysis!$A$5:$A$81,0))</f>
        <v>Card delivery &amp; activation</v>
      </c>
      <c r="D240" s="0" t="n">
        <f aca="false">INDEX(Intent_Analysis!$E$5:$E$81,MATCH(B240,Intent_Analysis!$A$5:$A$81,0))</f>
        <v>1</v>
      </c>
    </row>
    <row r="241" customFormat="false" ht="15" hidden="false" customHeight="false" outlineLevel="0" collapsed="false">
      <c r="A241" s="0" t="s">
        <v>565</v>
      </c>
      <c r="B241" s="0" t="s">
        <v>47</v>
      </c>
      <c r="C241" s="0" t="str">
        <f aca="false">INDEX(Intent_Analysis!$B$5:$B$81,MATCH(B241,Intent_Analysis!$A$5:$A$81,0))</f>
        <v>Card delivery &amp; activation</v>
      </c>
      <c r="D241" s="0" t="n">
        <f aca="false">INDEX(Intent_Analysis!$E$5:$E$81,MATCH(B241,Intent_Analysis!$A$5:$A$81,0))</f>
        <v>1</v>
      </c>
    </row>
    <row r="242" customFormat="false" ht="15" hidden="false" customHeight="false" outlineLevel="0" collapsed="false">
      <c r="A242" s="0" t="s">
        <v>566</v>
      </c>
      <c r="B242" s="0" t="s">
        <v>47</v>
      </c>
      <c r="C242" s="0" t="str">
        <f aca="false">INDEX(Intent_Analysis!$B$5:$B$81,MATCH(B242,Intent_Analysis!$A$5:$A$81,0))</f>
        <v>Card delivery &amp; activation</v>
      </c>
      <c r="D242" s="0" t="n">
        <f aca="false">INDEX(Intent_Analysis!$E$5:$E$81,MATCH(B242,Intent_Analysis!$A$5:$A$81,0))</f>
        <v>1</v>
      </c>
    </row>
    <row r="243" customFormat="false" ht="15" hidden="false" customHeight="false" outlineLevel="0" collapsed="false">
      <c r="A243" s="0" t="s">
        <v>567</v>
      </c>
      <c r="B243" s="0" t="s">
        <v>47</v>
      </c>
      <c r="C243" s="0" t="str">
        <f aca="false">INDEX(Intent_Analysis!$B$5:$B$81,MATCH(B243,Intent_Analysis!$A$5:$A$81,0))</f>
        <v>Card delivery &amp; activation</v>
      </c>
      <c r="D243" s="0" t="n">
        <f aca="false">INDEX(Intent_Analysis!$E$5:$E$81,MATCH(B243,Intent_Analysis!$A$5:$A$81,0))</f>
        <v>1</v>
      </c>
    </row>
    <row r="244" customFormat="false" ht="15" hidden="false" customHeight="false" outlineLevel="0" collapsed="false">
      <c r="A244" s="0" t="s">
        <v>568</v>
      </c>
      <c r="B244" s="0" t="s">
        <v>47</v>
      </c>
      <c r="C244" s="0" t="str">
        <f aca="false">INDEX(Intent_Analysis!$B$5:$B$81,MATCH(B244,Intent_Analysis!$A$5:$A$81,0))</f>
        <v>Card delivery &amp; activation</v>
      </c>
      <c r="D244" s="0" t="n">
        <f aca="false">INDEX(Intent_Analysis!$E$5:$E$81,MATCH(B244,Intent_Analysis!$A$5:$A$81,0))</f>
        <v>1</v>
      </c>
    </row>
    <row r="245" customFormat="false" ht="15" hidden="false" customHeight="false" outlineLevel="0" collapsed="false">
      <c r="A245" s="0" t="s">
        <v>569</v>
      </c>
      <c r="B245" s="0" t="s">
        <v>47</v>
      </c>
      <c r="C245" s="0" t="str">
        <f aca="false">INDEX(Intent_Analysis!$B$5:$B$81,MATCH(B245,Intent_Analysis!$A$5:$A$81,0))</f>
        <v>Card delivery &amp; activation</v>
      </c>
      <c r="D245" s="0" t="n">
        <f aca="false">INDEX(Intent_Analysis!$E$5:$E$81,MATCH(B245,Intent_Analysis!$A$5:$A$81,0))</f>
        <v>1</v>
      </c>
    </row>
    <row r="246" customFormat="false" ht="15" hidden="false" customHeight="false" outlineLevel="0" collapsed="false">
      <c r="A246" s="0" t="s">
        <v>570</v>
      </c>
      <c r="B246" s="0" t="s">
        <v>47</v>
      </c>
      <c r="C246" s="0" t="str">
        <f aca="false">INDEX(Intent_Analysis!$B$5:$B$81,MATCH(B246,Intent_Analysis!$A$5:$A$81,0))</f>
        <v>Card delivery &amp; activation</v>
      </c>
      <c r="D246" s="0" t="n">
        <f aca="false">INDEX(Intent_Analysis!$E$5:$E$81,MATCH(B246,Intent_Analysis!$A$5:$A$81,0))</f>
        <v>1</v>
      </c>
    </row>
    <row r="247" customFormat="false" ht="15" hidden="false" customHeight="false" outlineLevel="0" collapsed="false">
      <c r="A247" s="0" t="s">
        <v>571</v>
      </c>
      <c r="B247" s="0" t="s">
        <v>47</v>
      </c>
      <c r="C247" s="0" t="str">
        <f aca="false">INDEX(Intent_Analysis!$B$5:$B$81,MATCH(B247,Intent_Analysis!$A$5:$A$81,0))</f>
        <v>Card delivery &amp; activation</v>
      </c>
      <c r="D247" s="0" t="n">
        <f aca="false">INDEX(Intent_Analysis!$E$5:$E$81,MATCH(B247,Intent_Analysis!$A$5:$A$81,0))</f>
        <v>1</v>
      </c>
    </row>
    <row r="248" customFormat="false" ht="15" hidden="false" customHeight="false" outlineLevel="0" collapsed="false">
      <c r="A248" s="0" t="s">
        <v>572</v>
      </c>
      <c r="B248" s="0" t="s">
        <v>47</v>
      </c>
      <c r="C248" s="0" t="str">
        <f aca="false">INDEX(Intent_Analysis!$B$5:$B$81,MATCH(B248,Intent_Analysis!$A$5:$A$81,0))</f>
        <v>Card delivery &amp; activation</v>
      </c>
      <c r="D248" s="0" t="n">
        <f aca="false">INDEX(Intent_Analysis!$E$5:$E$81,MATCH(B248,Intent_Analysis!$A$5:$A$81,0))</f>
        <v>1</v>
      </c>
    </row>
    <row r="249" customFormat="false" ht="15" hidden="false" customHeight="false" outlineLevel="0" collapsed="false">
      <c r="A249" s="0" t="s">
        <v>573</v>
      </c>
      <c r="B249" s="0" t="s">
        <v>47</v>
      </c>
      <c r="C249" s="0" t="str">
        <f aca="false">INDEX(Intent_Analysis!$B$5:$B$81,MATCH(B249,Intent_Analysis!$A$5:$A$81,0))</f>
        <v>Card delivery &amp; activation</v>
      </c>
      <c r="D249" s="0" t="n">
        <f aca="false">INDEX(Intent_Analysis!$E$5:$E$81,MATCH(B249,Intent_Analysis!$A$5:$A$81,0))</f>
        <v>1</v>
      </c>
    </row>
    <row r="250" customFormat="false" ht="15" hidden="false" customHeight="false" outlineLevel="0" collapsed="false">
      <c r="A250" s="0" t="s">
        <v>574</v>
      </c>
      <c r="B250" s="0" t="s">
        <v>47</v>
      </c>
      <c r="C250" s="0" t="str">
        <f aca="false">INDEX(Intent_Analysis!$B$5:$B$81,MATCH(B250,Intent_Analysis!$A$5:$A$81,0))</f>
        <v>Card delivery &amp; activation</v>
      </c>
      <c r="D250" s="0" t="n">
        <f aca="false">INDEX(Intent_Analysis!$E$5:$E$81,MATCH(B250,Intent_Analysis!$A$5:$A$81,0))</f>
        <v>1</v>
      </c>
    </row>
    <row r="251" customFormat="false" ht="15" hidden="false" customHeight="false" outlineLevel="0" collapsed="false">
      <c r="A251" s="0" t="s">
        <v>575</v>
      </c>
      <c r="B251" s="0" t="s">
        <v>47</v>
      </c>
      <c r="C251" s="0" t="str">
        <f aca="false">INDEX(Intent_Analysis!$B$5:$B$81,MATCH(B251,Intent_Analysis!$A$5:$A$81,0))</f>
        <v>Card delivery &amp; activation</v>
      </c>
      <c r="D251" s="0" t="n">
        <f aca="false">INDEX(Intent_Analysis!$E$5:$E$81,MATCH(B251,Intent_Analysis!$A$5:$A$81,0))</f>
        <v>1</v>
      </c>
    </row>
    <row r="252" customFormat="false" ht="15" hidden="false" customHeight="false" outlineLevel="0" collapsed="false">
      <c r="A252" s="0" t="s">
        <v>576</v>
      </c>
      <c r="B252" s="0" t="s">
        <v>47</v>
      </c>
      <c r="C252" s="0" t="str">
        <f aca="false">INDEX(Intent_Analysis!$B$5:$B$81,MATCH(B252,Intent_Analysis!$A$5:$A$81,0))</f>
        <v>Card delivery &amp; activation</v>
      </c>
      <c r="D252" s="0" t="n">
        <f aca="false">INDEX(Intent_Analysis!$E$5:$E$81,MATCH(B252,Intent_Analysis!$A$5:$A$81,0))</f>
        <v>1</v>
      </c>
    </row>
    <row r="253" customFormat="false" ht="15" hidden="false" customHeight="false" outlineLevel="0" collapsed="false">
      <c r="A253" s="0" t="s">
        <v>577</v>
      </c>
      <c r="B253" s="0" t="s">
        <v>47</v>
      </c>
      <c r="C253" s="0" t="str">
        <f aca="false">INDEX(Intent_Analysis!$B$5:$B$81,MATCH(B253,Intent_Analysis!$A$5:$A$81,0))</f>
        <v>Card delivery &amp; activation</v>
      </c>
      <c r="D253" s="0" t="n">
        <f aca="false">INDEX(Intent_Analysis!$E$5:$E$81,MATCH(B253,Intent_Analysis!$A$5:$A$81,0))</f>
        <v>1</v>
      </c>
    </row>
    <row r="254" customFormat="false" ht="15" hidden="false" customHeight="false" outlineLevel="0" collapsed="false">
      <c r="A254" s="0" t="s">
        <v>578</v>
      </c>
      <c r="B254" s="0" t="s">
        <v>47</v>
      </c>
      <c r="C254" s="0" t="str">
        <f aca="false">INDEX(Intent_Analysis!$B$5:$B$81,MATCH(B254,Intent_Analysis!$A$5:$A$81,0))</f>
        <v>Card delivery &amp; activation</v>
      </c>
      <c r="D254" s="0" t="n">
        <f aca="false">INDEX(Intent_Analysis!$E$5:$E$81,MATCH(B254,Intent_Analysis!$A$5:$A$81,0))</f>
        <v>1</v>
      </c>
    </row>
    <row r="255" customFormat="false" ht="15" hidden="false" customHeight="false" outlineLevel="0" collapsed="false">
      <c r="A255" s="0" t="s">
        <v>579</v>
      </c>
      <c r="B255" s="0" t="s">
        <v>47</v>
      </c>
      <c r="C255" s="0" t="str">
        <f aca="false">INDEX(Intent_Analysis!$B$5:$B$81,MATCH(B255,Intent_Analysis!$A$5:$A$81,0))</f>
        <v>Card delivery &amp; activation</v>
      </c>
      <c r="D255" s="0" t="n">
        <f aca="false">INDEX(Intent_Analysis!$E$5:$E$81,MATCH(B255,Intent_Analysis!$A$5:$A$81,0))</f>
        <v>1</v>
      </c>
    </row>
    <row r="256" customFormat="false" ht="15" hidden="false" customHeight="false" outlineLevel="0" collapsed="false">
      <c r="A256" s="0" t="s">
        <v>580</v>
      </c>
      <c r="B256" s="0" t="s">
        <v>47</v>
      </c>
      <c r="C256" s="0" t="str">
        <f aca="false">INDEX(Intent_Analysis!$B$5:$B$81,MATCH(B256,Intent_Analysis!$A$5:$A$81,0))</f>
        <v>Card delivery &amp; activation</v>
      </c>
      <c r="D256" s="0" t="n">
        <f aca="false">INDEX(Intent_Analysis!$E$5:$E$81,MATCH(B256,Intent_Analysis!$A$5:$A$81,0))</f>
        <v>1</v>
      </c>
    </row>
    <row r="257" customFormat="false" ht="15" hidden="false" customHeight="false" outlineLevel="0" collapsed="false">
      <c r="A257" s="0" t="s">
        <v>581</v>
      </c>
      <c r="B257" s="0" t="s">
        <v>47</v>
      </c>
      <c r="C257" s="0" t="str">
        <f aca="false">INDEX(Intent_Analysis!$B$5:$B$81,MATCH(B257,Intent_Analysis!$A$5:$A$81,0))</f>
        <v>Card delivery &amp; activation</v>
      </c>
      <c r="D257" s="0" t="n">
        <f aca="false">INDEX(Intent_Analysis!$E$5:$E$81,MATCH(B257,Intent_Analysis!$A$5:$A$81,0))</f>
        <v>1</v>
      </c>
    </row>
    <row r="258" customFormat="false" ht="15" hidden="false" customHeight="false" outlineLevel="0" collapsed="false">
      <c r="A258" s="0" t="s">
        <v>582</v>
      </c>
      <c r="B258" s="0" t="s">
        <v>47</v>
      </c>
      <c r="C258" s="0" t="str">
        <f aca="false">INDEX(Intent_Analysis!$B$5:$B$81,MATCH(B258,Intent_Analysis!$A$5:$A$81,0))</f>
        <v>Card delivery &amp; activation</v>
      </c>
      <c r="D258" s="0" t="n">
        <f aca="false">INDEX(Intent_Analysis!$E$5:$E$81,MATCH(B258,Intent_Analysis!$A$5:$A$81,0))</f>
        <v>1</v>
      </c>
    </row>
    <row r="259" customFormat="false" ht="15" hidden="false" customHeight="false" outlineLevel="0" collapsed="false">
      <c r="A259" s="0" t="s">
        <v>583</v>
      </c>
      <c r="B259" s="0" t="s">
        <v>47</v>
      </c>
      <c r="C259" s="0" t="str">
        <f aca="false">INDEX(Intent_Analysis!$B$5:$B$81,MATCH(B259,Intent_Analysis!$A$5:$A$81,0))</f>
        <v>Card delivery &amp; activation</v>
      </c>
      <c r="D259" s="0" t="n">
        <f aca="false">INDEX(Intent_Analysis!$E$5:$E$81,MATCH(B259,Intent_Analysis!$A$5:$A$81,0))</f>
        <v>1</v>
      </c>
    </row>
    <row r="260" customFormat="false" ht="15" hidden="false" customHeight="false" outlineLevel="0" collapsed="false">
      <c r="A260" s="0" t="s">
        <v>584</v>
      </c>
      <c r="B260" s="0" t="s">
        <v>47</v>
      </c>
      <c r="C260" s="0" t="str">
        <f aca="false">INDEX(Intent_Analysis!$B$5:$B$81,MATCH(B260,Intent_Analysis!$A$5:$A$81,0))</f>
        <v>Card delivery &amp; activation</v>
      </c>
      <c r="D260" s="0" t="n">
        <f aca="false">INDEX(Intent_Analysis!$E$5:$E$81,MATCH(B260,Intent_Analysis!$A$5:$A$81,0))</f>
        <v>1</v>
      </c>
    </row>
    <row r="261" customFormat="false" ht="15" hidden="false" customHeight="false" outlineLevel="0" collapsed="false">
      <c r="A261" s="0" t="s">
        <v>585</v>
      </c>
      <c r="B261" s="0" t="s">
        <v>47</v>
      </c>
      <c r="C261" s="0" t="str">
        <f aca="false">INDEX(Intent_Analysis!$B$5:$B$81,MATCH(B261,Intent_Analysis!$A$5:$A$81,0))</f>
        <v>Card delivery &amp; activation</v>
      </c>
      <c r="D261" s="0" t="n">
        <f aca="false">INDEX(Intent_Analysis!$E$5:$E$81,MATCH(B261,Intent_Analysis!$A$5:$A$81,0))</f>
        <v>1</v>
      </c>
    </row>
    <row r="262" customFormat="false" ht="15" hidden="false" customHeight="false" outlineLevel="0" collapsed="false">
      <c r="A262" s="0" t="s">
        <v>586</v>
      </c>
      <c r="B262" s="0" t="s">
        <v>47</v>
      </c>
      <c r="C262" s="0" t="str">
        <f aca="false">INDEX(Intent_Analysis!$B$5:$B$81,MATCH(B262,Intent_Analysis!$A$5:$A$81,0))</f>
        <v>Card delivery &amp; activation</v>
      </c>
      <c r="D262" s="0" t="n">
        <f aca="false">INDEX(Intent_Analysis!$E$5:$E$81,MATCH(B262,Intent_Analysis!$A$5:$A$81,0))</f>
        <v>1</v>
      </c>
    </row>
    <row r="263" customFormat="false" ht="15" hidden="false" customHeight="false" outlineLevel="0" collapsed="false">
      <c r="A263" s="0" t="s">
        <v>587</v>
      </c>
      <c r="B263" s="0" t="s">
        <v>47</v>
      </c>
      <c r="C263" s="0" t="str">
        <f aca="false">INDEX(Intent_Analysis!$B$5:$B$81,MATCH(B263,Intent_Analysis!$A$5:$A$81,0))</f>
        <v>Card delivery &amp; activation</v>
      </c>
      <c r="D263" s="0" t="n">
        <f aca="false">INDEX(Intent_Analysis!$E$5:$E$81,MATCH(B263,Intent_Analysis!$A$5:$A$81,0))</f>
        <v>1</v>
      </c>
    </row>
    <row r="264" customFormat="false" ht="15" hidden="false" customHeight="false" outlineLevel="0" collapsed="false">
      <c r="A264" s="0" t="s">
        <v>588</v>
      </c>
      <c r="B264" s="0" t="s">
        <v>47</v>
      </c>
      <c r="C264" s="0" t="str">
        <f aca="false">INDEX(Intent_Analysis!$B$5:$B$81,MATCH(B264,Intent_Analysis!$A$5:$A$81,0))</f>
        <v>Card delivery &amp; activation</v>
      </c>
      <c r="D264" s="0" t="n">
        <f aca="false">INDEX(Intent_Analysis!$E$5:$E$81,MATCH(B264,Intent_Analysis!$A$5:$A$81,0))</f>
        <v>1</v>
      </c>
    </row>
    <row r="265" customFormat="false" ht="15" hidden="false" customHeight="false" outlineLevel="0" collapsed="false">
      <c r="A265" s="0" t="s">
        <v>589</v>
      </c>
      <c r="B265" s="0" t="s">
        <v>47</v>
      </c>
      <c r="C265" s="0" t="str">
        <f aca="false">INDEX(Intent_Analysis!$B$5:$B$81,MATCH(B265,Intent_Analysis!$A$5:$A$81,0))</f>
        <v>Card delivery &amp; activation</v>
      </c>
      <c r="D265" s="0" t="n">
        <f aca="false">INDEX(Intent_Analysis!$E$5:$E$81,MATCH(B265,Intent_Analysis!$A$5:$A$81,0))</f>
        <v>1</v>
      </c>
    </row>
    <row r="266" customFormat="false" ht="15" hidden="false" customHeight="false" outlineLevel="0" collapsed="false">
      <c r="A266" s="0" t="s">
        <v>590</v>
      </c>
      <c r="B266" s="0" t="s">
        <v>47</v>
      </c>
      <c r="C266" s="0" t="str">
        <f aca="false">INDEX(Intent_Analysis!$B$5:$B$81,MATCH(B266,Intent_Analysis!$A$5:$A$81,0))</f>
        <v>Card delivery &amp; activation</v>
      </c>
      <c r="D266" s="0" t="n">
        <f aca="false">INDEX(Intent_Analysis!$E$5:$E$81,MATCH(B266,Intent_Analysis!$A$5:$A$81,0))</f>
        <v>1</v>
      </c>
    </row>
    <row r="267" customFormat="false" ht="15" hidden="false" customHeight="false" outlineLevel="0" collapsed="false">
      <c r="A267" s="0" t="s">
        <v>591</v>
      </c>
      <c r="B267" s="0" t="s">
        <v>47</v>
      </c>
      <c r="C267" s="0" t="str">
        <f aca="false">INDEX(Intent_Analysis!$B$5:$B$81,MATCH(B267,Intent_Analysis!$A$5:$A$81,0))</f>
        <v>Card delivery &amp; activation</v>
      </c>
      <c r="D267" s="0" t="n">
        <f aca="false">INDEX(Intent_Analysis!$E$5:$E$81,MATCH(B267,Intent_Analysis!$A$5:$A$81,0))</f>
        <v>1</v>
      </c>
    </row>
    <row r="268" customFormat="false" ht="15" hidden="false" customHeight="false" outlineLevel="0" collapsed="false">
      <c r="A268" s="0" t="s">
        <v>592</v>
      </c>
      <c r="B268" s="0" t="s">
        <v>47</v>
      </c>
      <c r="C268" s="0" t="str">
        <f aca="false">INDEX(Intent_Analysis!$B$5:$B$81,MATCH(B268,Intent_Analysis!$A$5:$A$81,0))</f>
        <v>Card delivery &amp; activation</v>
      </c>
      <c r="D268" s="0" t="n">
        <f aca="false">INDEX(Intent_Analysis!$E$5:$E$81,MATCH(B268,Intent_Analysis!$A$5:$A$81,0))</f>
        <v>1</v>
      </c>
    </row>
    <row r="269" customFormat="false" ht="15" hidden="false" customHeight="false" outlineLevel="0" collapsed="false">
      <c r="A269" s="0" t="s">
        <v>593</v>
      </c>
      <c r="B269" s="0" t="s">
        <v>47</v>
      </c>
      <c r="C269" s="0" t="str">
        <f aca="false">INDEX(Intent_Analysis!$B$5:$B$81,MATCH(B269,Intent_Analysis!$A$5:$A$81,0))</f>
        <v>Card delivery &amp; activation</v>
      </c>
      <c r="D269" s="0" t="n">
        <f aca="false">INDEX(Intent_Analysis!$E$5:$E$81,MATCH(B269,Intent_Analysis!$A$5:$A$81,0))</f>
        <v>1</v>
      </c>
    </row>
    <row r="270" customFormat="false" ht="15" hidden="false" customHeight="false" outlineLevel="0" collapsed="false">
      <c r="A270" s="0" t="s">
        <v>594</v>
      </c>
      <c r="B270" s="0" t="s">
        <v>47</v>
      </c>
      <c r="C270" s="0" t="str">
        <f aca="false">INDEX(Intent_Analysis!$B$5:$B$81,MATCH(B270,Intent_Analysis!$A$5:$A$81,0))</f>
        <v>Card delivery &amp; activation</v>
      </c>
      <c r="D270" s="0" t="n">
        <f aca="false">INDEX(Intent_Analysis!$E$5:$E$81,MATCH(B270,Intent_Analysis!$A$5:$A$81,0))</f>
        <v>1</v>
      </c>
    </row>
    <row r="271" customFormat="false" ht="15" hidden="false" customHeight="false" outlineLevel="0" collapsed="false">
      <c r="A271" s="0" t="s">
        <v>595</v>
      </c>
      <c r="B271" s="0" t="s">
        <v>47</v>
      </c>
      <c r="C271" s="0" t="str">
        <f aca="false">INDEX(Intent_Analysis!$B$5:$B$81,MATCH(B271,Intent_Analysis!$A$5:$A$81,0))</f>
        <v>Card delivery &amp; activation</v>
      </c>
      <c r="D271" s="0" t="n">
        <f aca="false">INDEX(Intent_Analysis!$E$5:$E$81,MATCH(B271,Intent_Analysis!$A$5:$A$81,0))</f>
        <v>1</v>
      </c>
    </row>
    <row r="272" customFormat="false" ht="15" hidden="false" customHeight="false" outlineLevel="0" collapsed="false">
      <c r="A272" s="0" t="s">
        <v>596</v>
      </c>
      <c r="B272" s="0" t="s">
        <v>47</v>
      </c>
      <c r="C272" s="0" t="str">
        <f aca="false">INDEX(Intent_Analysis!$B$5:$B$81,MATCH(B272,Intent_Analysis!$A$5:$A$81,0))</f>
        <v>Card delivery &amp; activation</v>
      </c>
      <c r="D272" s="0" t="n">
        <f aca="false">INDEX(Intent_Analysis!$E$5:$E$81,MATCH(B272,Intent_Analysis!$A$5:$A$81,0))</f>
        <v>1</v>
      </c>
    </row>
    <row r="273" customFormat="false" ht="15" hidden="false" customHeight="false" outlineLevel="0" collapsed="false">
      <c r="A273" s="0" t="s">
        <v>597</v>
      </c>
      <c r="B273" s="0" t="s">
        <v>47</v>
      </c>
      <c r="C273" s="0" t="str">
        <f aca="false">INDEX(Intent_Analysis!$B$5:$B$81,MATCH(B273,Intent_Analysis!$A$5:$A$81,0))</f>
        <v>Card delivery &amp; activation</v>
      </c>
      <c r="D273" s="0" t="n">
        <f aca="false">INDEX(Intent_Analysis!$E$5:$E$81,MATCH(B273,Intent_Analysis!$A$5:$A$81,0))</f>
        <v>1</v>
      </c>
    </row>
    <row r="274" customFormat="false" ht="15" hidden="false" customHeight="false" outlineLevel="0" collapsed="false">
      <c r="A274" s="0" t="s">
        <v>598</v>
      </c>
      <c r="B274" s="0" t="s">
        <v>47</v>
      </c>
      <c r="C274" s="0" t="str">
        <f aca="false">INDEX(Intent_Analysis!$B$5:$B$81,MATCH(B274,Intent_Analysis!$A$5:$A$81,0))</f>
        <v>Card delivery &amp; activation</v>
      </c>
      <c r="D274" s="0" t="n">
        <f aca="false">INDEX(Intent_Analysis!$E$5:$E$81,MATCH(B274,Intent_Analysis!$A$5:$A$81,0))</f>
        <v>1</v>
      </c>
    </row>
    <row r="275" customFormat="false" ht="15" hidden="false" customHeight="false" outlineLevel="0" collapsed="false">
      <c r="A275" s="0" t="s">
        <v>599</v>
      </c>
      <c r="B275" s="0" t="s">
        <v>47</v>
      </c>
      <c r="C275" s="0" t="str">
        <f aca="false">INDEX(Intent_Analysis!$B$5:$B$81,MATCH(B275,Intent_Analysis!$A$5:$A$81,0))</f>
        <v>Card delivery &amp; activation</v>
      </c>
      <c r="D275" s="0" t="n">
        <f aca="false">INDEX(Intent_Analysis!$E$5:$E$81,MATCH(B275,Intent_Analysis!$A$5:$A$81,0))</f>
        <v>1</v>
      </c>
    </row>
    <row r="276" customFormat="false" ht="15" hidden="false" customHeight="false" outlineLevel="0" collapsed="false">
      <c r="A276" s="0" t="s">
        <v>600</v>
      </c>
      <c r="B276" s="0" t="s">
        <v>47</v>
      </c>
      <c r="C276" s="0" t="str">
        <f aca="false">INDEX(Intent_Analysis!$B$5:$B$81,MATCH(B276,Intent_Analysis!$A$5:$A$81,0))</f>
        <v>Card delivery &amp; activation</v>
      </c>
      <c r="D276" s="0" t="n">
        <f aca="false">INDEX(Intent_Analysis!$E$5:$E$81,MATCH(B276,Intent_Analysis!$A$5:$A$81,0))</f>
        <v>1</v>
      </c>
    </row>
    <row r="277" customFormat="false" ht="15" hidden="false" customHeight="false" outlineLevel="0" collapsed="false">
      <c r="A277" s="0" t="s">
        <v>601</v>
      </c>
      <c r="B277" s="0" t="s">
        <v>47</v>
      </c>
      <c r="C277" s="0" t="str">
        <f aca="false">INDEX(Intent_Analysis!$B$5:$B$81,MATCH(B277,Intent_Analysis!$A$5:$A$81,0))</f>
        <v>Card delivery &amp; activation</v>
      </c>
      <c r="D277" s="0" t="n">
        <f aca="false">INDEX(Intent_Analysis!$E$5:$E$81,MATCH(B277,Intent_Analysis!$A$5:$A$81,0))</f>
        <v>1</v>
      </c>
    </row>
    <row r="278" customFormat="false" ht="15" hidden="false" customHeight="false" outlineLevel="0" collapsed="false">
      <c r="A278" s="0" t="s">
        <v>602</v>
      </c>
      <c r="B278" s="0" t="s">
        <v>47</v>
      </c>
      <c r="C278" s="0" t="str">
        <f aca="false">INDEX(Intent_Analysis!$B$5:$B$81,MATCH(B278,Intent_Analysis!$A$5:$A$81,0))</f>
        <v>Card delivery &amp; activation</v>
      </c>
      <c r="D278" s="0" t="n">
        <f aca="false">INDEX(Intent_Analysis!$E$5:$E$81,MATCH(B278,Intent_Analysis!$A$5:$A$81,0))</f>
        <v>1</v>
      </c>
    </row>
    <row r="279" customFormat="false" ht="15" hidden="false" customHeight="false" outlineLevel="0" collapsed="false">
      <c r="A279" s="0" t="s">
        <v>603</v>
      </c>
      <c r="B279" s="0" t="s">
        <v>47</v>
      </c>
      <c r="C279" s="0" t="str">
        <f aca="false">INDEX(Intent_Analysis!$B$5:$B$81,MATCH(B279,Intent_Analysis!$A$5:$A$81,0))</f>
        <v>Card delivery &amp; activation</v>
      </c>
      <c r="D279" s="0" t="n">
        <f aca="false">INDEX(Intent_Analysis!$E$5:$E$81,MATCH(B279,Intent_Analysis!$A$5:$A$81,0))</f>
        <v>1</v>
      </c>
    </row>
    <row r="280" customFormat="false" ht="15" hidden="false" customHeight="false" outlineLevel="0" collapsed="false">
      <c r="A280" s="0" t="s">
        <v>604</v>
      </c>
      <c r="B280" s="0" t="s">
        <v>47</v>
      </c>
      <c r="C280" s="0" t="str">
        <f aca="false">INDEX(Intent_Analysis!$B$5:$B$81,MATCH(B280,Intent_Analysis!$A$5:$A$81,0))</f>
        <v>Card delivery &amp; activation</v>
      </c>
      <c r="D280" s="0" t="n">
        <f aca="false">INDEX(Intent_Analysis!$E$5:$E$81,MATCH(B280,Intent_Analysis!$A$5:$A$81,0))</f>
        <v>1</v>
      </c>
    </row>
    <row r="281" customFormat="false" ht="15" hidden="false" customHeight="false" outlineLevel="0" collapsed="false">
      <c r="A281" s="0" t="s">
        <v>605</v>
      </c>
      <c r="B281" s="0" t="s">
        <v>47</v>
      </c>
      <c r="C281" s="0" t="str">
        <f aca="false">INDEX(Intent_Analysis!$B$5:$B$81,MATCH(B281,Intent_Analysis!$A$5:$A$81,0))</f>
        <v>Card delivery &amp; activation</v>
      </c>
      <c r="D281" s="0" t="n">
        <f aca="false">INDEX(Intent_Analysis!$E$5:$E$81,MATCH(B281,Intent_Analysis!$A$5:$A$81,0))</f>
        <v>1</v>
      </c>
    </row>
    <row r="282" customFormat="false" ht="15" hidden="false" customHeight="false" outlineLevel="0" collapsed="false">
      <c r="A282" s="0" t="s">
        <v>606</v>
      </c>
      <c r="B282" s="0" t="s">
        <v>47</v>
      </c>
      <c r="C282" s="0" t="str">
        <f aca="false">INDEX(Intent_Analysis!$B$5:$B$81,MATCH(B282,Intent_Analysis!$A$5:$A$81,0))</f>
        <v>Card delivery &amp; activation</v>
      </c>
      <c r="D282" s="0" t="n">
        <f aca="false">INDEX(Intent_Analysis!$E$5:$E$81,MATCH(B282,Intent_Analysis!$A$5:$A$81,0))</f>
        <v>1</v>
      </c>
    </row>
    <row r="283" customFormat="false" ht="15" hidden="false" customHeight="false" outlineLevel="0" collapsed="false">
      <c r="A283" s="0" t="s">
        <v>607</v>
      </c>
      <c r="B283" s="0" t="s">
        <v>47</v>
      </c>
      <c r="C283" s="0" t="str">
        <f aca="false">INDEX(Intent_Analysis!$B$5:$B$81,MATCH(B283,Intent_Analysis!$A$5:$A$81,0))</f>
        <v>Card delivery &amp; activation</v>
      </c>
      <c r="D283" s="0" t="n">
        <f aca="false">INDEX(Intent_Analysis!$E$5:$E$81,MATCH(B283,Intent_Analysis!$A$5:$A$81,0))</f>
        <v>1</v>
      </c>
    </row>
    <row r="284" customFormat="false" ht="15" hidden="false" customHeight="false" outlineLevel="0" collapsed="false">
      <c r="A284" s="0" t="s">
        <v>608</v>
      </c>
      <c r="B284" s="0" t="s">
        <v>47</v>
      </c>
      <c r="C284" s="0" t="str">
        <f aca="false">INDEX(Intent_Analysis!$B$5:$B$81,MATCH(B284,Intent_Analysis!$A$5:$A$81,0))</f>
        <v>Card delivery &amp; activation</v>
      </c>
      <c r="D284" s="0" t="n">
        <f aca="false">INDEX(Intent_Analysis!$E$5:$E$81,MATCH(B284,Intent_Analysis!$A$5:$A$81,0))</f>
        <v>1</v>
      </c>
    </row>
    <row r="285" customFormat="false" ht="15" hidden="false" customHeight="false" outlineLevel="0" collapsed="false">
      <c r="A285" s="0" t="s">
        <v>609</v>
      </c>
      <c r="B285" s="0" t="s">
        <v>47</v>
      </c>
      <c r="C285" s="0" t="str">
        <f aca="false">INDEX(Intent_Analysis!$B$5:$B$81,MATCH(B285,Intent_Analysis!$A$5:$A$81,0))</f>
        <v>Card delivery &amp; activation</v>
      </c>
      <c r="D285" s="0" t="n">
        <f aca="false">INDEX(Intent_Analysis!$E$5:$E$81,MATCH(B285,Intent_Analysis!$A$5:$A$81,0))</f>
        <v>1</v>
      </c>
    </row>
    <row r="286" customFormat="false" ht="15" hidden="false" customHeight="false" outlineLevel="0" collapsed="false">
      <c r="A286" s="0" t="s">
        <v>610</v>
      </c>
      <c r="B286" s="0" t="s">
        <v>47</v>
      </c>
      <c r="C286" s="0" t="str">
        <f aca="false">INDEX(Intent_Analysis!$B$5:$B$81,MATCH(B286,Intent_Analysis!$A$5:$A$81,0))</f>
        <v>Card delivery &amp; activation</v>
      </c>
      <c r="D286" s="0" t="n">
        <f aca="false">INDEX(Intent_Analysis!$E$5:$E$81,MATCH(B286,Intent_Analysis!$A$5:$A$81,0))</f>
        <v>1</v>
      </c>
    </row>
    <row r="287" customFormat="false" ht="15" hidden="false" customHeight="false" outlineLevel="0" collapsed="false">
      <c r="A287" s="0" t="s">
        <v>611</v>
      </c>
      <c r="B287" s="0" t="s">
        <v>47</v>
      </c>
      <c r="C287" s="0" t="str">
        <f aca="false">INDEX(Intent_Analysis!$B$5:$B$81,MATCH(B287,Intent_Analysis!$A$5:$A$81,0))</f>
        <v>Card delivery &amp; activation</v>
      </c>
      <c r="D287" s="0" t="n">
        <f aca="false">INDEX(Intent_Analysis!$E$5:$E$81,MATCH(B287,Intent_Analysis!$A$5:$A$81,0))</f>
        <v>1</v>
      </c>
    </row>
    <row r="288" customFormat="false" ht="15" hidden="false" customHeight="false" outlineLevel="0" collapsed="false">
      <c r="A288" s="0" t="s">
        <v>612</v>
      </c>
      <c r="B288" s="0" t="s">
        <v>47</v>
      </c>
      <c r="C288" s="0" t="str">
        <f aca="false">INDEX(Intent_Analysis!$B$5:$B$81,MATCH(B288,Intent_Analysis!$A$5:$A$81,0))</f>
        <v>Card delivery &amp; activation</v>
      </c>
      <c r="D288" s="0" t="n">
        <f aca="false">INDEX(Intent_Analysis!$E$5:$E$81,MATCH(B288,Intent_Analysis!$A$5:$A$81,0))</f>
        <v>1</v>
      </c>
    </row>
    <row r="289" customFormat="false" ht="15" hidden="false" customHeight="false" outlineLevel="0" collapsed="false">
      <c r="A289" s="0" t="s">
        <v>613</v>
      </c>
      <c r="B289" s="0" t="s">
        <v>47</v>
      </c>
      <c r="C289" s="0" t="str">
        <f aca="false">INDEX(Intent_Analysis!$B$5:$B$81,MATCH(B289,Intent_Analysis!$A$5:$A$81,0))</f>
        <v>Card delivery &amp; activation</v>
      </c>
      <c r="D289" s="0" t="n">
        <f aca="false">INDEX(Intent_Analysis!$E$5:$E$81,MATCH(B289,Intent_Analysis!$A$5:$A$81,0))</f>
        <v>1</v>
      </c>
    </row>
    <row r="290" customFormat="false" ht="15" hidden="false" customHeight="false" outlineLevel="0" collapsed="false">
      <c r="A290" s="0" t="s">
        <v>614</v>
      </c>
      <c r="B290" s="0" t="s">
        <v>47</v>
      </c>
      <c r="C290" s="0" t="str">
        <f aca="false">INDEX(Intent_Analysis!$B$5:$B$81,MATCH(B290,Intent_Analysis!$A$5:$A$81,0))</f>
        <v>Card delivery &amp; activation</v>
      </c>
      <c r="D290" s="0" t="n">
        <f aca="false">INDEX(Intent_Analysis!$E$5:$E$81,MATCH(B290,Intent_Analysis!$A$5:$A$81,0))</f>
        <v>1</v>
      </c>
    </row>
    <row r="291" customFormat="false" ht="15" hidden="false" customHeight="false" outlineLevel="0" collapsed="false">
      <c r="A291" s="0" t="s">
        <v>615</v>
      </c>
      <c r="B291" s="0" t="s">
        <v>47</v>
      </c>
      <c r="C291" s="0" t="str">
        <f aca="false">INDEX(Intent_Analysis!$B$5:$B$81,MATCH(B291,Intent_Analysis!$A$5:$A$81,0))</f>
        <v>Card delivery &amp; activation</v>
      </c>
      <c r="D291" s="0" t="n">
        <f aca="false">INDEX(Intent_Analysis!$E$5:$E$81,MATCH(B291,Intent_Analysis!$A$5:$A$81,0))</f>
        <v>1</v>
      </c>
    </row>
    <row r="292" customFormat="false" ht="15" hidden="false" customHeight="false" outlineLevel="0" collapsed="false">
      <c r="A292" s="0" t="s">
        <v>616</v>
      </c>
      <c r="B292" s="0" t="s">
        <v>47</v>
      </c>
      <c r="C292" s="0" t="str">
        <f aca="false">INDEX(Intent_Analysis!$B$5:$B$81,MATCH(B292,Intent_Analysis!$A$5:$A$81,0))</f>
        <v>Card delivery &amp; activation</v>
      </c>
      <c r="D292" s="0" t="n">
        <f aca="false">INDEX(Intent_Analysis!$E$5:$E$81,MATCH(B292,Intent_Analysis!$A$5:$A$81,0))</f>
        <v>1</v>
      </c>
    </row>
    <row r="293" customFormat="false" ht="15" hidden="false" customHeight="false" outlineLevel="0" collapsed="false">
      <c r="A293" s="0" t="s">
        <v>617</v>
      </c>
      <c r="B293" s="0" t="s">
        <v>47</v>
      </c>
      <c r="C293" s="0" t="str">
        <f aca="false">INDEX(Intent_Analysis!$B$5:$B$81,MATCH(B293,Intent_Analysis!$A$5:$A$81,0))</f>
        <v>Card delivery &amp; activation</v>
      </c>
      <c r="D293" s="0" t="n">
        <f aca="false">INDEX(Intent_Analysis!$E$5:$E$81,MATCH(B293,Intent_Analysis!$A$5:$A$81,0))</f>
        <v>1</v>
      </c>
    </row>
    <row r="294" customFormat="false" ht="15" hidden="false" customHeight="false" outlineLevel="0" collapsed="false">
      <c r="A294" s="0" t="s">
        <v>618</v>
      </c>
      <c r="B294" s="0" t="s">
        <v>86</v>
      </c>
      <c r="C294" s="0" t="str">
        <f aca="false">INDEX(Intent_Analysis!$B$5:$B$81,MATCH(B294,Intent_Analysis!$A$5:$A$81,0))</f>
        <v>Exchange rates &amp; currencies</v>
      </c>
      <c r="D294" s="0" t="n">
        <f aca="false">INDEX(Intent_Analysis!$E$5:$E$81,MATCH(B294,Intent_Analysis!$A$5:$A$81,0))</f>
        <v>1</v>
      </c>
    </row>
    <row r="295" customFormat="false" ht="15" hidden="false" customHeight="false" outlineLevel="0" collapsed="false">
      <c r="A295" s="0" t="s">
        <v>619</v>
      </c>
      <c r="B295" s="0" t="s">
        <v>86</v>
      </c>
      <c r="C295" s="0" t="str">
        <f aca="false">INDEX(Intent_Analysis!$B$5:$B$81,MATCH(B295,Intent_Analysis!$A$5:$A$81,0))</f>
        <v>Exchange rates &amp; currencies</v>
      </c>
      <c r="D295" s="0" t="n">
        <f aca="false">INDEX(Intent_Analysis!$E$5:$E$81,MATCH(B295,Intent_Analysis!$A$5:$A$81,0))</f>
        <v>1</v>
      </c>
    </row>
    <row r="296" customFormat="false" ht="15" hidden="false" customHeight="false" outlineLevel="0" collapsed="false">
      <c r="A296" s="0" t="s">
        <v>620</v>
      </c>
      <c r="B296" s="0" t="s">
        <v>86</v>
      </c>
      <c r="C296" s="0" t="str">
        <f aca="false">INDEX(Intent_Analysis!$B$5:$B$81,MATCH(B296,Intent_Analysis!$A$5:$A$81,0))</f>
        <v>Exchange rates &amp; currencies</v>
      </c>
      <c r="D296" s="0" t="n">
        <f aca="false">INDEX(Intent_Analysis!$E$5:$E$81,MATCH(B296,Intent_Analysis!$A$5:$A$81,0))</f>
        <v>1</v>
      </c>
    </row>
    <row r="297" customFormat="false" ht="15" hidden="false" customHeight="false" outlineLevel="0" collapsed="false">
      <c r="A297" s="0" t="s">
        <v>621</v>
      </c>
      <c r="B297" s="0" t="s">
        <v>86</v>
      </c>
      <c r="C297" s="0" t="str">
        <f aca="false">INDEX(Intent_Analysis!$B$5:$B$81,MATCH(B297,Intent_Analysis!$A$5:$A$81,0))</f>
        <v>Exchange rates &amp; currencies</v>
      </c>
      <c r="D297" s="0" t="n">
        <f aca="false">INDEX(Intent_Analysis!$E$5:$E$81,MATCH(B297,Intent_Analysis!$A$5:$A$81,0))</f>
        <v>1</v>
      </c>
    </row>
    <row r="298" customFormat="false" ht="15" hidden="false" customHeight="false" outlineLevel="0" collapsed="false">
      <c r="A298" s="0" t="s">
        <v>622</v>
      </c>
      <c r="B298" s="0" t="s">
        <v>86</v>
      </c>
      <c r="C298" s="0" t="str">
        <f aca="false">INDEX(Intent_Analysis!$B$5:$B$81,MATCH(B298,Intent_Analysis!$A$5:$A$81,0))</f>
        <v>Exchange rates &amp; currencies</v>
      </c>
      <c r="D298" s="0" t="n">
        <f aca="false">INDEX(Intent_Analysis!$E$5:$E$81,MATCH(B298,Intent_Analysis!$A$5:$A$81,0))</f>
        <v>1</v>
      </c>
    </row>
    <row r="299" customFormat="false" ht="15" hidden="false" customHeight="false" outlineLevel="0" collapsed="false">
      <c r="A299" s="0" t="s">
        <v>623</v>
      </c>
      <c r="B299" s="0" t="s">
        <v>86</v>
      </c>
      <c r="C299" s="0" t="str">
        <f aca="false">INDEX(Intent_Analysis!$B$5:$B$81,MATCH(B299,Intent_Analysis!$A$5:$A$81,0))</f>
        <v>Exchange rates &amp; currencies</v>
      </c>
      <c r="D299" s="0" t="n">
        <f aca="false">INDEX(Intent_Analysis!$E$5:$E$81,MATCH(B299,Intent_Analysis!$A$5:$A$81,0))</f>
        <v>1</v>
      </c>
    </row>
    <row r="300" customFormat="false" ht="15" hidden="false" customHeight="false" outlineLevel="0" collapsed="false">
      <c r="A300" s="0" t="s">
        <v>624</v>
      </c>
      <c r="B300" s="0" t="s">
        <v>86</v>
      </c>
      <c r="C300" s="0" t="str">
        <f aca="false">INDEX(Intent_Analysis!$B$5:$B$81,MATCH(B300,Intent_Analysis!$A$5:$A$81,0))</f>
        <v>Exchange rates &amp; currencies</v>
      </c>
      <c r="D300" s="0" t="n">
        <f aca="false">INDEX(Intent_Analysis!$E$5:$E$81,MATCH(B300,Intent_Analysis!$A$5:$A$81,0))</f>
        <v>1</v>
      </c>
    </row>
    <row r="301" customFormat="false" ht="15" hidden="false" customHeight="false" outlineLevel="0" collapsed="false">
      <c r="A301" s="0" t="s">
        <v>625</v>
      </c>
      <c r="B301" s="0" t="s">
        <v>86</v>
      </c>
      <c r="C301" s="0" t="str">
        <f aca="false">INDEX(Intent_Analysis!$B$5:$B$81,MATCH(B301,Intent_Analysis!$A$5:$A$81,0))</f>
        <v>Exchange rates &amp; currencies</v>
      </c>
      <c r="D301" s="0" t="n">
        <f aca="false">INDEX(Intent_Analysis!$E$5:$E$81,MATCH(B301,Intent_Analysis!$A$5:$A$81,0))</f>
        <v>1</v>
      </c>
    </row>
    <row r="302" customFormat="false" ht="15" hidden="false" customHeight="false" outlineLevel="0" collapsed="false">
      <c r="A302" s="0" t="s">
        <v>626</v>
      </c>
      <c r="B302" s="0" t="s">
        <v>86</v>
      </c>
      <c r="C302" s="0" t="str">
        <f aca="false">INDEX(Intent_Analysis!$B$5:$B$81,MATCH(B302,Intent_Analysis!$A$5:$A$81,0))</f>
        <v>Exchange rates &amp; currencies</v>
      </c>
      <c r="D302" s="0" t="n">
        <f aca="false">INDEX(Intent_Analysis!$E$5:$E$81,MATCH(B302,Intent_Analysis!$A$5:$A$81,0))</f>
        <v>1</v>
      </c>
    </row>
    <row r="303" customFormat="false" ht="15" hidden="false" customHeight="false" outlineLevel="0" collapsed="false">
      <c r="A303" s="0" t="s">
        <v>627</v>
      </c>
      <c r="B303" s="0" t="s">
        <v>86</v>
      </c>
      <c r="C303" s="0" t="str">
        <f aca="false">INDEX(Intent_Analysis!$B$5:$B$81,MATCH(B303,Intent_Analysis!$A$5:$A$81,0))</f>
        <v>Exchange rates &amp; currencies</v>
      </c>
      <c r="D303" s="0" t="n">
        <f aca="false">INDEX(Intent_Analysis!$E$5:$E$81,MATCH(B303,Intent_Analysis!$A$5:$A$81,0))</f>
        <v>1</v>
      </c>
    </row>
    <row r="304" customFormat="false" ht="15" hidden="false" customHeight="false" outlineLevel="0" collapsed="false">
      <c r="A304" s="0" t="s">
        <v>628</v>
      </c>
      <c r="B304" s="0" t="s">
        <v>86</v>
      </c>
      <c r="C304" s="0" t="str">
        <f aca="false">INDEX(Intent_Analysis!$B$5:$B$81,MATCH(B304,Intent_Analysis!$A$5:$A$81,0))</f>
        <v>Exchange rates &amp; currencies</v>
      </c>
      <c r="D304" s="0" t="n">
        <f aca="false">INDEX(Intent_Analysis!$E$5:$E$81,MATCH(B304,Intent_Analysis!$A$5:$A$81,0))</f>
        <v>1</v>
      </c>
    </row>
    <row r="305" customFormat="false" ht="15" hidden="false" customHeight="false" outlineLevel="0" collapsed="false">
      <c r="A305" s="0" t="s">
        <v>629</v>
      </c>
      <c r="B305" s="0" t="s">
        <v>86</v>
      </c>
      <c r="C305" s="0" t="str">
        <f aca="false">INDEX(Intent_Analysis!$B$5:$B$81,MATCH(B305,Intent_Analysis!$A$5:$A$81,0))</f>
        <v>Exchange rates &amp; currencies</v>
      </c>
      <c r="D305" s="0" t="n">
        <f aca="false">INDEX(Intent_Analysis!$E$5:$E$81,MATCH(B305,Intent_Analysis!$A$5:$A$81,0))</f>
        <v>1</v>
      </c>
    </row>
    <row r="306" customFormat="false" ht="15" hidden="false" customHeight="false" outlineLevel="0" collapsed="false">
      <c r="A306" s="0" t="s">
        <v>630</v>
      </c>
      <c r="B306" s="0" t="s">
        <v>86</v>
      </c>
      <c r="C306" s="0" t="str">
        <f aca="false">INDEX(Intent_Analysis!$B$5:$B$81,MATCH(B306,Intent_Analysis!$A$5:$A$81,0))</f>
        <v>Exchange rates &amp; currencies</v>
      </c>
      <c r="D306" s="0" t="n">
        <f aca="false">INDEX(Intent_Analysis!$E$5:$E$81,MATCH(B306,Intent_Analysis!$A$5:$A$81,0))</f>
        <v>1</v>
      </c>
    </row>
    <row r="307" customFormat="false" ht="15" hidden="false" customHeight="false" outlineLevel="0" collapsed="false">
      <c r="A307" s="0" t="s">
        <v>631</v>
      </c>
      <c r="B307" s="0" t="s">
        <v>86</v>
      </c>
      <c r="C307" s="0" t="str">
        <f aca="false">INDEX(Intent_Analysis!$B$5:$B$81,MATCH(B307,Intent_Analysis!$A$5:$A$81,0))</f>
        <v>Exchange rates &amp; currencies</v>
      </c>
      <c r="D307" s="0" t="n">
        <f aca="false">INDEX(Intent_Analysis!$E$5:$E$81,MATCH(B307,Intent_Analysis!$A$5:$A$81,0))</f>
        <v>1</v>
      </c>
    </row>
    <row r="308" customFormat="false" ht="15" hidden="false" customHeight="false" outlineLevel="0" collapsed="false">
      <c r="A308" s="0" t="s">
        <v>632</v>
      </c>
      <c r="B308" s="0" t="s">
        <v>86</v>
      </c>
      <c r="C308" s="0" t="str">
        <f aca="false">INDEX(Intent_Analysis!$B$5:$B$81,MATCH(B308,Intent_Analysis!$A$5:$A$81,0))</f>
        <v>Exchange rates &amp; currencies</v>
      </c>
      <c r="D308" s="0" t="n">
        <f aca="false">INDEX(Intent_Analysis!$E$5:$E$81,MATCH(B308,Intent_Analysis!$A$5:$A$81,0))</f>
        <v>1</v>
      </c>
    </row>
    <row r="309" customFormat="false" ht="15" hidden="false" customHeight="false" outlineLevel="0" collapsed="false">
      <c r="A309" s="0" t="s">
        <v>633</v>
      </c>
      <c r="B309" s="0" t="s">
        <v>86</v>
      </c>
      <c r="C309" s="0" t="str">
        <f aca="false">INDEX(Intent_Analysis!$B$5:$B$81,MATCH(B309,Intent_Analysis!$A$5:$A$81,0))</f>
        <v>Exchange rates &amp; currencies</v>
      </c>
      <c r="D309" s="0" t="n">
        <f aca="false">INDEX(Intent_Analysis!$E$5:$E$81,MATCH(B309,Intent_Analysis!$A$5:$A$81,0))</f>
        <v>1</v>
      </c>
    </row>
    <row r="310" customFormat="false" ht="15" hidden="false" customHeight="false" outlineLevel="0" collapsed="false">
      <c r="A310" s="0" t="s">
        <v>634</v>
      </c>
      <c r="B310" s="0" t="s">
        <v>86</v>
      </c>
      <c r="C310" s="0" t="str">
        <f aca="false">INDEX(Intent_Analysis!$B$5:$B$81,MATCH(B310,Intent_Analysis!$A$5:$A$81,0))</f>
        <v>Exchange rates &amp; currencies</v>
      </c>
      <c r="D310" s="0" t="n">
        <f aca="false">INDEX(Intent_Analysis!$E$5:$E$81,MATCH(B310,Intent_Analysis!$A$5:$A$81,0))</f>
        <v>1</v>
      </c>
    </row>
    <row r="311" customFormat="false" ht="15" hidden="false" customHeight="false" outlineLevel="0" collapsed="false">
      <c r="A311" s="0" t="s">
        <v>635</v>
      </c>
      <c r="B311" s="0" t="s">
        <v>86</v>
      </c>
      <c r="C311" s="0" t="str">
        <f aca="false">INDEX(Intent_Analysis!$B$5:$B$81,MATCH(B311,Intent_Analysis!$A$5:$A$81,0))</f>
        <v>Exchange rates &amp; currencies</v>
      </c>
      <c r="D311" s="0" t="n">
        <f aca="false">INDEX(Intent_Analysis!$E$5:$E$81,MATCH(B311,Intent_Analysis!$A$5:$A$81,0))</f>
        <v>1</v>
      </c>
    </row>
    <row r="312" customFormat="false" ht="15" hidden="false" customHeight="false" outlineLevel="0" collapsed="false">
      <c r="A312" s="0" t="s">
        <v>636</v>
      </c>
      <c r="B312" s="0" t="s">
        <v>86</v>
      </c>
      <c r="C312" s="0" t="str">
        <f aca="false">INDEX(Intent_Analysis!$B$5:$B$81,MATCH(B312,Intent_Analysis!$A$5:$A$81,0))</f>
        <v>Exchange rates &amp; currencies</v>
      </c>
      <c r="D312" s="0" t="n">
        <f aca="false">INDEX(Intent_Analysis!$E$5:$E$81,MATCH(B312,Intent_Analysis!$A$5:$A$81,0))</f>
        <v>1</v>
      </c>
    </row>
    <row r="313" customFormat="false" ht="15" hidden="false" customHeight="false" outlineLevel="0" collapsed="false">
      <c r="A313" s="0" t="s">
        <v>637</v>
      </c>
      <c r="B313" s="0" t="s">
        <v>86</v>
      </c>
      <c r="C313" s="0" t="str">
        <f aca="false">INDEX(Intent_Analysis!$B$5:$B$81,MATCH(B313,Intent_Analysis!$A$5:$A$81,0))</f>
        <v>Exchange rates &amp; currencies</v>
      </c>
      <c r="D313" s="0" t="n">
        <f aca="false">INDEX(Intent_Analysis!$E$5:$E$81,MATCH(B313,Intent_Analysis!$A$5:$A$81,0))</f>
        <v>1</v>
      </c>
    </row>
    <row r="314" customFormat="false" ht="15" hidden="false" customHeight="false" outlineLevel="0" collapsed="false">
      <c r="A314" s="0" t="s">
        <v>638</v>
      </c>
      <c r="B314" s="0" t="s">
        <v>86</v>
      </c>
      <c r="C314" s="0" t="str">
        <f aca="false">INDEX(Intent_Analysis!$B$5:$B$81,MATCH(B314,Intent_Analysis!$A$5:$A$81,0))</f>
        <v>Exchange rates &amp; currencies</v>
      </c>
      <c r="D314" s="0" t="n">
        <f aca="false">INDEX(Intent_Analysis!$E$5:$E$81,MATCH(B314,Intent_Analysis!$A$5:$A$81,0))</f>
        <v>1</v>
      </c>
    </row>
    <row r="315" customFormat="false" ht="15" hidden="false" customHeight="false" outlineLevel="0" collapsed="false">
      <c r="A315" s="0" t="s">
        <v>639</v>
      </c>
      <c r="B315" s="0" t="s">
        <v>86</v>
      </c>
      <c r="C315" s="0" t="str">
        <f aca="false">INDEX(Intent_Analysis!$B$5:$B$81,MATCH(B315,Intent_Analysis!$A$5:$A$81,0))</f>
        <v>Exchange rates &amp; currencies</v>
      </c>
      <c r="D315" s="0" t="n">
        <f aca="false">INDEX(Intent_Analysis!$E$5:$E$81,MATCH(B315,Intent_Analysis!$A$5:$A$81,0))</f>
        <v>1</v>
      </c>
    </row>
    <row r="316" customFormat="false" ht="15" hidden="false" customHeight="false" outlineLevel="0" collapsed="false">
      <c r="A316" s="0" t="s">
        <v>640</v>
      </c>
      <c r="B316" s="0" t="s">
        <v>86</v>
      </c>
      <c r="C316" s="0" t="str">
        <f aca="false">INDEX(Intent_Analysis!$B$5:$B$81,MATCH(B316,Intent_Analysis!$A$5:$A$81,0))</f>
        <v>Exchange rates &amp; currencies</v>
      </c>
      <c r="D316" s="0" t="n">
        <f aca="false">INDEX(Intent_Analysis!$E$5:$E$81,MATCH(B316,Intent_Analysis!$A$5:$A$81,0))</f>
        <v>1</v>
      </c>
    </row>
    <row r="317" customFormat="false" ht="15" hidden="false" customHeight="false" outlineLevel="0" collapsed="false">
      <c r="A317" s="0" t="s">
        <v>641</v>
      </c>
      <c r="B317" s="0" t="s">
        <v>86</v>
      </c>
      <c r="C317" s="0" t="str">
        <f aca="false">INDEX(Intent_Analysis!$B$5:$B$81,MATCH(B317,Intent_Analysis!$A$5:$A$81,0))</f>
        <v>Exchange rates &amp; currencies</v>
      </c>
      <c r="D317" s="0" t="n">
        <f aca="false">INDEX(Intent_Analysis!$E$5:$E$81,MATCH(B317,Intent_Analysis!$A$5:$A$81,0))</f>
        <v>1</v>
      </c>
    </row>
    <row r="318" customFormat="false" ht="15" hidden="false" customHeight="false" outlineLevel="0" collapsed="false">
      <c r="A318" s="0" t="s">
        <v>642</v>
      </c>
      <c r="B318" s="0" t="s">
        <v>86</v>
      </c>
      <c r="C318" s="0" t="str">
        <f aca="false">INDEX(Intent_Analysis!$B$5:$B$81,MATCH(B318,Intent_Analysis!$A$5:$A$81,0))</f>
        <v>Exchange rates &amp; currencies</v>
      </c>
      <c r="D318" s="0" t="n">
        <f aca="false">INDEX(Intent_Analysis!$E$5:$E$81,MATCH(B318,Intent_Analysis!$A$5:$A$81,0))</f>
        <v>1</v>
      </c>
    </row>
    <row r="319" customFormat="false" ht="15" hidden="false" customHeight="false" outlineLevel="0" collapsed="false">
      <c r="A319" s="0" t="s">
        <v>643</v>
      </c>
      <c r="B319" s="0" t="s">
        <v>86</v>
      </c>
      <c r="C319" s="0" t="str">
        <f aca="false">INDEX(Intent_Analysis!$B$5:$B$81,MATCH(B319,Intent_Analysis!$A$5:$A$81,0))</f>
        <v>Exchange rates &amp; currencies</v>
      </c>
      <c r="D319" s="0" t="n">
        <f aca="false">INDEX(Intent_Analysis!$E$5:$E$81,MATCH(B319,Intent_Analysis!$A$5:$A$81,0))</f>
        <v>1</v>
      </c>
    </row>
    <row r="320" customFormat="false" ht="15" hidden="false" customHeight="false" outlineLevel="0" collapsed="false">
      <c r="A320" s="0" t="s">
        <v>644</v>
      </c>
      <c r="B320" s="0" t="s">
        <v>86</v>
      </c>
      <c r="C320" s="0" t="str">
        <f aca="false">INDEX(Intent_Analysis!$B$5:$B$81,MATCH(B320,Intent_Analysis!$A$5:$A$81,0))</f>
        <v>Exchange rates &amp; currencies</v>
      </c>
      <c r="D320" s="0" t="n">
        <f aca="false">INDEX(Intent_Analysis!$E$5:$E$81,MATCH(B320,Intent_Analysis!$A$5:$A$81,0))</f>
        <v>1</v>
      </c>
    </row>
    <row r="321" customFormat="false" ht="15" hidden="false" customHeight="false" outlineLevel="0" collapsed="false">
      <c r="A321" s="0" t="s">
        <v>645</v>
      </c>
      <c r="B321" s="0" t="s">
        <v>86</v>
      </c>
      <c r="C321" s="0" t="str">
        <f aca="false">INDEX(Intent_Analysis!$B$5:$B$81,MATCH(B321,Intent_Analysis!$A$5:$A$81,0))</f>
        <v>Exchange rates &amp; currencies</v>
      </c>
      <c r="D321" s="0" t="n">
        <f aca="false">INDEX(Intent_Analysis!$E$5:$E$81,MATCH(B321,Intent_Analysis!$A$5:$A$81,0))</f>
        <v>1</v>
      </c>
    </row>
    <row r="322" customFormat="false" ht="15" hidden="false" customHeight="false" outlineLevel="0" collapsed="false">
      <c r="A322" s="0" t="s">
        <v>646</v>
      </c>
      <c r="B322" s="0" t="s">
        <v>86</v>
      </c>
      <c r="C322" s="0" t="str">
        <f aca="false">INDEX(Intent_Analysis!$B$5:$B$81,MATCH(B322,Intent_Analysis!$A$5:$A$81,0))</f>
        <v>Exchange rates &amp; currencies</v>
      </c>
      <c r="D322" s="0" t="n">
        <f aca="false">INDEX(Intent_Analysis!$E$5:$E$81,MATCH(B322,Intent_Analysis!$A$5:$A$81,0))</f>
        <v>1</v>
      </c>
    </row>
    <row r="323" customFormat="false" ht="15" hidden="false" customHeight="false" outlineLevel="0" collapsed="false">
      <c r="A323" s="0" t="s">
        <v>647</v>
      </c>
      <c r="B323" s="0" t="s">
        <v>86</v>
      </c>
      <c r="C323" s="0" t="str">
        <f aca="false">INDEX(Intent_Analysis!$B$5:$B$81,MATCH(B323,Intent_Analysis!$A$5:$A$81,0))</f>
        <v>Exchange rates &amp; currencies</v>
      </c>
      <c r="D323" s="0" t="n">
        <f aca="false">INDEX(Intent_Analysis!$E$5:$E$81,MATCH(B323,Intent_Analysis!$A$5:$A$81,0))</f>
        <v>1</v>
      </c>
    </row>
    <row r="324" customFormat="false" ht="15" hidden="false" customHeight="false" outlineLevel="0" collapsed="false">
      <c r="A324" s="0" t="s">
        <v>648</v>
      </c>
      <c r="B324" s="0" t="s">
        <v>86</v>
      </c>
      <c r="C324" s="0" t="str">
        <f aca="false">INDEX(Intent_Analysis!$B$5:$B$81,MATCH(B324,Intent_Analysis!$A$5:$A$81,0))</f>
        <v>Exchange rates &amp; currencies</v>
      </c>
      <c r="D324" s="0" t="n">
        <f aca="false">INDEX(Intent_Analysis!$E$5:$E$81,MATCH(B324,Intent_Analysis!$A$5:$A$81,0))</f>
        <v>1</v>
      </c>
    </row>
    <row r="325" customFormat="false" ht="15" hidden="false" customHeight="false" outlineLevel="0" collapsed="false">
      <c r="A325" s="0" t="s">
        <v>649</v>
      </c>
      <c r="B325" s="0" t="s">
        <v>86</v>
      </c>
      <c r="C325" s="0" t="str">
        <f aca="false">INDEX(Intent_Analysis!$B$5:$B$81,MATCH(B325,Intent_Analysis!$A$5:$A$81,0))</f>
        <v>Exchange rates &amp; currencies</v>
      </c>
      <c r="D325" s="0" t="n">
        <f aca="false">INDEX(Intent_Analysis!$E$5:$E$81,MATCH(B325,Intent_Analysis!$A$5:$A$81,0))</f>
        <v>1</v>
      </c>
    </row>
    <row r="326" customFormat="false" ht="15" hidden="false" customHeight="false" outlineLevel="0" collapsed="false">
      <c r="A326" s="0" t="s">
        <v>650</v>
      </c>
      <c r="B326" s="0" t="s">
        <v>86</v>
      </c>
      <c r="C326" s="0" t="str">
        <f aca="false">INDEX(Intent_Analysis!$B$5:$B$81,MATCH(B326,Intent_Analysis!$A$5:$A$81,0))</f>
        <v>Exchange rates &amp; currencies</v>
      </c>
      <c r="D326" s="0" t="n">
        <f aca="false">INDEX(Intent_Analysis!$E$5:$E$81,MATCH(B326,Intent_Analysis!$A$5:$A$81,0))</f>
        <v>1</v>
      </c>
    </row>
    <row r="327" customFormat="false" ht="15" hidden="false" customHeight="false" outlineLevel="0" collapsed="false">
      <c r="A327" s="0" t="s">
        <v>651</v>
      </c>
      <c r="B327" s="0" t="s">
        <v>86</v>
      </c>
      <c r="C327" s="0" t="str">
        <f aca="false">INDEX(Intent_Analysis!$B$5:$B$81,MATCH(B327,Intent_Analysis!$A$5:$A$81,0))</f>
        <v>Exchange rates &amp; currencies</v>
      </c>
      <c r="D327" s="0" t="n">
        <f aca="false">INDEX(Intent_Analysis!$E$5:$E$81,MATCH(B327,Intent_Analysis!$A$5:$A$81,0))</f>
        <v>1</v>
      </c>
    </row>
    <row r="328" customFormat="false" ht="15" hidden="false" customHeight="false" outlineLevel="0" collapsed="false">
      <c r="A328" s="0" t="s">
        <v>652</v>
      </c>
      <c r="B328" s="0" t="s">
        <v>86</v>
      </c>
      <c r="C328" s="0" t="str">
        <f aca="false">INDEX(Intent_Analysis!$B$5:$B$81,MATCH(B328,Intent_Analysis!$A$5:$A$81,0))</f>
        <v>Exchange rates &amp; currencies</v>
      </c>
      <c r="D328" s="0" t="n">
        <f aca="false">INDEX(Intent_Analysis!$E$5:$E$81,MATCH(B328,Intent_Analysis!$A$5:$A$81,0))</f>
        <v>1</v>
      </c>
    </row>
    <row r="329" customFormat="false" ht="15" hidden="false" customHeight="false" outlineLevel="0" collapsed="false">
      <c r="A329" s="0" t="s">
        <v>653</v>
      </c>
      <c r="B329" s="0" t="s">
        <v>86</v>
      </c>
      <c r="C329" s="0" t="str">
        <f aca="false">INDEX(Intent_Analysis!$B$5:$B$81,MATCH(B329,Intent_Analysis!$A$5:$A$81,0))</f>
        <v>Exchange rates &amp; currencies</v>
      </c>
      <c r="D329" s="0" t="n">
        <f aca="false">INDEX(Intent_Analysis!$E$5:$E$81,MATCH(B329,Intent_Analysis!$A$5:$A$81,0))</f>
        <v>1</v>
      </c>
    </row>
    <row r="330" customFormat="false" ht="15" hidden="false" customHeight="false" outlineLevel="0" collapsed="false">
      <c r="A330" s="0" t="s">
        <v>654</v>
      </c>
      <c r="B330" s="0" t="s">
        <v>86</v>
      </c>
      <c r="C330" s="0" t="str">
        <f aca="false">INDEX(Intent_Analysis!$B$5:$B$81,MATCH(B330,Intent_Analysis!$A$5:$A$81,0))</f>
        <v>Exchange rates &amp; currencies</v>
      </c>
      <c r="D330" s="0" t="n">
        <f aca="false">INDEX(Intent_Analysis!$E$5:$E$81,MATCH(B330,Intent_Analysis!$A$5:$A$81,0))</f>
        <v>1</v>
      </c>
    </row>
    <row r="331" customFormat="false" ht="15" hidden="false" customHeight="false" outlineLevel="0" collapsed="false">
      <c r="A331" s="0" t="s">
        <v>655</v>
      </c>
      <c r="B331" s="0" t="s">
        <v>86</v>
      </c>
      <c r="C331" s="0" t="str">
        <f aca="false">INDEX(Intent_Analysis!$B$5:$B$81,MATCH(B331,Intent_Analysis!$A$5:$A$81,0))</f>
        <v>Exchange rates &amp; currencies</v>
      </c>
      <c r="D331" s="0" t="n">
        <f aca="false">INDEX(Intent_Analysis!$E$5:$E$81,MATCH(B331,Intent_Analysis!$A$5:$A$81,0))</f>
        <v>1</v>
      </c>
    </row>
    <row r="332" customFormat="false" ht="15" hidden="false" customHeight="false" outlineLevel="0" collapsed="false">
      <c r="A332" s="0" t="s">
        <v>656</v>
      </c>
      <c r="B332" s="0" t="s">
        <v>86</v>
      </c>
      <c r="C332" s="0" t="str">
        <f aca="false">INDEX(Intent_Analysis!$B$5:$B$81,MATCH(B332,Intent_Analysis!$A$5:$A$81,0))</f>
        <v>Exchange rates &amp; currencies</v>
      </c>
      <c r="D332" s="0" t="n">
        <f aca="false">INDEX(Intent_Analysis!$E$5:$E$81,MATCH(B332,Intent_Analysis!$A$5:$A$81,0))</f>
        <v>1</v>
      </c>
    </row>
    <row r="333" customFormat="false" ht="15" hidden="false" customHeight="false" outlineLevel="0" collapsed="false">
      <c r="A333" s="0" t="s">
        <v>657</v>
      </c>
      <c r="B333" s="0" t="s">
        <v>86</v>
      </c>
      <c r="C333" s="0" t="str">
        <f aca="false">INDEX(Intent_Analysis!$B$5:$B$81,MATCH(B333,Intent_Analysis!$A$5:$A$81,0))</f>
        <v>Exchange rates &amp; currencies</v>
      </c>
      <c r="D333" s="0" t="n">
        <f aca="false">INDEX(Intent_Analysis!$E$5:$E$81,MATCH(B333,Intent_Analysis!$A$5:$A$81,0))</f>
        <v>1</v>
      </c>
    </row>
    <row r="334" customFormat="false" ht="15" hidden="false" customHeight="false" outlineLevel="0" collapsed="false">
      <c r="A334" s="0" t="s">
        <v>658</v>
      </c>
      <c r="B334" s="0" t="s">
        <v>86</v>
      </c>
      <c r="C334" s="0" t="str">
        <f aca="false">INDEX(Intent_Analysis!$B$5:$B$81,MATCH(B334,Intent_Analysis!$A$5:$A$81,0))</f>
        <v>Exchange rates &amp; currencies</v>
      </c>
      <c r="D334" s="0" t="n">
        <f aca="false">INDEX(Intent_Analysis!$E$5:$E$81,MATCH(B334,Intent_Analysis!$A$5:$A$81,0))</f>
        <v>1</v>
      </c>
    </row>
    <row r="335" customFormat="false" ht="15" hidden="false" customHeight="false" outlineLevel="0" collapsed="false">
      <c r="A335" s="0" t="s">
        <v>659</v>
      </c>
      <c r="B335" s="0" t="s">
        <v>86</v>
      </c>
      <c r="C335" s="0" t="str">
        <f aca="false">INDEX(Intent_Analysis!$B$5:$B$81,MATCH(B335,Intent_Analysis!$A$5:$A$81,0))</f>
        <v>Exchange rates &amp; currencies</v>
      </c>
      <c r="D335" s="0" t="n">
        <f aca="false">INDEX(Intent_Analysis!$E$5:$E$81,MATCH(B335,Intent_Analysis!$A$5:$A$81,0))</f>
        <v>1</v>
      </c>
    </row>
    <row r="336" customFormat="false" ht="15" hidden="false" customHeight="false" outlineLevel="0" collapsed="false">
      <c r="A336" s="0" t="s">
        <v>660</v>
      </c>
      <c r="B336" s="0" t="s">
        <v>86</v>
      </c>
      <c r="C336" s="0" t="str">
        <f aca="false">INDEX(Intent_Analysis!$B$5:$B$81,MATCH(B336,Intent_Analysis!$A$5:$A$81,0))</f>
        <v>Exchange rates &amp; currencies</v>
      </c>
      <c r="D336" s="0" t="n">
        <f aca="false">INDEX(Intent_Analysis!$E$5:$E$81,MATCH(B336,Intent_Analysis!$A$5:$A$81,0))</f>
        <v>1</v>
      </c>
    </row>
    <row r="337" customFormat="false" ht="15" hidden="false" customHeight="false" outlineLevel="0" collapsed="false">
      <c r="A337" s="0" t="s">
        <v>661</v>
      </c>
      <c r="B337" s="0" t="s">
        <v>86</v>
      </c>
      <c r="C337" s="0" t="str">
        <f aca="false">INDEX(Intent_Analysis!$B$5:$B$81,MATCH(B337,Intent_Analysis!$A$5:$A$81,0))</f>
        <v>Exchange rates &amp; currencies</v>
      </c>
      <c r="D337" s="0" t="n">
        <f aca="false">INDEX(Intent_Analysis!$E$5:$E$81,MATCH(B337,Intent_Analysis!$A$5:$A$81,0))</f>
        <v>1</v>
      </c>
    </row>
    <row r="338" customFormat="false" ht="15" hidden="false" customHeight="false" outlineLevel="0" collapsed="false">
      <c r="A338" s="0" t="s">
        <v>662</v>
      </c>
      <c r="B338" s="0" t="s">
        <v>86</v>
      </c>
      <c r="C338" s="0" t="str">
        <f aca="false">INDEX(Intent_Analysis!$B$5:$B$81,MATCH(B338,Intent_Analysis!$A$5:$A$81,0))</f>
        <v>Exchange rates &amp; currencies</v>
      </c>
      <c r="D338" s="0" t="n">
        <f aca="false">INDEX(Intent_Analysis!$E$5:$E$81,MATCH(B338,Intent_Analysis!$A$5:$A$81,0))</f>
        <v>1</v>
      </c>
    </row>
    <row r="339" customFormat="false" ht="15" hidden="false" customHeight="false" outlineLevel="0" collapsed="false">
      <c r="A339" s="0" t="s">
        <v>663</v>
      </c>
      <c r="B339" s="0" t="s">
        <v>86</v>
      </c>
      <c r="C339" s="0" t="str">
        <f aca="false">INDEX(Intent_Analysis!$B$5:$B$81,MATCH(B339,Intent_Analysis!$A$5:$A$81,0))</f>
        <v>Exchange rates &amp; currencies</v>
      </c>
      <c r="D339" s="0" t="n">
        <f aca="false">INDEX(Intent_Analysis!$E$5:$E$81,MATCH(B339,Intent_Analysis!$A$5:$A$81,0))</f>
        <v>1</v>
      </c>
    </row>
    <row r="340" customFormat="false" ht="15" hidden="false" customHeight="false" outlineLevel="0" collapsed="false">
      <c r="A340" s="0" t="s">
        <v>664</v>
      </c>
      <c r="B340" s="0" t="s">
        <v>86</v>
      </c>
      <c r="C340" s="0" t="str">
        <f aca="false">INDEX(Intent_Analysis!$B$5:$B$81,MATCH(B340,Intent_Analysis!$A$5:$A$81,0))</f>
        <v>Exchange rates &amp; currencies</v>
      </c>
      <c r="D340" s="0" t="n">
        <f aca="false">INDEX(Intent_Analysis!$E$5:$E$81,MATCH(B340,Intent_Analysis!$A$5:$A$81,0))</f>
        <v>1</v>
      </c>
    </row>
    <row r="341" customFormat="false" ht="15" hidden="false" customHeight="false" outlineLevel="0" collapsed="false">
      <c r="A341" s="0" t="s">
        <v>665</v>
      </c>
      <c r="B341" s="0" t="s">
        <v>86</v>
      </c>
      <c r="C341" s="0" t="str">
        <f aca="false">INDEX(Intent_Analysis!$B$5:$B$81,MATCH(B341,Intent_Analysis!$A$5:$A$81,0))</f>
        <v>Exchange rates &amp; currencies</v>
      </c>
      <c r="D341" s="0" t="n">
        <f aca="false">INDEX(Intent_Analysis!$E$5:$E$81,MATCH(B341,Intent_Analysis!$A$5:$A$81,0))</f>
        <v>1</v>
      </c>
    </row>
    <row r="342" customFormat="false" ht="15" hidden="false" customHeight="false" outlineLevel="0" collapsed="false">
      <c r="A342" s="0" t="s">
        <v>666</v>
      </c>
      <c r="B342" s="0" t="s">
        <v>86</v>
      </c>
      <c r="C342" s="0" t="str">
        <f aca="false">INDEX(Intent_Analysis!$B$5:$B$81,MATCH(B342,Intent_Analysis!$A$5:$A$81,0))</f>
        <v>Exchange rates &amp; currencies</v>
      </c>
      <c r="D342" s="0" t="n">
        <f aca="false">INDEX(Intent_Analysis!$E$5:$E$81,MATCH(B342,Intent_Analysis!$A$5:$A$81,0))</f>
        <v>1</v>
      </c>
    </row>
    <row r="343" customFormat="false" ht="15" hidden="false" customHeight="false" outlineLevel="0" collapsed="false">
      <c r="A343" s="0" t="s">
        <v>667</v>
      </c>
      <c r="B343" s="0" t="s">
        <v>86</v>
      </c>
      <c r="C343" s="0" t="str">
        <f aca="false">INDEX(Intent_Analysis!$B$5:$B$81,MATCH(B343,Intent_Analysis!$A$5:$A$81,0))</f>
        <v>Exchange rates &amp; currencies</v>
      </c>
      <c r="D343" s="0" t="n">
        <f aca="false">INDEX(Intent_Analysis!$E$5:$E$81,MATCH(B343,Intent_Analysis!$A$5:$A$81,0))</f>
        <v>1</v>
      </c>
    </row>
    <row r="344" customFormat="false" ht="15" hidden="false" customHeight="false" outlineLevel="0" collapsed="false">
      <c r="A344" s="0" t="s">
        <v>668</v>
      </c>
      <c r="B344" s="0" t="s">
        <v>86</v>
      </c>
      <c r="C344" s="0" t="str">
        <f aca="false">INDEX(Intent_Analysis!$B$5:$B$81,MATCH(B344,Intent_Analysis!$A$5:$A$81,0))</f>
        <v>Exchange rates &amp; currencies</v>
      </c>
      <c r="D344" s="0" t="n">
        <f aca="false">INDEX(Intent_Analysis!$E$5:$E$81,MATCH(B344,Intent_Analysis!$A$5:$A$81,0))</f>
        <v>1</v>
      </c>
    </row>
    <row r="345" customFormat="false" ht="15" hidden="false" customHeight="false" outlineLevel="0" collapsed="false">
      <c r="A345" s="0" t="s">
        <v>669</v>
      </c>
      <c r="B345" s="0" t="s">
        <v>86</v>
      </c>
      <c r="C345" s="0" t="str">
        <f aca="false">INDEX(Intent_Analysis!$B$5:$B$81,MATCH(B345,Intent_Analysis!$A$5:$A$81,0))</f>
        <v>Exchange rates &amp; currencies</v>
      </c>
      <c r="D345" s="0" t="n">
        <f aca="false">INDEX(Intent_Analysis!$E$5:$E$81,MATCH(B345,Intent_Analysis!$A$5:$A$81,0))</f>
        <v>1</v>
      </c>
    </row>
    <row r="346" customFormat="false" ht="15" hidden="false" customHeight="false" outlineLevel="0" collapsed="false">
      <c r="A346" s="0" t="s">
        <v>670</v>
      </c>
      <c r="B346" s="0" t="s">
        <v>86</v>
      </c>
      <c r="C346" s="0" t="str">
        <f aca="false">INDEX(Intent_Analysis!$B$5:$B$81,MATCH(B346,Intent_Analysis!$A$5:$A$81,0))</f>
        <v>Exchange rates &amp; currencies</v>
      </c>
      <c r="D346" s="0" t="n">
        <f aca="false">INDEX(Intent_Analysis!$E$5:$E$81,MATCH(B346,Intent_Analysis!$A$5:$A$81,0))</f>
        <v>1</v>
      </c>
    </row>
    <row r="347" customFormat="false" ht="15" hidden="false" customHeight="false" outlineLevel="0" collapsed="false">
      <c r="A347" s="0" t="s">
        <v>671</v>
      </c>
      <c r="B347" s="0" t="s">
        <v>86</v>
      </c>
      <c r="C347" s="0" t="str">
        <f aca="false">INDEX(Intent_Analysis!$B$5:$B$81,MATCH(B347,Intent_Analysis!$A$5:$A$81,0))</f>
        <v>Exchange rates &amp; currencies</v>
      </c>
      <c r="D347" s="0" t="n">
        <f aca="false">INDEX(Intent_Analysis!$E$5:$E$81,MATCH(B347,Intent_Analysis!$A$5:$A$81,0))</f>
        <v>1</v>
      </c>
    </row>
    <row r="348" customFormat="false" ht="15" hidden="false" customHeight="false" outlineLevel="0" collapsed="false">
      <c r="A348" s="0" t="s">
        <v>672</v>
      </c>
      <c r="B348" s="0" t="s">
        <v>86</v>
      </c>
      <c r="C348" s="0" t="str">
        <f aca="false">INDEX(Intent_Analysis!$B$5:$B$81,MATCH(B348,Intent_Analysis!$A$5:$A$81,0))</f>
        <v>Exchange rates &amp; currencies</v>
      </c>
      <c r="D348" s="0" t="n">
        <f aca="false">INDEX(Intent_Analysis!$E$5:$E$81,MATCH(B348,Intent_Analysis!$A$5:$A$81,0))</f>
        <v>1</v>
      </c>
    </row>
    <row r="349" customFormat="false" ht="15" hidden="false" customHeight="false" outlineLevel="0" collapsed="false">
      <c r="A349" s="0" t="s">
        <v>673</v>
      </c>
      <c r="B349" s="0" t="s">
        <v>86</v>
      </c>
      <c r="C349" s="0" t="str">
        <f aca="false">INDEX(Intent_Analysis!$B$5:$B$81,MATCH(B349,Intent_Analysis!$A$5:$A$81,0))</f>
        <v>Exchange rates &amp; currencies</v>
      </c>
      <c r="D349" s="0" t="n">
        <f aca="false">INDEX(Intent_Analysis!$E$5:$E$81,MATCH(B349,Intent_Analysis!$A$5:$A$81,0))</f>
        <v>1</v>
      </c>
    </row>
    <row r="350" customFormat="false" ht="15" hidden="false" customHeight="false" outlineLevel="0" collapsed="false">
      <c r="A350" s="0" t="s">
        <v>674</v>
      </c>
      <c r="B350" s="0" t="s">
        <v>86</v>
      </c>
      <c r="C350" s="0" t="str">
        <f aca="false">INDEX(Intent_Analysis!$B$5:$B$81,MATCH(B350,Intent_Analysis!$A$5:$A$81,0))</f>
        <v>Exchange rates &amp; currencies</v>
      </c>
      <c r="D350" s="0" t="n">
        <f aca="false">INDEX(Intent_Analysis!$E$5:$E$81,MATCH(B350,Intent_Analysis!$A$5:$A$81,0))</f>
        <v>1</v>
      </c>
    </row>
    <row r="351" customFormat="false" ht="15" hidden="false" customHeight="false" outlineLevel="0" collapsed="false">
      <c r="A351" s="0" t="s">
        <v>675</v>
      </c>
      <c r="B351" s="0" t="s">
        <v>86</v>
      </c>
      <c r="C351" s="0" t="str">
        <f aca="false">INDEX(Intent_Analysis!$B$5:$B$81,MATCH(B351,Intent_Analysis!$A$5:$A$81,0))</f>
        <v>Exchange rates &amp; currencies</v>
      </c>
      <c r="D351" s="0" t="n">
        <f aca="false">INDEX(Intent_Analysis!$E$5:$E$81,MATCH(B351,Intent_Analysis!$A$5:$A$81,0))</f>
        <v>1</v>
      </c>
    </row>
    <row r="352" customFormat="false" ht="15" hidden="false" customHeight="false" outlineLevel="0" collapsed="false">
      <c r="A352" s="0" t="s">
        <v>676</v>
      </c>
      <c r="B352" s="0" t="s">
        <v>86</v>
      </c>
      <c r="C352" s="0" t="str">
        <f aca="false">INDEX(Intent_Analysis!$B$5:$B$81,MATCH(B352,Intent_Analysis!$A$5:$A$81,0))</f>
        <v>Exchange rates &amp; currencies</v>
      </c>
      <c r="D352" s="0" t="n">
        <f aca="false">INDEX(Intent_Analysis!$E$5:$E$81,MATCH(B352,Intent_Analysis!$A$5:$A$81,0))</f>
        <v>1</v>
      </c>
    </row>
    <row r="353" customFormat="false" ht="15" hidden="false" customHeight="false" outlineLevel="0" collapsed="false">
      <c r="A353" s="0" t="s">
        <v>677</v>
      </c>
      <c r="B353" s="0" t="s">
        <v>86</v>
      </c>
      <c r="C353" s="0" t="str">
        <f aca="false">INDEX(Intent_Analysis!$B$5:$B$81,MATCH(B353,Intent_Analysis!$A$5:$A$81,0))</f>
        <v>Exchange rates &amp; currencies</v>
      </c>
      <c r="D353" s="0" t="n">
        <f aca="false">INDEX(Intent_Analysis!$E$5:$E$81,MATCH(B353,Intent_Analysis!$A$5:$A$81,0))</f>
        <v>1</v>
      </c>
    </row>
    <row r="354" customFormat="false" ht="15" hidden="false" customHeight="false" outlineLevel="0" collapsed="false">
      <c r="A354" s="0" t="s">
        <v>678</v>
      </c>
      <c r="B354" s="0" t="s">
        <v>86</v>
      </c>
      <c r="C354" s="0" t="str">
        <f aca="false">INDEX(Intent_Analysis!$B$5:$B$81,MATCH(B354,Intent_Analysis!$A$5:$A$81,0))</f>
        <v>Exchange rates &amp; currencies</v>
      </c>
      <c r="D354" s="0" t="n">
        <f aca="false">INDEX(Intent_Analysis!$E$5:$E$81,MATCH(B354,Intent_Analysis!$A$5:$A$81,0))</f>
        <v>1</v>
      </c>
    </row>
    <row r="355" customFormat="false" ht="15" hidden="false" customHeight="false" outlineLevel="0" collapsed="false">
      <c r="A355" s="0" t="s">
        <v>679</v>
      </c>
      <c r="B355" s="0" t="s">
        <v>86</v>
      </c>
      <c r="C355" s="0" t="str">
        <f aca="false">INDEX(Intent_Analysis!$B$5:$B$81,MATCH(B355,Intent_Analysis!$A$5:$A$81,0))</f>
        <v>Exchange rates &amp; currencies</v>
      </c>
      <c r="D355" s="0" t="n">
        <f aca="false">INDEX(Intent_Analysis!$E$5:$E$81,MATCH(B355,Intent_Analysis!$A$5:$A$81,0))</f>
        <v>1</v>
      </c>
    </row>
    <row r="356" customFormat="false" ht="15" hidden="false" customHeight="false" outlineLevel="0" collapsed="false">
      <c r="A356" s="0" t="s">
        <v>680</v>
      </c>
      <c r="B356" s="0" t="s">
        <v>86</v>
      </c>
      <c r="C356" s="0" t="str">
        <f aca="false">INDEX(Intent_Analysis!$B$5:$B$81,MATCH(B356,Intent_Analysis!$A$5:$A$81,0))</f>
        <v>Exchange rates &amp; currencies</v>
      </c>
      <c r="D356" s="0" t="n">
        <f aca="false">INDEX(Intent_Analysis!$E$5:$E$81,MATCH(B356,Intent_Analysis!$A$5:$A$81,0))</f>
        <v>1</v>
      </c>
    </row>
    <row r="357" customFormat="false" ht="15" hidden="false" customHeight="false" outlineLevel="0" collapsed="false">
      <c r="A357" s="0" t="s">
        <v>681</v>
      </c>
      <c r="B357" s="0" t="s">
        <v>86</v>
      </c>
      <c r="C357" s="0" t="str">
        <f aca="false">INDEX(Intent_Analysis!$B$5:$B$81,MATCH(B357,Intent_Analysis!$A$5:$A$81,0))</f>
        <v>Exchange rates &amp; currencies</v>
      </c>
      <c r="D357" s="0" t="n">
        <f aca="false">INDEX(Intent_Analysis!$E$5:$E$81,MATCH(B357,Intent_Analysis!$A$5:$A$81,0))</f>
        <v>1</v>
      </c>
    </row>
    <row r="358" customFormat="false" ht="15" hidden="false" customHeight="false" outlineLevel="0" collapsed="false">
      <c r="A358" s="0" t="s">
        <v>682</v>
      </c>
      <c r="B358" s="0" t="s">
        <v>86</v>
      </c>
      <c r="C358" s="0" t="str">
        <f aca="false">INDEX(Intent_Analysis!$B$5:$B$81,MATCH(B358,Intent_Analysis!$A$5:$A$81,0))</f>
        <v>Exchange rates &amp; currencies</v>
      </c>
      <c r="D358" s="0" t="n">
        <f aca="false">INDEX(Intent_Analysis!$E$5:$E$81,MATCH(B358,Intent_Analysis!$A$5:$A$81,0))</f>
        <v>1</v>
      </c>
    </row>
    <row r="359" customFormat="false" ht="15" hidden="false" customHeight="false" outlineLevel="0" collapsed="false">
      <c r="A359" s="0" t="s">
        <v>683</v>
      </c>
      <c r="B359" s="0" t="s">
        <v>86</v>
      </c>
      <c r="C359" s="0" t="str">
        <f aca="false">INDEX(Intent_Analysis!$B$5:$B$81,MATCH(B359,Intent_Analysis!$A$5:$A$81,0))</f>
        <v>Exchange rates &amp; currencies</v>
      </c>
      <c r="D359" s="0" t="n">
        <f aca="false">INDEX(Intent_Analysis!$E$5:$E$81,MATCH(B359,Intent_Analysis!$A$5:$A$81,0))</f>
        <v>1</v>
      </c>
    </row>
    <row r="360" customFormat="false" ht="15" hidden="false" customHeight="false" outlineLevel="0" collapsed="false">
      <c r="A360" s="0" t="s">
        <v>684</v>
      </c>
      <c r="B360" s="0" t="s">
        <v>86</v>
      </c>
      <c r="C360" s="0" t="str">
        <f aca="false">INDEX(Intent_Analysis!$B$5:$B$81,MATCH(B360,Intent_Analysis!$A$5:$A$81,0))</f>
        <v>Exchange rates &amp; currencies</v>
      </c>
      <c r="D360" s="0" t="n">
        <f aca="false">INDEX(Intent_Analysis!$E$5:$E$81,MATCH(B360,Intent_Analysis!$A$5:$A$81,0))</f>
        <v>1</v>
      </c>
    </row>
    <row r="361" customFormat="false" ht="15" hidden="false" customHeight="false" outlineLevel="0" collapsed="false">
      <c r="A361" s="0" t="s">
        <v>685</v>
      </c>
      <c r="B361" s="0" t="s">
        <v>86</v>
      </c>
      <c r="C361" s="0" t="str">
        <f aca="false">INDEX(Intent_Analysis!$B$5:$B$81,MATCH(B361,Intent_Analysis!$A$5:$A$81,0))</f>
        <v>Exchange rates &amp; currencies</v>
      </c>
      <c r="D361" s="0" t="n">
        <f aca="false">INDEX(Intent_Analysis!$E$5:$E$81,MATCH(B361,Intent_Analysis!$A$5:$A$81,0))</f>
        <v>1</v>
      </c>
    </row>
    <row r="362" customFormat="false" ht="15" hidden="false" customHeight="false" outlineLevel="0" collapsed="false">
      <c r="A362" s="0" t="s">
        <v>686</v>
      </c>
      <c r="B362" s="0" t="s">
        <v>86</v>
      </c>
      <c r="C362" s="0" t="str">
        <f aca="false">INDEX(Intent_Analysis!$B$5:$B$81,MATCH(B362,Intent_Analysis!$A$5:$A$81,0))</f>
        <v>Exchange rates &amp; currencies</v>
      </c>
      <c r="D362" s="0" t="n">
        <f aca="false">INDEX(Intent_Analysis!$E$5:$E$81,MATCH(B362,Intent_Analysis!$A$5:$A$81,0))</f>
        <v>1</v>
      </c>
    </row>
    <row r="363" customFormat="false" ht="15" hidden="false" customHeight="false" outlineLevel="0" collapsed="false">
      <c r="A363" s="0" t="s">
        <v>687</v>
      </c>
      <c r="B363" s="0" t="s">
        <v>86</v>
      </c>
      <c r="C363" s="0" t="str">
        <f aca="false">INDEX(Intent_Analysis!$B$5:$B$81,MATCH(B363,Intent_Analysis!$A$5:$A$81,0))</f>
        <v>Exchange rates &amp; currencies</v>
      </c>
      <c r="D363" s="0" t="n">
        <f aca="false">INDEX(Intent_Analysis!$E$5:$E$81,MATCH(B363,Intent_Analysis!$A$5:$A$81,0))</f>
        <v>1</v>
      </c>
    </row>
    <row r="364" customFormat="false" ht="15" hidden="false" customHeight="false" outlineLevel="0" collapsed="false">
      <c r="A364" s="0" t="s">
        <v>688</v>
      </c>
      <c r="B364" s="0" t="s">
        <v>86</v>
      </c>
      <c r="C364" s="0" t="str">
        <f aca="false">INDEX(Intent_Analysis!$B$5:$B$81,MATCH(B364,Intent_Analysis!$A$5:$A$81,0))</f>
        <v>Exchange rates &amp; currencies</v>
      </c>
      <c r="D364" s="0" t="n">
        <f aca="false">INDEX(Intent_Analysis!$E$5:$E$81,MATCH(B364,Intent_Analysis!$A$5:$A$81,0))</f>
        <v>1</v>
      </c>
    </row>
    <row r="365" customFormat="false" ht="15" hidden="false" customHeight="false" outlineLevel="0" collapsed="false">
      <c r="A365" s="0" t="s">
        <v>689</v>
      </c>
      <c r="B365" s="0" t="s">
        <v>86</v>
      </c>
      <c r="C365" s="0" t="str">
        <f aca="false">INDEX(Intent_Analysis!$B$5:$B$81,MATCH(B365,Intent_Analysis!$A$5:$A$81,0))</f>
        <v>Exchange rates &amp; currencies</v>
      </c>
      <c r="D365" s="0" t="n">
        <f aca="false">INDEX(Intent_Analysis!$E$5:$E$81,MATCH(B365,Intent_Analysis!$A$5:$A$81,0))</f>
        <v>1</v>
      </c>
    </row>
    <row r="366" customFormat="false" ht="15" hidden="false" customHeight="false" outlineLevel="0" collapsed="false">
      <c r="A366" s="0" t="s">
        <v>690</v>
      </c>
      <c r="B366" s="0" t="s">
        <v>86</v>
      </c>
      <c r="C366" s="0" t="str">
        <f aca="false">INDEX(Intent_Analysis!$B$5:$B$81,MATCH(B366,Intent_Analysis!$A$5:$A$81,0))</f>
        <v>Exchange rates &amp; currencies</v>
      </c>
      <c r="D366" s="0" t="n">
        <f aca="false">INDEX(Intent_Analysis!$E$5:$E$81,MATCH(B366,Intent_Analysis!$A$5:$A$81,0))</f>
        <v>1</v>
      </c>
    </row>
    <row r="367" customFormat="false" ht="15" hidden="false" customHeight="false" outlineLevel="0" collapsed="false">
      <c r="A367" s="0" t="s">
        <v>691</v>
      </c>
      <c r="B367" s="0" t="s">
        <v>86</v>
      </c>
      <c r="C367" s="0" t="str">
        <f aca="false">INDEX(Intent_Analysis!$B$5:$B$81,MATCH(B367,Intent_Analysis!$A$5:$A$81,0))</f>
        <v>Exchange rates &amp; currencies</v>
      </c>
      <c r="D367" s="0" t="n">
        <f aca="false">INDEX(Intent_Analysis!$E$5:$E$81,MATCH(B367,Intent_Analysis!$A$5:$A$81,0))</f>
        <v>1</v>
      </c>
    </row>
    <row r="368" customFormat="false" ht="15" hidden="false" customHeight="false" outlineLevel="0" collapsed="false">
      <c r="A368" s="0" t="s">
        <v>692</v>
      </c>
      <c r="B368" s="0" t="s">
        <v>86</v>
      </c>
      <c r="C368" s="0" t="str">
        <f aca="false">INDEX(Intent_Analysis!$B$5:$B$81,MATCH(B368,Intent_Analysis!$A$5:$A$81,0))</f>
        <v>Exchange rates &amp; currencies</v>
      </c>
      <c r="D368" s="0" t="n">
        <f aca="false">INDEX(Intent_Analysis!$E$5:$E$81,MATCH(B368,Intent_Analysis!$A$5:$A$81,0))</f>
        <v>1</v>
      </c>
    </row>
    <row r="369" customFormat="false" ht="15" hidden="false" customHeight="false" outlineLevel="0" collapsed="false">
      <c r="A369" s="0" t="s">
        <v>693</v>
      </c>
      <c r="B369" s="0" t="s">
        <v>86</v>
      </c>
      <c r="C369" s="0" t="str">
        <f aca="false">INDEX(Intent_Analysis!$B$5:$B$81,MATCH(B369,Intent_Analysis!$A$5:$A$81,0))</f>
        <v>Exchange rates &amp; currencies</v>
      </c>
      <c r="D369" s="0" t="n">
        <f aca="false">INDEX(Intent_Analysis!$E$5:$E$81,MATCH(B369,Intent_Analysis!$A$5:$A$81,0))</f>
        <v>1</v>
      </c>
    </row>
    <row r="370" customFormat="false" ht="15" hidden="false" customHeight="false" outlineLevel="0" collapsed="false">
      <c r="A370" s="0" t="s">
        <v>694</v>
      </c>
      <c r="B370" s="0" t="s">
        <v>86</v>
      </c>
      <c r="C370" s="0" t="str">
        <f aca="false">INDEX(Intent_Analysis!$B$5:$B$81,MATCH(B370,Intent_Analysis!$A$5:$A$81,0))</f>
        <v>Exchange rates &amp; currencies</v>
      </c>
      <c r="D370" s="0" t="n">
        <f aca="false">INDEX(Intent_Analysis!$E$5:$E$81,MATCH(B370,Intent_Analysis!$A$5:$A$81,0))</f>
        <v>1</v>
      </c>
    </row>
    <row r="371" customFormat="false" ht="15" hidden="false" customHeight="false" outlineLevel="0" collapsed="false">
      <c r="A371" s="0" t="s">
        <v>695</v>
      </c>
      <c r="B371" s="0" t="s">
        <v>86</v>
      </c>
      <c r="C371" s="0" t="str">
        <f aca="false">INDEX(Intent_Analysis!$B$5:$B$81,MATCH(B371,Intent_Analysis!$A$5:$A$81,0))</f>
        <v>Exchange rates &amp; currencies</v>
      </c>
      <c r="D371" s="0" t="n">
        <f aca="false">INDEX(Intent_Analysis!$E$5:$E$81,MATCH(B371,Intent_Analysis!$A$5:$A$81,0))</f>
        <v>1</v>
      </c>
    </row>
    <row r="372" customFormat="false" ht="15" hidden="false" customHeight="false" outlineLevel="0" collapsed="false">
      <c r="A372" s="0" t="s">
        <v>696</v>
      </c>
      <c r="B372" s="0" t="s">
        <v>86</v>
      </c>
      <c r="C372" s="0" t="str">
        <f aca="false">INDEX(Intent_Analysis!$B$5:$B$81,MATCH(B372,Intent_Analysis!$A$5:$A$81,0))</f>
        <v>Exchange rates &amp; currencies</v>
      </c>
      <c r="D372" s="0" t="n">
        <f aca="false">INDEX(Intent_Analysis!$E$5:$E$81,MATCH(B372,Intent_Analysis!$A$5:$A$81,0))</f>
        <v>1</v>
      </c>
    </row>
    <row r="373" customFormat="false" ht="15" hidden="false" customHeight="false" outlineLevel="0" collapsed="false">
      <c r="A373" s="0" t="s">
        <v>697</v>
      </c>
      <c r="B373" s="0" t="s">
        <v>86</v>
      </c>
      <c r="C373" s="0" t="str">
        <f aca="false">INDEX(Intent_Analysis!$B$5:$B$81,MATCH(B373,Intent_Analysis!$A$5:$A$81,0))</f>
        <v>Exchange rates &amp; currencies</v>
      </c>
      <c r="D373" s="0" t="n">
        <f aca="false">INDEX(Intent_Analysis!$E$5:$E$81,MATCH(B373,Intent_Analysis!$A$5:$A$81,0))</f>
        <v>1</v>
      </c>
    </row>
    <row r="374" customFormat="false" ht="15" hidden="false" customHeight="false" outlineLevel="0" collapsed="false">
      <c r="A374" s="0" t="s">
        <v>698</v>
      </c>
      <c r="B374" s="0" t="s">
        <v>86</v>
      </c>
      <c r="C374" s="0" t="str">
        <f aca="false">INDEX(Intent_Analysis!$B$5:$B$81,MATCH(B374,Intent_Analysis!$A$5:$A$81,0))</f>
        <v>Exchange rates &amp; currencies</v>
      </c>
      <c r="D374" s="0" t="n">
        <f aca="false">INDEX(Intent_Analysis!$E$5:$E$81,MATCH(B374,Intent_Analysis!$A$5:$A$81,0))</f>
        <v>1</v>
      </c>
    </row>
    <row r="375" customFormat="false" ht="15" hidden="false" customHeight="false" outlineLevel="0" collapsed="false">
      <c r="A375" s="0" t="s">
        <v>699</v>
      </c>
      <c r="B375" s="0" t="s">
        <v>86</v>
      </c>
      <c r="C375" s="0" t="str">
        <f aca="false">INDEX(Intent_Analysis!$B$5:$B$81,MATCH(B375,Intent_Analysis!$A$5:$A$81,0))</f>
        <v>Exchange rates &amp; currencies</v>
      </c>
      <c r="D375" s="0" t="n">
        <f aca="false">INDEX(Intent_Analysis!$E$5:$E$81,MATCH(B375,Intent_Analysis!$A$5:$A$81,0))</f>
        <v>1</v>
      </c>
    </row>
    <row r="376" customFormat="false" ht="15" hidden="false" customHeight="false" outlineLevel="0" collapsed="false">
      <c r="A376" s="0" t="s">
        <v>700</v>
      </c>
      <c r="B376" s="0" t="s">
        <v>86</v>
      </c>
      <c r="C376" s="0" t="str">
        <f aca="false">INDEX(Intent_Analysis!$B$5:$B$81,MATCH(B376,Intent_Analysis!$A$5:$A$81,0))</f>
        <v>Exchange rates &amp; currencies</v>
      </c>
      <c r="D376" s="0" t="n">
        <f aca="false">INDEX(Intent_Analysis!$E$5:$E$81,MATCH(B376,Intent_Analysis!$A$5:$A$81,0))</f>
        <v>1</v>
      </c>
    </row>
    <row r="377" customFormat="false" ht="15" hidden="false" customHeight="false" outlineLevel="0" collapsed="false">
      <c r="A377" s="0" t="s">
        <v>701</v>
      </c>
      <c r="B377" s="0" t="s">
        <v>86</v>
      </c>
      <c r="C377" s="0" t="str">
        <f aca="false">INDEX(Intent_Analysis!$B$5:$B$81,MATCH(B377,Intent_Analysis!$A$5:$A$81,0))</f>
        <v>Exchange rates &amp; currencies</v>
      </c>
      <c r="D377" s="0" t="n">
        <f aca="false">INDEX(Intent_Analysis!$E$5:$E$81,MATCH(B377,Intent_Analysis!$A$5:$A$81,0))</f>
        <v>1</v>
      </c>
    </row>
    <row r="378" customFormat="false" ht="15" hidden="false" customHeight="false" outlineLevel="0" collapsed="false">
      <c r="A378" s="0" t="s">
        <v>702</v>
      </c>
      <c r="B378" s="0" t="s">
        <v>86</v>
      </c>
      <c r="C378" s="0" t="str">
        <f aca="false">INDEX(Intent_Analysis!$B$5:$B$81,MATCH(B378,Intent_Analysis!$A$5:$A$81,0))</f>
        <v>Exchange rates &amp; currencies</v>
      </c>
      <c r="D378" s="0" t="n">
        <f aca="false">INDEX(Intent_Analysis!$E$5:$E$81,MATCH(B378,Intent_Analysis!$A$5:$A$81,0))</f>
        <v>1</v>
      </c>
    </row>
    <row r="379" customFormat="false" ht="15" hidden="false" customHeight="false" outlineLevel="0" collapsed="false">
      <c r="A379" s="0" t="s">
        <v>703</v>
      </c>
      <c r="B379" s="0" t="s">
        <v>86</v>
      </c>
      <c r="C379" s="0" t="str">
        <f aca="false">INDEX(Intent_Analysis!$B$5:$B$81,MATCH(B379,Intent_Analysis!$A$5:$A$81,0))</f>
        <v>Exchange rates &amp; currencies</v>
      </c>
      <c r="D379" s="0" t="n">
        <f aca="false">INDEX(Intent_Analysis!$E$5:$E$81,MATCH(B379,Intent_Analysis!$A$5:$A$81,0))</f>
        <v>1</v>
      </c>
    </row>
    <row r="380" customFormat="false" ht="15" hidden="false" customHeight="false" outlineLevel="0" collapsed="false">
      <c r="A380" s="0" t="s">
        <v>704</v>
      </c>
      <c r="B380" s="0" t="s">
        <v>86</v>
      </c>
      <c r="C380" s="0" t="str">
        <f aca="false">INDEX(Intent_Analysis!$B$5:$B$81,MATCH(B380,Intent_Analysis!$A$5:$A$81,0))</f>
        <v>Exchange rates &amp; currencies</v>
      </c>
      <c r="D380" s="0" t="n">
        <f aca="false">INDEX(Intent_Analysis!$E$5:$E$81,MATCH(B380,Intent_Analysis!$A$5:$A$81,0))</f>
        <v>1</v>
      </c>
    </row>
    <row r="381" customFormat="false" ht="15" hidden="false" customHeight="false" outlineLevel="0" collapsed="false">
      <c r="A381" s="0" t="s">
        <v>705</v>
      </c>
      <c r="B381" s="0" t="s">
        <v>86</v>
      </c>
      <c r="C381" s="0" t="str">
        <f aca="false">INDEX(Intent_Analysis!$B$5:$B$81,MATCH(B381,Intent_Analysis!$A$5:$A$81,0))</f>
        <v>Exchange rates &amp; currencies</v>
      </c>
      <c r="D381" s="0" t="n">
        <f aca="false">INDEX(Intent_Analysis!$E$5:$E$81,MATCH(B381,Intent_Analysis!$A$5:$A$81,0))</f>
        <v>1</v>
      </c>
    </row>
    <row r="382" customFormat="false" ht="15" hidden="false" customHeight="false" outlineLevel="0" collapsed="false">
      <c r="A382" s="0" t="s">
        <v>706</v>
      </c>
      <c r="B382" s="0" t="s">
        <v>86</v>
      </c>
      <c r="C382" s="0" t="str">
        <f aca="false">INDEX(Intent_Analysis!$B$5:$B$81,MATCH(B382,Intent_Analysis!$A$5:$A$81,0))</f>
        <v>Exchange rates &amp; currencies</v>
      </c>
      <c r="D382" s="0" t="n">
        <f aca="false">INDEX(Intent_Analysis!$E$5:$E$81,MATCH(B382,Intent_Analysis!$A$5:$A$81,0))</f>
        <v>1</v>
      </c>
    </row>
    <row r="383" customFormat="false" ht="15" hidden="false" customHeight="false" outlineLevel="0" collapsed="false">
      <c r="A383" s="0" t="s">
        <v>707</v>
      </c>
      <c r="B383" s="0" t="s">
        <v>86</v>
      </c>
      <c r="C383" s="0" t="str">
        <f aca="false">INDEX(Intent_Analysis!$B$5:$B$81,MATCH(B383,Intent_Analysis!$A$5:$A$81,0))</f>
        <v>Exchange rates &amp; currencies</v>
      </c>
      <c r="D383" s="0" t="n">
        <f aca="false">INDEX(Intent_Analysis!$E$5:$E$81,MATCH(B383,Intent_Analysis!$A$5:$A$81,0))</f>
        <v>1</v>
      </c>
    </row>
    <row r="384" customFormat="false" ht="15" hidden="false" customHeight="false" outlineLevel="0" collapsed="false">
      <c r="A384" s="0" t="s">
        <v>708</v>
      </c>
      <c r="B384" s="0" t="s">
        <v>86</v>
      </c>
      <c r="C384" s="0" t="str">
        <f aca="false">INDEX(Intent_Analysis!$B$5:$B$81,MATCH(B384,Intent_Analysis!$A$5:$A$81,0))</f>
        <v>Exchange rates &amp; currencies</v>
      </c>
      <c r="D384" s="0" t="n">
        <f aca="false">INDEX(Intent_Analysis!$E$5:$E$81,MATCH(B384,Intent_Analysis!$A$5:$A$81,0))</f>
        <v>1</v>
      </c>
    </row>
    <row r="385" customFormat="false" ht="15" hidden="false" customHeight="false" outlineLevel="0" collapsed="false">
      <c r="A385" s="0" t="s">
        <v>709</v>
      </c>
      <c r="B385" s="0" t="s">
        <v>86</v>
      </c>
      <c r="C385" s="0" t="str">
        <f aca="false">INDEX(Intent_Analysis!$B$5:$B$81,MATCH(B385,Intent_Analysis!$A$5:$A$81,0))</f>
        <v>Exchange rates &amp; currencies</v>
      </c>
      <c r="D385" s="0" t="n">
        <f aca="false">INDEX(Intent_Analysis!$E$5:$E$81,MATCH(B385,Intent_Analysis!$A$5:$A$81,0))</f>
        <v>1</v>
      </c>
    </row>
    <row r="386" customFormat="false" ht="15" hidden="false" customHeight="false" outlineLevel="0" collapsed="false">
      <c r="A386" s="0" t="s">
        <v>710</v>
      </c>
      <c r="B386" s="0" t="s">
        <v>86</v>
      </c>
      <c r="C386" s="0" t="str">
        <f aca="false">INDEX(Intent_Analysis!$B$5:$B$81,MATCH(B386,Intent_Analysis!$A$5:$A$81,0))</f>
        <v>Exchange rates &amp; currencies</v>
      </c>
      <c r="D386" s="0" t="n">
        <f aca="false">INDEX(Intent_Analysis!$E$5:$E$81,MATCH(B386,Intent_Analysis!$A$5:$A$81,0))</f>
        <v>1</v>
      </c>
    </row>
    <row r="387" customFormat="false" ht="15" hidden="false" customHeight="false" outlineLevel="0" collapsed="false">
      <c r="A387" s="0" t="s">
        <v>711</v>
      </c>
      <c r="B387" s="0" t="s">
        <v>86</v>
      </c>
      <c r="C387" s="0" t="str">
        <f aca="false">INDEX(Intent_Analysis!$B$5:$B$81,MATCH(B387,Intent_Analysis!$A$5:$A$81,0))</f>
        <v>Exchange rates &amp; currencies</v>
      </c>
      <c r="D387" s="0" t="n">
        <f aca="false">INDEX(Intent_Analysis!$E$5:$E$81,MATCH(B387,Intent_Analysis!$A$5:$A$81,0))</f>
        <v>1</v>
      </c>
    </row>
    <row r="388" customFormat="false" ht="15" hidden="false" customHeight="false" outlineLevel="0" collapsed="false">
      <c r="A388" s="0" t="s">
        <v>712</v>
      </c>
      <c r="B388" s="0" t="s">
        <v>86</v>
      </c>
      <c r="C388" s="0" t="str">
        <f aca="false">INDEX(Intent_Analysis!$B$5:$B$81,MATCH(B388,Intent_Analysis!$A$5:$A$81,0))</f>
        <v>Exchange rates &amp; currencies</v>
      </c>
      <c r="D388" s="0" t="n">
        <f aca="false">INDEX(Intent_Analysis!$E$5:$E$81,MATCH(B388,Intent_Analysis!$A$5:$A$81,0))</f>
        <v>1</v>
      </c>
    </row>
    <row r="389" customFormat="false" ht="15" hidden="false" customHeight="false" outlineLevel="0" collapsed="false">
      <c r="A389" s="0" t="s">
        <v>713</v>
      </c>
      <c r="B389" s="0" t="s">
        <v>86</v>
      </c>
      <c r="C389" s="0" t="str">
        <f aca="false">INDEX(Intent_Analysis!$B$5:$B$81,MATCH(B389,Intent_Analysis!$A$5:$A$81,0))</f>
        <v>Exchange rates &amp; currencies</v>
      </c>
      <c r="D389" s="0" t="n">
        <f aca="false">INDEX(Intent_Analysis!$E$5:$E$81,MATCH(B389,Intent_Analysis!$A$5:$A$81,0))</f>
        <v>1</v>
      </c>
    </row>
    <row r="390" customFormat="false" ht="15" hidden="false" customHeight="false" outlineLevel="0" collapsed="false">
      <c r="A390" s="0" t="s">
        <v>714</v>
      </c>
      <c r="B390" s="0" t="s">
        <v>86</v>
      </c>
      <c r="C390" s="0" t="str">
        <f aca="false">INDEX(Intent_Analysis!$B$5:$B$81,MATCH(B390,Intent_Analysis!$A$5:$A$81,0))</f>
        <v>Exchange rates &amp; currencies</v>
      </c>
      <c r="D390" s="0" t="n">
        <f aca="false">INDEX(Intent_Analysis!$E$5:$E$81,MATCH(B390,Intent_Analysis!$A$5:$A$81,0))</f>
        <v>1</v>
      </c>
    </row>
    <row r="391" customFormat="false" ht="15" hidden="false" customHeight="false" outlineLevel="0" collapsed="false">
      <c r="A391" s="0" t="s">
        <v>715</v>
      </c>
      <c r="B391" s="0" t="s">
        <v>86</v>
      </c>
      <c r="C391" s="0" t="str">
        <f aca="false">INDEX(Intent_Analysis!$B$5:$B$81,MATCH(B391,Intent_Analysis!$A$5:$A$81,0))</f>
        <v>Exchange rates &amp; currencies</v>
      </c>
      <c r="D391" s="0" t="n">
        <f aca="false">INDEX(Intent_Analysis!$E$5:$E$81,MATCH(B391,Intent_Analysis!$A$5:$A$81,0))</f>
        <v>1</v>
      </c>
    </row>
    <row r="392" customFormat="false" ht="15" hidden="false" customHeight="false" outlineLevel="0" collapsed="false">
      <c r="A392" s="0" t="s">
        <v>716</v>
      </c>
      <c r="B392" s="0" t="s">
        <v>86</v>
      </c>
      <c r="C392" s="0" t="str">
        <f aca="false">INDEX(Intent_Analysis!$B$5:$B$81,MATCH(B392,Intent_Analysis!$A$5:$A$81,0))</f>
        <v>Exchange rates &amp; currencies</v>
      </c>
      <c r="D392" s="0" t="n">
        <f aca="false">INDEX(Intent_Analysis!$E$5:$E$81,MATCH(B392,Intent_Analysis!$A$5:$A$81,0))</f>
        <v>1</v>
      </c>
    </row>
    <row r="393" customFormat="false" ht="15" hidden="false" customHeight="false" outlineLevel="0" collapsed="false">
      <c r="A393" s="0" t="s">
        <v>717</v>
      </c>
      <c r="B393" s="0" t="s">
        <v>86</v>
      </c>
      <c r="C393" s="0" t="str">
        <f aca="false">INDEX(Intent_Analysis!$B$5:$B$81,MATCH(B393,Intent_Analysis!$A$5:$A$81,0))</f>
        <v>Exchange rates &amp; currencies</v>
      </c>
      <c r="D393" s="0" t="n">
        <f aca="false">INDEX(Intent_Analysis!$E$5:$E$81,MATCH(B393,Intent_Analysis!$A$5:$A$81,0))</f>
        <v>1</v>
      </c>
    </row>
    <row r="394" customFormat="false" ht="15" hidden="false" customHeight="false" outlineLevel="0" collapsed="false">
      <c r="A394" s="0" t="s">
        <v>718</v>
      </c>
      <c r="B394" s="0" t="s">
        <v>86</v>
      </c>
      <c r="C394" s="0" t="str">
        <f aca="false">INDEX(Intent_Analysis!$B$5:$B$81,MATCH(B394,Intent_Analysis!$A$5:$A$81,0))</f>
        <v>Exchange rates &amp; currencies</v>
      </c>
      <c r="D394" s="0" t="n">
        <f aca="false">INDEX(Intent_Analysis!$E$5:$E$81,MATCH(B394,Intent_Analysis!$A$5:$A$81,0))</f>
        <v>1</v>
      </c>
    </row>
    <row r="395" customFormat="false" ht="15" hidden="false" customHeight="false" outlineLevel="0" collapsed="false">
      <c r="A395" s="0" t="s">
        <v>719</v>
      </c>
      <c r="B395" s="0" t="s">
        <v>86</v>
      </c>
      <c r="C395" s="0" t="str">
        <f aca="false">INDEX(Intent_Analysis!$B$5:$B$81,MATCH(B395,Intent_Analysis!$A$5:$A$81,0))</f>
        <v>Exchange rates &amp; currencies</v>
      </c>
      <c r="D395" s="0" t="n">
        <f aca="false">INDEX(Intent_Analysis!$E$5:$E$81,MATCH(B395,Intent_Analysis!$A$5:$A$81,0))</f>
        <v>1</v>
      </c>
    </row>
    <row r="396" customFormat="false" ht="15" hidden="false" customHeight="false" outlineLevel="0" collapsed="false">
      <c r="A396" s="0" t="s">
        <v>720</v>
      </c>
      <c r="B396" s="0" t="s">
        <v>86</v>
      </c>
      <c r="C396" s="0" t="str">
        <f aca="false">INDEX(Intent_Analysis!$B$5:$B$81,MATCH(B396,Intent_Analysis!$A$5:$A$81,0))</f>
        <v>Exchange rates &amp; currencies</v>
      </c>
      <c r="D396" s="0" t="n">
        <f aca="false">INDEX(Intent_Analysis!$E$5:$E$81,MATCH(B396,Intent_Analysis!$A$5:$A$81,0))</f>
        <v>1</v>
      </c>
    </row>
    <row r="397" customFormat="false" ht="15" hidden="false" customHeight="false" outlineLevel="0" collapsed="false">
      <c r="A397" s="0" t="s">
        <v>721</v>
      </c>
      <c r="B397" s="0" t="s">
        <v>86</v>
      </c>
      <c r="C397" s="0" t="str">
        <f aca="false">INDEX(Intent_Analysis!$B$5:$B$81,MATCH(B397,Intent_Analysis!$A$5:$A$81,0))</f>
        <v>Exchange rates &amp; currencies</v>
      </c>
      <c r="D397" s="0" t="n">
        <f aca="false">INDEX(Intent_Analysis!$E$5:$E$81,MATCH(B397,Intent_Analysis!$A$5:$A$81,0))</f>
        <v>1</v>
      </c>
    </row>
    <row r="398" customFormat="false" ht="15" hidden="false" customHeight="false" outlineLevel="0" collapsed="false">
      <c r="A398" s="0" t="s">
        <v>722</v>
      </c>
      <c r="B398" s="0" t="s">
        <v>86</v>
      </c>
      <c r="C398" s="0" t="str">
        <f aca="false">INDEX(Intent_Analysis!$B$5:$B$81,MATCH(B398,Intent_Analysis!$A$5:$A$81,0))</f>
        <v>Exchange rates &amp; currencies</v>
      </c>
      <c r="D398" s="0" t="n">
        <f aca="false">INDEX(Intent_Analysis!$E$5:$E$81,MATCH(B398,Intent_Analysis!$A$5:$A$81,0))</f>
        <v>1</v>
      </c>
    </row>
    <row r="399" customFormat="false" ht="15" hidden="false" customHeight="false" outlineLevel="0" collapsed="false">
      <c r="A399" s="0" t="s">
        <v>723</v>
      </c>
      <c r="B399" s="0" t="s">
        <v>86</v>
      </c>
      <c r="C399" s="0" t="str">
        <f aca="false">INDEX(Intent_Analysis!$B$5:$B$81,MATCH(B399,Intent_Analysis!$A$5:$A$81,0))</f>
        <v>Exchange rates &amp; currencies</v>
      </c>
      <c r="D399" s="0" t="n">
        <f aca="false">INDEX(Intent_Analysis!$E$5:$E$81,MATCH(B399,Intent_Analysis!$A$5:$A$81,0))</f>
        <v>1</v>
      </c>
    </row>
    <row r="400" customFormat="false" ht="15" hidden="false" customHeight="false" outlineLevel="0" collapsed="false">
      <c r="A400" s="0" t="s">
        <v>724</v>
      </c>
      <c r="B400" s="0" t="s">
        <v>86</v>
      </c>
      <c r="C400" s="0" t="str">
        <f aca="false">INDEX(Intent_Analysis!$B$5:$B$81,MATCH(B400,Intent_Analysis!$A$5:$A$81,0))</f>
        <v>Exchange rates &amp; currencies</v>
      </c>
      <c r="D400" s="0" t="n">
        <f aca="false">INDEX(Intent_Analysis!$E$5:$E$81,MATCH(B400,Intent_Analysis!$A$5:$A$81,0))</f>
        <v>1</v>
      </c>
    </row>
    <row r="401" customFormat="false" ht="15" hidden="false" customHeight="false" outlineLevel="0" collapsed="false">
      <c r="A401" s="0" t="s">
        <v>725</v>
      </c>
      <c r="B401" s="0" t="s">
        <v>86</v>
      </c>
      <c r="C401" s="0" t="str">
        <f aca="false">INDEX(Intent_Analysis!$B$5:$B$81,MATCH(B401,Intent_Analysis!$A$5:$A$81,0))</f>
        <v>Exchange rates &amp; currencies</v>
      </c>
      <c r="D401" s="0" t="n">
        <f aca="false">INDEX(Intent_Analysis!$E$5:$E$81,MATCH(B401,Intent_Analysis!$A$5:$A$81,0))</f>
        <v>1</v>
      </c>
    </row>
    <row r="402" customFormat="false" ht="15" hidden="false" customHeight="false" outlineLevel="0" collapsed="false">
      <c r="A402" s="0" t="s">
        <v>726</v>
      </c>
      <c r="B402" s="0" t="s">
        <v>86</v>
      </c>
      <c r="C402" s="0" t="str">
        <f aca="false">INDEX(Intent_Analysis!$B$5:$B$81,MATCH(B402,Intent_Analysis!$A$5:$A$81,0))</f>
        <v>Exchange rates &amp; currencies</v>
      </c>
      <c r="D402" s="0" t="n">
        <f aca="false">INDEX(Intent_Analysis!$E$5:$E$81,MATCH(B402,Intent_Analysis!$A$5:$A$81,0))</f>
        <v>1</v>
      </c>
    </row>
    <row r="403" customFormat="false" ht="15" hidden="false" customHeight="false" outlineLevel="0" collapsed="false">
      <c r="A403" s="0" t="s">
        <v>727</v>
      </c>
      <c r="B403" s="0" t="s">
        <v>86</v>
      </c>
      <c r="C403" s="0" t="str">
        <f aca="false">INDEX(Intent_Analysis!$B$5:$B$81,MATCH(B403,Intent_Analysis!$A$5:$A$81,0))</f>
        <v>Exchange rates &amp; currencies</v>
      </c>
      <c r="D403" s="0" t="n">
        <f aca="false">INDEX(Intent_Analysis!$E$5:$E$81,MATCH(B403,Intent_Analysis!$A$5:$A$81,0))</f>
        <v>1</v>
      </c>
    </row>
    <row r="404" customFormat="false" ht="15" hidden="false" customHeight="false" outlineLevel="0" collapsed="false">
      <c r="A404" s="0" t="s">
        <v>728</v>
      </c>
      <c r="B404" s="0" t="s">
        <v>86</v>
      </c>
      <c r="C404" s="0" t="str">
        <f aca="false">INDEX(Intent_Analysis!$B$5:$B$81,MATCH(B404,Intent_Analysis!$A$5:$A$81,0))</f>
        <v>Exchange rates &amp; currencies</v>
      </c>
      <c r="D404" s="0" t="n">
        <f aca="false">INDEX(Intent_Analysis!$E$5:$E$81,MATCH(B404,Intent_Analysis!$A$5:$A$81,0))</f>
        <v>1</v>
      </c>
    </row>
    <row r="405" customFormat="false" ht="15" hidden="false" customHeight="false" outlineLevel="0" collapsed="false">
      <c r="A405" s="0" t="s">
        <v>729</v>
      </c>
      <c r="B405" s="0" t="s">
        <v>86</v>
      </c>
      <c r="C405" s="0" t="str">
        <f aca="false">INDEX(Intent_Analysis!$B$5:$B$81,MATCH(B405,Intent_Analysis!$A$5:$A$81,0))</f>
        <v>Exchange rates &amp; currencies</v>
      </c>
      <c r="D405" s="0" t="n">
        <f aca="false">INDEX(Intent_Analysis!$E$5:$E$81,MATCH(B405,Intent_Analysis!$A$5:$A$81,0))</f>
        <v>1</v>
      </c>
    </row>
    <row r="406" customFormat="false" ht="15" hidden="false" customHeight="false" outlineLevel="0" collapsed="false">
      <c r="A406" s="0" t="s">
        <v>730</v>
      </c>
      <c r="B406" s="0" t="s">
        <v>80</v>
      </c>
      <c r="C406" s="0" t="str">
        <f aca="false">INDEX(Intent_Analysis!$B$5:$B$81,MATCH(B406,Intent_Analysis!$A$5:$A$81,0))</f>
        <v>Exchange rates &amp; currencies</v>
      </c>
      <c r="D406" s="0" t="n">
        <f aca="false">INDEX(Intent_Analysis!$E$5:$E$81,MATCH(B406,Intent_Analysis!$A$5:$A$81,0))</f>
        <v>2</v>
      </c>
    </row>
    <row r="407" customFormat="false" ht="15" hidden="false" customHeight="false" outlineLevel="0" collapsed="false">
      <c r="A407" s="0" t="s">
        <v>731</v>
      </c>
      <c r="B407" s="0" t="s">
        <v>80</v>
      </c>
      <c r="C407" s="0" t="str">
        <f aca="false">INDEX(Intent_Analysis!$B$5:$B$81,MATCH(B407,Intent_Analysis!$A$5:$A$81,0))</f>
        <v>Exchange rates &amp; currencies</v>
      </c>
      <c r="D407" s="0" t="n">
        <f aca="false">INDEX(Intent_Analysis!$E$5:$E$81,MATCH(B407,Intent_Analysis!$A$5:$A$81,0))</f>
        <v>2</v>
      </c>
    </row>
    <row r="408" customFormat="false" ht="15" hidden="false" customHeight="false" outlineLevel="0" collapsed="false">
      <c r="A408" s="0" t="s">
        <v>732</v>
      </c>
      <c r="B408" s="0" t="s">
        <v>80</v>
      </c>
      <c r="C408" s="0" t="str">
        <f aca="false">INDEX(Intent_Analysis!$B$5:$B$81,MATCH(B408,Intent_Analysis!$A$5:$A$81,0))</f>
        <v>Exchange rates &amp; currencies</v>
      </c>
      <c r="D408" s="0" t="n">
        <f aca="false">INDEX(Intent_Analysis!$E$5:$E$81,MATCH(B408,Intent_Analysis!$A$5:$A$81,0))</f>
        <v>2</v>
      </c>
    </row>
    <row r="409" customFormat="false" ht="15" hidden="false" customHeight="false" outlineLevel="0" collapsed="false">
      <c r="A409" s="0" t="s">
        <v>733</v>
      </c>
      <c r="B409" s="0" t="s">
        <v>80</v>
      </c>
      <c r="C409" s="0" t="str">
        <f aca="false">INDEX(Intent_Analysis!$B$5:$B$81,MATCH(B409,Intent_Analysis!$A$5:$A$81,0))</f>
        <v>Exchange rates &amp; currencies</v>
      </c>
      <c r="D409" s="0" t="n">
        <f aca="false">INDEX(Intent_Analysis!$E$5:$E$81,MATCH(B409,Intent_Analysis!$A$5:$A$81,0))</f>
        <v>2</v>
      </c>
    </row>
    <row r="410" customFormat="false" ht="15" hidden="false" customHeight="false" outlineLevel="0" collapsed="false">
      <c r="A410" s="0" t="s">
        <v>734</v>
      </c>
      <c r="B410" s="0" t="s">
        <v>80</v>
      </c>
      <c r="C410" s="0" t="str">
        <f aca="false">INDEX(Intent_Analysis!$B$5:$B$81,MATCH(B410,Intent_Analysis!$A$5:$A$81,0))</f>
        <v>Exchange rates &amp; currencies</v>
      </c>
      <c r="D410" s="0" t="n">
        <f aca="false">INDEX(Intent_Analysis!$E$5:$E$81,MATCH(B410,Intent_Analysis!$A$5:$A$81,0))</f>
        <v>2</v>
      </c>
    </row>
    <row r="411" customFormat="false" ht="15" hidden="false" customHeight="false" outlineLevel="0" collapsed="false">
      <c r="A411" s="0" t="s">
        <v>735</v>
      </c>
      <c r="B411" s="0" t="s">
        <v>80</v>
      </c>
      <c r="C411" s="0" t="str">
        <f aca="false">INDEX(Intent_Analysis!$B$5:$B$81,MATCH(B411,Intent_Analysis!$A$5:$A$81,0))</f>
        <v>Exchange rates &amp; currencies</v>
      </c>
      <c r="D411" s="0" t="n">
        <f aca="false">INDEX(Intent_Analysis!$E$5:$E$81,MATCH(B411,Intent_Analysis!$A$5:$A$81,0))</f>
        <v>2</v>
      </c>
    </row>
    <row r="412" customFormat="false" ht="15" hidden="false" customHeight="false" outlineLevel="0" collapsed="false">
      <c r="A412" s="0" t="s">
        <v>736</v>
      </c>
      <c r="B412" s="0" t="s">
        <v>80</v>
      </c>
      <c r="C412" s="0" t="str">
        <f aca="false">INDEX(Intent_Analysis!$B$5:$B$81,MATCH(B412,Intent_Analysis!$A$5:$A$81,0))</f>
        <v>Exchange rates &amp; currencies</v>
      </c>
      <c r="D412" s="0" t="n">
        <f aca="false">INDEX(Intent_Analysis!$E$5:$E$81,MATCH(B412,Intent_Analysis!$A$5:$A$81,0))</f>
        <v>2</v>
      </c>
    </row>
    <row r="413" customFormat="false" ht="15" hidden="false" customHeight="false" outlineLevel="0" collapsed="false">
      <c r="A413" s="0" t="s">
        <v>737</v>
      </c>
      <c r="B413" s="0" t="s">
        <v>80</v>
      </c>
      <c r="C413" s="0" t="str">
        <f aca="false">INDEX(Intent_Analysis!$B$5:$B$81,MATCH(B413,Intent_Analysis!$A$5:$A$81,0))</f>
        <v>Exchange rates &amp; currencies</v>
      </c>
      <c r="D413" s="0" t="n">
        <f aca="false">INDEX(Intent_Analysis!$E$5:$E$81,MATCH(B413,Intent_Analysis!$A$5:$A$81,0))</f>
        <v>2</v>
      </c>
    </row>
    <row r="414" customFormat="false" ht="15" hidden="false" customHeight="false" outlineLevel="0" collapsed="false">
      <c r="A414" s="0" t="s">
        <v>738</v>
      </c>
      <c r="B414" s="0" t="s">
        <v>80</v>
      </c>
      <c r="C414" s="0" t="str">
        <f aca="false">INDEX(Intent_Analysis!$B$5:$B$81,MATCH(B414,Intent_Analysis!$A$5:$A$81,0))</f>
        <v>Exchange rates &amp; currencies</v>
      </c>
      <c r="D414" s="0" t="n">
        <f aca="false">INDEX(Intent_Analysis!$E$5:$E$81,MATCH(B414,Intent_Analysis!$A$5:$A$81,0))</f>
        <v>2</v>
      </c>
    </row>
    <row r="415" customFormat="false" ht="15" hidden="false" customHeight="false" outlineLevel="0" collapsed="false">
      <c r="A415" s="0" t="s">
        <v>739</v>
      </c>
      <c r="B415" s="0" t="s">
        <v>80</v>
      </c>
      <c r="C415" s="0" t="str">
        <f aca="false">INDEX(Intent_Analysis!$B$5:$B$81,MATCH(B415,Intent_Analysis!$A$5:$A$81,0))</f>
        <v>Exchange rates &amp; currencies</v>
      </c>
      <c r="D415" s="0" t="n">
        <f aca="false">INDEX(Intent_Analysis!$E$5:$E$81,MATCH(B415,Intent_Analysis!$A$5:$A$81,0))</f>
        <v>2</v>
      </c>
    </row>
    <row r="416" customFormat="false" ht="15" hidden="false" customHeight="false" outlineLevel="0" collapsed="false">
      <c r="A416" s="0" t="s">
        <v>740</v>
      </c>
      <c r="B416" s="0" t="s">
        <v>80</v>
      </c>
      <c r="C416" s="0" t="str">
        <f aca="false">INDEX(Intent_Analysis!$B$5:$B$81,MATCH(B416,Intent_Analysis!$A$5:$A$81,0))</f>
        <v>Exchange rates &amp; currencies</v>
      </c>
      <c r="D416" s="0" t="n">
        <f aca="false">INDEX(Intent_Analysis!$E$5:$E$81,MATCH(B416,Intent_Analysis!$A$5:$A$81,0))</f>
        <v>2</v>
      </c>
    </row>
    <row r="417" customFormat="false" ht="15" hidden="false" customHeight="false" outlineLevel="0" collapsed="false">
      <c r="A417" s="0" t="s">
        <v>741</v>
      </c>
      <c r="B417" s="0" t="s">
        <v>80</v>
      </c>
      <c r="C417" s="0" t="str">
        <f aca="false">INDEX(Intent_Analysis!$B$5:$B$81,MATCH(B417,Intent_Analysis!$A$5:$A$81,0))</f>
        <v>Exchange rates &amp; currencies</v>
      </c>
      <c r="D417" s="0" t="n">
        <f aca="false">INDEX(Intent_Analysis!$E$5:$E$81,MATCH(B417,Intent_Analysis!$A$5:$A$81,0))</f>
        <v>2</v>
      </c>
    </row>
    <row r="418" customFormat="false" ht="15" hidden="false" customHeight="false" outlineLevel="0" collapsed="false">
      <c r="A418" s="0" t="s">
        <v>742</v>
      </c>
      <c r="B418" s="0" t="s">
        <v>80</v>
      </c>
      <c r="C418" s="0" t="str">
        <f aca="false">INDEX(Intent_Analysis!$B$5:$B$81,MATCH(B418,Intent_Analysis!$A$5:$A$81,0))</f>
        <v>Exchange rates &amp; currencies</v>
      </c>
      <c r="D418" s="0" t="n">
        <f aca="false">INDEX(Intent_Analysis!$E$5:$E$81,MATCH(B418,Intent_Analysis!$A$5:$A$81,0))</f>
        <v>2</v>
      </c>
    </row>
    <row r="419" customFormat="false" ht="15" hidden="false" customHeight="false" outlineLevel="0" collapsed="false">
      <c r="A419" s="0" t="s">
        <v>743</v>
      </c>
      <c r="B419" s="0" t="s">
        <v>80</v>
      </c>
      <c r="C419" s="0" t="str">
        <f aca="false">INDEX(Intent_Analysis!$B$5:$B$81,MATCH(B419,Intent_Analysis!$A$5:$A$81,0))</f>
        <v>Exchange rates &amp; currencies</v>
      </c>
      <c r="D419" s="0" t="n">
        <f aca="false">INDEX(Intent_Analysis!$E$5:$E$81,MATCH(B419,Intent_Analysis!$A$5:$A$81,0))</f>
        <v>2</v>
      </c>
    </row>
    <row r="420" customFormat="false" ht="15" hidden="false" customHeight="false" outlineLevel="0" collapsed="false">
      <c r="A420" s="0" t="s">
        <v>744</v>
      </c>
      <c r="B420" s="0" t="s">
        <v>80</v>
      </c>
      <c r="C420" s="0" t="str">
        <f aca="false">INDEX(Intent_Analysis!$B$5:$B$81,MATCH(B420,Intent_Analysis!$A$5:$A$81,0))</f>
        <v>Exchange rates &amp; currencies</v>
      </c>
      <c r="D420" s="0" t="n">
        <f aca="false">INDEX(Intent_Analysis!$E$5:$E$81,MATCH(B420,Intent_Analysis!$A$5:$A$81,0))</f>
        <v>2</v>
      </c>
    </row>
    <row r="421" customFormat="false" ht="15" hidden="false" customHeight="false" outlineLevel="0" collapsed="false">
      <c r="A421" s="0" t="s">
        <v>745</v>
      </c>
      <c r="B421" s="0" t="s">
        <v>80</v>
      </c>
      <c r="C421" s="0" t="str">
        <f aca="false">INDEX(Intent_Analysis!$B$5:$B$81,MATCH(B421,Intent_Analysis!$A$5:$A$81,0))</f>
        <v>Exchange rates &amp; currencies</v>
      </c>
      <c r="D421" s="0" t="n">
        <f aca="false">INDEX(Intent_Analysis!$E$5:$E$81,MATCH(B421,Intent_Analysis!$A$5:$A$81,0))</f>
        <v>2</v>
      </c>
    </row>
    <row r="422" customFormat="false" ht="15" hidden="false" customHeight="false" outlineLevel="0" collapsed="false">
      <c r="A422" s="0" t="s">
        <v>746</v>
      </c>
      <c r="B422" s="0" t="s">
        <v>80</v>
      </c>
      <c r="C422" s="0" t="str">
        <f aca="false">INDEX(Intent_Analysis!$B$5:$B$81,MATCH(B422,Intent_Analysis!$A$5:$A$81,0))</f>
        <v>Exchange rates &amp; currencies</v>
      </c>
      <c r="D422" s="0" t="n">
        <f aca="false">INDEX(Intent_Analysis!$E$5:$E$81,MATCH(B422,Intent_Analysis!$A$5:$A$81,0))</f>
        <v>2</v>
      </c>
    </row>
    <row r="423" customFormat="false" ht="15" hidden="false" customHeight="false" outlineLevel="0" collapsed="false">
      <c r="A423" s="0" t="s">
        <v>747</v>
      </c>
      <c r="B423" s="0" t="s">
        <v>80</v>
      </c>
      <c r="C423" s="0" t="str">
        <f aca="false">INDEX(Intent_Analysis!$B$5:$B$81,MATCH(B423,Intent_Analysis!$A$5:$A$81,0))</f>
        <v>Exchange rates &amp; currencies</v>
      </c>
      <c r="D423" s="0" t="n">
        <f aca="false">INDEX(Intent_Analysis!$E$5:$E$81,MATCH(B423,Intent_Analysis!$A$5:$A$81,0))</f>
        <v>2</v>
      </c>
    </row>
    <row r="424" customFormat="false" ht="15" hidden="false" customHeight="false" outlineLevel="0" collapsed="false">
      <c r="A424" s="0" t="s">
        <v>748</v>
      </c>
      <c r="B424" s="0" t="s">
        <v>80</v>
      </c>
      <c r="C424" s="0" t="str">
        <f aca="false">INDEX(Intent_Analysis!$B$5:$B$81,MATCH(B424,Intent_Analysis!$A$5:$A$81,0))</f>
        <v>Exchange rates &amp; currencies</v>
      </c>
      <c r="D424" s="0" t="n">
        <f aca="false">INDEX(Intent_Analysis!$E$5:$E$81,MATCH(B424,Intent_Analysis!$A$5:$A$81,0))</f>
        <v>2</v>
      </c>
    </row>
    <row r="425" customFormat="false" ht="15" hidden="false" customHeight="false" outlineLevel="0" collapsed="false">
      <c r="A425" s="0" t="s">
        <v>749</v>
      </c>
      <c r="B425" s="0" t="s">
        <v>80</v>
      </c>
      <c r="C425" s="0" t="str">
        <f aca="false">INDEX(Intent_Analysis!$B$5:$B$81,MATCH(B425,Intent_Analysis!$A$5:$A$81,0))</f>
        <v>Exchange rates &amp; currencies</v>
      </c>
      <c r="D425" s="0" t="n">
        <f aca="false">INDEX(Intent_Analysis!$E$5:$E$81,MATCH(B425,Intent_Analysis!$A$5:$A$81,0))</f>
        <v>2</v>
      </c>
    </row>
    <row r="426" customFormat="false" ht="15" hidden="false" customHeight="false" outlineLevel="0" collapsed="false">
      <c r="A426" s="0" t="s">
        <v>750</v>
      </c>
      <c r="B426" s="0" t="s">
        <v>80</v>
      </c>
      <c r="C426" s="0" t="str">
        <f aca="false">INDEX(Intent_Analysis!$B$5:$B$81,MATCH(B426,Intent_Analysis!$A$5:$A$81,0))</f>
        <v>Exchange rates &amp; currencies</v>
      </c>
      <c r="D426" s="0" t="n">
        <f aca="false">INDEX(Intent_Analysis!$E$5:$E$81,MATCH(B426,Intent_Analysis!$A$5:$A$81,0))</f>
        <v>2</v>
      </c>
    </row>
    <row r="427" customFormat="false" ht="15" hidden="false" customHeight="false" outlineLevel="0" collapsed="false">
      <c r="A427" s="0" t="s">
        <v>751</v>
      </c>
      <c r="B427" s="0" t="s">
        <v>80</v>
      </c>
      <c r="C427" s="0" t="str">
        <f aca="false">INDEX(Intent_Analysis!$B$5:$B$81,MATCH(B427,Intent_Analysis!$A$5:$A$81,0))</f>
        <v>Exchange rates &amp; currencies</v>
      </c>
      <c r="D427" s="0" t="n">
        <f aca="false">INDEX(Intent_Analysis!$E$5:$E$81,MATCH(B427,Intent_Analysis!$A$5:$A$81,0))</f>
        <v>2</v>
      </c>
    </row>
    <row r="428" customFormat="false" ht="15" hidden="false" customHeight="false" outlineLevel="0" collapsed="false">
      <c r="A428" s="0" t="s">
        <v>752</v>
      </c>
      <c r="B428" s="0" t="s">
        <v>80</v>
      </c>
      <c r="C428" s="0" t="str">
        <f aca="false">INDEX(Intent_Analysis!$B$5:$B$81,MATCH(B428,Intent_Analysis!$A$5:$A$81,0))</f>
        <v>Exchange rates &amp; currencies</v>
      </c>
      <c r="D428" s="0" t="n">
        <f aca="false">INDEX(Intent_Analysis!$E$5:$E$81,MATCH(B428,Intent_Analysis!$A$5:$A$81,0))</f>
        <v>2</v>
      </c>
    </row>
    <row r="429" customFormat="false" ht="15" hidden="false" customHeight="false" outlineLevel="0" collapsed="false">
      <c r="A429" s="0" t="s">
        <v>753</v>
      </c>
      <c r="B429" s="0" t="s">
        <v>80</v>
      </c>
      <c r="C429" s="0" t="str">
        <f aca="false">INDEX(Intent_Analysis!$B$5:$B$81,MATCH(B429,Intent_Analysis!$A$5:$A$81,0))</f>
        <v>Exchange rates &amp; currencies</v>
      </c>
      <c r="D429" s="0" t="n">
        <f aca="false">INDEX(Intent_Analysis!$E$5:$E$81,MATCH(B429,Intent_Analysis!$A$5:$A$81,0))</f>
        <v>2</v>
      </c>
    </row>
    <row r="430" customFormat="false" ht="15" hidden="false" customHeight="false" outlineLevel="0" collapsed="false">
      <c r="A430" s="0" t="s">
        <v>754</v>
      </c>
      <c r="B430" s="0" t="s">
        <v>80</v>
      </c>
      <c r="C430" s="0" t="str">
        <f aca="false">INDEX(Intent_Analysis!$B$5:$B$81,MATCH(B430,Intent_Analysis!$A$5:$A$81,0))</f>
        <v>Exchange rates &amp; currencies</v>
      </c>
      <c r="D430" s="0" t="n">
        <f aca="false">INDEX(Intent_Analysis!$E$5:$E$81,MATCH(B430,Intent_Analysis!$A$5:$A$81,0))</f>
        <v>2</v>
      </c>
    </row>
    <row r="431" customFormat="false" ht="15" hidden="false" customHeight="false" outlineLevel="0" collapsed="false">
      <c r="A431" s="0" t="s">
        <v>755</v>
      </c>
      <c r="B431" s="0" t="s">
        <v>80</v>
      </c>
      <c r="C431" s="0" t="str">
        <f aca="false">INDEX(Intent_Analysis!$B$5:$B$81,MATCH(B431,Intent_Analysis!$A$5:$A$81,0))</f>
        <v>Exchange rates &amp; currencies</v>
      </c>
      <c r="D431" s="0" t="n">
        <f aca="false">INDEX(Intent_Analysis!$E$5:$E$81,MATCH(B431,Intent_Analysis!$A$5:$A$81,0))</f>
        <v>2</v>
      </c>
    </row>
    <row r="432" customFormat="false" ht="15" hidden="false" customHeight="false" outlineLevel="0" collapsed="false">
      <c r="A432" s="0" t="s">
        <v>756</v>
      </c>
      <c r="B432" s="0" t="s">
        <v>80</v>
      </c>
      <c r="C432" s="0" t="str">
        <f aca="false">INDEX(Intent_Analysis!$B$5:$B$81,MATCH(B432,Intent_Analysis!$A$5:$A$81,0))</f>
        <v>Exchange rates &amp; currencies</v>
      </c>
      <c r="D432" s="0" t="n">
        <f aca="false">INDEX(Intent_Analysis!$E$5:$E$81,MATCH(B432,Intent_Analysis!$A$5:$A$81,0))</f>
        <v>2</v>
      </c>
    </row>
    <row r="433" customFormat="false" ht="15" hidden="false" customHeight="false" outlineLevel="0" collapsed="false">
      <c r="A433" s="0" t="s">
        <v>757</v>
      </c>
      <c r="B433" s="0" t="s">
        <v>80</v>
      </c>
      <c r="C433" s="0" t="str">
        <f aca="false">INDEX(Intent_Analysis!$B$5:$B$81,MATCH(B433,Intent_Analysis!$A$5:$A$81,0))</f>
        <v>Exchange rates &amp; currencies</v>
      </c>
      <c r="D433" s="0" t="n">
        <f aca="false">INDEX(Intent_Analysis!$E$5:$E$81,MATCH(B433,Intent_Analysis!$A$5:$A$81,0))</f>
        <v>2</v>
      </c>
    </row>
    <row r="434" customFormat="false" ht="15" hidden="false" customHeight="false" outlineLevel="0" collapsed="false">
      <c r="A434" s="0" t="s">
        <v>758</v>
      </c>
      <c r="B434" s="0" t="s">
        <v>80</v>
      </c>
      <c r="C434" s="0" t="str">
        <f aca="false">INDEX(Intent_Analysis!$B$5:$B$81,MATCH(B434,Intent_Analysis!$A$5:$A$81,0))</f>
        <v>Exchange rates &amp; currencies</v>
      </c>
      <c r="D434" s="0" t="n">
        <f aca="false">INDEX(Intent_Analysis!$E$5:$E$81,MATCH(B434,Intent_Analysis!$A$5:$A$81,0))</f>
        <v>2</v>
      </c>
    </row>
    <row r="435" customFormat="false" ht="15" hidden="false" customHeight="false" outlineLevel="0" collapsed="false">
      <c r="A435" s="0" t="s">
        <v>759</v>
      </c>
      <c r="B435" s="0" t="s">
        <v>80</v>
      </c>
      <c r="C435" s="0" t="str">
        <f aca="false">INDEX(Intent_Analysis!$B$5:$B$81,MATCH(B435,Intent_Analysis!$A$5:$A$81,0))</f>
        <v>Exchange rates &amp; currencies</v>
      </c>
      <c r="D435" s="0" t="n">
        <f aca="false">INDEX(Intent_Analysis!$E$5:$E$81,MATCH(B435,Intent_Analysis!$A$5:$A$81,0))</f>
        <v>2</v>
      </c>
    </row>
    <row r="436" customFormat="false" ht="15" hidden="false" customHeight="false" outlineLevel="0" collapsed="false">
      <c r="A436" s="0" t="s">
        <v>760</v>
      </c>
      <c r="B436" s="0" t="s">
        <v>80</v>
      </c>
      <c r="C436" s="0" t="str">
        <f aca="false">INDEX(Intent_Analysis!$B$5:$B$81,MATCH(B436,Intent_Analysis!$A$5:$A$81,0))</f>
        <v>Exchange rates &amp; currencies</v>
      </c>
      <c r="D436" s="0" t="n">
        <f aca="false">INDEX(Intent_Analysis!$E$5:$E$81,MATCH(B436,Intent_Analysis!$A$5:$A$81,0))</f>
        <v>2</v>
      </c>
    </row>
    <row r="437" customFormat="false" ht="15" hidden="false" customHeight="false" outlineLevel="0" collapsed="false">
      <c r="A437" s="0" t="s">
        <v>761</v>
      </c>
      <c r="B437" s="0" t="s">
        <v>80</v>
      </c>
      <c r="C437" s="0" t="str">
        <f aca="false">INDEX(Intent_Analysis!$B$5:$B$81,MATCH(B437,Intent_Analysis!$A$5:$A$81,0))</f>
        <v>Exchange rates &amp; currencies</v>
      </c>
      <c r="D437" s="0" t="n">
        <f aca="false">INDEX(Intent_Analysis!$E$5:$E$81,MATCH(B437,Intent_Analysis!$A$5:$A$81,0))</f>
        <v>2</v>
      </c>
    </row>
    <row r="438" customFormat="false" ht="15" hidden="false" customHeight="false" outlineLevel="0" collapsed="false">
      <c r="A438" s="0" t="s">
        <v>762</v>
      </c>
      <c r="B438" s="0" t="s">
        <v>80</v>
      </c>
      <c r="C438" s="0" t="str">
        <f aca="false">INDEX(Intent_Analysis!$B$5:$B$81,MATCH(B438,Intent_Analysis!$A$5:$A$81,0))</f>
        <v>Exchange rates &amp; currencies</v>
      </c>
      <c r="D438" s="0" t="n">
        <f aca="false">INDEX(Intent_Analysis!$E$5:$E$81,MATCH(B438,Intent_Analysis!$A$5:$A$81,0))</f>
        <v>2</v>
      </c>
    </row>
    <row r="439" customFormat="false" ht="15" hidden="false" customHeight="false" outlineLevel="0" collapsed="false">
      <c r="A439" s="0" t="s">
        <v>763</v>
      </c>
      <c r="B439" s="0" t="s">
        <v>80</v>
      </c>
      <c r="C439" s="0" t="str">
        <f aca="false">INDEX(Intent_Analysis!$B$5:$B$81,MATCH(B439,Intent_Analysis!$A$5:$A$81,0))</f>
        <v>Exchange rates &amp; currencies</v>
      </c>
      <c r="D439" s="0" t="n">
        <f aca="false">INDEX(Intent_Analysis!$E$5:$E$81,MATCH(B439,Intent_Analysis!$A$5:$A$81,0))</f>
        <v>2</v>
      </c>
    </row>
    <row r="440" customFormat="false" ht="15" hidden="false" customHeight="false" outlineLevel="0" collapsed="false">
      <c r="A440" s="0" t="s">
        <v>764</v>
      </c>
      <c r="B440" s="0" t="s">
        <v>80</v>
      </c>
      <c r="C440" s="0" t="str">
        <f aca="false">INDEX(Intent_Analysis!$B$5:$B$81,MATCH(B440,Intent_Analysis!$A$5:$A$81,0))</f>
        <v>Exchange rates &amp; currencies</v>
      </c>
      <c r="D440" s="0" t="n">
        <f aca="false">INDEX(Intent_Analysis!$E$5:$E$81,MATCH(B440,Intent_Analysis!$A$5:$A$81,0))</f>
        <v>2</v>
      </c>
    </row>
    <row r="441" customFormat="false" ht="15" hidden="false" customHeight="false" outlineLevel="0" collapsed="false">
      <c r="A441" s="0" t="s">
        <v>765</v>
      </c>
      <c r="B441" s="0" t="s">
        <v>80</v>
      </c>
      <c r="C441" s="0" t="str">
        <f aca="false">INDEX(Intent_Analysis!$B$5:$B$81,MATCH(B441,Intent_Analysis!$A$5:$A$81,0))</f>
        <v>Exchange rates &amp; currencies</v>
      </c>
      <c r="D441" s="0" t="n">
        <f aca="false">INDEX(Intent_Analysis!$E$5:$E$81,MATCH(B441,Intent_Analysis!$A$5:$A$81,0))</f>
        <v>2</v>
      </c>
    </row>
    <row r="442" customFormat="false" ht="15" hidden="false" customHeight="false" outlineLevel="0" collapsed="false">
      <c r="A442" s="0" t="s">
        <v>766</v>
      </c>
      <c r="B442" s="0" t="s">
        <v>80</v>
      </c>
      <c r="C442" s="0" t="str">
        <f aca="false">INDEX(Intent_Analysis!$B$5:$B$81,MATCH(B442,Intent_Analysis!$A$5:$A$81,0))</f>
        <v>Exchange rates &amp; currencies</v>
      </c>
      <c r="D442" s="0" t="n">
        <f aca="false">INDEX(Intent_Analysis!$E$5:$E$81,MATCH(B442,Intent_Analysis!$A$5:$A$81,0))</f>
        <v>2</v>
      </c>
    </row>
    <row r="443" customFormat="false" ht="15" hidden="false" customHeight="false" outlineLevel="0" collapsed="false">
      <c r="A443" s="0" t="s">
        <v>767</v>
      </c>
      <c r="B443" s="0" t="s">
        <v>80</v>
      </c>
      <c r="C443" s="0" t="str">
        <f aca="false">INDEX(Intent_Analysis!$B$5:$B$81,MATCH(B443,Intent_Analysis!$A$5:$A$81,0))</f>
        <v>Exchange rates &amp; currencies</v>
      </c>
      <c r="D443" s="0" t="n">
        <f aca="false">INDEX(Intent_Analysis!$E$5:$E$81,MATCH(B443,Intent_Analysis!$A$5:$A$81,0))</f>
        <v>2</v>
      </c>
    </row>
    <row r="444" customFormat="false" ht="15" hidden="false" customHeight="false" outlineLevel="0" collapsed="false">
      <c r="A444" s="0" t="s">
        <v>768</v>
      </c>
      <c r="B444" s="0" t="s">
        <v>80</v>
      </c>
      <c r="C444" s="0" t="str">
        <f aca="false">INDEX(Intent_Analysis!$B$5:$B$81,MATCH(B444,Intent_Analysis!$A$5:$A$81,0))</f>
        <v>Exchange rates &amp; currencies</v>
      </c>
      <c r="D444" s="0" t="n">
        <f aca="false">INDEX(Intent_Analysis!$E$5:$E$81,MATCH(B444,Intent_Analysis!$A$5:$A$81,0))</f>
        <v>2</v>
      </c>
    </row>
    <row r="445" customFormat="false" ht="15" hidden="false" customHeight="false" outlineLevel="0" collapsed="false">
      <c r="A445" s="0" t="s">
        <v>769</v>
      </c>
      <c r="B445" s="0" t="s">
        <v>80</v>
      </c>
      <c r="C445" s="0" t="str">
        <f aca="false">INDEX(Intent_Analysis!$B$5:$B$81,MATCH(B445,Intent_Analysis!$A$5:$A$81,0))</f>
        <v>Exchange rates &amp; currencies</v>
      </c>
      <c r="D445" s="0" t="n">
        <f aca="false">INDEX(Intent_Analysis!$E$5:$E$81,MATCH(B445,Intent_Analysis!$A$5:$A$81,0))</f>
        <v>2</v>
      </c>
    </row>
    <row r="446" customFormat="false" ht="15" hidden="false" customHeight="false" outlineLevel="0" collapsed="false">
      <c r="A446" s="0" t="s">
        <v>770</v>
      </c>
      <c r="B446" s="0" t="s">
        <v>80</v>
      </c>
      <c r="C446" s="0" t="str">
        <f aca="false">INDEX(Intent_Analysis!$B$5:$B$81,MATCH(B446,Intent_Analysis!$A$5:$A$81,0))</f>
        <v>Exchange rates &amp; currencies</v>
      </c>
      <c r="D446" s="0" t="n">
        <f aca="false">INDEX(Intent_Analysis!$E$5:$E$81,MATCH(B446,Intent_Analysis!$A$5:$A$81,0))</f>
        <v>2</v>
      </c>
    </row>
    <row r="447" customFormat="false" ht="15" hidden="false" customHeight="false" outlineLevel="0" collapsed="false">
      <c r="A447" s="0" t="s">
        <v>771</v>
      </c>
      <c r="B447" s="0" t="s">
        <v>80</v>
      </c>
      <c r="C447" s="0" t="str">
        <f aca="false">INDEX(Intent_Analysis!$B$5:$B$81,MATCH(B447,Intent_Analysis!$A$5:$A$81,0))</f>
        <v>Exchange rates &amp; currencies</v>
      </c>
      <c r="D447" s="0" t="n">
        <f aca="false">INDEX(Intent_Analysis!$E$5:$E$81,MATCH(B447,Intent_Analysis!$A$5:$A$81,0))</f>
        <v>2</v>
      </c>
    </row>
    <row r="448" customFormat="false" ht="15" hidden="false" customHeight="false" outlineLevel="0" collapsed="false">
      <c r="A448" s="0" t="s">
        <v>772</v>
      </c>
      <c r="B448" s="0" t="s">
        <v>80</v>
      </c>
      <c r="C448" s="0" t="str">
        <f aca="false">INDEX(Intent_Analysis!$B$5:$B$81,MATCH(B448,Intent_Analysis!$A$5:$A$81,0))</f>
        <v>Exchange rates &amp; currencies</v>
      </c>
      <c r="D448" s="0" t="n">
        <f aca="false">INDEX(Intent_Analysis!$E$5:$E$81,MATCH(B448,Intent_Analysis!$A$5:$A$81,0))</f>
        <v>2</v>
      </c>
    </row>
    <row r="449" customFormat="false" ht="15" hidden="false" customHeight="false" outlineLevel="0" collapsed="false">
      <c r="A449" s="0" t="s">
        <v>773</v>
      </c>
      <c r="B449" s="0" t="s">
        <v>80</v>
      </c>
      <c r="C449" s="0" t="str">
        <f aca="false">INDEX(Intent_Analysis!$B$5:$B$81,MATCH(B449,Intent_Analysis!$A$5:$A$81,0))</f>
        <v>Exchange rates &amp; currencies</v>
      </c>
      <c r="D449" s="0" t="n">
        <f aca="false">INDEX(Intent_Analysis!$E$5:$E$81,MATCH(B449,Intent_Analysis!$A$5:$A$81,0))</f>
        <v>2</v>
      </c>
    </row>
    <row r="450" customFormat="false" ht="15" hidden="false" customHeight="false" outlineLevel="0" collapsed="false">
      <c r="A450" s="0" t="s">
        <v>774</v>
      </c>
      <c r="B450" s="0" t="s">
        <v>80</v>
      </c>
      <c r="C450" s="0" t="str">
        <f aca="false">INDEX(Intent_Analysis!$B$5:$B$81,MATCH(B450,Intent_Analysis!$A$5:$A$81,0))</f>
        <v>Exchange rates &amp; currencies</v>
      </c>
      <c r="D450" s="0" t="n">
        <f aca="false">INDEX(Intent_Analysis!$E$5:$E$81,MATCH(B450,Intent_Analysis!$A$5:$A$81,0))</f>
        <v>2</v>
      </c>
    </row>
    <row r="451" customFormat="false" ht="15" hidden="false" customHeight="false" outlineLevel="0" collapsed="false">
      <c r="A451" s="0" t="s">
        <v>775</v>
      </c>
      <c r="B451" s="0" t="s">
        <v>80</v>
      </c>
      <c r="C451" s="0" t="str">
        <f aca="false">INDEX(Intent_Analysis!$B$5:$B$81,MATCH(B451,Intent_Analysis!$A$5:$A$81,0))</f>
        <v>Exchange rates &amp; currencies</v>
      </c>
      <c r="D451" s="0" t="n">
        <f aca="false">INDEX(Intent_Analysis!$E$5:$E$81,MATCH(B451,Intent_Analysis!$A$5:$A$81,0))</f>
        <v>2</v>
      </c>
    </row>
    <row r="452" customFormat="false" ht="15" hidden="false" customHeight="false" outlineLevel="0" collapsed="false">
      <c r="A452" s="0" t="s">
        <v>776</v>
      </c>
      <c r="B452" s="0" t="s">
        <v>80</v>
      </c>
      <c r="C452" s="0" t="str">
        <f aca="false">INDEX(Intent_Analysis!$B$5:$B$81,MATCH(B452,Intent_Analysis!$A$5:$A$81,0))</f>
        <v>Exchange rates &amp; currencies</v>
      </c>
      <c r="D452" s="0" t="n">
        <f aca="false">INDEX(Intent_Analysis!$E$5:$E$81,MATCH(B452,Intent_Analysis!$A$5:$A$81,0))</f>
        <v>2</v>
      </c>
    </row>
    <row r="453" customFormat="false" ht="15" hidden="false" customHeight="false" outlineLevel="0" collapsed="false">
      <c r="A453" s="0" t="s">
        <v>777</v>
      </c>
      <c r="B453" s="0" t="s">
        <v>80</v>
      </c>
      <c r="C453" s="0" t="str">
        <f aca="false">INDEX(Intent_Analysis!$B$5:$B$81,MATCH(B453,Intent_Analysis!$A$5:$A$81,0))</f>
        <v>Exchange rates &amp; currencies</v>
      </c>
      <c r="D453" s="0" t="n">
        <f aca="false">INDEX(Intent_Analysis!$E$5:$E$81,MATCH(B453,Intent_Analysis!$A$5:$A$81,0))</f>
        <v>2</v>
      </c>
    </row>
    <row r="454" customFormat="false" ht="15" hidden="false" customHeight="false" outlineLevel="0" collapsed="false">
      <c r="A454" s="0" t="s">
        <v>778</v>
      </c>
      <c r="B454" s="0" t="s">
        <v>80</v>
      </c>
      <c r="C454" s="0" t="str">
        <f aca="false">INDEX(Intent_Analysis!$B$5:$B$81,MATCH(B454,Intent_Analysis!$A$5:$A$81,0))</f>
        <v>Exchange rates &amp; currencies</v>
      </c>
      <c r="D454" s="0" t="n">
        <f aca="false">INDEX(Intent_Analysis!$E$5:$E$81,MATCH(B454,Intent_Analysis!$A$5:$A$81,0))</f>
        <v>2</v>
      </c>
    </row>
    <row r="455" customFormat="false" ht="15" hidden="false" customHeight="false" outlineLevel="0" collapsed="false">
      <c r="A455" s="0" t="s">
        <v>779</v>
      </c>
      <c r="B455" s="0" t="s">
        <v>80</v>
      </c>
      <c r="C455" s="0" t="str">
        <f aca="false">INDEX(Intent_Analysis!$B$5:$B$81,MATCH(B455,Intent_Analysis!$A$5:$A$81,0))</f>
        <v>Exchange rates &amp; currencies</v>
      </c>
      <c r="D455" s="0" t="n">
        <f aca="false">INDEX(Intent_Analysis!$E$5:$E$81,MATCH(B455,Intent_Analysis!$A$5:$A$81,0))</f>
        <v>2</v>
      </c>
    </row>
    <row r="456" customFormat="false" ht="15" hidden="false" customHeight="false" outlineLevel="0" collapsed="false">
      <c r="A456" s="0" t="s">
        <v>780</v>
      </c>
      <c r="B456" s="0" t="s">
        <v>80</v>
      </c>
      <c r="C456" s="0" t="str">
        <f aca="false">INDEX(Intent_Analysis!$B$5:$B$81,MATCH(B456,Intent_Analysis!$A$5:$A$81,0))</f>
        <v>Exchange rates &amp; currencies</v>
      </c>
      <c r="D456" s="0" t="n">
        <f aca="false">INDEX(Intent_Analysis!$E$5:$E$81,MATCH(B456,Intent_Analysis!$A$5:$A$81,0))</f>
        <v>2</v>
      </c>
    </row>
    <row r="457" customFormat="false" ht="15" hidden="false" customHeight="false" outlineLevel="0" collapsed="false">
      <c r="A457" s="0" t="s">
        <v>781</v>
      </c>
      <c r="B457" s="0" t="s">
        <v>80</v>
      </c>
      <c r="C457" s="0" t="str">
        <f aca="false">INDEX(Intent_Analysis!$B$5:$B$81,MATCH(B457,Intent_Analysis!$A$5:$A$81,0))</f>
        <v>Exchange rates &amp; currencies</v>
      </c>
      <c r="D457" s="0" t="n">
        <f aca="false">INDEX(Intent_Analysis!$E$5:$E$81,MATCH(B457,Intent_Analysis!$A$5:$A$81,0))</f>
        <v>2</v>
      </c>
    </row>
    <row r="458" customFormat="false" ht="15" hidden="false" customHeight="false" outlineLevel="0" collapsed="false">
      <c r="A458" s="0" t="s">
        <v>782</v>
      </c>
      <c r="B458" s="0" t="s">
        <v>80</v>
      </c>
      <c r="C458" s="0" t="str">
        <f aca="false">INDEX(Intent_Analysis!$B$5:$B$81,MATCH(B458,Intent_Analysis!$A$5:$A$81,0))</f>
        <v>Exchange rates &amp; currencies</v>
      </c>
      <c r="D458" s="0" t="n">
        <f aca="false">INDEX(Intent_Analysis!$E$5:$E$81,MATCH(B458,Intent_Analysis!$A$5:$A$81,0))</f>
        <v>2</v>
      </c>
    </row>
    <row r="459" customFormat="false" ht="15" hidden="false" customHeight="false" outlineLevel="0" collapsed="false">
      <c r="A459" s="0" t="s">
        <v>783</v>
      </c>
      <c r="B459" s="0" t="s">
        <v>80</v>
      </c>
      <c r="C459" s="0" t="str">
        <f aca="false">INDEX(Intent_Analysis!$B$5:$B$81,MATCH(B459,Intent_Analysis!$A$5:$A$81,0))</f>
        <v>Exchange rates &amp; currencies</v>
      </c>
      <c r="D459" s="0" t="n">
        <f aca="false">INDEX(Intent_Analysis!$E$5:$E$81,MATCH(B459,Intent_Analysis!$A$5:$A$81,0))</f>
        <v>2</v>
      </c>
    </row>
    <row r="460" customFormat="false" ht="15" hidden="false" customHeight="false" outlineLevel="0" collapsed="false">
      <c r="A460" s="0" t="s">
        <v>784</v>
      </c>
      <c r="B460" s="0" t="s">
        <v>80</v>
      </c>
      <c r="C460" s="0" t="str">
        <f aca="false">INDEX(Intent_Analysis!$B$5:$B$81,MATCH(B460,Intent_Analysis!$A$5:$A$81,0))</f>
        <v>Exchange rates &amp; currencies</v>
      </c>
      <c r="D460" s="0" t="n">
        <f aca="false">INDEX(Intent_Analysis!$E$5:$E$81,MATCH(B460,Intent_Analysis!$A$5:$A$81,0))</f>
        <v>2</v>
      </c>
    </row>
    <row r="461" customFormat="false" ht="15" hidden="false" customHeight="false" outlineLevel="0" collapsed="false">
      <c r="A461" s="0" t="s">
        <v>785</v>
      </c>
      <c r="B461" s="0" t="s">
        <v>80</v>
      </c>
      <c r="C461" s="0" t="str">
        <f aca="false">INDEX(Intent_Analysis!$B$5:$B$81,MATCH(B461,Intent_Analysis!$A$5:$A$81,0))</f>
        <v>Exchange rates &amp; currencies</v>
      </c>
      <c r="D461" s="0" t="n">
        <f aca="false">INDEX(Intent_Analysis!$E$5:$E$81,MATCH(B461,Intent_Analysis!$A$5:$A$81,0))</f>
        <v>2</v>
      </c>
    </row>
    <row r="462" customFormat="false" ht="15" hidden="false" customHeight="false" outlineLevel="0" collapsed="false">
      <c r="A462" s="0" t="s">
        <v>786</v>
      </c>
      <c r="B462" s="0" t="s">
        <v>80</v>
      </c>
      <c r="C462" s="0" t="str">
        <f aca="false">INDEX(Intent_Analysis!$B$5:$B$81,MATCH(B462,Intent_Analysis!$A$5:$A$81,0))</f>
        <v>Exchange rates &amp; currencies</v>
      </c>
      <c r="D462" s="0" t="n">
        <f aca="false">INDEX(Intent_Analysis!$E$5:$E$81,MATCH(B462,Intent_Analysis!$A$5:$A$81,0))</f>
        <v>2</v>
      </c>
    </row>
    <row r="463" customFormat="false" ht="15" hidden="false" customHeight="false" outlineLevel="0" collapsed="false">
      <c r="A463" s="0" t="s">
        <v>787</v>
      </c>
      <c r="B463" s="0" t="s">
        <v>80</v>
      </c>
      <c r="C463" s="0" t="str">
        <f aca="false">INDEX(Intent_Analysis!$B$5:$B$81,MATCH(B463,Intent_Analysis!$A$5:$A$81,0))</f>
        <v>Exchange rates &amp; currencies</v>
      </c>
      <c r="D463" s="0" t="n">
        <f aca="false">INDEX(Intent_Analysis!$E$5:$E$81,MATCH(B463,Intent_Analysis!$A$5:$A$81,0))</f>
        <v>2</v>
      </c>
    </row>
    <row r="464" customFormat="false" ht="15" hidden="false" customHeight="false" outlineLevel="0" collapsed="false">
      <c r="A464" s="0" t="s">
        <v>788</v>
      </c>
      <c r="B464" s="0" t="s">
        <v>80</v>
      </c>
      <c r="C464" s="0" t="str">
        <f aca="false">INDEX(Intent_Analysis!$B$5:$B$81,MATCH(B464,Intent_Analysis!$A$5:$A$81,0))</f>
        <v>Exchange rates &amp; currencies</v>
      </c>
      <c r="D464" s="0" t="n">
        <f aca="false">INDEX(Intent_Analysis!$E$5:$E$81,MATCH(B464,Intent_Analysis!$A$5:$A$81,0))</f>
        <v>2</v>
      </c>
    </row>
    <row r="465" customFormat="false" ht="15" hidden="false" customHeight="false" outlineLevel="0" collapsed="false">
      <c r="A465" s="0" t="s">
        <v>789</v>
      </c>
      <c r="B465" s="0" t="s">
        <v>80</v>
      </c>
      <c r="C465" s="0" t="str">
        <f aca="false">INDEX(Intent_Analysis!$B$5:$B$81,MATCH(B465,Intent_Analysis!$A$5:$A$81,0))</f>
        <v>Exchange rates &amp; currencies</v>
      </c>
      <c r="D465" s="0" t="n">
        <f aca="false">INDEX(Intent_Analysis!$E$5:$E$81,MATCH(B465,Intent_Analysis!$A$5:$A$81,0))</f>
        <v>2</v>
      </c>
    </row>
    <row r="466" customFormat="false" ht="15" hidden="false" customHeight="false" outlineLevel="0" collapsed="false">
      <c r="A466" s="0" t="s">
        <v>790</v>
      </c>
      <c r="B466" s="0" t="s">
        <v>80</v>
      </c>
      <c r="C466" s="0" t="str">
        <f aca="false">INDEX(Intent_Analysis!$B$5:$B$81,MATCH(B466,Intent_Analysis!$A$5:$A$81,0))</f>
        <v>Exchange rates &amp; currencies</v>
      </c>
      <c r="D466" s="0" t="n">
        <f aca="false">INDEX(Intent_Analysis!$E$5:$E$81,MATCH(B466,Intent_Analysis!$A$5:$A$81,0))</f>
        <v>2</v>
      </c>
    </row>
    <row r="467" customFormat="false" ht="15" hidden="false" customHeight="false" outlineLevel="0" collapsed="false">
      <c r="A467" s="0" t="s">
        <v>791</v>
      </c>
      <c r="B467" s="0" t="s">
        <v>80</v>
      </c>
      <c r="C467" s="0" t="str">
        <f aca="false">INDEX(Intent_Analysis!$B$5:$B$81,MATCH(B467,Intent_Analysis!$A$5:$A$81,0))</f>
        <v>Exchange rates &amp; currencies</v>
      </c>
      <c r="D467" s="0" t="n">
        <f aca="false">INDEX(Intent_Analysis!$E$5:$E$81,MATCH(B467,Intent_Analysis!$A$5:$A$81,0))</f>
        <v>2</v>
      </c>
    </row>
    <row r="468" customFormat="false" ht="15" hidden="false" customHeight="false" outlineLevel="0" collapsed="false">
      <c r="A468" s="0" t="s">
        <v>792</v>
      </c>
      <c r="B468" s="0" t="s">
        <v>80</v>
      </c>
      <c r="C468" s="0" t="str">
        <f aca="false">INDEX(Intent_Analysis!$B$5:$B$81,MATCH(B468,Intent_Analysis!$A$5:$A$81,0))</f>
        <v>Exchange rates &amp; currencies</v>
      </c>
      <c r="D468" s="0" t="n">
        <f aca="false">INDEX(Intent_Analysis!$E$5:$E$81,MATCH(B468,Intent_Analysis!$A$5:$A$81,0))</f>
        <v>2</v>
      </c>
    </row>
    <row r="469" customFormat="false" ht="15" hidden="false" customHeight="false" outlineLevel="0" collapsed="false">
      <c r="A469" s="0" t="s">
        <v>793</v>
      </c>
      <c r="B469" s="0" t="s">
        <v>80</v>
      </c>
      <c r="C469" s="0" t="str">
        <f aca="false">INDEX(Intent_Analysis!$B$5:$B$81,MATCH(B469,Intent_Analysis!$A$5:$A$81,0))</f>
        <v>Exchange rates &amp; currencies</v>
      </c>
      <c r="D469" s="0" t="n">
        <f aca="false">INDEX(Intent_Analysis!$E$5:$E$81,MATCH(B469,Intent_Analysis!$A$5:$A$81,0))</f>
        <v>2</v>
      </c>
    </row>
    <row r="470" customFormat="false" ht="15" hidden="false" customHeight="false" outlineLevel="0" collapsed="false">
      <c r="A470" s="0" t="s">
        <v>794</v>
      </c>
      <c r="B470" s="0" t="s">
        <v>80</v>
      </c>
      <c r="C470" s="0" t="str">
        <f aca="false">INDEX(Intent_Analysis!$B$5:$B$81,MATCH(B470,Intent_Analysis!$A$5:$A$81,0))</f>
        <v>Exchange rates &amp; currencies</v>
      </c>
      <c r="D470" s="0" t="n">
        <f aca="false">INDEX(Intent_Analysis!$E$5:$E$81,MATCH(B470,Intent_Analysis!$A$5:$A$81,0))</f>
        <v>2</v>
      </c>
    </row>
    <row r="471" customFormat="false" ht="15" hidden="false" customHeight="false" outlineLevel="0" collapsed="false">
      <c r="A471" s="0" t="s">
        <v>795</v>
      </c>
      <c r="B471" s="0" t="s">
        <v>80</v>
      </c>
      <c r="C471" s="0" t="str">
        <f aca="false">INDEX(Intent_Analysis!$B$5:$B$81,MATCH(B471,Intent_Analysis!$A$5:$A$81,0))</f>
        <v>Exchange rates &amp; currencies</v>
      </c>
      <c r="D471" s="0" t="n">
        <f aca="false">INDEX(Intent_Analysis!$E$5:$E$81,MATCH(B471,Intent_Analysis!$A$5:$A$81,0))</f>
        <v>2</v>
      </c>
    </row>
    <row r="472" customFormat="false" ht="15" hidden="false" customHeight="false" outlineLevel="0" collapsed="false">
      <c r="A472" s="0" t="s">
        <v>796</v>
      </c>
      <c r="B472" s="0" t="s">
        <v>80</v>
      </c>
      <c r="C472" s="0" t="str">
        <f aca="false">INDEX(Intent_Analysis!$B$5:$B$81,MATCH(B472,Intent_Analysis!$A$5:$A$81,0))</f>
        <v>Exchange rates &amp; currencies</v>
      </c>
      <c r="D472" s="0" t="n">
        <f aca="false">INDEX(Intent_Analysis!$E$5:$E$81,MATCH(B472,Intent_Analysis!$A$5:$A$81,0))</f>
        <v>2</v>
      </c>
    </row>
    <row r="473" customFormat="false" ht="15" hidden="false" customHeight="false" outlineLevel="0" collapsed="false">
      <c r="A473" s="0" t="s">
        <v>797</v>
      </c>
      <c r="B473" s="0" t="s">
        <v>80</v>
      </c>
      <c r="C473" s="0" t="str">
        <f aca="false">INDEX(Intent_Analysis!$B$5:$B$81,MATCH(B473,Intent_Analysis!$A$5:$A$81,0))</f>
        <v>Exchange rates &amp; currencies</v>
      </c>
      <c r="D473" s="0" t="n">
        <f aca="false">INDEX(Intent_Analysis!$E$5:$E$81,MATCH(B473,Intent_Analysis!$A$5:$A$81,0))</f>
        <v>2</v>
      </c>
    </row>
    <row r="474" customFormat="false" ht="15" hidden="false" customHeight="false" outlineLevel="0" collapsed="false">
      <c r="A474" s="0" t="s">
        <v>798</v>
      </c>
      <c r="B474" s="0" t="s">
        <v>80</v>
      </c>
      <c r="C474" s="0" t="str">
        <f aca="false">INDEX(Intent_Analysis!$B$5:$B$81,MATCH(B474,Intent_Analysis!$A$5:$A$81,0))</f>
        <v>Exchange rates &amp; currencies</v>
      </c>
      <c r="D474" s="0" t="n">
        <f aca="false">INDEX(Intent_Analysis!$E$5:$E$81,MATCH(B474,Intent_Analysis!$A$5:$A$81,0))</f>
        <v>2</v>
      </c>
    </row>
    <row r="475" customFormat="false" ht="15" hidden="false" customHeight="false" outlineLevel="0" collapsed="false">
      <c r="A475" s="0" t="s">
        <v>799</v>
      </c>
      <c r="B475" s="0" t="s">
        <v>80</v>
      </c>
      <c r="C475" s="0" t="str">
        <f aca="false">INDEX(Intent_Analysis!$B$5:$B$81,MATCH(B475,Intent_Analysis!$A$5:$A$81,0))</f>
        <v>Exchange rates &amp; currencies</v>
      </c>
      <c r="D475" s="0" t="n">
        <f aca="false">INDEX(Intent_Analysis!$E$5:$E$81,MATCH(B475,Intent_Analysis!$A$5:$A$81,0))</f>
        <v>2</v>
      </c>
    </row>
    <row r="476" customFormat="false" ht="15" hidden="false" customHeight="false" outlineLevel="0" collapsed="false">
      <c r="A476" s="0" t="s">
        <v>800</v>
      </c>
      <c r="B476" s="0" t="s">
        <v>80</v>
      </c>
      <c r="C476" s="0" t="str">
        <f aca="false">INDEX(Intent_Analysis!$B$5:$B$81,MATCH(B476,Intent_Analysis!$A$5:$A$81,0))</f>
        <v>Exchange rates &amp; currencies</v>
      </c>
      <c r="D476" s="0" t="n">
        <f aca="false">INDEX(Intent_Analysis!$E$5:$E$81,MATCH(B476,Intent_Analysis!$A$5:$A$81,0))</f>
        <v>2</v>
      </c>
    </row>
    <row r="477" customFormat="false" ht="15" hidden="false" customHeight="false" outlineLevel="0" collapsed="false">
      <c r="A477" s="0" t="s">
        <v>801</v>
      </c>
      <c r="B477" s="0" t="s">
        <v>80</v>
      </c>
      <c r="C477" s="0" t="str">
        <f aca="false">INDEX(Intent_Analysis!$B$5:$B$81,MATCH(B477,Intent_Analysis!$A$5:$A$81,0))</f>
        <v>Exchange rates &amp; currencies</v>
      </c>
      <c r="D477" s="0" t="n">
        <f aca="false">INDEX(Intent_Analysis!$E$5:$E$81,MATCH(B477,Intent_Analysis!$A$5:$A$81,0))</f>
        <v>2</v>
      </c>
    </row>
    <row r="478" customFormat="false" ht="15" hidden="false" customHeight="false" outlineLevel="0" collapsed="false">
      <c r="A478" s="0" t="s">
        <v>802</v>
      </c>
      <c r="B478" s="0" t="s">
        <v>80</v>
      </c>
      <c r="C478" s="0" t="str">
        <f aca="false">INDEX(Intent_Analysis!$B$5:$B$81,MATCH(B478,Intent_Analysis!$A$5:$A$81,0))</f>
        <v>Exchange rates &amp; currencies</v>
      </c>
      <c r="D478" s="0" t="n">
        <f aca="false">INDEX(Intent_Analysis!$E$5:$E$81,MATCH(B478,Intent_Analysis!$A$5:$A$81,0))</f>
        <v>2</v>
      </c>
    </row>
    <row r="479" customFormat="false" ht="15" hidden="false" customHeight="false" outlineLevel="0" collapsed="false">
      <c r="A479" s="0" t="s">
        <v>803</v>
      </c>
      <c r="B479" s="0" t="s">
        <v>80</v>
      </c>
      <c r="C479" s="0" t="str">
        <f aca="false">INDEX(Intent_Analysis!$B$5:$B$81,MATCH(B479,Intent_Analysis!$A$5:$A$81,0))</f>
        <v>Exchange rates &amp; currencies</v>
      </c>
      <c r="D479" s="0" t="n">
        <f aca="false">INDEX(Intent_Analysis!$E$5:$E$81,MATCH(B479,Intent_Analysis!$A$5:$A$81,0))</f>
        <v>2</v>
      </c>
    </row>
    <row r="480" customFormat="false" ht="15" hidden="false" customHeight="false" outlineLevel="0" collapsed="false">
      <c r="A480" s="0" t="s">
        <v>804</v>
      </c>
      <c r="B480" s="0" t="s">
        <v>80</v>
      </c>
      <c r="C480" s="0" t="str">
        <f aca="false">INDEX(Intent_Analysis!$B$5:$B$81,MATCH(B480,Intent_Analysis!$A$5:$A$81,0))</f>
        <v>Exchange rates &amp; currencies</v>
      </c>
      <c r="D480" s="0" t="n">
        <f aca="false">INDEX(Intent_Analysis!$E$5:$E$81,MATCH(B480,Intent_Analysis!$A$5:$A$81,0))</f>
        <v>2</v>
      </c>
    </row>
    <row r="481" customFormat="false" ht="15" hidden="false" customHeight="false" outlineLevel="0" collapsed="false">
      <c r="A481" s="0" t="s">
        <v>805</v>
      </c>
      <c r="B481" s="0" t="s">
        <v>80</v>
      </c>
      <c r="C481" s="0" t="str">
        <f aca="false">INDEX(Intent_Analysis!$B$5:$B$81,MATCH(B481,Intent_Analysis!$A$5:$A$81,0))</f>
        <v>Exchange rates &amp; currencies</v>
      </c>
      <c r="D481" s="0" t="n">
        <f aca="false">INDEX(Intent_Analysis!$E$5:$E$81,MATCH(B481,Intent_Analysis!$A$5:$A$81,0))</f>
        <v>2</v>
      </c>
    </row>
    <row r="482" customFormat="false" ht="15" hidden="false" customHeight="false" outlineLevel="0" collapsed="false">
      <c r="A482" s="0" t="s">
        <v>806</v>
      </c>
      <c r="B482" s="0" t="s">
        <v>80</v>
      </c>
      <c r="C482" s="0" t="str">
        <f aca="false">INDEX(Intent_Analysis!$B$5:$B$81,MATCH(B482,Intent_Analysis!$A$5:$A$81,0))</f>
        <v>Exchange rates &amp; currencies</v>
      </c>
      <c r="D482" s="0" t="n">
        <f aca="false">INDEX(Intent_Analysis!$E$5:$E$81,MATCH(B482,Intent_Analysis!$A$5:$A$81,0))</f>
        <v>2</v>
      </c>
    </row>
    <row r="483" customFormat="false" ht="15" hidden="false" customHeight="false" outlineLevel="0" collapsed="false">
      <c r="A483" s="0" t="s">
        <v>807</v>
      </c>
      <c r="B483" s="0" t="s">
        <v>80</v>
      </c>
      <c r="C483" s="0" t="str">
        <f aca="false">INDEX(Intent_Analysis!$B$5:$B$81,MATCH(B483,Intent_Analysis!$A$5:$A$81,0))</f>
        <v>Exchange rates &amp; currencies</v>
      </c>
      <c r="D483" s="0" t="n">
        <f aca="false">INDEX(Intent_Analysis!$E$5:$E$81,MATCH(B483,Intent_Analysis!$A$5:$A$81,0))</f>
        <v>2</v>
      </c>
    </row>
    <row r="484" customFormat="false" ht="15" hidden="false" customHeight="false" outlineLevel="0" collapsed="false">
      <c r="A484" s="0" t="s">
        <v>808</v>
      </c>
      <c r="B484" s="0" t="s">
        <v>80</v>
      </c>
      <c r="C484" s="0" t="str">
        <f aca="false">INDEX(Intent_Analysis!$B$5:$B$81,MATCH(B484,Intent_Analysis!$A$5:$A$81,0))</f>
        <v>Exchange rates &amp; currencies</v>
      </c>
      <c r="D484" s="0" t="n">
        <f aca="false">INDEX(Intent_Analysis!$E$5:$E$81,MATCH(B484,Intent_Analysis!$A$5:$A$81,0))</f>
        <v>2</v>
      </c>
    </row>
    <row r="485" customFormat="false" ht="15" hidden="false" customHeight="false" outlineLevel="0" collapsed="false">
      <c r="A485" s="0" t="s">
        <v>809</v>
      </c>
      <c r="B485" s="0" t="s">
        <v>80</v>
      </c>
      <c r="C485" s="0" t="str">
        <f aca="false">INDEX(Intent_Analysis!$B$5:$B$81,MATCH(B485,Intent_Analysis!$A$5:$A$81,0))</f>
        <v>Exchange rates &amp; currencies</v>
      </c>
      <c r="D485" s="0" t="n">
        <f aca="false">INDEX(Intent_Analysis!$E$5:$E$81,MATCH(B485,Intent_Analysis!$A$5:$A$81,0))</f>
        <v>2</v>
      </c>
    </row>
    <row r="486" customFormat="false" ht="15" hidden="false" customHeight="false" outlineLevel="0" collapsed="false">
      <c r="A486" s="0" t="s">
        <v>810</v>
      </c>
      <c r="B486" s="0" t="s">
        <v>80</v>
      </c>
      <c r="C486" s="0" t="str">
        <f aca="false">INDEX(Intent_Analysis!$B$5:$B$81,MATCH(B486,Intent_Analysis!$A$5:$A$81,0))</f>
        <v>Exchange rates &amp; currencies</v>
      </c>
      <c r="D486" s="0" t="n">
        <f aca="false">INDEX(Intent_Analysis!$E$5:$E$81,MATCH(B486,Intent_Analysis!$A$5:$A$81,0))</f>
        <v>2</v>
      </c>
    </row>
    <row r="487" customFormat="false" ht="15" hidden="false" customHeight="false" outlineLevel="0" collapsed="false">
      <c r="A487" s="0" t="s">
        <v>811</v>
      </c>
      <c r="B487" s="0" t="s">
        <v>80</v>
      </c>
      <c r="C487" s="0" t="str">
        <f aca="false">INDEX(Intent_Analysis!$B$5:$B$81,MATCH(B487,Intent_Analysis!$A$5:$A$81,0))</f>
        <v>Exchange rates &amp; currencies</v>
      </c>
      <c r="D487" s="0" t="n">
        <f aca="false">INDEX(Intent_Analysis!$E$5:$E$81,MATCH(B487,Intent_Analysis!$A$5:$A$81,0))</f>
        <v>2</v>
      </c>
    </row>
    <row r="488" customFormat="false" ht="15" hidden="false" customHeight="false" outlineLevel="0" collapsed="false">
      <c r="A488" s="0" t="s">
        <v>812</v>
      </c>
      <c r="B488" s="0" t="s">
        <v>80</v>
      </c>
      <c r="C488" s="0" t="str">
        <f aca="false">INDEX(Intent_Analysis!$B$5:$B$81,MATCH(B488,Intent_Analysis!$A$5:$A$81,0))</f>
        <v>Exchange rates &amp; currencies</v>
      </c>
      <c r="D488" s="0" t="n">
        <f aca="false">INDEX(Intent_Analysis!$E$5:$E$81,MATCH(B488,Intent_Analysis!$A$5:$A$81,0))</f>
        <v>2</v>
      </c>
    </row>
    <row r="489" customFormat="false" ht="15" hidden="false" customHeight="false" outlineLevel="0" collapsed="false">
      <c r="A489" s="0" t="s">
        <v>813</v>
      </c>
      <c r="B489" s="0" t="s">
        <v>80</v>
      </c>
      <c r="C489" s="0" t="str">
        <f aca="false">INDEX(Intent_Analysis!$B$5:$B$81,MATCH(B489,Intent_Analysis!$A$5:$A$81,0))</f>
        <v>Exchange rates &amp; currencies</v>
      </c>
      <c r="D489" s="0" t="n">
        <f aca="false">INDEX(Intent_Analysis!$E$5:$E$81,MATCH(B489,Intent_Analysis!$A$5:$A$81,0))</f>
        <v>2</v>
      </c>
    </row>
    <row r="490" customFormat="false" ht="15" hidden="false" customHeight="false" outlineLevel="0" collapsed="false">
      <c r="A490" s="0" t="s">
        <v>814</v>
      </c>
      <c r="B490" s="0" t="s">
        <v>80</v>
      </c>
      <c r="C490" s="0" t="str">
        <f aca="false">INDEX(Intent_Analysis!$B$5:$B$81,MATCH(B490,Intent_Analysis!$A$5:$A$81,0))</f>
        <v>Exchange rates &amp; currencies</v>
      </c>
      <c r="D490" s="0" t="n">
        <f aca="false">INDEX(Intent_Analysis!$E$5:$E$81,MATCH(B490,Intent_Analysis!$A$5:$A$81,0))</f>
        <v>2</v>
      </c>
    </row>
    <row r="491" customFormat="false" ht="15" hidden="false" customHeight="false" outlineLevel="0" collapsed="false">
      <c r="A491" s="0" t="s">
        <v>815</v>
      </c>
      <c r="B491" s="0" t="s">
        <v>80</v>
      </c>
      <c r="C491" s="0" t="str">
        <f aca="false">INDEX(Intent_Analysis!$B$5:$B$81,MATCH(B491,Intent_Analysis!$A$5:$A$81,0))</f>
        <v>Exchange rates &amp; currencies</v>
      </c>
      <c r="D491" s="0" t="n">
        <f aca="false">INDEX(Intent_Analysis!$E$5:$E$81,MATCH(B491,Intent_Analysis!$A$5:$A$81,0))</f>
        <v>2</v>
      </c>
    </row>
    <row r="492" customFormat="false" ht="15" hidden="false" customHeight="false" outlineLevel="0" collapsed="false">
      <c r="A492" s="0" t="s">
        <v>816</v>
      </c>
      <c r="B492" s="0" t="s">
        <v>80</v>
      </c>
      <c r="C492" s="0" t="str">
        <f aca="false">INDEX(Intent_Analysis!$B$5:$B$81,MATCH(B492,Intent_Analysis!$A$5:$A$81,0))</f>
        <v>Exchange rates &amp; currencies</v>
      </c>
      <c r="D492" s="0" t="n">
        <f aca="false">INDEX(Intent_Analysis!$E$5:$E$81,MATCH(B492,Intent_Analysis!$A$5:$A$81,0))</f>
        <v>2</v>
      </c>
    </row>
    <row r="493" customFormat="false" ht="15" hidden="false" customHeight="false" outlineLevel="0" collapsed="false">
      <c r="A493" s="0" t="s">
        <v>817</v>
      </c>
      <c r="B493" s="0" t="s">
        <v>80</v>
      </c>
      <c r="C493" s="0" t="str">
        <f aca="false">INDEX(Intent_Analysis!$B$5:$B$81,MATCH(B493,Intent_Analysis!$A$5:$A$81,0))</f>
        <v>Exchange rates &amp; currencies</v>
      </c>
      <c r="D493" s="0" t="n">
        <f aca="false">INDEX(Intent_Analysis!$E$5:$E$81,MATCH(B493,Intent_Analysis!$A$5:$A$81,0))</f>
        <v>2</v>
      </c>
    </row>
    <row r="494" customFormat="false" ht="15" hidden="false" customHeight="false" outlineLevel="0" collapsed="false">
      <c r="A494" s="0" t="s">
        <v>818</v>
      </c>
      <c r="B494" s="0" t="s">
        <v>80</v>
      </c>
      <c r="C494" s="0" t="str">
        <f aca="false">INDEX(Intent_Analysis!$B$5:$B$81,MATCH(B494,Intent_Analysis!$A$5:$A$81,0))</f>
        <v>Exchange rates &amp; currencies</v>
      </c>
      <c r="D494" s="0" t="n">
        <f aca="false">INDEX(Intent_Analysis!$E$5:$E$81,MATCH(B494,Intent_Analysis!$A$5:$A$81,0))</f>
        <v>2</v>
      </c>
    </row>
    <row r="495" customFormat="false" ht="15" hidden="false" customHeight="false" outlineLevel="0" collapsed="false">
      <c r="A495" s="0" t="s">
        <v>819</v>
      </c>
      <c r="B495" s="0" t="s">
        <v>80</v>
      </c>
      <c r="C495" s="0" t="str">
        <f aca="false">INDEX(Intent_Analysis!$B$5:$B$81,MATCH(B495,Intent_Analysis!$A$5:$A$81,0))</f>
        <v>Exchange rates &amp; currencies</v>
      </c>
      <c r="D495" s="0" t="n">
        <f aca="false">INDEX(Intent_Analysis!$E$5:$E$81,MATCH(B495,Intent_Analysis!$A$5:$A$81,0))</f>
        <v>2</v>
      </c>
    </row>
    <row r="496" customFormat="false" ht="15" hidden="false" customHeight="false" outlineLevel="0" collapsed="false">
      <c r="A496" s="0" t="s">
        <v>820</v>
      </c>
      <c r="B496" s="0" t="s">
        <v>80</v>
      </c>
      <c r="C496" s="0" t="str">
        <f aca="false">INDEX(Intent_Analysis!$B$5:$B$81,MATCH(B496,Intent_Analysis!$A$5:$A$81,0))</f>
        <v>Exchange rates &amp; currencies</v>
      </c>
      <c r="D496" s="0" t="n">
        <f aca="false">INDEX(Intent_Analysis!$E$5:$E$81,MATCH(B496,Intent_Analysis!$A$5:$A$81,0))</f>
        <v>2</v>
      </c>
    </row>
    <row r="497" customFormat="false" ht="15" hidden="false" customHeight="false" outlineLevel="0" collapsed="false">
      <c r="A497" s="0" t="s">
        <v>821</v>
      </c>
      <c r="B497" s="0" t="s">
        <v>80</v>
      </c>
      <c r="C497" s="0" t="str">
        <f aca="false">INDEX(Intent_Analysis!$B$5:$B$81,MATCH(B497,Intent_Analysis!$A$5:$A$81,0))</f>
        <v>Exchange rates &amp; currencies</v>
      </c>
      <c r="D497" s="0" t="n">
        <f aca="false">INDEX(Intent_Analysis!$E$5:$E$81,MATCH(B497,Intent_Analysis!$A$5:$A$81,0))</f>
        <v>2</v>
      </c>
    </row>
    <row r="498" customFormat="false" ht="15" hidden="false" customHeight="false" outlineLevel="0" collapsed="false">
      <c r="A498" s="0" t="s">
        <v>822</v>
      </c>
      <c r="B498" s="0" t="s">
        <v>80</v>
      </c>
      <c r="C498" s="0" t="str">
        <f aca="false">INDEX(Intent_Analysis!$B$5:$B$81,MATCH(B498,Intent_Analysis!$A$5:$A$81,0))</f>
        <v>Exchange rates &amp; currencies</v>
      </c>
      <c r="D498" s="0" t="n">
        <f aca="false">INDEX(Intent_Analysis!$E$5:$E$81,MATCH(B498,Intent_Analysis!$A$5:$A$81,0))</f>
        <v>2</v>
      </c>
    </row>
    <row r="499" customFormat="false" ht="15" hidden="false" customHeight="false" outlineLevel="0" collapsed="false">
      <c r="A499" s="0" t="s">
        <v>823</v>
      </c>
      <c r="B499" s="0" t="s">
        <v>80</v>
      </c>
      <c r="C499" s="0" t="str">
        <f aca="false">INDEX(Intent_Analysis!$B$5:$B$81,MATCH(B499,Intent_Analysis!$A$5:$A$81,0))</f>
        <v>Exchange rates &amp; currencies</v>
      </c>
      <c r="D499" s="0" t="n">
        <f aca="false">INDEX(Intent_Analysis!$E$5:$E$81,MATCH(B499,Intent_Analysis!$A$5:$A$81,0))</f>
        <v>2</v>
      </c>
    </row>
    <row r="500" customFormat="false" ht="15" hidden="false" customHeight="false" outlineLevel="0" collapsed="false">
      <c r="A500" s="0" t="s">
        <v>824</v>
      </c>
      <c r="B500" s="0" t="s">
        <v>80</v>
      </c>
      <c r="C500" s="0" t="str">
        <f aca="false">INDEX(Intent_Analysis!$B$5:$B$81,MATCH(B500,Intent_Analysis!$A$5:$A$81,0))</f>
        <v>Exchange rates &amp; currencies</v>
      </c>
      <c r="D500" s="0" t="n">
        <f aca="false">INDEX(Intent_Analysis!$E$5:$E$81,MATCH(B500,Intent_Analysis!$A$5:$A$81,0))</f>
        <v>2</v>
      </c>
    </row>
    <row r="501" customFormat="false" ht="15" hidden="false" customHeight="false" outlineLevel="0" collapsed="false">
      <c r="A501" s="0" t="s">
        <v>825</v>
      </c>
      <c r="B501" s="0" t="s">
        <v>80</v>
      </c>
      <c r="C501" s="0" t="str">
        <f aca="false">INDEX(Intent_Analysis!$B$5:$B$81,MATCH(B501,Intent_Analysis!$A$5:$A$81,0))</f>
        <v>Exchange rates &amp; currencies</v>
      </c>
      <c r="D501" s="0" t="n">
        <f aca="false">INDEX(Intent_Analysis!$E$5:$E$81,MATCH(B501,Intent_Analysis!$A$5:$A$81,0))</f>
        <v>2</v>
      </c>
    </row>
    <row r="502" customFormat="false" ht="15" hidden="false" customHeight="false" outlineLevel="0" collapsed="false">
      <c r="A502" s="0" t="s">
        <v>826</v>
      </c>
      <c r="B502" s="0" t="s">
        <v>80</v>
      </c>
      <c r="C502" s="0" t="str">
        <f aca="false">INDEX(Intent_Analysis!$B$5:$B$81,MATCH(B502,Intent_Analysis!$A$5:$A$81,0))</f>
        <v>Exchange rates &amp; currencies</v>
      </c>
      <c r="D502" s="0" t="n">
        <f aca="false">INDEX(Intent_Analysis!$E$5:$E$81,MATCH(B502,Intent_Analysis!$A$5:$A$81,0))</f>
        <v>2</v>
      </c>
    </row>
    <row r="503" customFormat="false" ht="15" hidden="false" customHeight="false" outlineLevel="0" collapsed="false">
      <c r="A503" s="0" t="s">
        <v>827</v>
      </c>
      <c r="B503" s="0" t="s">
        <v>80</v>
      </c>
      <c r="C503" s="0" t="str">
        <f aca="false">INDEX(Intent_Analysis!$B$5:$B$81,MATCH(B503,Intent_Analysis!$A$5:$A$81,0))</f>
        <v>Exchange rates &amp; currencies</v>
      </c>
      <c r="D503" s="0" t="n">
        <f aca="false">INDEX(Intent_Analysis!$E$5:$E$81,MATCH(B503,Intent_Analysis!$A$5:$A$81,0))</f>
        <v>2</v>
      </c>
    </row>
    <row r="504" customFormat="false" ht="15" hidden="false" customHeight="false" outlineLevel="0" collapsed="false">
      <c r="A504" s="0" t="s">
        <v>828</v>
      </c>
      <c r="B504" s="0" t="s">
        <v>80</v>
      </c>
      <c r="C504" s="0" t="str">
        <f aca="false">INDEX(Intent_Analysis!$B$5:$B$81,MATCH(B504,Intent_Analysis!$A$5:$A$81,0))</f>
        <v>Exchange rates &amp; currencies</v>
      </c>
      <c r="D504" s="0" t="n">
        <f aca="false">INDEX(Intent_Analysis!$E$5:$E$81,MATCH(B504,Intent_Analysis!$A$5:$A$81,0))</f>
        <v>2</v>
      </c>
    </row>
    <row r="505" customFormat="false" ht="15" hidden="false" customHeight="false" outlineLevel="0" collapsed="false">
      <c r="A505" s="0" t="s">
        <v>829</v>
      </c>
      <c r="B505" s="0" t="s">
        <v>80</v>
      </c>
      <c r="C505" s="0" t="str">
        <f aca="false">INDEX(Intent_Analysis!$B$5:$B$81,MATCH(B505,Intent_Analysis!$A$5:$A$81,0))</f>
        <v>Exchange rates &amp; currencies</v>
      </c>
      <c r="D505" s="0" t="n">
        <f aca="false">INDEX(Intent_Analysis!$E$5:$E$81,MATCH(B505,Intent_Analysis!$A$5:$A$81,0))</f>
        <v>2</v>
      </c>
    </row>
    <row r="506" customFormat="false" ht="15" hidden="false" customHeight="false" outlineLevel="0" collapsed="false">
      <c r="A506" s="0" t="s">
        <v>830</v>
      </c>
      <c r="B506" s="0" t="s">
        <v>80</v>
      </c>
      <c r="C506" s="0" t="str">
        <f aca="false">INDEX(Intent_Analysis!$B$5:$B$81,MATCH(B506,Intent_Analysis!$A$5:$A$81,0))</f>
        <v>Exchange rates &amp; currencies</v>
      </c>
      <c r="D506" s="0" t="n">
        <f aca="false">INDEX(Intent_Analysis!$E$5:$E$81,MATCH(B506,Intent_Analysis!$A$5:$A$81,0))</f>
        <v>2</v>
      </c>
    </row>
    <row r="507" customFormat="false" ht="15" hidden="false" customHeight="false" outlineLevel="0" collapsed="false">
      <c r="A507" s="0" t="s">
        <v>831</v>
      </c>
      <c r="B507" s="0" t="s">
        <v>80</v>
      </c>
      <c r="C507" s="0" t="str">
        <f aca="false">INDEX(Intent_Analysis!$B$5:$B$81,MATCH(B507,Intent_Analysis!$A$5:$A$81,0))</f>
        <v>Exchange rates &amp; currencies</v>
      </c>
      <c r="D507" s="0" t="n">
        <f aca="false">INDEX(Intent_Analysis!$E$5:$E$81,MATCH(B507,Intent_Analysis!$A$5:$A$81,0))</f>
        <v>2</v>
      </c>
    </row>
    <row r="508" customFormat="false" ht="15" hidden="false" customHeight="false" outlineLevel="0" collapsed="false">
      <c r="A508" s="0" t="s">
        <v>832</v>
      </c>
      <c r="B508" s="0" t="s">
        <v>80</v>
      </c>
      <c r="C508" s="0" t="str">
        <f aca="false">INDEX(Intent_Analysis!$B$5:$B$81,MATCH(B508,Intent_Analysis!$A$5:$A$81,0))</f>
        <v>Exchange rates &amp; currencies</v>
      </c>
      <c r="D508" s="0" t="n">
        <f aca="false">INDEX(Intent_Analysis!$E$5:$E$81,MATCH(B508,Intent_Analysis!$A$5:$A$81,0))</f>
        <v>2</v>
      </c>
    </row>
    <row r="509" customFormat="false" ht="15" hidden="false" customHeight="false" outlineLevel="0" collapsed="false">
      <c r="A509" s="0" t="s">
        <v>833</v>
      </c>
      <c r="B509" s="0" t="s">
        <v>80</v>
      </c>
      <c r="C509" s="0" t="str">
        <f aca="false">INDEX(Intent_Analysis!$B$5:$B$81,MATCH(B509,Intent_Analysis!$A$5:$A$81,0))</f>
        <v>Exchange rates &amp; currencies</v>
      </c>
      <c r="D509" s="0" t="n">
        <f aca="false">INDEX(Intent_Analysis!$E$5:$E$81,MATCH(B509,Intent_Analysis!$A$5:$A$81,0))</f>
        <v>2</v>
      </c>
    </row>
    <row r="510" customFormat="false" ht="15" hidden="false" customHeight="false" outlineLevel="0" collapsed="false">
      <c r="A510" s="0" t="s">
        <v>834</v>
      </c>
      <c r="B510" s="0" t="s">
        <v>80</v>
      </c>
      <c r="C510" s="0" t="str">
        <f aca="false">INDEX(Intent_Analysis!$B$5:$B$81,MATCH(B510,Intent_Analysis!$A$5:$A$81,0))</f>
        <v>Exchange rates &amp; currencies</v>
      </c>
      <c r="D510" s="0" t="n">
        <f aca="false">INDEX(Intent_Analysis!$E$5:$E$81,MATCH(B510,Intent_Analysis!$A$5:$A$81,0))</f>
        <v>2</v>
      </c>
    </row>
    <row r="511" customFormat="false" ht="15" hidden="false" customHeight="false" outlineLevel="0" collapsed="false">
      <c r="A511" s="0" t="s">
        <v>835</v>
      </c>
      <c r="B511" s="0" t="s">
        <v>80</v>
      </c>
      <c r="C511" s="0" t="str">
        <f aca="false">INDEX(Intent_Analysis!$B$5:$B$81,MATCH(B511,Intent_Analysis!$A$5:$A$81,0))</f>
        <v>Exchange rates &amp; currencies</v>
      </c>
      <c r="D511" s="0" t="n">
        <f aca="false">INDEX(Intent_Analysis!$E$5:$E$81,MATCH(B511,Intent_Analysis!$A$5:$A$81,0))</f>
        <v>2</v>
      </c>
    </row>
    <row r="512" customFormat="false" ht="15" hidden="false" customHeight="false" outlineLevel="0" collapsed="false">
      <c r="A512" s="0" t="s">
        <v>836</v>
      </c>
      <c r="B512" s="0" t="s">
        <v>80</v>
      </c>
      <c r="C512" s="0" t="str">
        <f aca="false">INDEX(Intent_Analysis!$B$5:$B$81,MATCH(B512,Intent_Analysis!$A$5:$A$81,0))</f>
        <v>Exchange rates &amp; currencies</v>
      </c>
      <c r="D512" s="0" t="n">
        <f aca="false">INDEX(Intent_Analysis!$E$5:$E$81,MATCH(B512,Intent_Analysis!$A$5:$A$81,0))</f>
        <v>2</v>
      </c>
    </row>
    <row r="513" customFormat="false" ht="15" hidden="false" customHeight="false" outlineLevel="0" collapsed="false">
      <c r="A513" s="0" t="s">
        <v>837</v>
      </c>
      <c r="B513" s="0" t="s">
        <v>80</v>
      </c>
      <c r="C513" s="0" t="str">
        <f aca="false">INDEX(Intent_Analysis!$B$5:$B$81,MATCH(B513,Intent_Analysis!$A$5:$A$81,0))</f>
        <v>Exchange rates &amp; currencies</v>
      </c>
      <c r="D513" s="0" t="n">
        <f aca="false">INDEX(Intent_Analysis!$E$5:$E$81,MATCH(B513,Intent_Analysis!$A$5:$A$81,0))</f>
        <v>2</v>
      </c>
    </row>
    <row r="514" customFormat="false" ht="15" hidden="false" customHeight="false" outlineLevel="0" collapsed="false">
      <c r="A514" s="0" t="s">
        <v>838</v>
      </c>
      <c r="B514" s="0" t="s">
        <v>80</v>
      </c>
      <c r="C514" s="0" t="str">
        <f aca="false">INDEX(Intent_Analysis!$B$5:$B$81,MATCH(B514,Intent_Analysis!$A$5:$A$81,0))</f>
        <v>Exchange rates &amp; currencies</v>
      </c>
      <c r="D514" s="0" t="n">
        <f aca="false">INDEX(Intent_Analysis!$E$5:$E$81,MATCH(B514,Intent_Analysis!$A$5:$A$81,0))</f>
        <v>2</v>
      </c>
    </row>
    <row r="515" customFormat="false" ht="15" hidden="false" customHeight="false" outlineLevel="0" collapsed="false">
      <c r="A515" s="0" t="s">
        <v>839</v>
      </c>
      <c r="B515" s="0" t="s">
        <v>80</v>
      </c>
      <c r="C515" s="0" t="str">
        <f aca="false">INDEX(Intent_Analysis!$B$5:$B$81,MATCH(B515,Intent_Analysis!$A$5:$A$81,0))</f>
        <v>Exchange rates &amp; currencies</v>
      </c>
      <c r="D515" s="0" t="n">
        <f aca="false">INDEX(Intent_Analysis!$E$5:$E$81,MATCH(B515,Intent_Analysis!$A$5:$A$81,0))</f>
        <v>2</v>
      </c>
    </row>
    <row r="516" customFormat="false" ht="15" hidden="false" customHeight="false" outlineLevel="0" collapsed="false">
      <c r="A516" s="0" t="s">
        <v>840</v>
      </c>
      <c r="B516" s="0" t="s">
        <v>80</v>
      </c>
      <c r="C516" s="0" t="str">
        <f aca="false">INDEX(Intent_Analysis!$B$5:$B$81,MATCH(B516,Intent_Analysis!$A$5:$A$81,0))</f>
        <v>Exchange rates &amp; currencies</v>
      </c>
      <c r="D516" s="0" t="n">
        <f aca="false">INDEX(Intent_Analysis!$E$5:$E$81,MATCH(B516,Intent_Analysis!$A$5:$A$81,0))</f>
        <v>2</v>
      </c>
    </row>
    <row r="517" customFormat="false" ht="15" hidden="false" customHeight="false" outlineLevel="0" collapsed="false">
      <c r="A517" s="0" t="s">
        <v>841</v>
      </c>
      <c r="B517" s="0" t="s">
        <v>80</v>
      </c>
      <c r="C517" s="0" t="str">
        <f aca="false">INDEX(Intent_Analysis!$B$5:$B$81,MATCH(B517,Intent_Analysis!$A$5:$A$81,0))</f>
        <v>Exchange rates &amp; currencies</v>
      </c>
      <c r="D517" s="0" t="n">
        <f aca="false">INDEX(Intent_Analysis!$E$5:$E$81,MATCH(B517,Intent_Analysis!$A$5:$A$81,0))</f>
        <v>2</v>
      </c>
    </row>
    <row r="518" customFormat="false" ht="15" hidden="false" customHeight="false" outlineLevel="0" collapsed="false">
      <c r="A518" s="0" t="s">
        <v>842</v>
      </c>
      <c r="B518" s="0" t="s">
        <v>80</v>
      </c>
      <c r="C518" s="0" t="str">
        <f aca="false">INDEX(Intent_Analysis!$B$5:$B$81,MATCH(B518,Intent_Analysis!$A$5:$A$81,0))</f>
        <v>Exchange rates &amp; currencies</v>
      </c>
      <c r="D518" s="0" t="n">
        <f aca="false">INDEX(Intent_Analysis!$E$5:$E$81,MATCH(B518,Intent_Analysis!$A$5:$A$81,0))</f>
        <v>2</v>
      </c>
    </row>
    <row r="519" customFormat="false" ht="15" hidden="false" customHeight="false" outlineLevel="0" collapsed="false">
      <c r="A519" s="0" t="s">
        <v>843</v>
      </c>
      <c r="B519" s="0" t="s">
        <v>80</v>
      </c>
      <c r="C519" s="0" t="str">
        <f aca="false">INDEX(Intent_Analysis!$B$5:$B$81,MATCH(B519,Intent_Analysis!$A$5:$A$81,0))</f>
        <v>Exchange rates &amp; currencies</v>
      </c>
      <c r="D519" s="0" t="n">
        <f aca="false">INDEX(Intent_Analysis!$E$5:$E$81,MATCH(B519,Intent_Analysis!$A$5:$A$81,0))</f>
        <v>2</v>
      </c>
    </row>
    <row r="520" customFormat="false" ht="15" hidden="false" customHeight="false" outlineLevel="0" collapsed="false">
      <c r="A520" s="0" t="s">
        <v>844</v>
      </c>
      <c r="B520" s="0" t="s">
        <v>80</v>
      </c>
      <c r="C520" s="0" t="str">
        <f aca="false">INDEX(Intent_Analysis!$B$5:$B$81,MATCH(B520,Intent_Analysis!$A$5:$A$81,0))</f>
        <v>Exchange rates &amp; currencies</v>
      </c>
      <c r="D520" s="0" t="n">
        <f aca="false">INDEX(Intent_Analysis!$E$5:$E$81,MATCH(B520,Intent_Analysis!$A$5:$A$81,0))</f>
        <v>2</v>
      </c>
    </row>
    <row r="521" customFormat="false" ht="15" hidden="false" customHeight="false" outlineLevel="0" collapsed="false">
      <c r="A521" s="0" t="s">
        <v>845</v>
      </c>
      <c r="B521" s="0" t="s">
        <v>80</v>
      </c>
      <c r="C521" s="0" t="str">
        <f aca="false">INDEX(Intent_Analysis!$B$5:$B$81,MATCH(B521,Intent_Analysis!$A$5:$A$81,0))</f>
        <v>Exchange rates &amp; currencies</v>
      </c>
      <c r="D521" s="0" t="n">
        <f aca="false">INDEX(Intent_Analysis!$E$5:$E$81,MATCH(B521,Intent_Analysis!$A$5:$A$81,0))</f>
        <v>2</v>
      </c>
    </row>
    <row r="522" customFormat="false" ht="15" hidden="false" customHeight="false" outlineLevel="0" collapsed="false">
      <c r="A522" s="0" t="s">
        <v>846</v>
      </c>
      <c r="B522" s="0" t="s">
        <v>80</v>
      </c>
      <c r="C522" s="0" t="str">
        <f aca="false">INDEX(Intent_Analysis!$B$5:$B$81,MATCH(B522,Intent_Analysis!$A$5:$A$81,0))</f>
        <v>Exchange rates &amp; currencies</v>
      </c>
      <c r="D522" s="0" t="n">
        <f aca="false">INDEX(Intent_Analysis!$E$5:$E$81,MATCH(B522,Intent_Analysis!$A$5:$A$81,0))</f>
        <v>2</v>
      </c>
    </row>
    <row r="523" customFormat="false" ht="15" hidden="false" customHeight="false" outlineLevel="0" collapsed="false">
      <c r="A523" s="0" t="s">
        <v>847</v>
      </c>
      <c r="B523" s="0" t="s">
        <v>80</v>
      </c>
      <c r="C523" s="0" t="str">
        <f aca="false">INDEX(Intent_Analysis!$B$5:$B$81,MATCH(B523,Intent_Analysis!$A$5:$A$81,0))</f>
        <v>Exchange rates &amp; currencies</v>
      </c>
      <c r="D523" s="0" t="n">
        <f aca="false">INDEX(Intent_Analysis!$E$5:$E$81,MATCH(B523,Intent_Analysis!$A$5:$A$81,0))</f>
        <v>2</v>
      </c>
    </row>
    <row r="524" customFormat="false" ht="15" hidden="false" customHeight="false" outlineLevel="0" collapsed="false">
      <c r="A524" s="0" t="s">
        <v>848</v>
      </c>
      <c r="B524" s="0" t="s">
        <v>80</v>
      </c>
      <c r="C524" s="0" t="str">
        <f aca="false">INDEX(Intent_Analysis!$B$5:$B$81,MATCH(B524,Intent_Analysis!$A$5:$A$81,0))</f>
        <v>Exchange rates &amp; currencies</v>
      </c>
      <c r="D524" s="0" t="n">
        <f aca="false">INDEX(Intent_Analysis!$E$5:$E$81,MATCH(B524,Intent_Analysis!$A$5:$A$81,0))</f>
        <v>2</v>
      </c>
    </row>
    <row r="525" customFormat="false" ht="15" hidden="false" customHeight="false" outlineLevel="0" collapsed="false">
      <c r="A525" s="0" t="s">
        <v>849</v>
      </c>
      <c r="B525" s="0" t="s">
        <v>80</v>
      </c>
      <c r="C525" s="0" t="str">
        <f aca="false">INDEX(Intent_Analysis!$B$5:$B$81,MATCH(B525,Intent_Analysis!$A$5:$A$81,0))</f>
        <v>Exchange rates &amp; currencies</v>
      </c>
      <c r="D525" s="0" t="n">
        <f aca="false">INDEX(Intent_Analysis!$E$5:$E$81,MATCH(B525,Intent_Analysis!$A$5:$A$81,0))</f>
        <v>2</v>
      </c>
    </row>
    <row r="526" customFormat="false" ht="15" hidden="false" customHeight="false" outlineLevel="0" collapsed="false">
      <c r="A526" s="0" t="s">
        <v>850</v>
      </c>
      <c r="B526" s="0" t="s">
        <v>80</v>
      </c>
      <c r="C526" s="0" t="str">
        <f aca="false">INDEX(Intent_Analysis!$B$5:$B$81,MATCH(B526,Intent_Analysis!$A$5:$A$81,0))</f>
        <v>Exchange rates &amp; currencies</v>
      </c>
      <c r="D526" s="0" t="n">
        <f aca="false">INDEX(Intent_Analysis!$E$5:$E$81,MATCH(B526,Intent_Analysis!$A$5:$A$81,0))</f>
        <v>2</v>
      </c>
    </row>
    <row r="527" customFormat="false" ht="15" hidden="false" customHeight="false" outlineLevel="0" collapsed="false">
      <c r="A527" s="0" t="s">
        <v>851</v>
      </c>
      <c r="B527" s="0" t="s">
        <v>80</v>
      </c>
      <c r="C527" s="0" t="str">
        <f aca="false">INDEX(Intent_Analysis!$B$5:$B$81,MATCH(B527,Intent_Analysis!$A$5:$A$81,0))</f>
        <v>Exchange rates &amp; currencies</v>
      </c>
      <c r="D527" s="0" t="n">
        <f aca="false">INDEX(Intent_Analysis!$E$5:$E$81,MATCH(B527,Intent_Analysis!$A$5:$A$81,0))</f>
        <v>2</v>
      </c>
    </row>
    <row r="528" customFormat="false" ht="15" hidden="false" customHeight="false" outlineLevel="0" collapsed="false">
      <c r="A528" s="0" t="s">
        <v>852</v>
      </c>
      <c r="B528" s="0" t="s">
        <v>80</v>
      </c>
      <c r="C528" s="0" t="str">
        <f aca="false">INDEX(Intent_Analysis!$B$5:$B$81,MATCH(B528,Intent_Analysis!$A$5:$A$81,0))</f>
        <v>Exchange rates &amp; currencies</v>
      </c>
      <c r="D528" s="0" t="n">
        <f aca="false">INDEX(Intent_Analysis!$E$5:$E$81,MATCH(B528,Intent_Analysis!$A$5:$A$81,0))</f>
        <v>2</v>
      </c>
    </row>
    <row r="529" customFormat="false" ht="15" hidden="false" customHeight="false" outlineLevel="0" collapsed="false">
      <c r="A529" s="0" t="s">
        <v>853</v>
      </c>
      <c r="B529" s="0" t="s">
        <v>80</v>
      </c>
      <c r="C529" s="0" t="str">
        <f aca="false">INDEX(Intent_Analysis!$B$5:$B$81,MATCH(B529,Intent_Analysis!$A$5:$A$81,0))</f>
        <v>Exchange rates &amp; currencies</v>
      </c>
      <c r="D529" s="0" t="n">
        <f aca="false">INDEX(Intent_Analysis!$E$5:$E$81,MATCH(B529,Intent_Analysis!$A$5:$A$81,0))</f>
        <v>2</v>
      </c>
    </row>
    <row r="530" customFormat="false" ht="15" hidden="false" customHeight="false" outlineLevel="0" collapsed="false">
      <c r="A530" s="0" t="s">
        <v>854</v>
      </c>
      <c r="B530" s="0" t="s">
        <v>80</v>
      </c>
      <c r="C530" s="0" t="str">
        <f aca="false">INDEX(Intent_Analysis!$B$5:$B$81,MATCH(B530,Intent_Analysis!$A$5:$A$81,0))</f>
        <v>Exchange rates &amp; currencies</v>
      </c>
      <c r="D530" s="0" t="n">
        <f aca="false">INDEX(Intent_Analysis!$E$5:$E$81,MATCH(B530,Intent_Analysis!$A$5:$A$81,0))</f>
        <v>2</v>
      </c>
    </row>
    <row r="531" customFormat="false" ht="15" hidden="false" customHeight="false" outlineLevel="0" collapsed="false">
      <c r="A531" s="0" t="s">
        <v>855</v>
      </c>
      <c r="B531" s="0" t="s">
        <v>80</v>
      </c>
      <c r="C531" s="0" t="str">
        <f aca="false">INDEX(Intent_Analysis!$B$5:$B$81,MATCH(B531,Intent_Analysis!$A$5:$A$81,0))</f>
        <v>Exchange rates &amp; currencies</v>
      </c>
      <c r="D531" s="0" t="n">
        <f aca="false">INDEX(Intent_Analysis!$E$5:$E$81,MATCH(B531,Intent_Analysis!$A$5:$A$81,0))</f>
        <v>2</v>
      </c>
    </row>
    <row r="532" customFormat="false" ht="15" hidden="false" customHeight="false" outlineLevel="0" collapsed="false">
      <c r="A532" s="0" t="s">
        <v>856</v>
      </c>
      <c r="B532" s="0" t="s">
        <v>80</v>
      </c>
      <c r="C532" s="0" t="str">
        <f aca="false">INDEX(Intent_Analysis!$B$5:$B$81,MATCH(B532,Intent_Analysis!$A$5:$A$81,0))</f>
        <v>Exchange rates &amp; currencies</v>
      </c>
      <c r="D532" s="0" t="n">
        <f aca="false">INDEX(Intent_Analysis!$E$5:$E$81,MATCH(B532,Intent_Analysis!$A$5:$A$81,0))</f>
        <v>2</v>
      </c>
    </row>
    <row r="533" customFormat="false" ht="15" hidden="false" customHeight="false" outlineLevel="0" collapsed="false">
      <c r="A533" s="0" t="s">
        <v>857</v>
      </c>
      <c r="B533" s="0" t="s">
        <v>80</v>
      </c>
      <c r="C533" s="0" t="str">
        <f aca="false">INDEX(Intent_Analysis!$B$5:$B$81,MATCH(B533,Intent_Analysis!$A$5:$A$81,0))</f>
        <v>Exchange rates &amp; currencies</v>
      </c>
      <c r="D533" s="0" t="n">
        <f aca="false">INDEX(Intent_Analysis!$E$5:$E$81,MATCH(B533,Intent_Analysis!$A$5:$A$81,0))</f>
        <v>2</v>
      </c>
    </row>
    <row r="534" customFormat="false" ht="15" hidden="false" customHeight="false" outlineLevel="0" collapsed="false">
      <c r="A534" s="0" t="s">
        <v>858</v>
      </c>
      <c r="B534" s="0" t="s">
        <v>80</v>
      </c>
      <c r="C534" s="0" t="str">
        <f aca="false">INDEX(Intent_Analysis!$B$5:$B$81,MATCH(B534,Intent_Analysis!$A$5:$A$81,0))</f>
        <v>Exchange rates &amp; currencies</v>
      </c>
      <c r="D534" s="0" t="n">
        <f aca="false">INDEX(Intent_Analysis!$E$5:$E$81,MATCH(B534,Intent_Analysis!$A$5:$A$81,0))</f>
        <v>2</v>
      </c>
    </row>
    <row r="535" customFormat="false" ht="15" hidden="false" customHeight="false" outlineLevel="0" collapsed="false">
      <c r="A535" s="0" t="s">
        <v>859</v>
      </c>
      <c r="B535" s="0" t="s">
        <v>80</v>
      </c>
      <c r="C535" s="0" t="str">
        <f aca="false">INDEX(Intent_Analysis!$B$5:$B$81,MATCH(B535,Intent_Analysis!$A$5:$A$81,0))</f>
        <v>Exchange rates &amp; currencies</v>
      </c>
      <c r="D535" s="0" t="n">
        <f aca="false">INDEX(Intent_Analysis!$E$5:$E$81,MATCH(B535,Intent_Analysis!$A$5:$A$81,0))</f>
        <v>2</v>
      </c>
    </row>
    <row r="536" customFormat="false" ht="15" hidden="false" customHeight="false" outlineLevel="0" collapsed="false">
      <c r="A536" s="0" t="s">
        <v>860</v>
      </c>
      <c r="B536" s="0" t="s">
        <v>80</v>
      </c>
      <c r="C536" s="0" t="str">
        <f aca="false">INDEX(Intent_Analysis!$B$5:$B$81,MATCH(B536,Intent_Analysis!$A$5:$A$81,0))</f>
        <v>Exchange rates &amp; currencies</v>
      </c>
      <c r="D536" s="0" t="n">
        <f aca="false">INDEX(Intent_Analysis!$E$5:$E$81,MATCH(B536,Intent_Analysis!$A$5:$A$81,0))</f>
        <v>2</v>
      </c>
    </row>
    <row r="537" customFormat="false" ht="15" hidden="false" customHeight="false" outlineLevel="0" collapsed="false">
      <c r="A537" s="0" t="s">
        <v>861</v>
      </c>
      <c r="B537" s="0" t="s">
        <v>80</v>
      </c>
      <c r="C537" s="0" t="str">
        <f aca="false">INDEX(Intent_Analysis!$B$5:$B$81,MATCH(B537,Intent_Analysis!$A$5:$A$81,0))</f>
        <v>Exchange rates &amp; currencies</v>
      </c>
      <c r="D537" s="0" t="n">
        <f aca="false">INDEX(Intent_Analysis!$E$5:$E$81,MATCH(B537,Intent_Analysis!$A$5:$A$81,0))</f>
        <v>2</v>
      </c>
    </row>
    <row r="538" customFormat="false" ht="15" hidden="false" customHeight="false" outlineLevel="0" collapsed="false">
      <c r="A538" s="0" t="s">
        <v>862</v>
      </c>
      <c r="B538" s="0" t="s">
        <v>80</v>
      </c>
      <c r="C538" s="0" t="str">
        <f aca="false">INDEX(Intent_Analysis!$B$5:$B$81,MATCH(B538,Intent_Analysis!$A$5:$A$81,0))</f>
        <v>Exchange rates &amp; currencies</v>
      </c>
      <c r="D538" s="0" t="n">
        <f aca="false">INDEX(Intent_Analysis!$E$5:$E$81,MATCH(B538,Intent_Analysis!$A$5:$A$81,0))</f>
        <v>2</v>
      </c>
    </row>
    <row r="539" customFormat="false" ht="15" hidden="false" customHeight="false" outlineLevel="0" collapsed="false">
      <c r="A539" s="0" t="s">
        <v>863</v>
      </c>
      <c r="B539" s="0" t="s">
        <v>80</v>
      </c>
      <c r="C539" s="0" t="str">
        <f aca="false">INDEX(Intent_Analysis!$B$5:$B$81,MATCH(B539,Intent_Analysis!$A$5:$A$81,0))</f>
        <v>Exchange rates &amp; currencies</v>
      </c>
      <c r="D539" s="0" t="n">
        <f aca="false">INDEX(Intent_Analysis!$E$5:$E$81,MATCH(B539,Intent_Analysis!$A$5:$A$81,0))</f>
        <v>2</v>
      </c>
    </row>
    <row r="540" customFormat="false" ht="15" hidden="false" customHeight="false" outlineLevel="0" collapsed="false">
      <c r="A540" s="0" t="s">
        <v>864</v>
      </c>
      <c r="B540" s="0" t="s">
        <v>80</v>
      </c>
      <c r="C540" s="0" t="str">
        <f aca="false">INDEX(Intent_Analysis!$B$5:$B$81,MATCH(B540,Intent_Analysis!$A$5:$A$81,0))</f>
        <v>Exchange rates &amp; currencies</v>
      </c>
      <c r="D540" s="0" t="n">
        <f aca="false">INDEX(Intent_Analysis!$E$5:$E$81,MATCH(B540,Intent_Analysis!$A$5:$A$81,0))</f>
        <v>2</v>
      </c>
    </row>
    <row r="541" customFormat="false" ht="15" hidden="false" customHeight="false" outlineLevel="0" collapsed="false">
      <c r="A541" s="0" t="s">
        <v>865</v>
      </c>
      <c r="B541" s="0" t="s">
        <v>80</v>
      </c>
      <c r="C541" s="0" t="str">
        <f aca="false">INDEX(Intent_Analysis!$B$5:$B$81,MATCH(B541,Intent_Analysis!$A$5:$A$81,0))</f>
        <v>Exchange rates &amp; currencies</v>
      </c>
      <c r="D541" s="0" t="n">
        <f aca="false">INDEX(Intent_Analysis!$E$5:$E$81,MATCH(B541,Intent_Analysis!$A$5:$A$81,0))</f>
        <v>2</v>
      </c>
    </row>
    <row r="542" customFormat="false" ht="15" hidden="false" customHeight="false" outlineLevel="0" collapsed="false">
      <c r="A542" s="0" t="s">
        <v>866</v>
      </c>
      <c r="B542" s="0" t="s">
        <v>80</v>
      </c>
      <c r="C542" s="0" t="str">
        <f aca="false">INDEX(Intent_Analysis!$B$5:$B$81,MATCH(B542,Intent_Analysis!$A$5:$A$81,0))</f>
        <v>Exchange rates &amp; currencies</v>
      </c>
      <c r="D542" s="0" t="n">
        <f aca="false">INDEX(Intent_Analysis!$E$5:$E$81,MATCH(B542,Intent_Analysis!$A$5:$A$81,0))</f>
        <v>2</v>
      </c>
    </row>
    <row r="543" customFormat="false" ht="15" hidden="false" customHeight="false" outlineLevel="0" collapsed="false">
      <c r="A543" s="0" t="s">
        <v>867</v>
      </c>
      <c r="B543" s="0" t="s">
        <v>80</v>
      </c>
      <c r="C543" s="0" t="str">
        <f aca="false">INDEX(Intent_Analysis!$B$5:$B$81,MATCH(B543,Intent_Analysis!$A$5:$A$81,0))</f>
        <v>Exchange rates &amp; currencies</v>
      </c>
      <c r="D543" s="0" t="n">
        <f aca="false">INDEX(Intent_Analysis!$E$5:$E$81,MATCH(B543,Intent_Analysis!$A$5:$A$81,0))</f>
        <v>2</v>
      </c>
    </row>
    <row r="544" customFormat="false" ht="15" hidden="false" customHeight="false" outlineLevel="0" collapsed="false">
      <c r="A544" s="0" t="s">
        <v>868</v>
      </c>
      <c r="B544" s="0" t="s">
        <v>80</v>
      </c>
      <c r="C544" s="0" t="str">
        <f aca="false">INDEX(Intent_Analysis!$B$5:$B$81,MATCH(B544,Intent_Analysis!$A$5:$A$81,0))</f>
        <v>Exchange rates &amp; currencies</v>
      </c>
      <c r="D544" s="0" t="n">
        <f aca="false">INDEX(Intent_Analysis!$E$5:$E$81,MATCH(B544,Intent_Analysis!$A$5:$A$81,0))</f>
        <v>2</v>
      </c>
    </row>
    <row r="545" customFormat="false" ht="15" hidden="false" customHeight="false" outlineLevel="0" collapsed="false">
      <c r="A545" s="0" t="s">
        <v>869</v>
      </c>
      <c r="B545" s="0" t="s">
        <v>80</v>
      </c>
      <c r="C545" s="0" t="str">
        <f aca="false">INDEX(Intent_Analysis!$B$5:$B$81,MATCH(B545,Intent_Analysis!$A$5:$A$81,0))</f>
        <v>Exchange rates &amp; currencies</v>
      </c>
      <c r="D545" s="0" t="n">
        <f aca="false">INDEX(Intent_Analysis!$E$5:$E$81,MATCH(B545,Intent_Analysis!$A$5:$A$81,0))</f>
        <v>2</v>
      </c>
    </row>
    <row r="546" customFormat="false" ht="15" hidden="false" customHeight="false" outlineLevel="0" collapsed="false">
      <c r="A546" s="0" t="s">
        <v>870</v>
      </c>
      <c r="B546" s="0" t="s">
        <v>80</v>
      </c>
      <c r="C546" s="0" t="str">
        <f aca="false">INDEX(Intent_Analysis!$B$5:$B$81,MATCH(B546,Intent_Analysis!$A$5:$A$81,0))</f>
        <v>Exchange rates &amp; currencies</v>
      </c>
      <c r="D546" s="0" t="n">
        <f aca="false">INDEX(Intent_Analysis!$E$5:$E$81,MATCH(B546,Intent_Analysis!$A$5:$A$81,0))</f>
        <v>2</v>
      </c>
    </row>
    <row r="547" customFormat="false" ht="15" hidden="false" customHeight="false" outlineLevel="0" collapsed="false">
      <c r="A547" s="0" t="s">
        <v>871</v>
      </c>
      <c r="B547" s="0" t="s">
        <v>80</v>
      </c>
      <c r="C547" s="0" t="str">
        <f aca="false">INDEX(Intent_Analysis!$B$5:$B$81,MATCH(B547,Intent_Analysis!$A$5:$A$81,0))</f>
        <v>Exchange rates &amp; currencies</v>
      </c>
      <c r="D547" s="0" t="n">
        <f aca="false">INDEX(Intent_Analysis!$E$5:$E$81,MATCH(B547,Intent_Analysis!$A$5:$A$81,0))</f>
        <v>2</v>
      </c>
    </row>
    <row r="548" customFormat="false" ht="15" hidden="false" customHeight="false" outlineLevel="0" collapsed="false">
      <c r="A548" s="0" t="s">
        <v>872</v>
      </c>
      <c r="B548" s="0" t="s">
        <v>80</v>
      </c>
      <c r="C548" s="0" t="str">
        <f aca="false">INDEX(Intent_Analysis!$B$5:$B$81,MATCH(B548,Intent_Analysis!$A$5:$A$81,0))</f>
        <v>Exchange rates &amp; currencies</v>
      </c>
      <c r="D548" s="0" t="n">
        <f aca="false">INDEX(Intent_Analysis!$E$5:$E$81,MATCH(B548,Intent_Analysis!$A$5:$A$81,0))</f>
        <v>2</v>
      </c>
    </row>
    <row r="549" customFormat="false" ht="15" hidden="false" customHeight="false" outlineLevel="0" collapsed="false">
      <c r="A549" s="0" t="s">
        <v>873</v>
      </c>
      <c r="B549" s="0" t="s">
        <v>80</v>
      </c>
      <c r="C549" s="0" t="str">
        <f aca="false">INDEX(Intent_Analysis!$B$5:$B$81,MATCH(B549,Intent_Analysis!$A$5:$A$81,0))</f>
        <v>Exchange rates &amp; currencies</v>
      </c>
      <c r="D549" s="0" t="n">
        <f aca="false">INDEX(Intent_Analysis!$E$5:$E$81,MATCH(B549,Intent_Analysis!$A$5:$A$81,0))</f>
        <v>2</v>
      </c>
    </row>
    <row r="550" customFormat="false" ht="15" hidden="false" customHeight="false" outlineLevel="0" collapsed="false">
      <c r="A550" s="0" t="s">
        <v>874</v>
      </c>
      <c r="B550" s="0" t="s">
        <v>80</v>
      </c>
      <c r="C550" s="0" t="str">
        <f aca="false">INDEX(Intent_Analysis!$B$5:$B$81,MATCH(B550,Intent_Analysis!$A$5:$A$81,0))</f>
        <v>Exchange rates &amp; currencies</v>
      </c>
      <c r="D550" s="0" t="n">
        <f aca="false">INDEX(Intent_Analysis!$E$5:$E$81,MATCH(B550,Intent_Analysis!$A$5:$A$81,0))</f>
        <v>2</v>
      </c>
    </row>
    <row r="551" customFormat="false" ht="15" hidden="false" customHeight="false" outlineLevel="0" collapsed="false">
      <c r="A551" s="0" t="s">
        <v>875</v>
      </c>
      <c r="B551" s="0" t="s">
        <v>80</v>
      </c>
      <c r="C551" s="0" t="str">
        <f aca="false">INDEX(Intent_Analysis!$B$5:$B$81,MATCH(B551,Intent_Analysis!$A$5:$A$81,0))</f>
        <v>Exchange rates &amp; currencies</v>
      </c>
      <c r="D551" s="0" t="n">
        <f aca="false">INDEX(Intent_Analysis!$E$5:$E$81,MATCH(B551,Intent_Analysis!$A$5:$A$81,0))</f>
        <v>2</v>
      </c>
    </row>
    <row r="552" customFormat="false" ht="15" hidden="false" customHeight="false" outlineLevel="0" collapsed="false">
      <c r="A552" s="0" t="s">
        <v>876</v>
      </c>
      <c r="B552" s="0" t="s">
        <v>80</v>
      </c>
      <c r="C552" s="0" t="str">
        <f aca="false">INDEX(Intent_Analysis!$B$5:$B$81,MATCH(B552,Intent_Analysis!$A$5:$A$81,0))</f>
        <v>Exchange rates &amp; currencies</v>
      </c>
      <c r="D552" s="0" t="n">
        <f aca="false">INDEX(Intent_Analysis!$E$5:$E$81,MATCH(B552,Intent_Analysis!$A$5:$A$81,0))</f>
        <v>2</v>
      </c>
    </row>
    <row r="553" customFormat="false" ht="15" hidden="false" customHeight="false" outlineLevel="0" collapsed="false">
      <c r="A553" s="0" t="s">
        <v>877</v>
      </c>
      <c r="B553" s="0" t="s">
        <v>80</v>
      </c>
      <c r="C553" s="0" t="str">
        <f aca="false">INDEX(Intent_Analysis!$B$5:$B$81,MATCH(B553,Intent_Analysis!$A$5:$A$81,0))</f>
        <v>Exchange rates &amp; currencies</v>
      </c>
      <c r="D553" s="0" t="n">
        <f aca="false">INDEX(Intent_Analysis!$E$5:$E$81,MATCH(B553,Intent_Analysis!$A$5:$A$81,0))</f>
        <v>2</v>
      </c>
    </row>
    <row r="554" customFormat="false" ht="15" hidden="false" customHeight="false" outlineLevel="0" collapsed="false">
      <c r="A554" s="0" t="s">
        <v>878</v>
      </c>
      <c r="B554" s="0" t="s">
        <v>80</v>
      </c>
      <c r="C554" s="0" t="str">
        <f aca="false">INDEX(Intent_Analysis!$B$5:$B$81,MATCH(B554,Intent_Analysis!$A$5:$A$81,0))</f>
        <v>Exchange rates &amp; currencies</v>
      </c>
      <c r="D554" s="0" t="n">
        <f aca="false">INDEX(Intent_Analysis!$E$5:$E$81,MATCH(B554,Intent_Analysis!$A$5:$A$81,0))</f>
        <v>2</v>
      </c>
    </row>
    <row r="555" customFormat="false" ht="15" hidden="false" customHeight="false" outlineLevel="0" collapsed="false">
      <c r="A555" s="0" t="s">
        <v>879</v>
      </c>
      <c r="B555" s="0" t="s">
        <v>80</v>
      </c>
      <c r="C555" s="0" t="str">
        <f aca="false">INDEX(Intent_Analysis!$B$5:$B$81,MATCH(B555,Intent_Analysis!$A$5:$A$81,0))</f>
        <v>Exchange rates &amp; currencies</v>
      </c>
      <c r="D555" s="0" t="n">
        <f aca="false">INDEX(Intent_Analysis!$E$5:$E$81,MATCH(B555,Intent_Analysis!$A$5:$A$81,0))</f>
        <v>2</v>
      </c>
    </row>
    <row r="556" customFormat="false" ht="15" hidden="false" customHeight="false" outlineLevel="0" collapsed="false">
      <c r="A556" s="0" t="s">
        <v>880</v>
      </c>
      <c r="B556" s="0" t="s">
        <v>80</v>
      </c>
      <c r="C556" s="0" t="str">
        <f aca="false">INDEX(Intent_Analysis!$B$5:$B$81,MATCH(B556,Intent_Analysis!$A$5:$A$81,0))</f>
        <v>Exchange rates &amp; currencies</v>
      </c>
      <c r="D556" s="0" t="n">
        <f aca="false">INDEX(Intent_Analysis!$E$5:$E$81,MATCH(B556,Intent_Analysis!$A$5:$A$81,0))</f>
        <v>2</v>
      </c>
    </row>
    <row r="557" customFormat="false" ht="15" hidden="false" customHeight="false" outlineLevel="0" collapsed="false">
      <c r="A557" s="0" t="s">
        <v>881</v>
      </c>
      <c r="B557" s="0" t="s">
        <v>80</v>
      </c>
      <c r="C557" s="0" t="str">
        <f aca="false">INDEX(Intent_Analysis!$B$5:$B$81,MATCH(B557,Intent_Analysis!$A$5:$A$81,0))</f>
        <v>Exchange rates &amp; currencies</v>
      </c>
      <c r="D557" s="0" t="n">
        <f aca="false">INDEX(Intent_Analysis!$E$5:$E$81,MATCH(B557,Intent_Analysis!$A$5:$A$81,0))</f>
        <v>2</v>
      </c>
    </row>
    <row r="558" customFormat="false" ht="15" hidden="false" customHeight="false" outlineLevel="0" collapsed="false">
      <c r="A558" s="0" t="s">
        <v>882</v>
      </c>
      <c r="B558" s="0" t="s">
        <v>80</v>
      </c>
      <c r="C558" s="0" t="str">
        <f aca="false">INDEX(Intent_Analysis!$B$5:$B$81,MATCH(B558,Intent_Analysis!$A$5:$A$81,0))</f>
        <v>Exchange rates &amp; currencies</v>
      </c>
      <c r="D558" s="0" t="n">
        <f aca="false">INDEX(Intent_Analysis!$E$5:$E$81,MATCH(B558,Intent_Analysis!$A$5:$A$81,0))</f>
        <v>2</v>
      </c>
    </row>
    <row r="559" customFormat="false" ht="15" hidden="false" customHeight="false" outlineLevel="0" collapsed="false">
      <c r="A559" s="0" t="s">
        <v>883</v>
      </c>
      <c r="B559" s="0" t="s">
        <v>80</v>
      </c>
      <c r="C559" s="0" t="str">
        <f aca="false">INDEX(Intent_Analysis!$B$5:$B$81,MATCH(B559,Intent_Analysis!$A$5:$A$81,0))</f>
        <v>Exchange rates &amp; currencies</v>
      </c>
      <c r="D559" s="0" t="n">
        <f aca="false">INDEX(Intent_Analysis!$E$5:$E$81,MATCH(B559,Intent_Analysis!$A$5:$A$81,0))</f>
        <v>2</v>
      </c>
    </row>
    <row r="560" customFormat="false" ht="15" hidden="false" customHeight="false" outlineLevel="0" collapsed="false">
      <c r="A560" s="0" t="s">
        <v>884</v>
      </c>
      <c r="B560" s="0" t="s">
        <v>80</v>
      </c>
      <c r="C560" s="0" t="str">
        <f aca="false">INDEX(Intent_Analysis!$B$5:$B$81,MATCH(B560,Intent_Analysis!$A$5:$A$81,0))</f>
        <v>Exchange rates &amp; currencies</v>
      </c>
      <c r="D560" s="0" t="n">
        <f aca="false">INDEX(Intent_Analysis!$E$5:$E$81,MATCH(B560,Intent_Analysis!$A$5:$A$81,0))</f>
        <v>2</v>
      </c>
    </row>
    <row r="561" customFormat="false" ht="15" hidden="false" customHeight="false" outlineLevel="0" collapsed="false">
      <c r="A561" s="0" t="s">
        <v>885</v>
      </c>
      <c r="B561" s="0" t="s">
        <v>80</v>
      </c>
      <c r="C561" s="0" t="str">
        <f aca="false">INDEX(Intent_Analysis!$B$5:$B$81,MATCH(B561,Intent_Analysis!$A$5:$A$81,0))</f>
        <v>Exchange rates &amp; currencies</v>
      </c>
      <c r="D561" s="0" t="n">
        <f aca="false">INDEX(Intent_Analysis!$E$5:$E$81,MATCH(B561,Intent_Analysis!$A$5:$A$81,0))</f>
        <v>2</v>
      </c>
    </row>
    <row r="562" customFormat="false" ht="15" hidden="false" customHeight="false" outlineLevel="0" collapsed="false">
      <c r="A562" s="0" t="s">
        <v>886</v>
      </c>
      <c r="B562" s="0" t="s">
        <v>80</v>
      </c>
      <c r="C562" s="0" t="str">
        <f aca="false">INDEX(Intent_Analysis!$B$5:$B$81,MATCH(B562,Intent_Analysis!$A$5:$A$81,0))</f>
        <v>Exchange rates &amp; currencies</v>
      </c>
      <c r="D562" s="0" t="n">
        <f aca="false">INDEX(Intent_Analysis!$E$5:$E$81,MATCH(B562,Intent_Analysis!$A$5:$A$81,0))</f>
        <v>2</v>
      </c>
    </row>
    <row r="563" customFormat="false" ht="15" hidden="false" customHeight="false" outlineLevel="0" collapsed="false">
      <c r="A563" s="0" t="s">
        <v>887</v>
      </c>
      <c r="B563" s="0" t="s">
        <v>80</v>
      </c>
      <c r="C563" s="0" t="str">
        <f aca="false">INDEX(Intent_Analysis!$B$5:$B$81,MATCH(B563,Intent_Analysis!$A$5:$A$81,0))</f>
        <v>Exchange rates &amp; currencies</v>
      </c>
      <c r="D563" s="0" t="n">
        <f aca="false">INDEX(Intent_Analysis!$E$5:$E$81,MATCH(B563,Intent_Analysis!$A$5:$A$81,0))</f>
        <v>2</v>
      </c>
    </row>
    <row r="564" customFormat="false" ht="15" hidden="false" customHeight="false" outlineLevel="0" collapsed="false">
      <c r="A564" s="0" t="s">
        <v>888</v>
      </c>
      <c r="B564" s="0" t="s">
        <v>80</v>
      </c>
      <c r="C564" s="0" t="str">
        <f aca="false">INDEX(Intent_Analysis!$B$5:$B$81,MATCH(B564,Intent_Analysis!$A$5:$A$81,0))</f>
        <v>Exchange rates &amp; currencies</v>
      </c>
      <c r="D564" s="0" t="n">
        <f aca="false">INDEX(Intent_Analysis!$E$5:$E$81,MATCH(B564,Intent_Analysis!$A$5:$A$81,0))</f>
        <v>2</v>
      </c>
    </row>
    <row r="565" customFormat="false" ht="15" hidden="false" customHeight="false" outlineLevel="0" collapsed="false">
      <c r="A565" s="0" t="s">
        <v>889</v>
      </c>
      <c r="B565" s="0" t="s">
        <v>80</v>
      </c>
      <c r="C565" s="0" t="str">
        <f aca="false">INDEX(Intent_Analysis!$B$5:$B$81,MATCH(B565,Intent_Analysis!$A$5:$A$81,0))</f>
        <v>Exchange rates &amp; currencies</v>
      </c>
      <c r="D565" s="0" t="n">
        <f aca="false">INDEX(Intent_Analysis!$E$5:$E$81,MATCH(B565,Intent_Analysis!$A$5:$A$81,0))</f>
        <v>2</v>
      </c>
    </row>
    <row r="566" customFormat="false" ht="15" hidden="false" customHeight="false" outlineLevel="0" collapsed="false">
      <c r="A566" s="0" t="s">
        <v>890</v>
      </c>
      <c r="B566" s="0" t="s">
        <v>80</v>
      </c>
      <c r="C566" s="0" t="str">
        <f aca="false">INDEX(Intent_Analysis!$B$5:$B$81,MATCH(B566,Intent_Analysis!$A$5:$A$81,0))</f>
        <v>Exchange rates &amp; currencies</v>
      </c>
      <c r="D566" s="0" t="n">
        <f aca="false">INDEX(Intent_Analysis!$E$5:$E$81,MATCH(B566,Intent_Analysis!$A$5:$A$81,0))</f>
        <v>2</v>
      </c>
    </row>
    <row r="567" customFormat="false" ht="15" hidden="false" customHeight="false" outlineLevel="0" collapsed="false">
      <c r="A567" s="0" t="s">
        <v>891</v>
      </c>
      <c r="B567" s="0" t="s">
        <v>80</v>
      </c>
      <c r="C567" s="0" t="str">
        <f aca="false">INDEX(Intent_Analysis!$B$5:$B$81,MATCH(B567,Intent_Analysis!$A$5:$A$81,0))</f>
        <v>Exchange rates &amp; currencies</v>
      </c>
      <c r="D567" s="0" t="n">
        <f aca="false">INDEX(Intent_Analysis!$E$5:$E$81,MATCH(B567,Intent_Analysis!$A$5:$A$81,0))</f>
        <v>2</v>
      </c>
    </row>
    <row r="568" customFormat="false" ht="15" hidden="false" customHeight="false" outlineLevel="0" collapsed="false">
      <c r="A568" s="0" t="s">
        <v>892</v>
      </c>
      <c r="B568" s="0" t="s">
        <v>80</v>
      </c>
      <c r="C568" s="0" t="str">
        <f aca="false">INDEX(Intent_Analysis!$B$5:$B$81,MATCH(B568,Intent_Analysis!$A$5:$A$81,0))</f>
        <v>Exchange rates &amp; currencies</v>
      </c>
      <c r="D568" s="0" t="n">
        <f aca="false">INDEX(Intent_Analysis!$E$5:$E$81,MATCH(B568,Intent_Analysis!$A$5:$A$81,0))</f>
        <v>2</v>
      </c>
    </row>
    <row r="569" customFormat="false" ht="15" hidden="false" customHeight="false" outlineLevel="0" collapsed="false">
      <c r="A569" s="0" t="s">
        <v>893</v>
      </c>
      <c r="B569" s="0" t="s">
        <v>80</v>
      </c>
      <c r="C569" s="0" t="str">
        <f aca="false">INDEX(Intent_Analysis!$B$5:$B$81,MATCH(B569,Intent_Analysis!$A$5:$A$81,0))</f>
        <v>Exchange rates &amp; currencies</v>
      </c>
      <c r="D569" s="0" t="n">
        <f aca="false">INDEX(Intent_Analysis!$E$5:$E$81,MATCH(B569,Intent_Analysis!$A$5:$A$81,0))</f>
        <v>2</v>
      </c>
    </row>
    <row r="570" customFormat="false" ht="15" hidden="false" customHeight="false" outlineLevel="0" collapsed="false">
      <c r="A570" s="0" t="s">
        <v>894</v>
      </c>
      <c r="B570" s="0" t="s">
        <v>80</v>
      </c>
      <c r="C570" s="0" t="str">
        <f aca="false">INDEX(Intent_Analysis!$B$5:$B$81,MATCH(B570,Intent_Analysis!$A$5:$A$81,0))</f>
        <v>Exchange rates &amp; currencies</v>
      </c>
      <c r="D570" s="0" t="n">
        <f aca="false">INDEX(Intent_Analysis!$E$5:$E$81,MATCH(B570,Intent_Analysis!$A$5:$A$81,0))</f>
        <v>2</v>
      </c>
    </row>
    <row r="571" customFormat="false" ht="15" hidden="false" customHeight="false" outlineLevel="0" collapsed="false">
      <c r="A571" s="0" t="s">
        <v>895</v>
      </c>
      <c r="B571" s="0" t="s">
        <v>80</v>
      </c>
      <c r="C571" s="0" t="str">
        <f aca="false">INDEX(Intent_Analysis!$B$5:$B$81,MATCH(B571,Intent_Analysis!$A$5:$A$81,0))</f>
        <v>Exchange rates &amp; currencies</v>
      </c>
      <c r="D571" s="0" t="n">
        <f aca="false">INDEX(Intent_Analysis!$E$5:$E$81,MATCH(B571,Intent_Analysis!$A$5:$A$81,0))</f>
        <v>2</v>
      </c>
    </row>
    <row r="572" customFormat="false" ht="15" hidden="false" customHeight="false" outlineLevel="0" collapsed="false">
      <c r="A572" s="0" t="s">
        <v>896</v>
      </c>
      <c r="B572" s="0" t="s">
        <v>80</v>
      </c>
      <c r="C572" s="0" t="str">
        <f aca="false">INDEX(Intent_Analysis!$B$5:$B$81,MATCH(B572,Intent_Analysis!$A$5:$A$81,0))</f>
        <v>Exchange rates &amp; currencies</v>
      </c>
      <c r="D572" s="0" t="n">
        <f aca="false">INDEX(Intent_Analysis!$E$5:$E$81,MATCH(B572,Intent_Analysis!$A$5:$A$81,0))</f>
        <v>2</v>
      </c>
    </row>
    <row r="573" customFormat="false" ht="15" hidden="false" customHeight="false" outlineLevel="0" collapsed="false">
      <c r="A573" s="0" t="s">
        <v>897</v>
      </c>
      <c r="B573" s="0" t="s">
        <v>91</v>
      </c>
      <c r="C573" s="0" t="str">
        <f aca="false">INDEX(Intent_Analysis!$B$5:$B$81,MATCH(B573,Intent_Analysis!$A$5:$A$81,0))</f>
        <v>Fees &amp; charges</v>
      </c>
      <c r="D573" s="0" t="n">
        <f aca="false">INDEX(Intent_Analysis!$E$5:$E$81,MATCH(B573,Intent_Analysis!$A$5:$A$81,0))</f>
        <v>2</v>
      </c>
    </row>
    <row r="574" customFormat="false" ht="15" hidden="false" customHeight="false" outlineLevel="0" collapsed="false">
      <c r="A574" s="0" t="s">
        <v>898</v>
      </c>
      <c r="B574" s="0" t="s">
        <v>91</v>
      </c>
      <c r="C574" s="0" t="str">
        <f aca="false">INDEX(Intent_Analysis!$B$5:$B$81,MATCH(B574,Intent_Analysis!$A$5:$A$81,0))</f>
        <v>Fees &amp; charges</v>
      </c>
      <c r="D574" s="0" t="n">
        <f aca="false">INDEX(Intent_Analysis!$E$5:$E$81,MATCH(B574,Intent_Analysis!$A$5:$A$81,0))</f>
        <v>2</v>
      </c>
    </row>
    <row r="575" customFormat="false" ht="15" hidden="false" customHeight="false" outlineLevel="0" collapsed="false">
      <c r="A575" s="0" t="s">
        <v>899</v>
      </c>
      <c r="B575" s="0" t="s">
        <v>91</v>
      </c>
      <c r="C575" s="0" t="str">
        <f aca="false">INDEX(Intent_Analysis!$B$5:$B$81,MATCH(B575,Intent_Analysis!$A$5:$A$81,0))</f>
        <v>Fees &amp; charges</v>
      </c>
      <c r="D575" s="0" t="n">
        <f aca="false">INDEX(Intent_Analysis!$E$5:$E$81,MATCH(B575,Intent_Analysis!$A$5:$A$81,0))</f>
        <v>2</v>
      </c>
    </row>
    <row r="576" customFormat="false" ht="15" hidden="false" customHeight="false" outlineLevel="0" collapsed="false">
      <c r="A576" s="0" t="s">
        <v>900</v>
      </c>
      <c r="B576" s="0" t="s">
        <v>91</v>
      </c>
      <c r="C576" s="0" t="str">
        <f aca="false">INDEX(Intent_Analysis!$B$5:$B$81,MATCH(B576,Intent_Analysis!$A$5:$A$81,0))</f>
        <v>Fees &amp; charges</v>
      </c>
      <c r="D576" s="0" t="n">
        <f aca="false">INDEX(Intent_Analysis!$E$5:$E$81,MATCH(B576,Intent_Analysis!$A$5:$A$81,0))</f>
        <v>2</v>
      </c>
    </row>
    <row r="577" customFormat="false" ht="15" hidden="false" customHeight="false" outlineLevel="0" collapsed="false">
      <c r="A577" s="0" t="s">
        <v>901</v>
      </c>
      <c r="B577" s="0" t="s">
        <v>91</v>
      </c>
      <c r="C577" s="0" t="str">
        <f aca="false">INDEX(Intent_Analysis!$B$5:$B$81,MATCH(B577,Intent_Analysis!$A$5:$A$81,0))</f>
        <v>Fees &amp; charges</v>
      </c>
      <c r="D577" s="0" t="n">
        <f aca="false">INDEX(Intent_Analysis!$E$5:$E$81,MATCH(B577,Intent_Analysis!$A$5:$A$81,0))</f>
        <v>2</v>
      </c>
    </row>
    <row r="578" customFormat="false" ht="15" hidden="false" customHeight="false" outlineLevel="0" collapsed="false">
      <c r="A578" s="0" t="s">
        <v>902</v>
      </c>
      <c r="B578" s="0" t="s">
        <v>91</v>
      </c>
      <c r="C578" s="0" t="str">
        <f aca="false">INDEX(Intent_Analysis!$B$5:$B$81,MATCH(B578,Intent_Analysis!$A$5:$A$81,0))</f>
        <v>Fees &amp; charges</v>
      </c>
      <c r="D578" s="0" t="n">
        <f aca="false">INDEX(Intent_Analysis!$E$5:$E$81,MATCH(B578,Intent_Analysis!$A$5:$A$81,0))</f>
        <v>2</v>
      </c>
    </row>
    <row r="579" customFormat="false" ht="15" hidden="false" customHeight="false" outlineLevel="0" collapsed="false">
      <c r="A579" s="0" t="s">
        <v>903</v>
      </c>
      <c r="B579" s="0" t="s">
        <v>91</v>
      </c>
      <c r="C579" s="0" t="str">
        <f aca="false">INDEX(Intent_Analysis!$B$5:$B$81,MATCH(B579,Intent_Analysis!$A$5:$A$81,0))</f>
        <v>Fees &amp; charges</v>
      </c>
      <c r="D579" s="0" t="n">
        <f aca="false">INDEX(Intent_Analysis!$E$5:$E$81,MATCH(B579,Intent_Analysis!$A$5:$A$81,0))</f>
        <v>2</v>
      </c>
    </row>
    <row r="580" customFormat="false" ht="15" hidden="false" customHeight="false" outlineLevel="0" collapsed="false">
      <c r="A580" s="0" t="s">
        <v>904</v>
      </c>
      <c r="B580" s="0" t="s">
        <v>91</v>
      </c>
      <c r="C580" s="0" t="str">
        <f aca="false">INDEX(Intent_Analysis!$B$5:$B$81,MATCH(B580,Intent_Analysis!$A$5:$A$81,0))</f>
        <v>Fees &amp; charges</v>
      </c>
      <c r="D580" s="0" t="n">
        <f aca="false">INDEX(Intent_Analysis!$E$5:$E$81,MATCH(B580,Intent_Analysis!$A$5:$A$81,0))</f>
        <v>2</v>
      </c>
    </row>
    <row r="581" customFormat="false" ht="15" hidden="false" customHeight="false" outlineLevel="0" collapsed="false">
      <c r="A581" s="0" t="s">
        <v>905</v>
      </c>
      <c r="B581" s="0" t="s">
        <v>91</v>
      </c>
      <c r="C581" s="0" t="str">
        <f aca="false">INDEX(Intent_Analysis!$B$5:$B$81,MATCH(B581,Intent_Analysis!$A$5:$A$81,0))</f>
        <v>Fees &amp; charges</v>
      </c>
      <c r="D581" s="0" t="n">
        <f aca="false">INDEX(Intent_Analysis!$E$5:$E$81,MATCH(B581,Intent_Analysis!$A$5:$A$81,0))</f>
        <v>2</v>
      </c>
    </row>
    <row r="582" customFormat="false" ht="15" hidden="false" customHeight="false" outlineLevel="0" collapsed="false">
      <c r="A582" s="0" t="s">
        <v>906</v>
      </c>
      <c r="B582" s="0" t="s">
        <v>91</v>
      </c>
      <c r="C582" s="0" t="str">
        <f aca="false">INDEX(Intent_Analysis!$B$5:$B$81,MATCH(B582,Intent_Analysis!$A$5:$A$81,0))</f>
        <v>Fees &amp; charges</v>
      </c>
      <c r="D582" s="0" t="n">
        <f aca="false">INDEX(Intent_Analysis!$E$5:$E$81,MATCH(B582,Intent_Analysis!$A$5:$A$81,0))</f>
        <v>2</v>
      </c>
    </row>
    <row r="583" customFormat="false" ht="15" hidden="false" customHeight="false" outlineLevel="0" collapsed="false">
      <c r="A583" s="0" t="s">
        <v>907</v>
      </c>
      <c r="B583" s="0" t="s">
        <v>91</v>
      </c>
      <c r="C583" s="0" t="str">
        <f aca="false">INDEX(Intent_Analysis!$B$5:$B$81,MATCH(B583,Intent_Analysis!$A$5:$A$81,0))</f>
        <v>Fees &amp; charges</v>
      </c>
      <c r="D583" s="0" t="n">
        <f aca="false">INDEX(Intent_Analysis!$E$5:$E$81,MATCH(B583,Intent_Analysis!$A$5:$A$81,0))</f>
        <v>2</v>
      </c>
    </row>
    <row r="584" customFormat="false" ht="15" hidden="false" customHeight="false" outlineLevel="0" collapsed="false">
      <c r="A584" s="0" t="s">
        <v>908</v>
      </c>
      <c r="B584" s="0" t="s">
        <v>91</v>
      </c>
      <c r="C584" s="0" t="str">
        <f aca="false">INDEX(Intent_Analysis!$B$5:$B$81,MATCH(B584,Intent_Analysis!$A$5:$A$81,0))</f>
        <v>Fees &amp; charges</v>
      </c>
      <c r="D584" s="0" t="n">
        <f aca="false">INDEX(Intent_Analysis!$E$5:$E$81,MATCH(B584,Intent_Analysis!$A$5:$A$81,0))</f>
        <v>2</v>
      </c>
    </row>
    <row r="585" customFormat="false" ht="15" hidden="false" customHeight="false" outlineLevel="0" collapsed="false">
      <c r="A585" s="0" t="s">
        <v>909</v>
      </c>
      <c r="B585" s="0" t="s">
        <v>91</v>
      </c>
      <c r="C585" s="0" t="str">
        <f aca="false">INDEX(Intent_Analysis!$B$5:$B$81,MATCH(B585,Intent_Analysis!$A$5:$A$81,0))</f>
        <v>Fees &amp; charges</v>
      </c>
      <c r="D585" s="0" t="n">
        <f aca="false">INDEX(Intent_Analysis!$E$5:$E$81,MATCH(B585,Intent_Analysis!$A$5:$A$81,0))</f>
        <v>2</v>
      </c>
    </row>
    <row r="586" customFormat="false" ht="15" hidden="false" customHeight="false" outlineLevel="0" collapsed="false">
      <c r="A586" s="0" t="s">
        <v>910</v>
      </c>
      <c r="B586" s="0" t="s">
        <v>91</v>
      </c>
      <c r="C586" s="0" t="str">
        <f aca="false">INDEX(Intent_Analysis!$B$5:$B$81,MATCH(B586,Intent_Analysis!$A$5:$A$81,0))</f>
        <v>Fees &amp; charges</v>
      </c>
      <c r="D586" s="0" t="n">
        <f aca="false">INDEX(Intent_Analysis!$E$5:$E$81,MATCH(B586,Intent_Analysis!$A$5:$A$81,0))</f>
        <v>2</v>
      </c>
    </row>
    <row r="587" customFormat="false" ht="15" hidden="false" customHeight="false" outlineLevel="0" collapsed="false">
      <c r="A587" s="0" t="s">
        <v>911</v>
      </c>
      <c r="B587" s="0" t="s">
        <v>91</v>
      </c>
      <c r="C587" s="0" t="str">
        <f aca="false">INDEX(Intent_Analysis!$B$5:$B$81,MATCH(B587,Intent_Analysis!$A$5:$A$81,0))</f>
        <v>Fees &amp; charges</v>
      </c>
      <c r="D587" s="0" t="n">
        <f aca="false">INDEX(Intent_Analysis!$E$5:$E$81,MATCH(B587,Intent_Analysis!$A$5:$A$81,0))</f>
        <v>2</v>
      </c>
    </row>
    <row r="588" customFormat="false" ht="15" hidden="false" customHeight="false" outlineLevel="0" collapsed="false">
      <c r="A588" s="0" t="s">
        <v>912</v>
      </c>
      <c r="B588" s="0" t="s">
        <v>91</v>
      </c>
      <c r="C588" s="0" t="str">
        <f aca="false">INDEX(Intent_Analysis!$B$5:$B$81,MATCH(B588,Intent_Analysis!$A$5:$A$81,0))</f>
        <v>Fees &amp; charges</v>
      </c>
      <c r="D588" s="0" t="n">
        <f aca="false">INDEX(Intent_Analysis!$E$5:$E$81,MATCH(B588,Intent_Analysis!$A$5:$A$81,0))</f>
        <v>2</v>
      </c>
    </row>
    <row r="589" customFormat="false" ht="15" hidden="false" customHeight="false" outlineLevel="0" collapsed="false">
      <c r="A589" s="0" t="s">
        <v>913</v>
      </c>
      <c r="B589" s="0" t="s">
        <v>91</v>
      </c>
      <c r="C589" s="0" t="str">
        <f aca="false">INDEX(Intent_Analysis!$B$5:$B$81,MATCH(B589,Intent_Analysis!$A$5:$A$81,0))</f>
        <v>Fees &amp; charges</v>
      </c>
      <c r="D589" s="0" t="n">
        <f aca="false">INDEX(Intent_Analysis!$E$5:$E$81,MATCH(B589,Intent_Analysis!$A$5:$A$81,0))</f>
        <v>2</v>
      </c>
    </row>
    <row r="590" customFormat="false" ht="15" hidden="false" customHeight="false" outlineLevel="0" collapsed="false">
      <c r="A590" s="0" t="s">
        <v>914</v>
      </c>
      <c r="B590" s="0" t="s">
        <v>91</v>
      </c>
      <c r="C590" s="0" t="str">
        <f aca="false">INDEX(Intent_Analysis!$B$5:$B$81,MATCH(B590,Intent_Analysis!$A$5:$A$81,0))</f>
        <v>Fees &amp; charges</v>
      </c>
      <c r="D590" s="0" t="n">
        <f aca="false">INDEX(Intent_Analysis!$E$5:$E$81,MATCH(B590,Intent_Analysis!$A$5:$A$81,0))</f>
        <v>2</v>
      </c>
    </row>
    <row r="591" customFormat="false" ht="15" hidden="false" customHeight="false" outlineLevel="0" collapsed="false">
      <c r="A591" s="0" t="s">
        <v>915</v>
      </c>
      <c r="B591" s="0" t="s">
        <v>91</v>
      </c>
      <c r="C591" s="0" t="str">
        <f aca="false">INDEX(Intent_Analysis!$B$5:$B$81,MATCH(B591,Intent_Analysis!$A$5:$A$81,0))</f>
        <v>Fees &amp; charges</v>
      </c>
      <c r="D591" s="0" t="n">
        <f aca="false">INDEX(Intent_Analysis!$E$5:$E$81,MATCH(B591,Intent_Analysis!$A$5:$A$81,0))</f>
        <v>2</v>
      </c>
    </row>
    <row r="592" customFormat="false" ht="15" hidden="false" customHeight="false" outlineLevel="0" collapsed="false">
      <c r="A592" s="0" t="s">
        <v>916</v>
      </c>
      <c r="B592" s="0" t="s">
        <v>91</v>
      </c>
      <c r="C592" s="0" t="str">
        <f aca="false">INDEX(Intent_Analysis!$B$5:$B$81,MATCH(B592,Intent_Analysis!$A$5:$A$81,0))</f>
        <v>Fees &amp; charges</v>
      </c>
      <c r="D592" s="0" t="n">
        <f aca="false">INDEX(Intent_Analysis!$E$5:$E$81,MATCH(B592,Intent_Analysis!$A$5:$A$81,0))</f>
        <v>2</v>
      </c>
    </row>
    <row r="593" customFormat="false" ht="15" hidden="false" customHeight="false" outlineLevel="0" collapsed="false">
      <c r="A593" s="0" t="s">
        <v>917</v>
      </c>
      <c r="B593" s="0" t="s">
        <v>91</v>
      </c>
      <c r="C593" s="0" t="str">
        <f aca="false">INDEX(Intent_Analysis!$B$5:$B$81,MATCH(B593,Intent_Analysis!$A$5:$A$81,0))</f>
        <v>Fees &amp; charges</v>
      </c>
      <c r="D593" s="0" t="n">
        <f aca="false">INDEX(Intent_Analysis!$E$5:$E$81,MATCH(B593,Intent_Analysis!$A$5:$A$81,0))</f>
        <v>2</v>
      </c>
    </row>
    <row r="594" customFormat="false" ht="15" hidden="false" customHeight="false" outlineLevel="0" collapsed="false">
      <c r="A594" s="0" t="s">
        <v>918</v>
      </c>
      <c r="B594" s="0" t="s">
        <v>91</v>
      </c>
      <c r="C594" s="0" t="str">
        <f aca="false">INDEX(Intent_Analysis!$B$5:$B$81,MATCH(B594,Intent_Analysis!$A$5:$A$81,0))</f>
        <v>Fees &amp; charges</v>
      </c>
      <c r="D594" s="0" t="n">
        <f aca="false">INDEX(Intent_Analysis!$E$5:$E$81,MATCH(B594,Intent_Analysis!$A$5:$A$81,0))</f>
        <v>2</v>
      </c>
    </row>
    <row r="595" customFormat="false" ht="15" hidden="false" customHeight="false" outlineLevel="0" collapsed="false">
      <c r="A595" s="0" t="s">
        <v>919</v>
      </c>
      <c r="B595" s="0" t="s">
        <v>91</v>
      </c>
      <c r="C595" s="0" t="str">
        <f aca="false">INDEX(Intent_Analysis!$B$5:$B$81,MATCH(B595,Intent_Analysis!$A$5:$A$81,0))</f>
        <v>Fees &amp; charges</v>
      </c>
      <c r="D595" s="0" t="n">
        <f aca="false">INDEX(Intent_Analysis!$E$5:$E$81,MATCH(B595,Intent_Analysis!$A$5:$A$81,0))</f>
        <v>2</v>
      </c>
    </row>
    <row r="596" customFormat="false" ht="15" hidden="false" customHeight="false" outlineLevel="0" collapsed="false">
      <c r="A596" s="0" t="s">
        <v>920</v>
      </c>
      <c r="B596" s="0" t="s">
        <v>91</v>
      </c>
      <c r="C596" s="0" t="str">
        <f aca="false">INDEX(Intent_Analysis!$B$5:$B$81,MATCH(B596,Intent_Analysis!$A$5:$A$81,0))</f>
        <v>Fees &amp; charges</v>
      </c>
      <c r="D596" s="0" t="n">
        <f aca="false">INDEX(Intent_Analysis!$E$5:$E$81,MATCH(B596,Intent_Analysis!$A$5:$A$81,0))</f>
        <v>2</v>
      </c>
    </row>
    <row r="597" customFormat="false" ht="15" hidden="false" customHeight="false" outlineLevel="0" collapsed="false">
      <c r="A597" s="0" t="s">
        <v>921</v>
      </c>
      <c r="B597" s="0" t="s">
        <v>91</v>
      </c>
      <c r="C597" s="0" t="str">
        <f aca="false">INDEX(Intent_Analysis!$B$5:$B$81,MATCH(B597,Intent_Analysis!$A$5:$A$81,0))</f>
        <v>Fees &amp; charges</v>
      </c>
      <c r="D597" s="0" t="n">
        <f aca="false">INDEX(Intent_Analysis!$E$5:$E$81,MATCH(B597,Intent_Analysis!$A$5:$A$81,0))</f>
        <v>2</v>
      </c>
    </row>
    <row r="598" customFormat="false" ht="15" hidden="false" customHeight="false" outlineLevel="0" collapsed="false">
      <c r="A598" s="0" t="s">
        <v>922</v>
      </c>
      <c r="B598" s="0" t="s">
        <v>91</v>
      </c>
      <c r="C598" s="0" t="str">
        <f aca="false">INDEX(Intent_Analysis!$B$5:$B$81,MATCH(B598,Intent_Analysis!$A$5:$A$81,0))</f>
        <v>Fees &amp; charges</v>
      </c>
      <c r="D598" s="0" t="n">
        <f aca="false">INDEX(Intent_Analysis!$E$5:$E$81,MATCH(B598,Intent_Analysis!$A$5:$A$81,0))</f>
        <v>2</v>
      </c>
    </row>
    <row r="599" customFormat="false" ht="15" hidden="false" customHeight="false" outlineLevel="0" collapsed="false">
      <c r="A599" s="0" t="s">
        <v>923</v>
      </c>
      <c r="B599" s="0" t="s">
        <v>91</v>
      </c>
      <c r="C599" s="0" t="str">
        <f aca="false">INDEX(Intent_Analysis!$B$5:$B$81,MATCH(B599,Intent_Analysis!$A$5:$A$81,0))</f>
        <v>Fees &amp; charges</v>
      </c>
      <c r="D599" s="0" t="n">
        <f aca="false">INDEX(Intent_Analysis!$E$5:$E$81,MATCH(B599,Intent_Analysis!$A$5:$A$81,0))</f>
        <v>2</v>
      </c>
    </row>
    <row r="600" customFormat="false" ht="15" hidden="false" customHeight="false" outlineLevel="0" collapsed="false">
      <c r="A600" s="0" t="s">
        <v>924</v>
      </c>
      <c r="B600" s="0" t="s">
        <v>91</v>
      </c>
      <c r="C600" s="0" t="str">
        <f aca="false">INDEX(Intent_Analysis!$B$5:$B$81,MATCH(B600,Intent_Analysis!$A$5:$A$81,0))</f>
        <v>Fees &amp; charges</v>
      </c>
      <c r="D600" s="0" t="n">
        <f aca="false">INDEX(Intent_Analysis!$E$5:$E$81,MATCH(B600,Intent_Analysis!$A$5:$A$81,0))</f>
        <v>2</v>
      </c>
    </row>
    <row r="601" customFormat="false" ht="15" hidden="false" customHeight="false" outlineLevel="0" collapsed="false">
      <c r="A601" s="0" t="s">
        <v>925</v>
      </c>
      <c r="B601" s="0" t="s">
        <v>91</v>
      </c>
      <c r="C601" s="0" t="str">
        <f aca="false">INDEX(Intent_Analysis!$B$5:$B$81,MATCH(B601,Intent_Analysis!$A$5:$A$81,0))</f>
        <v>Fees &amp; charges</v>
      </c>
      <c r="D601" s="0" t="n">
        <f aca="false">INDEX(Intent_Analysis!$E$5:$E$81,MATCH(B601,Intent_Analysis!$A$5:$A$81,0))</f>
        <v>2</v>
      </c>
    </row>
    <row r="602" customFormat="false" ht="15" hidden="false" customHeight="false" outlineLevel="0" collapsed="false">
      <c r="A602" s="0" t="s">
        <v>926</v>
      </c>
      <c r="B602" s="0" t="s">
        <v>91</v>
      </c>
      <c r="C602" s="0" t="str">
        <f aca="false">INDEX(Intent_Analysis!$B$5:$B$81,MATCH(B602,Intent_Analysis!$A$5:$A$81,0))</f>
        <v>Fees &amp; charges</v>
      </c>
      <c r="D602" s="0" t="n">
        <f aca="false">INDEX(Intent_Analysis!$E$5:$E$81,MATCH(B602,Intent_Analysis!$A$5:$A$81,0))</f>
        <v>2</v>
      </c>
    </row>
    <row r="603" customFormat="false" ht="15" hidden="false" customHeight="false" outlineLevel="0" collapsed="false">
      <c r="A603" s="0" t="s">
        <v>927</v>
      </c>
      <c r="B603" s="0" t="s">
        <v>91</v>
      </c>
      <c r="C603" s="0" t="str">
        <f aca="false">INDEX(Intent_Analysis!$B$5:$B$81,MATCH(B603,Intent_Analysis!$A$5:$A$81,0))</f>
        <v>Fees &amp; charges</v>
      </c>
      <c r="D603" s="0" t="n">
        <f aca="false">INDEX(Intent_Analysis!$E$5:$E$81,MATCH(B603,Intent_Analysis!$A$5:$A$81,0))</f>
        <v>2</v>
      </c>
    </row>
    <row r="604" customFormat="false" ht="15" hidden="false" customHeight="false" outlineLevel="0" collapsed="false">
      <c r="A604" s="0" t="s">
        <v>928</v>
      </c>
      <c r="B604" s="0" t="s">
        <v>91</v>
      </c>
      <c r="C604" s="0" t="str">
        <f aca="false">INDEX(Intent_Analysis!$B$5:$B$81,MATCH(B604,Intent_Analysis!$A$5:$A$81,0))</f>
        <v>Fees &amp; charges</v>
      </c>
      <c r="D604" s="0" t="n">
        <f aca="false">INDEX(Intent_Analysis!$E$5:$E$81,MATCH(B604,Intent_Analysis!$A$5:$A$81,0))</f>
        <v>2</v>
      </c>
    </row>
    <row r="605" customFormat="false" ht="15" hidden="false" customHeight="false" outlineLevel="0" collapsed="false">
      <c r="A605" s="0" t="s">
        <v>929</v>
      </c>
      <c r="B605" s="0" t="s">
        <v>91</v>
      </c>
      <c r="C605" s="0" t="str">
        <f aca="false">INDEX(Intent_Analysis!$B$5:$B$81,MATCH(B605,Intent_Analysis!$A$5:$A$81,0))</f>
        <v>Fees &amp; charges</v>
      </c>
      <c r="D605" s="0" t="n">
        <f aca="false">INDEX(Intent_Analysis!$E$5:$E$81,MATCH(B605,Intent_Analysis!$A$5:$A$81,0))</f>
        <v>2</v>
      </c>
    </row>
    <row r="606" customFormat="false" ht="15" hidden="false" customHeight="false" outlineLevel="0" collapsed="false">
      <c r="A606" s="0" t="s">
        <v>930</v>
      </c>
      <c r="B606" s="0" t="s">
        <v>91</v>
      </c>
      <c r="C606" s="0" t="str">
        <f aca="false">INDEX(Intent_Analysis!$B$5:$B$81,MATCH(B606,Intent_Analysis!$A$5:$A$81,0))</f>
        <v>Fees &amp; charges</v>
      </c>
      <c r="D606" s="0" t="n">
        <f aca="false">INDEX(Intent_Analysis!$E$5:$E$81,MATCH(B606,Intent_Analysis!$A$5:$A$81,0))</f>
        <v>2</v>
      </c>
    </row>
    <row r="607" customFormat="false" ht="15" hidden="false" customHeight="false" outlineLevel="0" collapsed="false">
      <c r="A607" s="0" t="s">
        <v>931</v>
      </c>
      <c r="B607" s="0" t="s">
        <v>91</v>
      </c>
      <c r="C607" s="0" t="str">
        <f aca="false">INDEX(Intent_Analysis!$B$5:$B$81,MATCH(B607,Intent_Analysis!$A$5:$A$81,0))</f>
        <v>Fees &amp; charges</v>
      </c>
      <c r="D607" s="0" t="n">
        <f aca="false">INDEX(Intent_Analysis!$E$5:$E$81,MATCH(B607,Intent_Analysis!$A$5:$A$81,0))</f>
        <v>2</v>
      </c>
    </row>
    <row r="608" customFormat="false" ht="15" hidden="false" customHeight="false" outlineLevel="0" collapsed="false">
      <c r="A608" s="0" t="s">
        <v>932</v>
      </c>
      <c r="B608" s="0" t="s">
        <v>91</v>
      </c>
      <c r="C608" s="0" t="str">
        <f aca="false">INDEX(Intent_Analysis!$B$5:$B$81,MATCH(B608,Intent_Analysis!$A$5:$A$81,0))</f>
        <v>Fees &amp; charges</v>
      </c>
      <c r="D608" s="0" t="n">
        <f aca="false">INDEX(Intent_Analysis!$E$5:$E$81,MATCH(B608,Intent_Analysis!$A$5:$A$81,0))</f>
        <v>2</v>
      </c>
    </row>
    <row r="609" customFormat="false" ht="15" hidden="false" customHeight="false" outlineLevel="0" collapsed="false">
      <c r="A609" s="0" t="s">
        <v>933</v>
      </c>
      <c r="B609" s="0" t="s">
        <v>91</v>
      </c>
      <c r="C609" s="0" t="str">
        <f aca="false">INDEX(Intent_Analysis!$B$5:$B$81,MATCH(B609,Intent_Analysis!$A$5:$A$81,0))</f>
        <v>Fees &amp; charges</v>
      </c>
      <c r="D609" s="0" t="n">
        <f aca="false">INDEX(Intent_Analysis!$E$5:$E$81,MATCH(B609,Intent_Analysis!$A$5:$A$81,0))</f>
        <v>2</v>
      </c>
    </row>
    <row r="610" customFormat="false" ht="15" hidden="false" customHeight="false" outlineLevel="0" collapsed="false">
      <c r="A610" s="0" t="s">
        <v>934</v>
      </c>
      <c r="B610" s="0" t="s">
        <v>91</v>
      </c>
      <c r="C610" s="0" t="str">
        <f aca="false">INDEX(Intent_Analysis!$B$5:$B$81,MATCH(B610,Intent_Analysis!$A$5:$A$81,0))</f>
        <v>Fees &amp; charges</v>
      </c>
      <c r="D610" s="0" t="n">
        <f aca="false">INDEX(Intent_Analysis!$E$5:$E$81,MATCH(B610,Intent_Analysis!$A$5:$A$81,0))</f>
        <v>2</v>
      </c>
    </row>
    <row r="611" customFormat="false" ht="15" hidden="false" customHeight="false" outlineLevel="0" collapsed="false">
      <c r="A611" s="0" t="s">
        <v>935</v>
      </c>
      <c r="B611" s="0" t="s">
        <v>91</v>
      </c>
      <c r="C611" s="0" t="str">
        <f aca="false">INDEX(Intent_Analysis!$B$5:$B$81,MATCH(B611,Intent_Analysis!$A$5:$A$81,0))</f>
        <v>Fees &amp; charges</v>
      </c>
      <c r="D611" s="0" t="n">
        <f aca="false">INDEX(Intent_Analysis!$E$5:$E$81,MATCH(B611,Intent_Analysis!$A$5:$A$81,0))</f>
        <v>2</v>
      </c>
    </row>
    <row r="612" customFormat="false" ht="15" hidden="false" customHeight="false" outlineLevel="0" collapsed="false">
      <c r="A612" s="0" t="s">
        <v>936</v>
      </c>
      <c r="B612" s="0" t="s">
        <v>91</v>
      </c>
      <c r="C612" s="0" t="str">
        <f aca="false">INDEX(Intent_Analysis!$B$5:$B$81,MATCH(B612,Intent_Analysis!$A$5:$A$81,0))</f>
        <v>Fees &amp; charges</v>
      </c>
      <c r="D612" s="0" t="n">
        <f aca="false">INDEX(Intent_Analysis!$E$5:$E$81,MATCH(B612,Intent_Analysis!$A$5:$A$81,0))</f>
        <v>2</v>
      </c>
    </row>
    <row r="613" customFormat="false" ht="15" hidden="false" customHeight="false" outlineLevel="0" collapsed="false">
      <c r="A613" s="0" t="s">
        <v>937</v>
      </c>
      <c r="B613" s="0" t="s">
        <v>91</v>
      </c>
      <c r="C613" s="0" t="str">
        <f aca="false">INDEX(Intent_Analysis!$B$5:$B$81,MATCH(B613,Intent_Analysis!$A$5:$A$81,0))</f>
        <v>Fees &amp; charges</v>
      </c>
      <c r="D613" s="0" t="n">
        <f aca="false">INDEX(Intent_Analysis!$E$5:$E$81,MATCH(B613,Intent_Analysis!$A$5:$A$81,0))</f>
        <v>2</v>
      </c>
    </row>
    <row r="614" customFormat="false" ht="15" hidden="false" customHeight="false" outlineLevel="0" collapsed="false">
      <c r="A614" s="0" t="s">
        <v>938</v>
      </c>
      <c r="B614" s="0" t="s">
        <v>91</v>
      </c>
      <c r="C614" s="0" t="str">
        <f aca="false">INDEX(Intent_Analysis!$B$5:$B$81,MATCH(B614,Intent_Analysis!$A$5:$A$81,0))</f>
        <v>Fees &amp; charges</v>
      </c>
      <c r="D614" s="0" t="n">
        <f aca="false">INDEX(Intent_Analysis!$E$5:$E$81,MATCH(B614,Intent_Analysis!$A$5:$A$81,0))</f>
        <v>2</v>
      </c>
    </row>
    <row r="615" customFormat="false" ht="15" hidden="false" customHeight="false" outlineLevel="0" collapsed="false">
      <c r="A615" s="0" t="s">
        <v>939</v>
      </c>
      <c r="B615" s="0" t="s">
        <v>91</v>
      </c>
      <c r="C615" s="0" t="str">
        <f aca="false">INDEX(Intent_Analysis!$B$5:$B$81,MATCH(B615,Intent_Analysis!$A$5:$A$81,0))</f>
        <v>Fees &amp; charges</v>
      </c>
      <c r="D615" s="0" t="n">
        <f aca="false">INDEX(Intent_Analysis!$E$5:$E$81,MATCH(B615,Intent_Analysis!$A$5:$A$81,0))</f>
        <v>2</v>
      </c>
    </row>
    <row r="616" customFormat="false" ht="15" hidden="false" customHeight="false" outlineLevel="0" collapsed="false">
      <c r="A616" s="0" t="s">
        <v>940</v>
      </c>
      <c r="B616" s="0" t="s">
        <v>91</v>
      </c>
      <c r="C616" s="0" t="str">
        <f aca="false">INDEX(Intent_Analysis!$B$5:$B$81,MATCH(B616,Intent_Analysis!$A$5:$A$81,0))</f>
        <v>Fees &amp; charges</v>
      </c>
      <c r="D616" s="0" t="n">
        <f aca="false">INDEX(Intent_Analysis!$E$5:$E$81,MATCH(B616,Intent_Analysis!$A$5:$A$81,0))</f>
        <v>2</v>
      </c>
    </row>
    <row r="617" customFormat="false" ht="15" hidden="false" customHeight="false" outlineLevel="0" collapsed="false">
      <c r="A617" s="0" t="s">
        <v>941</v>
      </c>
      <c r="B617" s="0" t="s">
        <v>91</v>
      </c>
      <c r="C617" s="0" t="str">
        <f aca="false">INDEX(Intent_Analysis!$B$5:$B$81,MATCH(B617,Intent_Analysis!$A$5:$A$81,0))</f>
        <v>Fees &amp; charges</v>
      </c>
      <c r="D617" s="0" t="n">
        <f aca="false">INDEX(Intent_Analysis!$E$5:$E$81,MATCH(B617,Intent_Analysis!$A$5:$A$81,0))</f>
        <v>2</v>
      </c>
    </row>
    <row r="618" customFormat="false" ht="15" hidden="false" customHeight="false" outlineLevel="0" collapsed="false">
      <c r="A618" s="0" t="s">
        <v>942</v>
      </c>
      <c r="B618" s="0" t="s">
        <v>91</v>
      </c>
      <c r="C618" s="0" t="str">
        <f aca="false">INDEX(Intent_Analysis!$B$5:$B$81,MATCH(B618,Intent_Analysis!$A$5:$A$81,0))</f>
        <v>Fees &amp; charges</v>
      </c>
      <c r="D618" s="0" t="n">
        <f aca="false">INDEX(Intent_Analysis!$E$5:$E$81,MATCH(B618,Intent_Analysis!$A$5:$A$81,0))</f>
        <v>2</v>
      </c>
    </row>
    <row r="619" customFormat="false" ht="15" hidden="false" customHeight="false" outlineLevel="0" collapsed="false">
      <c r="A619" s="0" t="s">
        <v>943</v>
      </c>
      <c r="B619" s="0" t="s">
        <v>91</v>
      </c>
      <c r="C619" s="0" t="str">
        <f aca="false">INDEX(Intent_Analysis!$B$5:$B$81,MATCH(B619,Intent_Analysis!$A$5:$A$81,0))</f>
        <v>Fees &amp; charges</v>
      </c>
      <c r="D619" s="0" t="n">
        <f aca="false">INDEX(Intent_Analysis!$E$5:$E$81,MATCH(B619,Intent_Analysis!$A$5:$A$81,0))</f>
        <v>2</v>
      </c>
    </row>
    <row r="620" customFormat="false" ht="15" hidden="false" customHeight="false" outlineLevel="0" collapsed="false">
      <c r="A620" s="0" t="s">
        <v>944</v>
      </c>
      <c r="B620" s="0" t="s">
        <v>91</v>
      </c>
      <c r="C620" s="0" t="str">
        <f aca="false">INDEX(Intent_Analysis!$B$5:$B$81,MATCH(B620,Intent_Analysis!$A$5:$A$81,0))</f>
        <v>Fees &amp; charges</v>
      </c>
      <c r="D620" s="0" t="n">
        <f aca="false">INDEX(Intent_Analysis!$E$5:$E$81,MATCH(B620,Intent_Analysis!$A$5:$A$81,0))</f>
        <v>2</v>
      </c>
    </row>
    <row r="621" customFormat="false" ht="15" hidden="false" customHeight="false" outlineLevel="0" collapsed="false">
      <c r="A621" s="0" t="s">
        <v>945</v>
      </c>
      <c r="B621" s="0" t="s">
        <v>91</v>
      </c>
      <c r="C621" s="0" t="str">
        <f aca="false">INDEX(Intent_Analysis!$B$5:$B$81,MATCH(B621,Intent_Analysis!$A$5:$A$81,0))</f>
        <v>Fees &amp; charges</v>
      </c>
      <c r="D621" s="0" t="n">
        <f aca="false">INDEX(Intent_Analysis!$E$5:$E$81,MATCH(B621,Intent_Analysis!$A$5:$A$81,0))</f>
        <v>2</v>
      </c>
    </row>
    <row r="622" customFormat="false" ht="15" hidden="false" customHeight="false" outlineLevel="0" collapsed="false">
      <c r="A622" s="0" t="s">
        <v>946</v>
      </c>
      <c r="B622" s="0" t="s">
        <v>91</v>
      </c>
      <c r="C622" s="0" t="str">
        <f aca="false">INDEX(Intent_Analysis!$B$5:$B$81,MATCH(B622,Intent_Analysis!$A$5:$A$81,0))</f>
        <v>Fees &amp; charges</v>
      </c>
      <c r="D622" s="0" t="n">
        <f aca="false">INDEX(Intent_Analysis!$E$5:$E$81,MATCH(B622,Intent_Analysis!$A$5:$A$81,0))</f>
        <v>2</v>
      </c>
    </row>
    <row r="623" customFormat="false" ht="15" hidden="false" customHeight="false" outlineLevel="0" collapsed="false">
      <c r="A623" s="0" t="s">
        <v>947</v>
      </c>
      <c r="B623" s="0" t="s">
        <v>91</v>
      </c>
      <c r="C623" s="0" t="str">
        <f aca="false">INDEX(Intent_Analysis!$B$5:$B$81,MATCH(B623,Intent_Analysis!$A$5:$A$81,0))</f>
        <v>Fees &amp; charges</v>
      </c>
      <c r="D623" s="0" t="n">
        <f aca="false">INDEX(Intent_Analysis!$E$5:$E$81,MATCH(B623,Intent_Analysis!$A$5:$A$81,0))</f>
        <v>2</v>
      </c>
    </row>
    <row r="624" customFormat="false" ht="15" hidden="false" customHeight="false" outlineLevel="0" collapsed="false">
      <c r="A624" s="0" t="s">
        <v>948</v>
      </c>
      <c r="B624" s="0" t="s">
        <v>91</v>
      </c>
      <c r="C624" s="0" t="str">
        <f aca="false">INDEX(Intent_Analysis!$B$5:$B$81,MATCH(B624,Intent_Analysis!$A$5:$A$81,0))</f>
        <v>Fees &amp; charges</v>
      </c>
      <c r="D624" s="0" t="n">
        <f aca="false">INDEX(Intent_Analysis!$E$5:$E$81,MATCH(B624,Intent_Analysis!$A$5:$A$81,0))</f>
        <v>2</v>
      </c>
    </row>
    <row r="625" customFormat="false" ht="15" hidden="false" customHeight="false" outlineLevel="0" collapsed="false">
      <c r="A625" s="0" t="s">
        <v>949</v>
      </c>
      <c r="B625" s="0" t="s">
        <v>91</v>
      </c>
      <c r="C625" s="0" t="str">
        <f aca="false">INDEX(Intent_Analysis!$B$5:$B$81,MATCH(B625,Intent_Analysis!$A$5:$A$81,0))</f>
        <v>Fees &amp; charges</v>
      </c>
      <c r="D625" s="0" t="n">
        <f aca="false">INDEX(Intent_Analysis!$E$5:$E$81,MATCH(B625,Intent_Analysis!$A$5:$A$81,0))</f>
        <v>2</v>
      </c>
    </row>
    <row r="626" customFormat="false" ht="15" hidden="false" customHeight="false" outlineLevel="0" collapsed="false">
      <c r="A626" s="0" t="s">
        <v>950</v>
      </c>
      <c r="B626" s="0" t="s">
        <v>91</v>
      </c>
      <c r="C626" s="0" t="str">
        <f aca="false">INDEX(Intent_Analysis!$B$5:$B$81,MATCH(B626,Intent_Analysis!$A$5:$A$81,0))</f>
        <v>Fees &amp; charges</v>
      </c>
      <c r="D626" s="0" t="n">
        <f aca="false">INDEX(Intent_Analysis!$E$5:$E$81,MATCH(B626,Intent_Analysis!$A$5:$A$81,0))</f>
        <v>2</v>
      </c>
    </row>
    <row r="627" customFormat="false" ht="15" hidden="false" customHeight="false" outlineLevel="0" collapsed="false">
      <c r="A627" s="0" t="s">
        <v>951</v>
      </c>
      <c r="B627" s="0" t="s">
        <v>91</v>
      </c>
      <c r="C627" s="0" t="str">
        <f aca="false">INDEX(Intent_Analysis!$B$5:$B$81,MATCH(B627,Intent_Analysis!$A$5:$A$81,0))</f>
        <v>Fees &amp; charges</v>
      </c>
      <c r="D627" s="0" t="n">
        <f aca="false">INDEX(Intent_Analysis!$E$5:$E$81,MATCH(B627,Intent_Analysis!$A$5:$A$81,0))</f>
        <v>2</v>
      </c>
    </row>
    <row r="628" customFormat="false" ht="15" hidden="false" customHeight="false" outlineLevel="0" collapsed="false">
      <c r="A628" s="0" t="s">
        <v>952</v>
      </c>
      <c r="B628" s="0" t="s">
        <v>91</v>
      </c>
      <c r="C628" s="0" t="str">
        <f aca="false">INDEX(Intent_Analysis!$B$5:$B$81,MATCH(B628,Intent_Analysis!$A$5:$A$81,0))</f>
        <v>Fees &amp; charges</v>
      </c>
      <c r="D628" s="0" t="n">
        <f aca="false">INDEX(Intent_Analysis!$E$5:$E$81,MATCH(B628,Intent_Analysis!$A$5:$A$81,0))</f>
        <v>2</v>
      </c>
    </row>
    <row r="629" customFormat="false" ht="15" hidden="false" customHeight="false" outlineLevel="0" collapsed="false">
      <c r="A629" s="0" t="s">
        <v>953</v>
      </c>
      <c r="B629" s="0" t="s">
        <v>91</v>
      </c>
      <c r="C629" s="0" t="str">
        <f aca="false">INDEX(Intent_Analysis!$B$5:$B$81,MATCH(B629,Intent_Analysis!$A$5:$A$81,0))</f>
        <v>Fees &amp; charges</v>
      </c>
      <c r="D629" s="0" t="n">
        <f aca="false">INDEX(Intent_Analysis!$E$5:$E$81,MATCH(B629,Intent_Analysis!$A$5:$A$81,0))</f>
        <v>2</v>
      </c>
    </row>
    <row r="630" customFormat="false" ht="15" hidden="false" customHeight="false" outlineLevel="0" collapsed="false">
      <c r="A630" s="0" t="s">
        <v>954</v>
      </c>
      <c r="B630" s="0" t="s">
        <v>91</v>
      </c>
      <c r="C630" s="0" t="str">
        <f aca="false">INDEX(Intent_Analysis!$B$5:$B$81,MATCH(B630,Intent_Analysis!$A$5:$A$81,0))</f>
        <v>Fees &amp; charges</v>
      </c>
      <c r="D630" s="0" t="n">
        <f aca="false">INDEX(Intent_Analysis!$E$5:$E$81,MATCH(B630,Intent_Analysis!$A$5:$A$81,0))</f>
        <v>2</v>
      </c>
    </row>
    <row r="631" customFormat="false" ht="15" hidden="false" customHeight="false" outlineLevel="0" collapsed="false">
      <c r="A631" s="0" t="s">
        <v>955</v>
      </c>
      <c r="B631" s="0" t="s">
        <v>91</v>
      </c>
      <c r="C631" s="0" t="str">
        <f aca="false">INDEX(Intent_Analysis!$B$5:$B$81,MATCH(B631,Intent_Analysis!$A$5:$A$81,0))</f>
        <v>Fees &amp; charges</v>
      </c>
      <c r="D631" s="0" t="n">
        <f aca="false">INDEX(Intent_Analysis!$E$5:$E$81,MATCH(B631,Intent_Analysis!$A$5:$A$81,0))</f>
        <v>2</v>
      </c>
    </row>
    <row r="632" customFormat="false" ht="15" hidden="false" customHeight="false" outlineLevel="0" collapsed="false">
      <c r="A632" s="0" t="s">
        <v>956</v>
      </c>
      <c r="B632" s="0" t="s">
        <v>91</v>
      </c>
      <c r="C632" s="0" t="str">
        <f aca="false">INDEX(Intent_Analysis!$B$5:$B$81,MATCH(B632,Intent_Analysis!$A$5:$A$81,0))</f>
        <v>Fees &amp; charges</v>
      </c>
      <c r="D632" s="0" t="n">
        <f aca="false">INDEX(Intent_Analysis!$E$5:$E$81,MATCH(B632,Intent_Analysis!$A$5:$A$81,0))</f>
        <v>2</v>
      </c>
    </row>
    <row r="633" customFormat="false" ht="15" hidden="false" customHeight="false" outlineLevel="0" collapsed="false">
      <c r="A633" s="0" t="s">
        <v>957</v>
      </c>
      <c r="B633" s="0" t="s">
        <v>91</v>
      </c>
      <c r="C633" s="0" t="str">
        <f aca="false">INDEX(Intent_Analysis!$B$5:$B$81,MATCH(B633,Intent_Analysis!$A$5:$A$81,0))</f>
        <v>Fees &amp; charges</v>
      </c>
      <c r="D633" s="0" t="n">
        <f aca="false">INDEX(Intent_Analysis!$E$5:$E$81,MATCH(B633,Intent_Analysis!$A$5:$A$81,0))</f>
        <v>2</v>
      </c>
    </row>
    <row r="634" customFormat="false" ht="15" hidden="false" customHeight="false" outlineLevel="0" collapsed="false">
      <c r="A634" s="0" t="s">
        <v>958</v>
      </c>
      <c r="B634" s="0" t="s">
        <v>91</v>
      </c>
      <c r="C634" s="0" t="str">
        <f aca="false">INDEX(Intent_Analysis!$B$5:$B$81,MATCH(B634,Intent_Analysis!$A$5:$A$81,0))</f>
        <v>Fees &amp; charges</v>
      </c>
      <c r="D634" s="0" t="n">
        <f aca="false">INDEX(Intent_Analysis!$E$5:$E$81,MATCH(B634,Intent_Analysis!$A$5:$A$81,0))</f>
        <v>2</v>
      </c>
    </row>
    <row r="635" customFormat="false" ht="15" hidden="false" customHeight="false" outlineLevel="0" collapsed="false">
      <c r="A635" s="0" t="s">
        <v>959</v>
      </c>
      <c r="B635" s="0" t="s">
        <v>91</v>
      </c>
      <c r="C635" s="0" t="str">
        <f aca="false">INDEX(Intent_Analysis!$B$5:$B$81,MATCH(B635,Intent_Analysis!$A$5:$A$81,0))</f>
        <v>Fees &amp; charges</v>
      </c>
      <c r="D635" s="0" t="n">
        <f aca="false">INDEX(Intent_Analysis!$E$5:$E$81,MATCH(B635,Intent_Analysis!$A$5:$A$81,0))</f>
        <v>2</v>
      </c>
    </row>
    <row r="636" customFormat="false" ht="15" hidden="false" customHeight="false" outlineLevel="0" collapsed="false">
      <c r="A636" s="0" t="s">
        <v>960</v>
      </c>
      <c r="B636" s="0" t="s">
        <v>91</v>
      </c>
      <c r="C636" s="0" t="str">
        <f aca="false">INDEX(Intent_Analysis!$B$5:$B$81,MATCH(B636,Intent_Analysis!$A$5:$A$81,0))</f>
        <v>Fees &amp; charges</v>
      </c>
      <c r="D636" s="0" t="n">
        <f aca="false">INDEX(Intent_Analysis!$E$5:$E$81,MATCH(B636,Intent_Analysis!$A$5:$A$81,0))</f>
        <v>2</v>
      </c>
    </row>
    <row r="637" customFormat="false" ht="15" hidden="false" customHeight="false" outlineLevel="0" collapsed="false">
      <c r="A637" s="0" t="s">
        <v>961</v>
      </c>
      <c r="B637" s="0" t="s">
        <v>91</v>
      </c>
      <c r="C637" s="0" t="str">
        <f aca="false">INDEX(Intent_Analysis!$B$5:$B$81,MATCH(B637,Intent_Analysis!$A$5:$A$81,0))</f>
        <v>Fees &amp; charges</v>
      </c>
      <c r="D637" s="0" t="n">
        <f aca="false">INDEX(Intent_Analysis!$E$5:$E$81,MATCH(B637,Intent_Analysis!$A$5:$A$81,0))</f>
        <v>2</v>
      </c>
    </row>
    <row r="638" customFormat="false" ht="15" hidden="false" customHeight="false" outlineLevel="0" collapsed="false">
      <c r="A638" s="0" t="s">
        <v>962</v>
      </c>
      <c r="B638" s="0" t="s">
        <v>91</v>
      </c>
      <c r="C638" s="0" t="str">
        <f aca="false">INDEX(Intent_Analysis!$B$5:$B$81,MATCH(B638,Intent_Analysis!$A$5:$A$81,0))</f>
        <v>Fees &amp; charges</v>
      </c>
      <c r="D638" s="0" t="n">
        <f aca="false">INDEX(Intent_Analysis!$E$5:$E$81,MATCH(B638,Intent_Analysis!$A$5:$A$81,0))</f>
        <v>2</v>
      </c>
    </row>
    <row r="639" customFormat="false" ht="15" hidden="false" customHeight="false" outlineLevel="0" collapsed="false">
      <c r="A639" s="0" t="s">
        <v>963</v>
      </c>
      <c r="B639" s="0" t="s">
        <v>91</v>
      </c>
      <c r="C639" s="0" t="str">
        <f aca="false">INDEX(Intent_Analysis!$B$5:$B$81,MATCH(B639,Intent_Analysis!$A$5:$A$81,0))</f>
        <v>Fees &amp; charges</v>
      </c>
      <c r="D639" s="0" t="n">
        <f aca="false">INDEX(Intent_Analysis!$E$5:$E$81,MATCH(B639,Intent_Analysis!$A$5:$A$81,0))</f>
        <v>2</v>
      </c>
    </row>
    <row r="640" customFormat="false" ht="15" hidden="false" customHeight="false" outlineLevel="0" collapsed="false">
      <c r="A640" s="0" t="s">
        <v>964</v>
      </c>
      <c r="B640" s="0" t="s">
        <v>91</v>
      </c>
      <c r="C640" s="0" t="str">
        <f aca="false">INDEX(Intent_Analysis!$B$5:$B$81,MATCH(B640,Intent_Analysis!$A$5:$A$81,0))</f>
        <v>Fees &amp; charges</v>
      </c>
      <c r="D640" s="0" t="n">
        <f aca="false">INDEX(Intent_Analysis!$E$5:$E$81,MATCH(B640,Intent_Analysis!$A$5:$A$81,0))</f>
        <v>2</v>
      </c>
    </row>
    <row r="641" customFormat="false" ht="15" hidden="false" customHeight="false" outlineLevel="0" collapsed="false">
      <c r="A641" s="0" t="s">
        <v>965</v>
      </c>
      <c r="B641" s="0" t="s">
        <v>91</v>
      </c>
      <c r="C641" s="0" t="str">
        <f aca="false">INDEX(Intent_Analysis!$B$5:$B$81,MATCH(B641,Intent_Analysis!$A$5:$A$81,0))</f>
        <v>Fees &amp; charges</v>
      </c>
      <c r="D641" s="0" t="n">
        <f aca="false">INDEX(Intent_Analysis!$E$5:$E$81,MATCH(B641,Intent_Analysis!$A$5:$A$81,0))</f>
        <v>2</v>
      </c>
    </row>
    <row r="642" customFormat="false" ht="15" hidden="false" customHeight="false" outlineLevel="0" collapsed="false">
      <c r="A642" s="0" t="s">
        <v>966</v>
      </c>
      <c r="B642" s="0" t="s">
        <v>91</v>
      </c>
      <c r="C642" s="0" t="str">
        <f aca="false">INDEX(Intent_Analysis!$B$5:$B$81,MATCH(B642,Intent_Analysis!$A$5:$A$81,0))</f>
        <v>Fees &amp; charges</v>
      </c>
      <c r="D642" s="0" t="n">
        <f aca="false">INDEX(Intent_Analysis!$E$5:$E$81,MATCH(B642,Intent_Analysis!$A$5:$A$81,0))</f>
        <v>2</v>
      </c>
    </row>
    <row r="643" customFormat="false" ht="15" hidden="false" customHeight="false" outlineLevel="0" collapsed="false">
      <c r="A643" s="0" t="s">
        <v>967</v>
      </c>
      <c r="B643" s="0" t="s">
        <v>91</v>
      </c>
      <c r="C643" s="0" t="str">
        <f aca="false">INDEX(Intent_Analysis!$B$5:$B$81,MATCH(B643,Intent_Analysis!$A$5:$A$81,0))</f>
        <v>Fees &amp; charges</v>
      </c>
      <c r="D643" s="0" t="n">
        <f aca="false">INDEX(Intent_Analysis!$E$5:$E$81,MATCH(B643,Intent_Analysis!$A$5:$A$81,0))</f>
        <v>2</v>
      </c>
    </row>
    <row r="644" customFormat="false" ht="15" hidden="false" customHeight="false" outlineLevel="0" collapsed="false">
      <c r="A644" s="0" t="s">
        <v>968</v>
      </c>
      <c r="B644" s="0" t="s">
        <v>91</v>
      </c>
      <c r="C644" s="0" t="str">
        <f aca="false">INDEX(Intent_Analysis!$B$5:$B$81,MATCH(B644,Intent_Analysis!$A$5:$A$81,0))</f>
        <v>Fees &amp; charges</v>
      </c>
      <c r="D644" s="0" t="n">
        <f aca="false">INDEX(Intent_Analysis!$E$5:$E$81,MATCH(B644,Intent_Analysis!$A$5:$A$81,0))</f>
        <v>2</v>
      </c>
    </row>
    <row r="645" customFormat="false" ht="15" hidden="false" customHeight="false" outlineLevel="0" collapsed="false">
      <c r="A645" s="0" t="s">
        <v>969</v>
      </c>
      <c r="B645" s="0" t="s">
        <v>91</v>
      </c>
      <c r="C645" s="0" t="str">
        <f aca="false">INDEX(Intent_Analysis!$B$5:$B$81,MATCH(B645,Intent_Analysis!$A$5:$A$81,0))</f>
        <v>Fees &amp; charges</v>
      </c>
      <c r="D645" s="0" t="n">
        <f aca="false">INDEX(Intent_Analysis!$E$5:$E$81,MATCH(B645,Intent_Analysis!$A$5:$A$81,0))</f>
        <v>2</v>
      </c>
    </row>
    <row r="646" customFormat="false" ht="15" hidden="false" customHeight="false" outlineLevel="0" collapsed="false">
      <c r="A646" s="0" t="s">
        <v>970</v>
      </c>
      <c r="B646" s="0" t="s">
        <v>91</v>
      </c>
      <c r="C646" s="0" t="str">
        <f aca="false">INDEX(Intent_Analysis!$B$5:$B$81,MATCH(B646,Intent_Analysis!$A$5:$A$81,0))</f>
        <v>Fees &amp; charges</v>
      </c>
      <c r="D646" s="0" t="n">
        <f aca="false">INDEX(Intent_Analysis!$E$5:$E$81,MATCH(B646,Intent_Analysis!$A$5:$A$81,0))</f>
        <v>2</v>
      </c>
    </row>
    <row r="647" customFormat="false" ht="15" hidden="false" customHeight="false" outlineLevel="0" collapsed="false">
      <c r="A647" s="0" t="s">
        <v>971</v>
      </c>
      <c r="B647" s="0" t="s">
        <v>91</v>
      </c>
      <c r="C647" s="0" t="str">
        <f aca="false">INDEX(Intent_Analysis!$B$5:$B$81,MATCH(B647,Intent_Analysis!$A$5:$A$81,0))</f>
        <v>Fees &amp; charges</v>
      </c>
      <c r="D647" s="0" t="n">
        <f aca="false">INDEX(Intent_Analysis!$E$5:$E$81,MATCH(B647,Intent_Analysis!$A$5:$A$81,0))</f>
        <v>2</v>
      </c>
    </row>
    <row r="648" customFormat="false" ht="15" hidden="false" customHeight="false" outlineLevel="0" collapsed="false">
      <c r="A648" s="0" t="s">
        <v>972</v>
      </c>
      <c r="B648" s="0" t="s">
        <v>91</v>
      </c>
      <c r="C648" s="0" t="str">
        <f aca="false">INDEX(Intent_Analysis!$B$5:$B$81,MATCH(B648,Intent_Analysis!$A$5:$A$81,0))</f>
        <v>Fees &amp; charges</v>
      </c>
      <c r="D648" s="0" t="n">
        <f aca="false">INDEX(Intent_Analysis!$E$5:$E$81,MATCH(B648,Intent_Analysis!$A$5:$A$81,0))</f>
        <v>2</v>
      </c>
    </row>
    <row r="649" customFormat="false" ht="15" hidden="false" customHeight="false" outlineLevel="0" collapsed="false">
      <c r="A649" s="0" t="s">
        <v>973</v>
      </c>
      <c r="B649" s="0" t="s">
        <v>91</v>
      </c>
      <c r="C649" s="0" t="str">
        <f aca="false">INDEX(Intent_Analysis!$B$5:$B$81,MATCH(B649,Intent_Analysis!$A$5:$A$81,0))</f>
        <v>Fees &amp; charges</v>
      </c>
      <c r="D649" s="0" t="n">
        <f aca="false">INDEX(Intent_Analysis!$E$5:$E$81,MATCH(B649,Intent_Analysis!$A$5:$A$81,0))</f>
        <v>2</v>
      </c>
    </row>
    <row r="650" customFormat="false" ht="15" hidden="false" customHeight="false" outlineLevel="0" collapsed="false">
      <c r="A650" s="0" t="s">
        <v>974</v>
      </c>
      <c r="B650" s="0" t="s">
        <v>91</v>
      </c>
      <c r="C650" s="0" t="str">
        <f aca="false">INDEX(Intent_Analysis!$B$5:$B$81,MATCH(B650,Intent_Analysis!$A$5:$A$81,0))</f>
        <v>Fees &amp; charges</v>
      </c>
      <c r="D650" s="0" t="n">
        <f aca="false">INDEX(Intent_Analysis!$E$5:$E$81,MATCH(B650,Intent_Analysis!$A$5:$A$81,0))</f>
        <v>2</v>
      </c>
    </row>
    <row r="651" customFormat="false" ht="15" hidden="false" customHeight="false" outlineLevel="0" collapsed="false">
      <c r="A651" s="0" t="s">
        <v>975</v>
      </c>
      <c r="B651" s="0" t="s">
        <v>91</v>
      </c>
      <c r="C651" s="0" t="str">
        <f aca="false">INDEX(Intent_Analysis!$B$5:$B$81,MATCH(B651,Intent_Analysis!$A$5:$A$81,0))</f>
        <v>Fees &amp; charges</v>
      </c>
      <c r="D651" s="0" t="n">
        <f aca="false">INDEX(Intent_Analysis!$E$5:$E$81,MATCH(B651,Intent_Analysis!$A$5:$A$81,0))</f>
        <v>2</v>
      </c>
    </row>
    <row r="652" customFormat="false" ht="15" hidden="false" customHeight="false" outlineLevel="0" collapsed="false">
      <c r="A652" s="0" t="s">
        <v>976</v>
      </c>
      <c r="B652" s="0" t="s">
        <v>91</v>
      </c>
      <c r="C652" s="0" t="str">
        <f aca="false">INDEX(Intent_Analysis!$B$5:$B$81,MATCH(B652,Intent_Analysis!$A$5:$A$81,0))</f>
        <v>Fees &amp; charges</v>
      </c>
      <c r="D652" s="0" t="n">
        <f aca="false">INDEX(Intent_Analysis!$E$5:$E$81,MATCH(B652,Intent_Analysis!$A$5:$A$81,0))</f>
        <v>2</v>
      </c>
    </row>
    <row r="653" customFormat="false" ht="15" hidden="false" customHeight="false" outlineLevel="0" collapsed="false">
      <c r="A653" s="0" t="s">
        <v>977</v>
      </c>
      <c r="B653" s="0" t="s">
        <v>91</v>
      </c>
      <c r="C653" s="0" t="str">
        <f aca="false">INDEX(Intent_Analysis!$B$5:$B$81,MATCH(B653,Intent_Analysis!$A$5:$A$81,0))</f>
        <v>Fees &amp; charges</v>
      </c>
      <c r="D653" s="0" t="n">
        <f aca="false">INDEX(Intent_Analysis!$E$5:$E$81,MATCH(B653,Intent_Analysis!$A$5:$A$81,0))</f>
        <v>2</v>
      </c>
    </row>
    <row r="654" customFormat="false" ht="15" hidden="false" customHeight="false" outlineLevel="0" collapsed="false">
      <c r="A654" s="0" t="s">
        <v>978</v>
      </c>
      <c r="B654" s="0" t="s">
        <v>91</v>
      </c>
      <c r="C654" s="0" t="str">
        <f aca="false">INDEX(Intent_Analysis!$B$5:$B$81,MATCH(B654,Intent_Analysis!$A$5:$A$81,0))</f>
        <v>Fees &amp; charges</v>
      </c>
      <c r="D654" s="0" t="n">
        <f aca="false">INDEX(Intent_Analysis!$E$5:$E$81,MATCH(B654,Intent_Analysis!$A$5:$A$81,0))</f>
        <v>2</v>
      </c>
    </row>
    <row r="655" customFormat="false" ht="15" hidden="false" customHeight="false" outlineLevel="0" collapsed="false">
      <c r="A655" s="0" t="s">
        <v>979</v>
      </c>
      <c r="B655" s="0" t="s">
        <v>91</v>
      </c>
      <c r="C655" s="0" t="str">
        <f aca="false">INDEX(Intent_Analysis!$B$5:$B$81,MATCH(B655,Intent_Analysis!$A$5:$A$81,0))</f>
        <v>Fees &amp; charges</v>
      </c>
      <c r="D655" s="0" t="n">
        <f aca="false">INDEX(Intent_Analysis!$E$5:$E$81,MATCH(B655,Intent_Analysis!$A$5:$A$81,0))</f>
        <v>2</v>
      </c>
    </row>
    <row r="656" customFormat="false" ht="15" hidden="false" customHeight="false" outlineLevel="0" collapsed="false">
      <c r="A656" s="0" t="s">
        <v>980</v>
      </c>
      <c r="B656" s="0" t="s">
        <v>91</v>
      </c>
      <c r="C656" s="0" t="str">
        <f aca="false">INDEX(Intent_Analysis!$B$5:$B$81,MATCH(B656,Intent_Analysis!$A$5:$A$81,0))</f>
        <v>Fees &amp; charges</v>
      </c>
      <c r="D656" s="0" t="n">
        <f aca="false">INDEX(Intent_Analysis!$E$5:$E$81,MATCH(B656,Intent_Analysis!$A$5:$A$81,0))</f>
        <v>2</v>
      </c>
    </row>
    <row r="657" customFormat="false" ht="15" hidden="false" customHeight="false" outlineLevel="0" collapsed="false">
      <c r="A657" s="0" t="s">
        <v>981</v>
      </c>
      <c r="B657" s="0" t="s">
        <v>91</v>
      </c>
      <c r="C657" s="0" t="str">
        <f aca="false">INDEX(Intent_Analysis!$B$5:$B$81,MATCH(B657,Intent_Analysis!$A$5:$A$81,0))</f>
        <v>Fees &amp; charges</v>
      </c>
      <c r="D657" s="0" t="n">
        <f aca="false">INDEX(Intent_Analysis!$E$5:$E$81,MATCH(B657,Intent_Analysis!$A$5:$A$81,0))</f>
        <v>2</v>
      </c>
    </row>
    <row r="658" customFormat="false" ht="15" hidden="false" customHeight="false" outlineLevel="0" collapsed="false">
      <c r="A658" s="0" t="s">
        <v>982</v>
      </c>
      <c r="B658" s="0" t="s">
        <v>91</v>
      </c>
      <c r="C658" s="0" t="str">
        <f aca="false">INDEX(Intent_Analysis!$B$5:$B$81,MATCH(B658,Intent_Analysis!$A$5:$A$81,0))</f>
        <v>Fees &amp; charges</v>
      </c>
      <c r="D658" s="0" t="n">
        <f aca="false">INDEX(Intent_Analysis!$E$5:$E$81,MATCH(B658,Intent_Analysis!$A$5:$A$81,0))</f>
        <v>2</v>
      </c>
    </row>
    <row r="659" customFormat="false" ht="15" hidden="false" customHeight="false" outlineLevel="0" collapsed="false">
      <c r="A659" s="0" t="s">
        <v>983</v>
      </c>
      <c r="B659" s="0" t="s">
        <v>91</v>
      </c>
      <c r="C659" s="0" t="str">
        <f aca="false">INDEX(Intent_Analysis!$B$5:$B$81,MATCH(B659,Intent_Analysis!$A$5:$A$81,0))</f>
        <v>Fees &amp; charges</v>
      </c>
      <c r="D659" s="0" t="n">
        <f aca="false">INDEX(Intent_Analysis!$E$5:$E$81,MATCH(B659,Intent_Analysis!$A$5:$A$81,0))</f>
        <v>2</v>
      </c>
    </row>
    <row r="660" customFormat="false" ht="15" hidden="false" customHeight="false" outlineLevel="0" collapsed="false">
      <c r="A660" s="0" t="s">
        <v>984</v>
      </c>
      <c r="B660" s="0" t="s">
        <v>91</v>
      </c>
      <c r="C660" s="0" t="str">
        <f aca="false">INDEX(Intent_Analysis!$B$5:$B$81,MATCH(B660,Intent_Analysis!$A$5:$A$81,0))</f>
        <v>Fees &amp; charges</v>
      </c>
      <c r="D660" s="0" t="n">
        <f aca="false">INDEX(Intent_Analysis!$E$5:$E$81,MATCH(B660,Intent_Analysis!$A$5:$A$81,0))</f>
        <v>2</v>
      </c>
    </row>
    <row r="661" customFormat="false" ht="15" hidden="false" customHeight="false" outlineLevel="0" collapsed="false">
      <c r="A661" s="0" t="s">
        <v>985</v>
      </c>
      <c r="B661" s="0" t="s">
        <v>91</v>
      </c>
      <c r="C661" s="0" t="str">
        <f aca="false">INDEX(Intent_Analysis!$B$5:$B$81,MATCH(B661,Intent_Analysis!$A$5:$A$81,0))</f>
        <v>Fees &amp; charges</v>
      </c>
      <c r="D661" s="0" t="n">
        <f aca="false">INDEX(Intent_Analysis!$E$5:$E$81,MATCH(B661,Intent_Analysis!$A$5:$A$81,0))</f>
        <v>2</v>
      </c>
    </row>
    <row r="662" customFormat="false" ht="15" hidden="false" customHeight="false" outlineLevel="0" collapsed="false">
      <c r="A662" s="0" t="s">
        <v>986</v>
      </c>
      <c r="B662" s="0" t="s">
        <v>91</v>
      </c>
      <c r="C662" s="0" t="str">
        <f aca="false">INDEX(Intent_Analysis!$B$5:$B$81,MATCH(B662,Intent_Analysis!$A$5:$A$81,0))</f>
        <v>Fees &amp; charges</v>
      </c>
      <c r="D662" s="0" t="n">
        <f aca="false">INDEX(Intent_Analysis!$E$5:$E$81,MATCH(B662,Intent_Analysis!$A$5:$A$81,0))</f>
        <v>2</v>
      </c>
    </row>
    <row r="663" customFormat="false" ht="15" hidden="false" customHeight="false" outlineLevel="0" collapsed="false">
      <c r="A663" s="0" t="s">
        <v>987</v>
      </c>
      <c r="B663" s="0" t="s">
        <v>91</v>
      </c>
      <c r="C663" s="0" t="str">
        <f aca="false">INDEX(Intent_Analysis!$B$5:$B$81,MATCH(B663,Intent_Analysis!$A$5:$A$81,0))</f>
        <v>Fees &amp; charges</v>
      </c>
      <c r="D663" s="0" t="n">
        <f aca="false">INDEX(Intent_Analysis!$E$5:$E$81,MATCH(B663,Intent_Analysis!$A$5:$A$81,0))</f>
        <v>2</v>
      </c>
    </row>
    <row r="664" customFormat="false" ht="15" hidden="false" customHeight="false" outlineLevel="0" collapsed="false">
      <c r="A664" s="0" t="s">
        <v>988</v>
      </c>
      <c r="B664" s="0" t="s">
        <v>91</v>
      </c>
      <c r="C664" s="0" t="str">
        <f aca="false">INDEX(Intent_Analysis!$B$5:$B$81,MATCH(B664,Intent_Analysis!$A$5:$A$81,0))</f>
        <v>Fees &amp; charges</v>
      </c>
      <c r="D664" s="0" t="n">
        <f aca="false">INDEX(Intent_Analysis!$E$5:$E$81,MATCH(B664,Intent_Analysis!$A$5:$A$81,0))</f>
        <v>2</v>
      </c>
    </row>
    <row r="665" customFormat="false" ht="15" hidden="false" customHeight="false" outlineLevel="0" collapsed="false">
      <c r="A665" s="0" t="s">
        <v>989</v>
      </c>
      <c r="B665" s="0" t="s">
        <v>91</v>
      </c>
      <c r="C665" s="0" t="str">
        <f aca="false">INDEX(Intent_Analysis!$B$5:$B$81,MATCH(B665,Intent_Analysis!$A$5:$A$81,0))</f>
        <v>Fees &amp; charges</v>
      </c>
      <c r="D665" s="0" t="n">
        <f aca="false">INDEX(Intent_Analysis!$E$5:$E$81,MATCH(B665,Intent_Analysis!$A$5:$A$81,0))</f>
        <v>2</v>
      </c>
    </row>
    <row r="666" customFormat="false" ht="15" hidden="false" customHeight="false" outlineLevel="0" collapsed="false">
      <c r="A666" s="0" t="s">
        <v>990</v>
      </c>
      <c r="B666" s="0" t="s">
        <v>91</v>
      </c>
      <c r="C666" s="0" t="str">
        <f aca="false">INDEX(Intent_Analysis!$B$5:$B$81,MATCH(B666,Intent_Analysis!$A$5:$A$81,0))</f>
        <v>Fees &amp; charges</v>
      </c>
      <c r="D666" s="0" t="n">
        <f aca="false">INDEX(Intent_Analysis!$E$5:$E$81,MATCH(B666,Intent_Analysis!$A$5:$A$81,0))</f>
        <v>2</v>
      </c>
    </row>
    <row r="667" customFormat="false" ht="15" hidden="false" customHeight="false" outlineLevel="0" collapsed="false">
      <c r="A667" s="0" t="s">
        <v>991</v>
      </c>
      <c r="B667" s="0" t="s">
        <v>91</v>
      </c>
      <c r="C667" s="0" t="str">
        <f aca="false">INDEX(Intent_Analysis!$B$5:$B$81,MATCH(B667,Intent_Analysis!$A$5:$A$81,0))</f>
        <v>Fees &amp; charges</v>
      </c>
      <c r="D667" s="0" t="n">
        <f aca="false">INDEX(Intent_Analysis!$E$5:$E$81,MATCH(B667,Intent_Analysis!$A$5:$A$81,0))</f>
        <v>2</v>
      </c>
    </row>
    <row r="668" customFormat="false" ht="15" hidden="false" customHeight="false" outlineLevel="0" collapsed="false">
      <c r="A668" s="0" t="s">
        <v>992</v>
      </c>
      <c r="B668" s="0" t="s">
        <v>91</v>
      </c>
      <c r="C668" s="0" t="str">
        <f aca="false">INDEX(Intent_Analysis!$B$5:$B$81,MATCH(B668,Intent_Analysis!$A$5:$A$81,0))</f>
        <v>Fees &amp; charges</v>
      </c>
      <c r="D668" s="0" t="n">
        <f aca="false">INDEX(Intent_Analysis!$E$5:$E$81,MATCH(B668,Intent_Analysis!$A$5:$A$81,0))</f>
        <v>2</v>
      </c>
    </row>
    <row r="669" customFormat="false" ht="15" hidden="false" customHeight="false" outlineLevel="0" collapsed="false">
      <c r="A669" s="0" t="s">
        <v>993</v>
      </c>
      <c r="B669" s="0" t="s">
        <v>91</v>
      </c>
      <c r="C669" s="0" t="str">
        <f aca="false">INDEX(Intent_Analysis!$B$5:$B$81,MATCH(B669,Intent_Analysis!$A$5:$A$81,0))</f>
        <v>Fees &amp; charges</v>
      </c>
      <c r="D669" s="0" t="n">
        <f aca="false">INDEX(Intent_Analysis!$E$5:$E$81,MATCH(B669,Intent_Analysis!$A$5:$A$81,0))</f>
        <v>2</v>
      </c>
    </row>
    <row r="670" customFormat="false" ht="15" hidden="false" customHeight="false" outlineLevel="0" collapsed="false">
      <c r="A670" s="0" t="s">
        <v>994</v>
      </c>
      <c r="B670" s="0" t="s">
        <v>91</v>
      </c>
      <c r="C670" s="0" t="str">
        <f aca="false">INDEX(Intent_Analysis!$B$5:$B$81,MATCH(B670,Intent_Analysis!$A$5:$A$81,0))</f>
        <v>Fees &amp; charges</v>
      </c>
      <c r="D670" s="0" t="n">
        <f aca="false">INDEX(Intent_Analysis!$E$5:$E$81,MATCH(B670,Intent_Analysis!$A$5:$A$81,0))</f>
        <v>2</v>
      </c>
    </row>
    <row r="671" customFormat="false" ht="15" hidden="false" customHeight="false" outlineLevel="0" collapsed="false">
      <c r="A671" s="0" t="s">
        <v>995</v>
      </c>
      <c r="B671" s="0" t="s">
        <v>91</v>
      </c>
      <c r="C671" s="0" t="str">
        <f aca="false">INDEX(Intent_Analysis!$B$5:$B$81,MATCH(B671,Intent_Analysis!$A$5:$A$81,0))</f>
        <v>Fees &amp; charges</v>
      </c>
      <c r="D671" s="0" t="n">
        <f aca="false">INDEX(Intent_Analysis!$E$5:$E$81,MATCH(B671,Intent_Analysis!$A$5:$A$81,0))</f>
        <v>2</v>
      </c>
    </row>
    <row r="672" customFormat="false" ht="15" hidden="false" customHeight="false" outlineLevel="0" collapsed="false">
      <c r="A672" s="0" t="s">
        <v>996</v>
      </c>
      <c r="B672" s="0" t="s">
        <v>91</v>
      </c>
      <c r="C672" s="0" t="str">
        <f aca="false">INDEX(Intent_Analysis!$B$5:$B$81,MATCH(B672,Intent_Analysis!$A$5:$A$81,0))</f>
        <v>Fees &amp; charges</v>
      </c>
      <c r="D672" s="0" t="n">
        <f aca="false">INDEX(Intent_Analysis!$E$5:$E$81,MATCH(B672,Intent_Analysis!$A$5:$A$81,0))</f>
        <v>2</v>
      </c>
    </row>
    <row r="673" customFormat="false" ht="15" hidden="false" customHeight="false" outlineLevel="0" collapsed="false">
      <c r="A673" s="0" t="s">
        <v>997</v>
      </c>
      <c r="B673" s="0" t="s">
        <v>91</v>
      </c>
      <c r="C673" s="0" t="str">
        <f aca="false">INDEX(Intent_Analysis!$B$5:$B$81,MATCH(B673,Intent_Analysis!$A$5:$A$81,0))</f>
        <v>Fees &amp; charges</v>
      </c>
      <c r="D673" s="0" t="n">
        <f aca="false">INDEX(Intent_Analysis!$E$5:$E$81,MATCH(B673,Intent_Analysis!$A$5:$A$81,0))</f>
        <v>2</v>
      </c>
    </row>
    <row r="674" customFormat="false" ht="15" hidden="false" customHeight="false" outlineLevel="0" collapsed="false">
      <c r="A674" s="0" t="s">
        <v>998</v>
      </c>
      <c r="B674" s="0" t="s">
        <v>91</v>
      </c>
      <c r="C674" s="0" t="str">
        <f aca="false">INDEX(Intent_Analysis!$B$5:$B$81,MATCH(B674,Intent_Analysis!$A$5:$A$81,0))</f>
        <v>Fees &amp; charges</v>
      </c>
      <c r="D674" s="0" t="n">
        <f aca="false">INDEX(Intent_Analysis!$E$5:$E$81,MATCH(B674,Intent_Analysis!$A$5:$A$81,0))</f>
        <v>2</v>
      </c>
    </row>
    <row r="675" customFormat="false" ht="15" hidden="false" customHeight="false" outlineLevel="0" collapsed="false">
      <c r="A675" s="0" t="s">
        <v>999</v>
      </c>
      <c r="B675" s="0" t="s">
        <v>91</v>
      </c>
      <c r="C675" s="0" t="str">
        <f aca="false">INDEX(Intent_Analysis!$B$5:$B$81,MATCH(B675,Intent_Analysis!$A$5:$A$81,0))</f>
        <v>Fees &amp; charges</v>
      </c>
      <c r="D675" s="0" t="n">
        <f aca="false">INDEX(Intent_Analysis!$E$5:$E$81,MATCH(B675,Intent_Analysis!$A$5:$A$81,0))</f>
        <v>2</v>
      </c>
    </row>
    <row r="676" customFormat="false" ht="15" hidden="false" customHeight="false" outlineLevel="0" collapsed="false">
      <c r="A676" s="0" t="s">
        <v>1000</v>
      </c>
      <c r="B676" s="0" t="s">
        <v>91</v>
      </c>
      <c r="C676" s="0" t="str">
        <f aca="false">INDEX(Intent_Analysis!$B$5:$B$81,MATCH(B676,Intent_Analysis!$A$5:$A$81,0))</f>
        <v>Fees &amp; charges</v>
      </c>
      <c r="D676" s="0" t="n">
        <f aca="false">INDEX(Intent_Analysis!$E$5:$E$81,MATCH(B676,Intent_Analysis!$A$5:$A$81,0))</f>
        <v>2</v>
      </c>
    </row>
    <row r="677" customFormat="false" ht="15" hidden="false" customHeight="false" outlineLevel="0" collapsed="false">
      <c r="A677" s="0" t="s">
        <v>1001</v>
      </c>
      <c r="B677" s="0" t="s">
        <v>91</v>
      </c>
      <c r="C677" s="0" t="str">
        <f aca="false">INDEX(Intent_Analysis!$B$5:$B$81,MATCH(B677,Intent_Analysis!$A$5:$A$81,0))</f>
        <v>Fees &amp; charges</v>
      </c>
      <c r="D677" s="0" t="n">
        <f aca="false">INDEX(Intent_Analysis!$E$5:$E$81,MATCH(B677,Intent_Analysis!$A$5:$A$81,0))</f>
        <v>2</v>
      </c>
    </row>
    <row r="678" customFormat="false" ht="15" hidden="false" customHeight="false" outlineLevel="0" collapsed="false">
      <c r="A678" s="0" t="s">
        <v>1002</v>
      </c>
      <c r="B678" s="0" t="s">
        <v>91</v>
      </c>
      <c r="C678" s="0" t="str">
        <f aca="false">INDEX(Intent_Analysis!$B$5:$B$81,MATCH(B678,Intent_Analysis!$A$5:$A$81,0))</f>
        <v>Fees &amp; charges</v>
      </c>
      <c r="D678" s="0" t="n">
        <f aca="false">INDEX(Intent_Analysis!$E$5:$E$81,MATCH(B678,Intent_Analysis!$A$5:$A$81,0))</f>
        <v>2</v>
      </c>
    </row>
    <row r="679" customFormat="false" ht="15" hidden="false" customHeight="false" outlineLevel="0" collapsed="false">
      <c r="A679" s="0" t="s">
        <v>1003</v>
      </c>
      <c r="B679" s="0" t="s">
        <v>91</v>
      </c>
      <c r="C679" s="0" t="str">
        <f aca="false">INDEX(Intent_Analysis!$B$5:$B$81,MATCH(B679,Intent_Analysis!$A$5:$A$81,0))</f>
        <v>Fees &amp; charges</v>
      </c>
      <c r="D679" s="0" t="n">
        <f aca="false">INDEX(Intent_Analysis!$E$5:$E$81,MATCH(B679,Intent_Analysis!$A$5:$A$81,0))</f>
        <v>2</v>
      </c>
    </row>
    <row r="680" customFormat="false" ht="15" hidden="false" customHeight="false" outlineLevel="0" collapsed="false">
      <c r="A680" s="0" t="s">
        <v>1004</v>
      </c>
      <c r="B680" s="0" t="s">
        <v>91</v>
      </c>
      <c r="C680" s="0" t="str">
        <f aca="false">INDEX(Intent_Analysis!$B$5:$B$81,MATCH(B680,Intent_Analysis!$A$5:$A$81,0))</f>
        <v>Fees &amp; charges</v>
      </c>
      <c r="D680" s="0" t="n">
        <f aca="false">INDEX(Intent_Analysis!$E$5:$E$81,MATCH(B680,Intent_Analysis!$A$5:$A$81,0))</f>
        <v>2</v>
      </c>
    </row>
    <row r="681" customFormat="false" ht="15" hidden="false" customHeight="false" outlineLevel="0" collapsed="false">
      <c r="A681" s="0" t="s">
        <v>1005</v>
      </c>
      <c r="B681" s="0" t="s">
        <v>91</v>
      </c>
      <c r="C681" s="0" t="str">
        <f aca="false">INDEX(Intent_Analysis!$B$5:$B$81,MATCH(B681,Intent_Analysis!$A$5:$A$81,0))</f>
        <v>Fees &amp; charges</v>
      </c>
      <c r="D681" s="0" t="n">
        <f aca="false">INDEX(Intent_Analysis!$E$5:$E$81,MATCH(B681,Intent_Analysis!$A$5:$A$81,0))</f>
        <v>2</v>
      </c>
    </row>
    <row r="682" customFormat="false" ht="15" hidden="false" customHeight="false" outlineLevel="0" collapsed="false">
      <c r="A682" s="0" t="s">
        <v>1006</v>
      </c>
      <c r="B682" s="0" t="s">
        <v>91</v>
      </c>
      <c r="C682" s="0" t="str">
        <f aca="false">INDEX(Intent_Analysis!$B$5:$B$81,MATCH(B682,Intent_Analysis!$A$5:$A$81,0))</f>
        <v>Fees &amp; charges</v>
      </c>
      <c r="D682" s="0" t="n">
        <f aca="false">INDEX(Intent_Analysis!$E$5:$E$81,MATCH(B682,Intent_Analysis!$A$5:$A$81,0))</f>
        <v>2</v>
      </c>
    </row>
    <row r="683" customFormat="false" ht="15" hidden="false" customHeight="false" outlineLevel="0" collapsed="false">
      <c r="A683" s="0" t="s">
        <v>1007</v>
      </c>
      <c r="B683" s="0" t="s">
        <v>91</v>
      </c>
      <c r="C683" s="0" t="str">
        <f aca="false">INDEX(Intent_Analysis!$B$5:$B$81,MATCH(B683,Intent_Analysis!$A$5:$A$81,0))</f>
        <v>Fees &amp; charges</v>
      </c>
      <c r="D683" s="0" t="n">
        <f aca="false">INDEX(Intent_Analysis!$E$5:$E$81,MATCH(B683,Intent_Analysis!$A$5:$A$81,0))</f>
        <v>2</v>
      </c>
    </row>
    <row r="684" customFormat="false" ht="15" hidden="false" customHeight="false" outlineLevel="0" collapsed="false">
      <c r="A684" s="0" t="s">
        <v>1008</v>
      </c>
      <c r="B684" s="0" t="s">
        <v>91</v>
      </c>
      <c r="C684" s="0" t="str">
        <f aca="false">INDEX(Intent_Analysis!$B$5:$B$81,MATCH(B684,Intent_Analysis!$A$5:$A$81,0))</f>
        <v>Fees &amp; charges</v>
      </c>
      <c r="D684" s="0" t="n">
        <f aca="false">INDEX(Intent_Analysis!$E$5:$E$81,MATCH(B684,Intent_Analysis!$A$5:$A$81,0))</f>
        <v>2</v>
      </c>
    </row>
    <row r="685" customFormat="false" ht="15" hidden="false" customHeight="false" outlineLevel="0" collapsed="false">
      <c r="A685" s="0" t="s">
        <v>1009</v>
      </c>
      <c r="B685" s="0" t="s">
        <v>91</v>
      </c>
      <c r="C685" s="0" t="str">
        <f aca="false">INDEX(Intent_Analysis!$B$5:$B$81,MATCH(B685,Intent_Analysis!$A$5:$A$81,0))</f>
        <v>Fees &amp; charges</v>
      </c>
      <c r="D685" s="0" t="n">
        <f aca="false">INDEX(Intent_Analysis!$E$5:$E$81,MATCH(B685,Intent_Analysis!$A$5:$A$81,0))</f>
        <v>2</v>
      </c>
    </row>
    <row r="686" customFormat="false" ht="15" hidden="false" customHeight="false" outlineLevel="0" collapsed="false">
      <c r="A686" s="0" t="s">
        <v>1010</v>
      </c>
      <c r="B686" s="0" t="s">
        <v>91</v>
      </c>
      <c r="C686" s="0" t="str">
        <f aca="false">INDEX(Intent_Analysis!$B$5:$B$81,MATCH(B686,Intent_Analysis!$A$5:$A$81,0))</f>
        <v>Fees &amp; charges</v>
      </c>
      <c r="D686" s="0" t="n">
        <f aca="false">INDEX(Intent_Analysis!$E$5:$E$81,MATCH(B686,Intent_Analysis!$A$5:$A$81,0))</f>
        <v>2</v>
      </c>
    </row>
    <row r="687" customFormat="false" ht="15" hidden="false" customHeight="false" outlineLevel="0" collapsed="false">
      <c r="A687" s="0" t="s">
        <v>1011</v>
      </c>
      <c r="B687" s="0" t="s">
        <v>91</v>
      </c>
      <c r="C687" s="0" t="str">
        <f aca="false">INDEX(Intent_Analysis!$B$5:$B$81,MATCH(B687,Intent_Analysis!$A$5:$A$81,0))</f>
        <v>Fees &amp; charges</v>
      </c>
      <c r="D687" s="0" t="n">
        <f aca="false">INDEX(Intent_Analysis!$E$5:$E$81,MATCH(B687,Intent_Analysis!$A$5:$A$81,0))</f>
        <v>2</v>
      </c>
    </row>
    <row r="688" customFormat="false" ht="15" hidden="false" customHeight="false" outlineLevel="0" collapsed="false">
      <c r="A688" s="0" t="s">
        <v>1012</v>
      </c>
      <c r="B688" s="0" t="s">
        <v>91</v>
      </c>
      <c r="C688" s="0" t="str">
        <f aca="false">INDEX(Intent_Analysis!$B$5:$B$81,MATCH(B688,Intent_Analysis!$A$5:$A$81,0))</f>
        <v>Fees &amp; charges</v>
      </c>
      <c r="D688" s="0" t="n">
        <f aca="false">INDEX(Intent_Analysis!$E$5:$E$81,MATCH(B688,Intent_Analysis!$A$5:$A$81,0))</f>
        <v>2</v>
      </c>
    </row>
    <row r="689" customFormat="false" ht="15" hidden="false" customHeight="false" outlineLevel="0" collapsed="false">
      <c r="A689" s="0" t="s">
        <v>1013</v>
      </c>
      <c r="B689" s="0" t="s">
        <v>91</v>
      </c>
      <c r="C689" s="0" t="str">
        <f aca="false">INDEX(Intent_Analysis!$B$5:$B$81,MATCH(B689,Intent_Analysis!$A$5:$A$81,0))</f>
        <v>Fees &amp; charges</v>
      </c>
      <c r="D689" s="0" t="n">
        <f aca="false">INDEX(Intent_Analysis!$E$5:$E$81,MATCH(B689,Intent_Analysis!$A$5:$A$81,0))</f>
        <v>2</v>
      </c>
    </row>
    <row r="690" customFormat="false" ht="15" hidden="false" customHeight="false" outlineLevel="0" collapsed="false">
      <c r="A690" s="0" t="s">
        <v>1014</v>
      </c>
      <c r="B690" s="0" t="s">
        <v>91</v>
      </c>
      <c r="C690" s="0" t="str">
        <f aca="false">INDEX(Intent_Analysis!$B$5:$B$81,MATCH(B690,Intent_Analysis!$A$5:$A$81,0))</f>
        <v>Fees &amp; charges</v>
      </c>
      <c r="D690" s="0" t="n">
        <f aca="false">INDEX(Intent_Analysis!$E$5:$E$81,MATCH(B690,Intent_Analysis!$A$5:$A$81,0))</f>
        <v>2</v>
      </c>
    </row>
    <row r="691" customFormat="false" ht="15" hidden="false" customHeight="false" outlineLevel="0" collapsed="false">
      <c r="A691" s="0" t="s">
        <v>1015</v>
      </c>
      <c r="B691" s="0" t="s">
        <v>91</v>
      </c>
      <c r="C691" s="0" t="str">
        <f aca="false">INDEX(Intent_Analysis!$B$5:$B$81,MATCH(B691,Intent_Analysis!$A$5:$A$81,0))</f>
        <v>Fees &amp; charges</v>
      </c>
      <c r="D691" s="0" t="n">
        <f aca="false">INDEX(Intent_Analysis!$E$5:$E$81,MATCH(B691,Intent_Analysis!$A$5:$A$81,0))</f>
        <v>2</v>
      </c>
    </row>
    <row r="692" customFormat="false" ht="15" hidden="false" customHeight="false" outlineLevel="0" collapsed="false">
      <c r="A692" s="0" t="s">
        <v>1016</v>
      </c>
      <c r="B692" s="0" t="s">
        <v>91</v>
      </c>
      <c r="C692" s="0" t="str">
        <f aca="false">INDEX(Intent_Analysis!$B$5:$B$81,MATCH(B692,Intent_Analysis!$A$5:$A$81,0))</f>
        <v>Fees &amp; charges</v>
      </c>
      <c r="D692" s="0" t="n">
        <f aca="false">INDEX(Intent_Analysis!$E$5:$E$81,MATCH(B692,Intent_Analysis!$A$5:$A$81,0))</f>
        <v>2</v>
      </c>
    </row>
    <row r="693" customFormat="false" ht="15" hidden="false" customHeight="false" outlineLevel="0" collapsed="false">
      <c r="A693" s="0" t="s">
        <v>1017</v>
      </c>
      <c r="B693" s="0" t="s">
        <v>91</v>
      </c>
      <c r="C693" s="0" t="str">
        <f aca="false">INDEX(Intent_Analysis!$B$5:$B$81,MATCH(B693,Intent_Analysis!$A$5:$A$81,0))</f>
        <v>Fees &amp; charges</v>
      </c>
      <c r="D693" s="0" t="n">
        <f aca="false">INDEX(Intent_Analysis!$E$5:$E$81,MATCH(B693,Intent_Analysis!$A$5:$A$81,0))</f>
        <v>2</v>
      </c>
    </row>
    <row r="694" customFormat="false" ht="15" hidden="false" customHeight="false" outlineLevel="0" collapsed="false">
      <c r="A694" s="0" t="s">
        <v>1018</v>
      </c>
      <c r="B694" s="0" t="s">
        <v>91</v>
      </c>
      <c r="C694" s="0" t="str">
        <f aca="false">INDEX(Intent_Analysis!$B$5:$B$81,MATCH(B694,Intent_Analysis!$A$5:$A$81,0))</f>
        <v>Fees &amp; charges</v>
      </c>
      <c r="D694" s="0" t="n">
        <f aca="false">INDEX(Intent_Analysis!$E$5:$E$81,MATCH(B694,Intent_Analysis!$A$5:$A$81,0))</f>
        <v>2</v>
      </c>
    </row>
    <row r="695" customFormat="false" ht="15" hidden="false" customHeight="false" outlineLevel="0" collapsed="false">
      <c r="A695" s="0" t="s">
        <v>1019</v>
      </c>
      <c r="B695" s="0" t="s">
        <v>91</v>
      </c>
      <c r="C695" s="0" t="str">
        <f aca="false">INDEX(Intent_Analysis!$B$5:$B$81,MATCH(B695,Intent_Analysis!$A$5:$A$81,0))</f>
        <v>Fees &amp; charges</v>
      </c>
      <c r="D695" s="0" t="n">
        <f aca="false">INDEX(Intent_Analysis!$E$5:$E$81,MATCH(B695,Intent_Analysis!$A$5:$A$81,0))</f>
        <v>2</v>
      </c>
    </row>
    <row r="696" customFormat="false" ht="15" hidden="false" customHeight="false" outlineLevel="0" collapsed="false">
      <c r="A696" s="0" t="s">
        <v>1020</v>
      </c>
      <c r="B696" s="0" t="s">
        <v>91</v>
      </c>
      <c r="C696" s="0" t="str">
        <f aca="false">INDEX(Intent_Analysis!$B$5:$B$81,MATCH(B696,Intent_Analysis!$A$5:$A$81,0))</f>
        <v>Fees &amp; charges</v>
      </c>
      <c r="D696" s="0" t="n">
        <f aca="false">INDEX(Intent_Analysis!$E$5:$E$81,MATCH(B696,Intent_Analysis!$A$5:$A$81,0))</f>
        <v>2</v>
      </c>
    </row>
    <row r="697" customFormat="false" ht="15" hidden="false" customHeight="false" outlineLevel="0" collapsed="false">
      <c r="A697" s="0" t="s">
        <v>1021</v>
      </c>
      <c r="B697" s="0" t="s">
        <v>91</v>
      </c>
      <c r="C697" s="0" t="str">
        <f aca="false">INDEX(Intent_Analysis!$B$5:$B$81,MATCH(B697,Intent_Analysis!$A$5:$A$81,0))</f>
        <v>Fees &amp; charges</v>
      </c>
      <c r="D697" s="0" t="n">
        <f aca="false">INDEX(Intent_Analysis!$E$5:$E$81,MATCH(B697,Intent_Analysis!$A$5:$A$81,0))</f>
        <v>2</v>
      </c>
    </row>
    <row r="698" customFormat="false" ht="15" hidden="false" customHeight="false" outlineLevel="0" collapsed="false">
      <c r="A698" s="0" t="s">
        <v>1022</v>
      </c>
      <c r="B698" s="0" t="s">
        <v>91</v>
      </c>
      <c r="C698" s="0" t="str">
        <f aca="false">INDEX(Intent_Analysis!$B$5:$B$81,MATCH(B698,Intent_Analysis!$A$5:$A$81,0))</f>
        <v>Fees &amp; charges</v>
      </c>
      <c r="D698" s="0" t="n">
        <f aca="false">INDEX(Intent_Analysis!$E$5:$E$81,MATCH(B698,Intent_Analysis!$A$5:$A$81,0))</f>
        <v>2</v>
      </c>
    </row>
    <row r="699" customFormat="false" ht="15" hidden="false" customHeight="false" outlineLevel="0" collapsed="false">
      <c r="A699" s="0" t="s">
        <v>1023</v>
      </c>
      <c r="B699" s="0" t="s">
        <v>91</v>
      </c>
      <c r="C699" s="0" t="str">
        <f aca="false">INDEX(Intent_Analysis!$B$5:$B$81,MATCH(B699,Intent_Analysis!$A$5:$A$81,0))</f>
        <v>Fees &amp; charges</v>
      </c>
      <c r="D699" s="0" t="n">
        <f aca="false">INDEX(Intent_Analysis!$E$5:$E$81,MATCH(B699,Intent_Analysis!$A$5:$A$81,0))</f>
        <v>2</v>
      </c>
    </row>
    <row r="700" customFormat="false" ht="15" hidden="false" customHeight="false" outlineLevel="0" collapsed="false">
      <c r="A700" s="0" t="s">
        <v>1024</v>
      </c>
      <c r="B700" s="0" t="s">
        <v>91</v>
      </c>
      <c r="C700" s="0" t="str">
        <f aca="false">INDEX(Intent_Analysis!$B$5:$B$81,MATCH(B700,Intent_Analysis!$A$5:$A$81,0))</f>
        <v>Fees &amp; charges</v>
      </c>
      <c r="D700" s="0" t="n">
        <f aca="false">INDEX(Intent_Analysis!$E$5:$E$81,MATCH(B700,Intent_Analysis!$A$5:$A$81,0))</f>
        <v>2</v>
      </c>
    </row>
    <row r="701" customFormat="false" ht="15" hidden="false" customHeight="false" outlineLevel="0" collapsed="false">
      <c r="A701" s="0" t="s">
        <v>1025</v>
      </c>
      <c r="B701" s="0" t="s">
        <v>91</v>
      </c>
      <c r="C701" s="0" t="str">
        <f aca="false">INDEX(Intent_Analysis!$B$5:$B$81,MATCH(B701,Intent_Analysis!$A$5:$A$81,0))</f>
        <v>Fees &amp; charges</v>
      </c>
      <c r="D701" s="0" t="n">
        <f aca="false">INDEX(Intent_Analysis!$E$5:$E$81,MATCH(B701,Intent_Analysis!$A$5:$A$81,0))</f>
        <v>2</v>
      </c>
    </row>
    <row r="702" customFormat="false" ht="15" hidden="false" customHeight="false" outlineLevel="0" collapsed="false">
      <c r="A702" s="0" t="s">
        <v>1026</v>
      </c>
      <c r="B702" s="0" t="s">
        <v>91</v>
      </c>
      <c r="C702" s="0" t="str">
        <f aca="false">INDEX(Intent_Analysis!$B$5:$B$81,MATCH(B702,Intent_Analysis!$A$5:$A$81,0))</f>
        <v>Fees &amp; charges</v>
      </c>
      <c r="D702" s="0" t="n">
        <f aca="false">INDEX(Intent_Analysis!$E$5:$E$81,MATCH(B702,Intent_Analysis!$A$5:$A$81,0))</f>
        <v>2</v>
      </c>
    </row>
    <row r="703" customFormat="false" ht="15" hidden="false" customHeight="false" outlineLevel="0" collapsed="false">
      <c r="A703" s="0" t="s">
        <v>1027</v>
      </c>
      <c r="B703" s="0" t="s">
        <v>91</v>
      </c>
      <c r="C703" s="0" t="str">
        <f aca="false">INDEX(Intent_Analysis!$B$5:$B$81,MATCH(B703,Intent_Analysis!$A$5:$A$81,0))</f>
        <v>Fees &amp; charges</v>
      </c>
      <c r="D703" s="0" t="n">
        <f aca="false">INDEX(Intent_Analysis!$E$5:$E$81,MATCH(B703,Intent_Analysis!$A$5:$A$81,0))</f>
        <v>2</v>
      </c>
    </row>
    <row r="704" customFormat="false" ht="15" hidden="false" customHeight="false" outlineLevel="0" collapsed="false">
      <c r="A704" s="0" t="s">
        <v>1028</v>
      </c>
      <c r="B704" s="0" t="s">
        <v>91</v>
      </c>
      <c r="C704" s="0" t="str">
        <f aca="false">INDEX(Intent_Analysis!$B$5:$B$81,MATCH(B704,Intent_Analysis!$A$5:$A$81,0))</f>
        <v>Fees &amp; charges</v>
      </c>
      <c r="D704" s="0" t="n">
        <f aca="false">INDEX(Intent_Analysis!$E$5:$E$81,MATCH(B704,Intent_Analysis!$A$5:$A$81,0))</f>
        <v>2</v>
      </c>
    </row>
    <row r="705" customFormat="false" ht="15" hidden="false" customHeight="false" outlineLevel="0" collapsed="false">
      <c r="A705" s="0" t="s">
        <v>1029</v>
      </c>
      <c r="B705" s="0" t="s">
        <v>91</v>
      </c>
      <c r="C705" s="0" t="str">
        <f aca="false">INDEX(Intent_Analysis!$B$5:$B$81,MATCH(B705,Intent_Analysis!$A$5:$A$81,0))</f>
        <v>Fees &amp; charges</v>
      </c>
      <c r="D705" s="0" t="n">
        <f aca="false">INDEX(Intent_Analysis!$E$5:$E$81,MATCH(B705,Intent_Analysis!$A$5:$A$81,0))</f>
        <v>2</v>
      </c>
    </row>
    <row r="706" customFormat="false" ht="15" hidden="false" customHeight="false" outlineLevel="0" collapsed="false">
      <c r="A706" s="0" t="s">
        <v>1030</v>
      </c>
      <c r="B706" s="0" t="s">
        <v>91</v>
      </c>
      <c r="C706" s="0" t="str">
        <f aca="false">INDEX(Intent_Analysis!$B$5:$B$81,MATCH(B706,Intent_Analysis!$A$5:$A$81,0))</f>
        <v>Fees &amp; charges</v>
      </c>
      <c r="D706" s="0" t="n">
        <f aca="false">INDEX(Intent_Analysis!$E$5:$E$81,MATCH(B706,Intent_Analysis!$A$5:$A$81,0))</f>
        <v>2</v>
      </c>
    </row>
    <row r="707" customFormat="false" ht="15" hidden="false" customHeight="false" outlineLevel="0" collapsed="false">
      <c r="A707" s="0" t="s">
        <v>1031</v>
      </c>
      <c r="B707" s="0" t="s">
        <v>91</v>
      </c>
      <c r="C707" s="0" t="str">
        <f aca="false">INDEX(Intent_Analysis!$B$5:$B$81,MATCH(B707,Intent_Analysis!$A$5:$A$81,0))</f>
        <v>Fees &amp; charges</v>
      </c>
      <c r="D707" s="0" t="n">
        <f aca="false">INDEX(Intent_Analysis!$E$5:$E$81,MATCH(B707,Intent_Analysis!$A$5:$A$81,0))</f>
        <v>2</v>
      </c>
    </row>
    <row r="708" customFormat="false" ht="15" hidden="false" customHeight="false" outlineLevel="0" collapsed="false">
      <c r="A708" s="0" t="s">
        <v>1032</v>
      </c>
      <c r="B708" s="0" t="s">
        <v>91</v>
      </c>
      <c r="C708" s="0" t="str">
        <f aca="false">INDEX(Intent_Analysis!$B$5:$B$81,MATCH(B708,Intent_Analysis!$A$5:$A$81,0))</f>
        <v>Fees &amp; charges</v>
      </c>
      <c r="D708" s="0" t="n">
        <f aca="false">INDEX(Intent_Analysis!$E$5:$E$81,MATCH(B708,Intent_Analysis!$A$5:$A$81,0))</f>
        <v>2</v>
      </c>
    </row>
    <row r="709" customFormat="false" ht="15" hidden="false" customHeight="false" outlineLevel="0" collapsed="false">
      <c r="A709" s="0" t="s">
        <v>1033</v>
      </c>
      <c r="B709" s="0" t="s">
        <v>91</v>
      </c>
      <c r="C709" s="0" t="str">
        <f aca="false">INDEX(Intent_Analysis!$B$5:$B$81,MATCH(B709,Intent_Analysis!$A$5:$A$81,0))</f>
        <v>Fees &amp; charges</v>
      </c>
      <c r="D709" s="0" t="n">
        <f aca="false">INDEX(Intent_Analysis!$E$5:$E$81,MATCH(B709,Intent_Analysis!$A$5:$A$81,0))</f>
        <v>2</v>
      </c>
    </row>
    <row r="710" customFormat="false" ht="15" hidden="false" customHeight="false" outlineLevel="0" collapsed="false">
      <c r="A710" s="0" t="s">
        <v>1034</v>
      </c>
      <c r="B710" s="0" t="s">
        <v>91</v>
      </c>
      <c r="C710" s="0" t="str">
        <f aca="false">INDEX(Intent_Analysis!$B$5:$B$81,MATCH(B710,Intent_Analysis!$A$5:$A$81,0))</f>
        <v>Fees &amp; charges</v>
      </c>
      <c r="D710" s="0" t="n">
        <f aca="false">INDEX(Intent_Analysis!$E$5:$E$81,MATCH(B710,Intent_Analysis!$A$5:$A$81,0))</f>
        <v>2</v>
      </c>
    </row>
    <row r="711" customFormat="false" ht="15" hidden="false" customHeight="false" outlineLevel="0" collapsed="false">
      <c r="A711" s="0" t="s">
        <v>1035</v>
      </c>
      <c r="B711" s="0" t="s">
        <v>91</v>
      </c>
      <c r="C711" s="0" t="str">
        <f aca="false">INDEX(Intent_Analysis!$B$5:$B$81,MATCH(B711,Intent_Analysis!$A$5:$A$81,0))</f>
        <v>Fees &amp; charges</v>
      </c>
      <c r="D711" s="0" t="n">
        <f aca="false">INDEX(Intent_Analysis!$E$5:$E$81,MATCH(B711,Intent_Analysis!$A$5:$A$81,0))</f>
        <v>2</v>
      </c>
    </row>
    <row r="712" customFormat="false" ht="15" hidden="false" customHeight="false" outlineLevel="0" collapsed="false">
      <c r="A712" s="0" t="s">
        <v>1036</v>
      </c>
      <c r="B712" s="0" t="s">
        <v>91</v>
      </c>
      <c r="C712" s="0" t="str">
        <f aca="false">INDEX(Intent_Analysis!$B$5:$B$81,MATCH(B712,Intent_Analysis!$A$5:$A$81,0))</f>
        <v>Fees &amp; charges</v>
      </c>
      <c r="D712" s="0" t="n">
        <f aca="false">INDEX(Intent_Analysis!$E$5:$E$81,MATCH(B712,Intent_Analysis!$A$5:$A$81,0))</f>
        <v>2</v>
      </c>
    </row>
    <row r="713" customFormat="false" ht="15" hidden="false" customHeight="false" outlineLevel="0" collapsed="false">
      <c r="A713" s="0" t="s">
        <v>1037</v>
      </c>
      <c r="B713" s="0" t="s">
        <v>91</v>
      </c>
      <c r="C713" s="0" t="str">
        <f aca="false">INDEX(Intent_Analysis!$B$5:$B$81,MATCH(B713,Intent_Analysis!$A$5:$A$81,0))</f>
        <v>Fees &amp; charges</v>
      </c>
      <c r="D713" s="0" t="n">
        <f aca="false">INDEX(Intent_Analysis!$E$5:$E$81,MATCH(B713,Intent_Analysis!$A$5:$A$81,0))</f>
        <v>2</v>
      </c>
    </row>
    <row r="714" customFormat="false" ht="15" hidden="false" customHeight="false" outlineLevel="0" collapsed="false">
      <c r="A714" s="0" t="s">
        <v>1038</v>
      </c>
      <c r="B714" s="0" t="s">
        <v>91</v>
      </c>
      <c r="C714" s="0" t="str">
        <f aca="false">INDEX(Intent_Analysis!$B$5:$B$81,MATCH(B714,Intent_Analysis!$A$5:$A$81,0))</f>
        <v>Fees &amp; charges</v>
      </c>
      <c r="D714" s="0" t="n">
        <f aca="false">INDEX(Intent_Analysis!$E$5:$E$81,MATCH(B714,Intent_Analysis!$A$5:$A$81,0))</f>
        <v>2</v>
      </c>
    </row>
    <row r="715" customFormat="false" ht="15" hidden="false" customHeight="false" outlineLevel="0" collapsed="false">
      <c r="A715" s="0" t="s">
        <v>1039</v>
      </c>
      <c r="B715" s="0" t="s">
        <v>91</v>
      </c>
      <c r="C715" s="0" t="str">
        <f aca="false">INDEX(Intent_Analysis!$B$5:$B$81,MATCH(B715,Intent_Analysis!$A$5:$A$81,0))</f>
        <v>Fees &amp; charges</v>
      </c>
      <c r="D715" s="0" t="n">
        <f aca="false">INDEX(Intent_Analysis!$E$5:$E$81,MATCH(B715,Intent_Analysis!$A$5:$A$81,0))</f>
        <v>2</v>
      </c>
    </row>
    <row r="716" customFormat="false" ht="15" hidden="false" customHeight="false" outlineLevel="0" collapsed="false">
      <c r="A716" s="0" t="s">
        <v>1040</v>
      </c>
      <c r="B716" s="0" t="s">
        <v>91</v>
      </c>
      <c r="C716" s="0" t="str">
        <f aca="false">INDEX(Intent_Analysis!$B$5:$B$81,MATCH(B716,Intent_Analysis!$A$5:$A$81,0))</f>
        <v>Fees &amp; charges</v>
      </c>
      <c r="D716" s="0" t="n">
        <f aca="false">INDEX(Intent_Analysis!$E$5:$E$81,MATCH(B716,Intent_Analysis!$A$5:$A$81,0))</f>
        <v>2</v>
      </c>
    </row>
    <row r="717" customFormat="false" ht="15" hidden="false" customHeight="false" outlineLevel="0" collapsed="false">
      <c r="A717" s="0" t="s">
        <v>1041</v>
      </c>
      <c r="B717" s="0" t="s">
        <v>91</v>
      </c>
      <c r="C717" s="0" t="str">
        <f aca="false">INDEX(Intent_Analysis!$B$5:$B$81,MATCH(B717,Intent_Analysis!$A$5:$A$81,0))</f>
        <v>Fees &amp; charges</v>
      </c>
      <c r="D717" s="0" t="n">
        <f aca="false">INDEX(Intent_Analysis!$E$5:$E$81,MATCH(B717,Intent_Analysis!$A$5:$A$81,0))</f>
        <v>2</v>
      </c>
    </row>
    <row r="718" customFormat="false" ht="15" hidden="false" customHeight="false" outlineLevel="0" collapsed="false">
      <c r="A718" s="0" t="s">
        <v>1042</v>
      </c>
      <c r="B718" s="0" t="s">
        <v>91</v>
      </c>
      <c r="C718" s="0" t="str">
        <f aca="false">INDEX(Intent_Analysis!$B$5:$B$81,MATCH(B718,Intent_Analysis!$A$5:$A$81,0))</f>
        <v>Fees &amp; charges</v>
      </c>
      <c r="D718" s="0" t="n">
        <f aca="false">INDEX(Intent_Analysis!$E$5:$E$81,MATCH(B718,Intent_Analysis!$A$5:$A$81,0))</f>
        <v>2</v>
      </c>
    </row>
    <row r="719" customFormat="false" ht="15" hidden="false" customHeight="false" outlineLevel="0" collapsed="false">
      <c r="A719" s="0" t="s">
        <v>1043</v>
      </c>
      <c r="B719" s="0" t="s">
        <v>91</v>
      </c>
      <c r="C719" s="0" t="str">
        <f aca="false">INDEX(Intent_Analysis!$B$5:$B$81,MATCH(B719,Intent_Analysis!$A$5:$A$81,0))</f>
        <v>Fees &amp; charges</v>
      </c>
      <c r="D719" s="0" t="n">
        <f aca="false">INDEX(Intent_Analysis!$E$5:$E$81,MATCH(B719,Intent_Analysis!$A$5:$A$81,0))</f>
        <v>2</v>
      </c>
    </row>
    <row r="720" customFormat="false" ht="15" hidden="false" customHeight="false" outlineLevel="0" collapsed="false">
      <c r="A720" s="0" t="s">
        <v>1044</v>
      </c>
      <c r="B720" s="0" t="s">
        <v>91</v>
      </c>
      <c r="C720" s="0" t="str">
        <f aca="false">INDEX(Intent_Analysis!$B$5:$B$81,MATCH(B720,Intent_Analysis!$A$5:$A$81,0))</f>
        <v>Fees &amp; charges</v>
      </c>
      <c r="D720" s="0" t="n">
        <f aca="false">INDEX(Intent_Analysis!$E$5:$E$81,MATCH(B720,Intent_Analysis!$A$5:$A$81,0))</f>
        <v>2</v>
      </c>
    </row>
    <row r="721" customFormat="false" ht="15" hidden="false" customHeight="false" outlineLevel="0" collapsed="false">
      <c r="A721" s="0" t="s">
        <v>1045</v>
      </c>
      <c r="B721" s="0" t="s">
        <v>91</v>
      </c>
      <c r="C721" s="0" t="str">
        <f aca="false">INDEX(Intent_Analysis!$B$5:$B$81,MATCH(B721,Intent_Analysis!$A$5:$A$81,0))</f>
        <v>Fees &amp; charges</v>
      </c>
      <c r="D721" s="0" t="n">
        <f aca="false">INDEX(Intent_Analysis!$E$5:$E$81,MATCH(B721,Intent_Analysis!$A$5:$A$81,0))</f>
        <v>2</v>
      </c>
    </row>
    <row r="722" customFormat="false" ht="15" hidden="false" customHeight="false" outlineLevel="0" collapsed="false">
      <c r="A722" s="0" t="s">
        <v>1046</v>
      </c>
      <c r="B722" s="0" t="s">
        <v>91</v>
      </c>
      <c r="C722" s="0" t="str">
        <f aca="false">INDEX(Intent_Analysis!$B$5:$B$81,MATCH(B722,Intent_Analysis!$A$5:$A$81,0))</f>
        <v>Fees &amp; charges</v>
      </c>
      <c r="D722" s="0" t="n">
        <f aca="false">INDEX(Intent_Analysis!$E$5:$E$81,MATCH(B722,Intent_Analysis!$A$5:$A$81,0))</f>
        <v>2</v>
      </c>
    </row>
    <row r="723" customFormat="false" ht="15" hidden="false" customHeight="false" outlineLevel="0" collapsed="false">
      <c r="A723" s="0" t="s">
        <v>1047</v>
      </c>
      <c r="B723" s="0" t="s">
        <v>91</v>
      </c>
      <c r="C723" s="0" t="str">
        <f aca="false">INDEX(Intent_Analysis!$B$5:$B$81,MATCH(B723,Intent_Analysis!$A$5:$A$81,0))</f>
        <v>Fees &amp; charges</v>
      </c>
      <c r="D723" s="0" t="n">
        <f aca="false">INDEX(Intent_Analysis!$E$5:$E$81,MATCH(B723,Intent_Analysis!$A$5:$A$81,0))</f>
        <v>2</v>
      </c>
    </row>
    <row r="724" customFormat="false" ht="15" hidden="false" customHeight="false" outlineLevel="0" collapsed="false">
      <c r="A724" s="0" t="s">
        <v>1048</v>
      </c>
      <c r="B724" s="0" t="s">
        <v>91</v>
      </c>
      <c r="C724" s="0" t="str">
        <f aca="false">INDEX(Intent_Analysis!$B$5:$B$81,MATCH(B724,Intent_Analysis!$A$5:$A$81,0))</f>
        <v>Fees &amp; charges</v>
      </c>
      <c r="D724" s="0" t="n">
        <f aca="false">INDEX(Intent_Analysis!$E$5:$E$81,MATCH(B724,Intent_Analysis!$A$5:$A$81,0))</f>
        <v>2</v>
      </c>
    </row>
    <row r="725" customFormat="false" ht="15" hidden="false" customHeight="false" outlineLevel="0" collapsed="false">
      <c r="A725" s="0" t="s">
        <v>1049</v>
      </c>
      <c r="B725" s="0" t="s">
        <v>91</v>
      </c>
      <c r="C725" s="0" t="str">
        <f aca="false">INDEX(Intent_Analysis!$B$5:$B$81,MATCH(B725,Intent_Analysis!$A$5:$A$81,0))</f>
        <v>Fees &amp; charges</v>
      </c>
      <c r="D725" s="0" t="n">
        <f aca="false">INDEX(Intent_Analysis!$E$5:$E$81,MATCH(B725,Intent_Analysis!$A$5:$A$81,0))</f>
        <v>2</v>
      </c>
    </row>
    <row r="726" customFormat="false" ht="15" hidden="false" customHeight="false" outlineLevel="0" collapsed="false">
      <c r="A726" s="0" t="s">
        <v>1050</v>
      </c>
      <c r="B726" s="0" t="s">
        <v>91</v>
      </c>
      <c r="C726" s="0" t="str">
        <f aca="false">INDEX(Intent_Analysis!$B$5:$B$81,MATCH(B726,Intent_Analysis!$A$5:$A$81,0))</f>
        <v>Fees &amp; charges</v>
      </c>
      <c r="D726" s="0" t="n">
        <f aca="false">INDEX(Intent_Analysis!$E$5:$E$81,MATCH(B726,Intent_Analysis!$A$5:$A$81,0))</f>
        <v>2</v>
      </c>
    </row>
    <row r="727" customFormat="false" ht="15" hidden="false" customHeight="false" outlineLevel="0" collapsed="false">
      <c r="A727" s="0" t="s">
        <v>1051</v>
      </c>
      <c r="B727" s="0" t="s">
        <v>91</v>
      </c>
      <c r="C727" s="0" t="str">
        <f aca="false">INDEX(Intent_Analysis!$B$5:$B$81,MATCH(B727,Intent_Analysis!$A$5:$A$81,0))</f>
        <v>Fees &amp; charges</v>
      </c>
      <c r="D727" s="0" t="n">
        <f aca="false">INDEX(Intent_Analysis!$E$5:$E$81,MATCH(B727,Intent_Analysis!$A$5:$A$81,0))</f>
        <v>2</v>
      </c>
    </row>
    <row r="728" customFormat="false" ht="15" hidden="false" customHeight="false" outlineLevel="0" collapsed="false">
      <c r="A728" s="0" t="s">
        <v>1052</v>
      </c>
      <c r="B728" s="0" t="s">
        <v>91</v>
      </c>
      <c r="C728" s="0" t="str">
        <f aca="false">INDEX(Intent_Analysis!$B$5:$B$81,MATCH(B728,Intent_Analysis!$A$5:$A$81,0))</f>
        <v>Fees &amp; charges</v>
      </c>
      <c r="D728" s="0" t="n">
        <f aca="false">INDEX(Intent_Analysis!$E$5:$E$81,MATCH(B728,Intent_Analysis!$A$5:$A$81,0))</f>
        <v>2</v>
      </c>
    </row>
    <row r="729" customFormat="false" ht="15" hidden="false" customHeight="false" outlineLevel="0" collapsed="false">
      <c r="A729" s="0" t="s">
        <v>1053</v>
      </c>
      <c r="B729" s="0" t="s">
        <v>91</v>
      </c>
      <c r="C729" s="0" t="str">
        <f aca="false">INDEX(Intent_Analysis!$B$5:$B$81,MATCH(B729,Intent_Analysis!$A$5:$A$81,0))</f>
        <v>Fees &amp; charges</v>
      </c>
      <c r="D729" s="0" t="n">
        <f aca="false">INDEX(Intent_Analysis!$E$5:$E$81,MATCH(B729,Intent_Analysis!$A$5:$A$81,0))</f>
        <v>2</v>
      </c>
    </row>
    <row r="730" customFormat="false" ht="15" hidden="false" customHeight="false" outlineLevel="0" collapsed="false">
      <c r="A730" s="0" t="s">
        <v>1054</v>
      </c>
      <c r="B730" s="0" t="s">
        <v>91</v>
      </c>
      <c r="C730" s="0" t="str">
        <f aca="false">INDEX(Intent_Analysis!$B$5:$B$81,MATCH(B730,Intent_Analysis!$A$5:$A$81,0))</f>
        <v>Fees &amp; charges</v>
      </c>
      <c r="D730" s="0" t="n">
        <f aca="false">INDEX(Intent_Analysis!$E$5:$E$81,MATCH(B730,Intent_Analysis!$A$5:$A$81,0))</f>
        <v>2</v>
      </c>
    </row>
    <row r="731" customFormat="false" ht="15" hidden="false" customHeight="false" outlineLevel="0" collapsed="false">
      <c r="A731" s="0" t="s">
        <v>1055</v>
      </c>
      <c r="B731" s="0" t="s">
        <v>91</v>
      </c>
      <c r="C731" s="0" t="str">
        <f aca="false">INDEX(Intent_Analysis!$B$5:$B$81,MATCH(B731,Intent_Analysis!$A$5:$A$81,0))</f>
        <v>Fees &amp; charges</v>
      </c>
      <c r="D731" s="0" t="n">
        <f aca="false">INDEX(Intent_Analysis!$E$5:$E$81,MATCH(B731,Intent_Analysis!$A$5:$A$81,0))</f>
        <v>2</v>
      </c>
    </row>
    <row r="732" customFormat="false" ht="15" hidden="false" customHeight="false" outlineLevel="0" collapsed="false">
      <c r="A732" s="0" t="s">
        <v>1056</v>
      </c>
      <c r="B732" s="0" t="s">
        <v>91</v>
      </c>
      <c r="C732" s="0" t="str">
        <f aca="false">INDEX(Intent_Analysis!$B$5:$B$81,MATCH(B732,Intent_Analysis!$A$5:$A$81,0))</f>
        <v>Fees &amp; charges</v>
      </c>
      <c r="D732" s="0" t="n">
        <f aca="false">INDEX(Intent_Analysis!$E$5:$E$81,MATCH(B732,Intent_Analysis!$A$5:$A$81,0))</f>
        <v>2</v>
      </c>
    </row>
    <row r="733" customFormat="false" ht="15" hidden="false" customHeight="false" outlineLevel="0" collapsed="false">
      <c r="A733" s="0" t="s">
        <v>1057</v>
      </c>
      <c r="B733" s="0" t="s">
        <v>91</v>
      </c>
      <c r="C733" s="0" t="str">
        <f aca="false">INDEX(Intent_Analysis!$B$5:$B$81,MATCH(B733,Intent_Analysis!$A$5:$A$81,0))</f>
        <v>Fees &amp; charges</v>
      </c>
      <c r="D733" s="0" t="n">
        <f aca="false">INDEX(Intent_Analysis!$E$5:$E$81,MATCH(B733,Intent_Analysis!$A$5:$A$81,0))</f>
        <v>2</v>
      </c>
    </row>
    <row r="734" customFormat="false" ht="15" hidden="false" customHeight="false" outlineLevel="0" collapsed="false">
      <c r="A734" s="0" t="s">
        <v>1058</v>
      </c>
      <c r="B734" s="0" t="s">
        <v>91</v>
      </c>
      <c r="C734" s="0" t="str">
        <f aca="false">INDEX(Intent_Analysis!$B$5:$B$81,MATCH(B734,Intent_Analysis!$A$5:$A$81,0))</f>
        <v>Fees &amp; charges</v>
      </c>
      <c r="D734" s="0" t="n">
        <f aca="false">INDEX(Intent_Analysis!$E$5:$E$81,MATCH(B734,Intent_Analysis!$A$5:$A$81,0))</f>
        <v>2</v>
      </c>
    </row>
    <row r="735" customFormat="false" ht="15" hidden="false" customHeight="false" outlineLevel="0" collapsed="false">
      <c r="A735" s="0" t="s">
        <v>1059</v>
      </c>
      <c r="B735" s="0" t="s">
        <v>91</v>
      </c>
      <c r="C735" s="0" t="str">
        <f aca="false">INDEX(Intent_Analysis!$B$5:$B$81,MATCH(B735,Intent_Analysis!$A$5:$A$81,0))</f>
        <v>Fees &amp; charges</v>
      </c>
      <c r="D735" s="0" t="n">
        <f aca="false">INDEX(Intent_Analysis!$E$5:$E$81,MATCH(B735,Intent_Analysis!$A$5:$A$81,0))</f>
        <v>2</v>
      </c>
    </row>
    <row r="736" customFormat="false" ht="15" hidden="false" customHeight="false" outlineLevel="0" collapsed="false">
      <c r="A736" s="0" t="s">
        <v>1060</v>
      </c>
      <c r="B736" s="0" t="s">
        <v>91</v>
      </c>
      <c r="C736" s="0" t="str">
        <f aca="false">INDEX(Intent_Analysis!$B$5:$B$81,MATCH(B736,Intent_Analysis!$A$5:$A$81,0))</f>
        <v>Fees &amp; charges</v>
      </c>
      <c r="D736" s="0" t="n">
        <f aca="false">INDEX(Intent_Analysis!$E$5:$E$81,MATCH(B736,Intent_Analysis!$A$5:$A$81,0))</f>
        <v>2</v>
      </c>
    </row>
    <row r="737" customFormat="false" ht="15" hidden="false" customHeight="false" outlineLevel="0" collapsed="false">
      <c r="A737" s="0" t="s">
        <v>1061</v>
      </c>
      <c r="B737" s="0" t="s">
        <v>91</v>
      </c>
      <c r="C737" s="0" t="str">
        <f aca="false">INDEX(Intent_Analysis!$B$5:$B$81,MATCH(B737,Intent_Analysis!$A$5:$A$81,0))</f>
        <v>Fees &amp; charges</v>
      </c>
      <c r="D737" s="0" t="n">
        <f aca="false">INDEX(Intent_Analysis!$E$5:$E$81,MATCH(B737,Intent_Analysis!$A$5:$A$81,0))</f>
        <v>2</v>
      </c>
    </row>
    <row r="738" customFormat="false" ht="15" hidden="false" customHeight="false" outlineLevel="0" collapsed="false">
      <c r="A738" s="0" t="s">
        <v>1062</v>
      </c>
      <c r="B738" s="0" t="s">
        <v>91</v>
      </c>
      <c r="C738" s="0" t="str">
        <f aca="false">INDEX(Intent_Analysis!$B$5:$B$81,MATCH(B738,Intent_Analysis!$A$5:$A$81,0))</f>
        <v>Fees &amp; charges</v>
      </c>
      <c r="D738" s="0" t="n">
        <f aca="false">INDEX(Intent_Analysis!$E$5:$E$81,MATCH(B738,Intent_Analysis!$A$5:$A$81,0))</f>
        <v>2</v>
      </c>
    </row>
    <row r="739" customFormat="false" ht="15" hidden="false" customHeight="false" outlineLevel="0" collapsed="false">
      <c r="A739" s="0" t="s">
        <v>1063</v>
      </c>
      <c r="B739" s="0" t="s">
        <v>79</v>
      </c>
      <c r="C739" s="0" t="str">
        <f aca="false">INDEX(Intent_Analysis!$B$5:$B$81,MATCH(B739,Intent_Analysis!$A$5:$A$81,0))</f>
        <v>Cash, ATM &amp; deposits</v>
      </c>
      <c r="D739" s="0" t="n">
        <f aca="false">INDEX(Intent_Analysis!$E$5:$E$81,MATCH(B739,Intent_Analysis!$A$5:$A$81,0))</f>
        <v>2</v>
      </c>
    </row>
    <row r="740" customFormat="false" ht="15" hidden="false" customHeight="false" outlineLevel="0" collapsed="false">
      <c r="A740" s="0" t="s">
        <v>1064</v>
      </c>
      <c r="B740" s="0" t="s">
        <v>79</v>
      </c>
      <c r="C740" s="0" t="str">
        <f aca="false">INDEX(Intent_Analysis!$B$5:$B$81,MATCH(B740,Intent_Analysis!$A$5:$A$81,0))</f>
        <v>Cash, ATM &amp; deposits</v>
      </c>
      <c r="D740" s="0" t="n">
        <f aca="false">INDEX(Intent_Analysis!$E$5:$E$81,MATCH(B740,Intent_Analysis!$A$5:$A$81,0))</f>
        <v>2</v>
      </c>
    </row>
    <row r="741" customFormat="false" ht="15" hidden="false" customHeight="false" outlineLevel="0" collapsed="false">
      <c r="A741" s="0" t="s">
        <v>1065</v>
      </c>
      <c r="B741" s="0" t="s">
        <v>79</v>
      </c>
      <c r="C741" s="0" t="str">
        <f aca="false">INDEX(Intent_Analysis!$B$5:$B$81,MATCH(B741,Intent_Analysis!$A$5:$A$81,0))</f>
        <v>Cash, ATM &amp; deposits</v>
      </c>
      <c r="D741" s="0" t="n">
        <f aca="false">INDEX(Intent_Analysis!$E$5:$E$81,MATCH(B741,Intent_Analysis!$A$5:$A$81,0))</f>
        <v>2</v>
      </c>
    </row>
    <row r="742" customFormat="false" ht="15" hidden="false" customHeight="false" outlineLevel="0" collapsed="false">
      <c r="A742" s="0" t="s">
        <v>1066</v>
      </c>
      <c r="B742" s="0" t="s">
        <v>79</v>
      </c>
      <c r="C742" s="0" t="str">
        <f aca="false">INDEX(Intent_Analysis!$B$5:$B$81,MATCH(B742,Intent_Analysis!$A$5:$A$81,0))</f>
        <v>Cash, ATM &amp; deposits</v>
      </c>
      <c r="D742" s="0" t="n">
        <f aca="false">INDEX(Intent_Analysis!$E$5:$E$81,MATCH(B742,Intent_Analysis!$A$5:$A$81,0))</f>
        <v>2</v>
      </c>
    </row>
    <row r="743" customFormat="false" ht="15" hidden="false" customHeight="false" outlineLevel="0" collapsed="false">
      <c r="A743" s="0" t="s">
        <v>1067</v>
      </c>
      <c r="B743" s="0" t="s">
        <v>79</v>
      </c>
      <c r="C743" s="0" t="str">
        <f aca="false">INDEX(Intent_Analysis!$B$5:$B$81,MATCH(B743,Intent_Analysis!$A$5:$A$81,0))</f>
        <v>Cash, ATM &amp; deposits</v>
      </c>
      <c r="D743" s="0" t="n">
        <f aca="false">INDEX(Intent_Analysis!$E$5:$E$81,MATCH(B743,Intent_Analysis!$A$5:$A$81,0))</f>
        <v>2</v>
      </c>
    </row>
    <row r="744" customFormat="false" ht="15" hidden="false" customHeight="false" outlineLevel="0" collapsed="false">
      <c r="A744" s="0" t="s">
        <v>1068</v>
      </c>
      <c r="B744" s="0" t="s">
        <v>79</v>
      </c>
      <c r="C744" s="0" t="str">
        <f aca="false">INDEX(Intent_Analysis!$B$5:$B$81,MATCH(B744,Intent_Analysis!$A$5:$A$81,0))</f>
        <v>Cash, ATM &amp; deposits</v>
      </c>
      <c r="D744" s="0" t="n">
        <f aca="false">INDEX(Intent_Analysis!$E$5:$E$81,MATCH(B744,Intent_Analysis!$A$5:$A$81,0))</f>
        <v>2</v>
      </c>
    </row>
    <row r="745" customFormat="false" ht="15" hidden="false" customHeight="false" outlineLevel="0" collapsed="false">
      <c r="A745" s="0" t="s">
        <v>1069</v>
      </c>
      <c r="B745" s="0" t="s">
        <v>79</v>
      </c>
      <c r="C745" s="0" t="str">
        <f aca="false">INDEX(Intent_Analysis!$B$5:$B$81,MATCH(B745,Intent_Analysis!$A$5:$A$81,0))</f>
        <v>Cash, ATM &amp; deposits</v>
      </c>
      <c r="D745" s="0" t="n">
        <f aca="false">INDEX(Intent_Analysis!$E$5:$E$81,MATCH(B745,Intent_Analysis!$A$5:$A$81,0))</f>
        <v>2</v>
      </c>
    </row>
    <row r="746" customFormat="false" ht="15" hidden="false" customHeight="false" outlineLevel="0" collapsed="false">
      <c r="A746" s="0" t="s">
        <v>1070</v>
      </c>
      <c r="B746" s="0" t="s">
        <v>79</v>
      </c>
      <c r="C746" s="0" t="str">
        <f aca="false">INDEX(Intent_Analysis!$B$5:$B$81,MATCH(B746,Intent_Analysis!$A$5:$A$81,0))</f>
        <v>Cash, ATM &amp; deposits</v>
      </c>
      <c r="D746" s="0" t="n">
        <f aca="false">INDEX(Intent_Analysis!$E$5:$E$81,MATCH(B746,Intent_Analysis!$A$5:$A$81,0))</f>
        <v>2</v>
      </c>
    </row>
    <row r="747" customFormat="false" ht="15" hidden="false" customHeight="false" outlineLevel="0" collapsed="false">
      <c r="A747" s="0" t="s">
        <v>1071</v>
      </c>
      <c r="B747" s="0" t="s">
        <v>79</v>
      </c>
      <c r="C747" s="0" t="str">
        <f aca="false">INDEX(Intent_Analysis!$B$5:$B$81,MATCH(B747,Intent_Analysis!$A$5:$A$81,0))</f>
        <v>Cash, ATM &amp; deposits</v>
      </c>
      <c r="D747" s="0" t="n">
        <f aca="false">INDEX(Intent_Analysis!$E$5:$E$81,MATCH(B747,Intent_Analysis!$A$5:$A$81,0))</f>
        <v>2</v>
      </c>
    </row>
    <row r="748" customFormat="false" ht="15" hidden="false" customHeight="false" outlineLevel="0" collapsed="false">
      <c r="A748" s="0" t="s">
        <v>1072</v>
      </c>
      <c r="B748" s="0" t="s">
        <v>79</v>
      </c>
      <c r="C748" s="0" t="str">
        <f aca="false">INDEX(Intent_Analysis!$B$5:$B$81,MATCH(B748,Intent_Analysis!$A$5:$A$81,0))</f>
        <v>Cash, ATM &amp; deposits</v>
      </c>
      <c r="D748" s="0" t="n">
        <f aca="false">INDEX(Intent_Analysis!$E$5:$E$81,MATCH(B748,Intent_Analysis!$A$5:$A$81,0))</f>
        <v>2</v>
      </c>
    </row>
    <row r="749" customFormat="false" ht="15" hidden="false" customHeight="false" outlineLevel="0" collapsed="false">
      <c r="A749" s="0" t="s">
        <v>1073</v>
      </c>
      <c r="B749" s="0" t="s">
        <v>79</v>
      </c>
      <c r="C749" s="0" t="str">
        <f aca="false">INDEX(Intent_Analysis!$B$5:$B$81,MATCH(B749,Intent_Analysis!$A$5:$A$81,0))</f>
        <v>Cash, ATM &amp; deposits</v>
      </c>
      <c r="D749" s="0" t="n">
        <f aca="false">INDEX(Intent_Analysis!$E$5:$E$81,MATCH(B749,Intent_Analysis!$A$5:$A$81,0))</f>
        <v>2</v>
      </c>
    </row>
    <row r="750" customFormat="false" ht="15" hidden="false" customHeight="false" outlineLevel="0" collapsed="false">
      <c r="A750" s="0" t="s">
        <v>1074</v>
      </c>
      <c r="B750" s="0" t="s">
        <v>79</v>
      </c>
      <c r="C750" s="0" t="str">
        <f aca="false">INDEX(Intent_Analysis!$B$5:$B$81,MATCH(B750,Intent_Analysis!$A$5:$A$81,0))</f>
        <v>Cash, ATM &amp; deposits</v>
      </c>
      <c r="D750" s="0" t="n">
        <f aca="false">INDEX(Intent_Analysis!$E$5:$E$81,MATCH(B750,Intent_Analysis!$A$5:$A$81,0))</f>
        <v>2</v>
      </c>
    </row>
    <row r="751" customFormat="false" ht="15" hidden="false" customHeight="false" outlineLevel="0" collapsed="false">
      <c r="A751" s="0" t="s">
        <v>1075</v>
      </c>
      <c r="B751" s="0" t="s">
        <v>79</v>
      </c>
      <c r="C751" s="0" t="str">
        <f aca="false">INDEX(Intent_Analysis!$B$5:$B$81,MATCH(B751,Intent_Analysis!$A$5:$A$81,0))</f>
        <v>Cash, ATM &amp; deposits</v>
      </c>
      <c r="D751" s="0" t="n">
        <f aca="false">INDEX(Intent_Analysis!$E$5:$E$81,MATCH(B751,Intent_Analysis!$A$5:$A$81,0))</f>
        <v>2</v>
      </c>
    </row>
    <row r="752" customFormat="false" ht="15" hidden="false" customHeight="false" outlineLevel="0" collapsed="false">
      <c r="A752" s="0" t="s">
        <v>1076</v>
      </c>
      <c r="B752" s="0" t="s">
        <v>79</v>
      </c>
      <c r="C752" s="0" t="str">
        <f aca="false">INDEX(Intent_Analysis!$B$5:$B$81,MATCH(B752,Intent_Analysis!$A$5:$A$81,0))</f>
        <v>Cash, ATM &amp; deposits</v>
      </c>
      <c r="D752" s="0" t="n">
        <f aca="false">INDEX(Intent_Analysis!$E$5:$E$81,MATCH(B752,Intent_Analysis!$A$5:$A$81,0))</f>
        <v>2</v>
      </c>
    </row>
    <row r="753" customFormat="false" ht="15" hidden="false" customHeight="false" outlineLevel="0" collapsed="false">
      <c r="A753" s="0" t="s">
        <v>1077</v>
      </c>
      <c r="B753" s="0" t="s">
        <v>79</v>
      </c>
      <c r="C753" s="0" t="str">
        <f aca="false">INDEX(Intent_Analysis!$B$5:$B$81,MATCH(B753,Intent_Analysis!$A$5:$A$81,0))</f>
        <v>Cash, ATM &amp; deposits</v>
      </c>
      <c r="D753" s="0" t="n">
        <f aca="false">INDEX(Intent_Analysis!$E$5:$E$81,MATCH(B753,Intent_Analysis!$A$5:$A$81,0))</f>
        <v>2</v>
      </c>
    </row>
    <row r="754" customFormat="false" ht="15" hidden="false" customHeight="false" outlineLevel="0" collapsed="false">
      <c r="A754" s="0" t="s">
        <v>1078</v>
      </c>
      <c r="B754" s="0" t="s">
        <v>79</v>
      </c>
      <c r="C754" s="0" t="str">
        <f aca="false">INDEX(Intent_Analysis!$B$5:$B$81,MATCH(B754,Intent_Analysis!$A$5:$A$81,0))</f>
        <v>Cash, ATM &amp; deposits</v>
      </c>
      <c r="D754" s="0" t="n">
        <f aca="false">INDEX(Intent_Analysis!$E$5:$E$81,MATCH(B754,Intent_Analysis!$A$5:$A$81,0))</f>
        <v>2</v>
      </c>
    </row>
    <row r="755" customFormat="false" ht="15" hidden="false" customHeight="false" outlineLevel="0" collapsed="false">
      <c r="A755" s="0" t="s">
        <v>1079</v>
      </c>
      <c r="B755" s="0" t="s">
        <v>79</v>
      </c>
      <c r="C755" s="0" t="str">
        <f aca="false">INDEX(Intent_Analysis!$B$5:$B$81,MATCH(B755,Intent_Analysis!$A$5:$A$81,0))</f>
        <v>Cash, ATM &amp; deposits</v>
      </c>
      <c r="D755" s="0" t="n">
        <f aca="false">INDEX(Intent_Analysis!$E$5:$E$81,MATCH(B755,Intent_Analysis!$A$5:$A$81,0))</f>
        <v>2</v>
      </c>
    </row>
    <row r="756" customFormat="false" ht="15" hidden="false" customHeight="false" outlineLevel="0" collapsed="false">
      <c r="A756" s="0" t="s">
        <v>1080</v>
      </c>
      <c r="B756" s="0" t="s">
        <v>79</v>
      </c>
      <c r="C756" s="0" t="str">
        <f aca="false">INDEX(Intent_Analysis!$B$5:$B$81,MATCH(B756,Intent_Analysis!$A$5:$A$81,0))</f>
        <v>Cash, ATM &amp; deposits</v>
      </c>
      <c r="D756" s="0" t="n">
        <f aca="false">INDEX(Intent_Analysis!$E$5:$E$81,MATCH(B756,Intent_Analysis!$A$5:$A$81,0))</f>
        <v>2</v>
      </c>
    </row>
    <row r="757" customFormat="false" ht="15" hidden="false" customHeight="false" outlineLevel="0" collapsed="false">
      <c r="A757" s="0" t="s">
        <v>1081</v>
      </c>
      <c r="B757" s="0" t="s">
        <v>79</v>
      </c>
      <c r="C757" s="0" t="str">
        <f aca="false">INDEX(Intent_Analysis!$B$5:$B$81,MATCH(B757,Intent_Analysis!$A$5:$A$81,0))</f>
        <v>Cash, ATM &amp; deposits</v>
      </c>
      <c r="D757" s="0" t="n">
        <f aca="false">INDEX(Intent_Analysis!$E$5:$E$81,MATCH(B757,Intent_Analysis!$A$5:$A$81,0))</f>
        <v>2</v>
      </c>
    </row>
    <row r="758" customFormat="false" ht="15" hidden="false" customHeight="false" outlineLevel="0" collapsed="false">
      <c r="A758" s="0" t="s">
        <v>1082</v>
      </c>
      <c r="B758" s="0" t="s">
        <v>79</v>
      </c>
      <c r="C758" s="0" t="str">
        <f aca="false">INDEX(Intent_Analysis!$B$5:$B$81,MATCH(B758,Intent_Analysis!$A$5:$A$81,0))</f>
        <v>Cash, ATM &amp; deposits</v>
      </c>
      <c r="D758" s="0" t="n">
        <f aca="false">INDEX(Intent_Analysis!$E$5:$E$81,MATCH(B758,Intent_Analysis!$A$5:$A$81,0))</f>
        <v>2</v>
      </c>
    </row>
    <row r="759" customFormat="false" ht="15" hidden="false" customHeight="false" outlineLevel="0" collapsed="false">
      <c r="A759" s="0" t="s">
        <v>1083</v>
      </c>
      <c r="B759" s="0" t="s">
        <v>79</v>
      </c>
      <c r="C759" s="0" t="str">
        <f aca="false">INDEX(Intent_Analysis!$B$5:$B$81,MATCH(B759,Intent_Analysis!$A$5:$A$81,0))</f>
        <v>Cash, ATM &amp; deposits</v>
      </c>
      <c r="D759" s="0" t="n">
        <f aca="false">INDEX(Intent_Analysis!$E$5:$E$81,MATCH(B759,Intent_Analysis!$A$5:$A$81,0))</f>
        <v>2</v>
      </c>
    </row>
    <row r="760" customFormat="false" ht="15" hidden="false" customHeight="false" outlineLevel="0" collapsed="false">
      <c r="A760" s="0" t="s">
        <v>1084</v>
      </c>
      <c r="B760" s="0" t="s">
        <v>79</v>
      </c>
      <c r="C760" s="0" t="str">
        <f aca="false">INDEX(Intent_Analysis!$B$5:$B$81,MATCH(B760,Intent_Analysis!$A$5:$A$81,0))</f>
        <v>Cash, ATM &amp; deposits</v>
      </c>
      <c r="D760" s="0" t="n">
        <f aca="false">INDEX(Intent_Analysis!$E$5:$E$81,MATCH(B760,Intent_Analysis!$A$5:$A$81,0))</f>
        <v>2</v>
      </c>
    </row>
    <row r="761" customFormat="false" ht="15" hidden="false" customHeight="false" outlineLevel="0" collapsed="false">
      <c r="A761" s="0" t="s">
        <v>1085</v>
      </c>
      <c r="B761" s="0" t="s">
        <v>79</v>
      </c>
      <c r="C761" s="0" t="str">
        <f aca="false">INDEX(Intent_Analysis!$B$5:$B$81,MATCH(B761,Intent_Analysis!$A$5:$A$81,0))</f>
        <v>Cash, ATM &amp; deposits</v>
      </c>
      <c r="D761" s="0" t="n">
        <f aca="false">INDEX(Intent_Analysis!$E$5:$E$81,MATCH(B761,Intent_Analysis!$A$5:$A$81,0))</f>
        <v>2</v>
      </c>
    </row>
    <row r="762" customFormat="false" ht="15" hidden="false" customHeight="false" outlineLevel="0" collapsed="false">
      <c r="A762" s="0" t="s">
        <v>1086</v>
      </c>
      <c r="B762" s="0" t="s">
        <v>79</v>
      </c>
      <c r="C762" s="0" t="str">
        <f aca="false">INDEX(Intent_Analysis!$B$5:$B$81,MATCH(B762,Intent_Analysis!$A$5:$A$81,0))</f>
        <v>Cash, ATM &amp; deposits</v>
      </c>
      <c r="D762" s="0" t="n">
        <f aca="false">INDEX(Intent_Analysis!$E$5:$E$81,MATCH(B762,Intent_Analysis!$A$5:$A$81,0))</f>
        <v>2</v>
      </c>
    </row>
    <row r="763" customFormat="false" ht="15" hidden="false" customHeight="false" outlineLevel="0" collapsed="false">
      <c r="A763" s="0" t="s">
        <v>1087</v>
      </c>
      <c r="B763" s="0" t="s">
        <v>79</v>
      </c>
      <c r="C763" s="0" t="str">
        <f aca="false">INDEX(Intent_Analysis!$B$5:$B$81,MATCH(B763,Intent_Analysis!$A$5:$A$81,0))</f>
        <v>Cash, ATM &amp; deposits</v>
      </c>
      <c r="D763" s="0" t="n">
        <f aca="false">INDEX(Intent_Analysis!$E$5:$E$81,MATCH(B763,Intent_Analysis!$A$5:$A$81,0))</f>
        <v>2</v>
      </c>
    </row>
    <row r="764" customFormat="false" ht="15" hidden="false" customHeight="false" outlineLevel="0" collapsed="false">
      <c r="A764" s="0" t="s">
        <v>1088</v>
      </c>
      <c r="B764" s="0" t="s">
        <v>79</v>
      </c>
      <c r="C764" s="0" t="str">
        <f aca="false">INDEX(Intent_Analysis!$B$5:$B$81,MATCH(B764,Intent_Analysis!$A$5:$A$81,0))</f>
        <v>Cash, ATM &amp; deposits</v>
      </c>
      <c r="D764" s="0" t="n">
        <f aca="false">INDEX(Intent_Analysis!$E$5:$E$81,MATCH(B764,Intent_Analysis!$A$5:$A$81,0))</f>
        <v>2</v>
      </c>
    </row>
    <row r="765" customFormat="false" ht="15" hidden="false" customHeight="false" outlineLevel="0" collapsed="false">
      <c r="A765" s="0" t="s">
        <v>1089</v>
      </c>
      <c r="B765" s="0" t="s">
        <v>79</v>
      </c>
      <c r="C765" s="0" t="str">
        <f aca="false">INDEX(Intent_Analysis!$B$5:$B$81,MATCH(B765,Intent_Analysis!$A$5:$A$81,0))</f>
        <v>Cash, ATM &amp; deposits</v>
      </c>
      <c r="D765" s="0" t="n">
        <f aca="false">INDEX(Intent_Analysis!$E$5:$E$81,MATCH(B765,Intent_Analysis!$A$5:$A$81,0))</f>
        <v>2</v>
      </c>
    </row>
    <row r="766" customFormat="false" ht="15" hidden="false" customHeight="false" outlineLevel="0" collapsed="false">
      <c r="A766" s="0" t="s">
        <v>1090</v>
      </c>
      <c r="B766" s="0" t="s">
        <v>79</v>
      </c>
      <c r="C766" s="0" t="str">
        <f aca="false">INDEX(Intent_Analysis!$B$5:$B$81,MATCH(B766,Intent_Analysis!$A$5:$A$81,0))</f>
        <v>Cash, ATM &amp; deposits</v>
      </c>
      <c r="D766" s="0" t="n">
        <f aca="false">INDEX(Intent_Analysis!$E$5:$E$81,MATCH(B766,Intent_Analysis!$A$5:$A$81,0))</f>
        <v>2</v>
      </c>
    </row>
    <row r="767" customFormat="false" ht="15" hidden="false" customHeight="false" outlineLevel="0" collapsed="false">
      <c r="A767" s="0" t="s">
        <v>1091</v>
      </c>
      <c r="B767" s="0" t="s">
        <v>79</v>
      </c>
      <c r="C767" s="0" t="str">
        <f aca="false">INDEX(Intent_Analysis!$B$5:$B$81,MATCH(B767,Intent_Analysis!$A$5:$A$81,0))</f>
        <v>Cash, ATM &amp; deposits</v>
      </c>
      <c r="D767" s="0" t="n">
        <f aca="false">INDEX(Intent_Analysis!$E$5:$E$81,MATCH(B767,Intent_Analysis!$A$5:$A$81,0))</f>
        <v>2</v>
      </c>
    </row>
    <row r="768" customFormat="false" ht="15" hidden="false" customHeight="false" outlineLevel="0" collapsed="false">
      <c r="A768" s="0" t="s">
        <v>1092</v>
      </c>
      <c r="B768" s="0" t="s">
        <v>79</v>
      </c>
      <c r="C768" s="0" t="str">
        <f aca="false">INDEX(Intent_Analysis!$B$5:$B$81,MATCH(B768,Intent_Analysis!$A$5:$A$81,0))</f>
        <v>Cash, ATM &amp; deposits</v>
      </c>
      <c r="D768" s="0" t="n">
        <f aca="false">INDEX(Intent_Analysis!$E$5:$E$81,MATCH(B768,Intent_Analysis!$A$5:$A$81,0))</f>
        <v>2</v>
      </c>
    </row>
    <row r="769" customFormat="false" ht="15" hidden="false" customHeight="false" outlineLevel="0" collapsed="false">
      <c r="A769" s="0" t="s">
        <v>1093</v>
      </c>
      <c r="B769" s="0" t="s">
        <v>79</v>
      </c>
      <c r="C769" s="0" t="str">
        <f aca="false">INDEX(Intent_Analysis!$B$5:$B$81,MATCH(B769,Intent_Analysis!$A$5:$A$81,0))</f>
        <v>Cash, ATM &amp; deposits</v>
      </c>
      <c r="D769" s="0" t="n">
        <f aca="false">INDEX(Intent_Analysis!$E$5:$E$81,MATCH(B769,Intent_Analysis!$A$5:$A$81,0))</f>
        <v>2</v>
      </c>
    </row>
    <row r="770" customFormat="false" ht="15" hidden="false" customHeight="false" outlineLevel="0" collapsed="false">
      <c r="A770" s="0" t="s">
        <v>1094</v>
      </c>
      <c r="B770" s="0" t="s">
        <v>79</v>
      </c>
      <c r="C770" s="0" t="str">
        <f aca="false">INDEX(Intent_Analysis!$B$5:$B$81,MATCH(B770,Intent_Analysis!$A$5:$A$81,0))</f>
        <v>Cash, ATM &amp; deposits</v>
      </c>
      <c r="D770" s="0" t="n">
        <f aca="false">INDEX(Intent_Analysis!$E$5:$E$81,MATCH(B770,Intent_Analysis!$A$5:$A$81,0))</f>
        <v>2</v>
      </c>
    </row>
    <row r="771" customFormat="false" ht="15" hidden="false" customHeight="false" outlineLevel="0" collapsed="false">
      <c r="A771" s="0" t="s">
        <v>1095</v>
      </c>
      <c r="B771" s="0" t="s">
        <v>79</v>
      </c>
      <c r="C771" s="0" t="str">
        <f aca="false">INDEX(Intent_Analysis!$B$5:$B$81,MATCH(B771,Intent_Analysis!$A$5:$A$81,0))</f>
        <v>Cash, ATM &amp; deposits</v>
      </c>
      <c r="D771" s="0" t="n">
        <f aca="false">INDEX(Intent_Analysis!$E$5:$E$81,MATCH(B771,Intent_Analysis!$A$5:$A$81,0))</f>
        <v>2</v>
      </c>
    </row>
    <row r="772" customFormat="false" ht="15" hidden="false" customHeight="false" outlineLevel="0" collapsed="false">
      <c r="A772" s="0" t="s">
        <v>1096</v>
      </c>
      <c r="B772" s="0" t="s">
        <v>79</v>
      </c>
      <c r="C772" s="0" t="str">
        <f aca="false">INDEX(Intent_Analysis!$B$5:$B$81,MATCH(B772,Intent_Analysis!$A$5:$A$81,0))</f>
        <v>Cash, ATM &amp; deposits</v>
      </c>
      <c r="D772" s="0" t="n">
        <f aca="false">INDEX(Intent_Analysis!$E$5:$E$81,MATCH(B772,Intent_Analysis!$A$5:$A$81,0))</f>
        <v>2</v>
      </c>
    </row>
    <row r="773" customFormat="false" ht="15" hidden="false" customHeight="false" outlineLevel="0" collapsed="false">
      <c r="A773" s="0" t="s">
        <v>1097</v>
      </c>
      <c r="B773" s="0" t="s">
        <v>79</v>
      </c>
      <c r="C773" s="0" t="str">
        <f aca="false">INDEX(Intent_Analysis!$B$5:$B$81,MATCH(B773,Intent_Analysis!$A$5:$A$81,0))</f>
        <v>Cash, ATM &amp; deposits</v>
      </c>
      <c r="D773" s="0" t="n">
        <f aca="false">INDEX(Intent_Analysis!$E$5:$E$81,MATCH(B773,Intent_Analysis!$A$5:$A$81,0))</f>
        <v>2</v>
      </c>
    </row>
    <row r="774" customFormat="false" ht="15" hidden="false" customHeight="false" outlineLevel="0" collapsed="false">
      <c r="A774" s="0" t="s">
        <v>1098</v>
      </c>
      <c r="B774" s="0" t="s">
        <v>79</v>
      </c>
      <c r="C774" s="0" t="str">
        <f aca="false">INDEX(Intent_Analysis!$B$5:$B$81,MATCH(B774,Intent_Analysis!$A$5:$A$81,0))</f>
        <v>Cash, ATM &amp; deposits</v>
      </c>
      <c r="D774" s="0" t="n">
        <f aca="false">INDEX(Intent_Analysis!$E$5:$E$81,MATCH(B774,Intent_Analysis!$A$5:$A$81,0))</f>
        <v>2</v>
      </c>
    </row>
    <row r="775" customFormat="false" ht="15" hidden="false" customHeight="false" outlineLevel="0" collapsed="false">
      <c r="A775" s="0" t="s">
        <v>1099</v>
      </c>
      <c r="B775" s="0" t="s">
        <v>79</v>
      </c>
      <c r="C775" s="0" t="str">
        <f aca="false">INDEX(Intent_Analysis!$B$5:$B$81,MATCH(B775,Intent_Analysis!$A$5:$A$81,0))</f>
        <v>Cash, ATM &amp; deposits</v>
      </c>
      <c r="D775" s="0" t="n">
        <f aca="false">INDEX(Intent_Analysis!$E$5:$E$81,MATCH(B775,Intent_Analysis!$A$5:$A$81,0))</f>
        <v>2</v>
      </c>
    </row>
    <row r="776" customFormat="false" ht="15" hidden="false" customHeight="false" outlineLevel="0" collapsed="false">
      <c r="A776" s="0" t="s">
        <v>1100</v>
      </c>
      <c r="B776" s="0" t="s">
        <v>79</v>
      </c>
      <c r="C776" s="0" t="str">
        <f aca="false">INDEX(Intent_Analysis!$B$5:$B$81,MATCH(B776,Intent_Analysis!$A$5:$A$81,0))</f>
        <v>Cash, ATM &amp; deposits</v>
      </c>
      <c r="D776" s="0" t="n">
        <f aca="false">INDEX(Intent_Analysis!$E$5:$E$81,MATCH(B776,Intent_Analysis!$A$5:$A$81,0))</f>
        <v>2</v>
      </c>
    </row>
    <row r="777" customFormat="false" ht="15" hidden="false" customHeight="false" outlineLevel="0" collapsed="false">
      <c r="A777" s="0" t="s">
        <v>1101</v>
      </c>
      <c r="B777" s="0" t="s">
        <v>79</v>
      </c>
      <c r="C777" s="0" t="str">
        <f aca="false">INDEX(Intent_Analysis!$B$5:$B$81,MATCH(B777,Intent_Analysis!$A$5:$A$81,0))</f>
        <v>Cash, ATM &amp; deposits</v>
      </c>
      <c r="D777" s="0" t="n">
        <f aca="false">INDEX(Intent_Analysis!$E$5:$E$81,MATCH(B777,Intent_Analysis!$A$5:$A$81,0))</f>
        <v>2</v>
      </c>
    </row>
    <row r="778" customFormat="false" ht="15" hidden="false" customHeight="false" outlineLevel="0" collapsed="false">
      <c r="A778" s="0" t="s">
        <v>1102</v>
      </c>
      <c r="B778" s="0" t="s">
        <v>79</v>
      </c>
      <c r="C778" s="0" t="str">
        <f aca="false">INDEX(Intent_Analysis!$B$5:$B$81,MATCH(B778,Intent_Analysis!$A$5:$A$81,0))</f>
        <v>Cash, ATM &amp; deposits</v>
      </c>
      <c r="D778" s="0" t="n">
        <f aca="false">INDEX(Intent_Analysis!$E$5:$E$81,MATCH(B778,Intent_Analysis!$A$5:$A$81,0))</f>
        <v>2</v>
      </c>
    </row>
    <row r="779" customFormat="false" ht="15" hidden="false" customHeight="false" outlineLevel="0" collapsed="false">
      <c r="A779" s="0" t="s">
        <v>1103</v>
      </c>
      <c r="B779" s="0" t="s">
        <v>79</v>
      </c>
      <c r="C779" s="0" t="str">
        <f aca="false">INDEX(Intent_Analysis!$B$5:$B$81,MATCH(B779,Intent_Analysis!$A$5:$A$81,0))</f>
        <v>Cash, ATM &amp; deposits</v>
      </c>
      <c r="D779" s="0" t="n">
        <f aca="false">INDEX(Intent_Analysis!$E$5:$E$81,MATCH(B779,Intent_Analysis!$A$5:$A$81,0))</f>
        <v>2</v>
      </c>
    </row>
    <row r="780" customFormat="false" ht="15" hidden="false" customHeight="false" outlineLevel="0" collapsed="false">
      <c r="A780" s="0" t="s">
        <v>1104</v>
      </c>
      <c r="B780" s="0" t="s">
        <v>79</v>
      </c>
      <c r="C780" s="0" t="str">
        <f aca="false">INDEX(Intent_Analysis!$B$5:$B$81,MATCH(B780,Intent_Analysis!$A$5:$A$81,0))</f>
        <v>Cash, ATM &amp; deposits</v>
      </c>
      <c r="D780" s="0" t="n">
        <f aca="false">INDEX(Intent_Analysis!$E$5:$E$81,MATCH(B780,Intent_Analysis!$A$5:$A$81,0))</f>
        <v>2</v>
      </c>
    </row>
    <row r="781" customFormat="false" ht="15" hidden="false" customHeight="false" outlineLevel="0" collapsed="false">
      <c r="A781" s="0" t="s">
        <v>1105</v>
      </c>
      <c r="B781" s="0" t="s">
        <v>79</v>
      </c>
      <c r="C781" s="0" t="str">
        <f aca="false">INDEX(Intent_Analysis!$B$5:$B$81,MATCH(B781,Intent_Analysis!$A$5:$A$81,0))</f>
        <v>Cash, ATM &amp; deposits</v>
      </c>
      <c r="D781" s="0" t="n">
        <f aca="false">INDEX(Intent_Analysis!$E$5:$E$81,MATCH(B781,Intent_Analysis!$A$5:$A$81,0))</f>
        <v>2</v>
      </c>
    </row>
    <row r="782" customFormat="false" ht="15" hidden="false" customHeight="false" outlineLevel="0" collapsed="false">
      <c r="A782" s="0" t="s">
        <v>1106</v>
      </c>
      <c r="B782" s="0" t="s">
        <v>79</v>
      </c>
      <c r="C782" s="0" t="str">
        <f aca="false">INDEX(Intent_Analysis!$B$5:$B$81,MATCH(B782,Intent_Analysis!$A$5:$A$81,0))</f>
        <v>Cash, ATM &amp; deposits</v>
      </c>
      <c r="D782" s="0" t="n">
        <f aca="false">INDEX(Intent_Analysis!$E$5:$E$81,MATCH(B782,Intent_Analysis!$A$5:$A$81,0))</f>
        <v>2</v>
      </c>
    </row>
    <row r="783" customFormat="false" ht="15" hidden="false" customHeight="false" outlineLevel="0" collapsed="false">
      <c r="A783" s="0" t="s">
        <v>1107</v>
      </c>
      <c r="B783" s="0" t="s">
        <v>79</v>
      </c>
      <c r="C783" s="0" t="str">
        <f aca="false">INDEX(Intent_Analysis!$B$5:$B$81,MATCH(B783,Intent_Analysis!$A$5:$A$81,0))</f>
        <v>Cash, ATM &amp; deposits</v>
      </c>
      <c r="D783" s="0" t="n">
        <f aca="false">INDEX(Intent_Analysis!$E$5:$E$81,MATCH(B783,Intent_Analysis!$A$5:$A$81,0))</f>
        <v>2</v>
      </c>
    </row>
    <row r="784" customFormat="false" ht="15" hidden="false" customHeight="false" outlineLevel="0" collapsed="false">
      <c r="A784" s="0" t="s">
        <v>1108</v>
      </c>
      <c r="B784" s="0" t="s">
        <v>79</v>
      </c>
      <c r="C784" s="0" t="str">
        <f aca="false">INDEX(Intent_Analysis!$B$5:$B$81,MATCH(B784,Intent_Analysis!$A$5:$A$81,0))</f>
        <v>Cash, ATM &amp; deposits</v>
      </c>
      <c r="D784" s="0" t="n">
        <f aca="false">INDEX(Intent_Analysis!$E$5:$E$81,MATCH(B784,Intent_Analysis!$A$5:$A$81,0))</f>
        <v>2</v>
      </c>
    </row>
    <row r="785" customFormat="false" ht="15" hidden="false" customHeight="false" outlineLevel="0" collapsed="false">
      <c r="A785" s="0" t="s">
        <v>1109</v>
      </c>
      <c r="B785" s="0" t="s">
        <v>79</v>
      </c>
      <c r="C785" s="0" t="str">
        <f aca="false">INDEX(Intent_Analysis!$B$5:$B$81,MATCH(B785,Intent_Analysis!$A$5:$A$81,0))</f>
        <v>Cash, ATM &amp; deposits</v>
      </c>
      <c r="D785" s="0" t="n">
        <f aca="false">INDEX(Intent_Analysis!$E$5:$E$81,MATCH(B785,Intent_Analysis!$A$5:$A$81,0))</f>
        <v>2</v>
      </c>
    </row>
    <row r="786" customFormat="false" ht="15" hidden="false" customHeight="false" outlineLevel="0" collapsed="false">
      <c r="A786" s="0" t="s">
        <v>1110</v>
      </c>
      <c r="B786" s="0" t="s">
        <v>79</v>
      </c>
      <c r="C786" s="0" t="str">
        <f aca="false">INDEX(Intent_Analysis!$B$5:$B$81,MATCH(B786,Intent_Analysis!$A$5:$A$81,0))</f>
        <v>Cash, ATM &amp; deposits</v>
      </c>
      <c r="D786" s="0" t="n">
        <f aca="false">INDEX(Intent_Analysis!$E$5:$E$81,MATCH(B786,Intent_Analysis!$A$5:$A$81,0))</f>
        <v>2</v>
      </c>
    </row>
    <row r="787" customFormat="false" ht="15" hidden="false" customHeight="false" outlineLevel="0" collapsed="false">
      <c r="A787" s="0" t="s">
        <v>1111</v>
      </c>
      <c r="B787" s="0" t="s">
        <v>79</v>
      </c>
      <c r="C787" s="0" t="str">
        <f aca="false">INDEX(Intent_Analysis!$B$5:$B$81,MATCH(B787,Intent_Analysis!$A$5:$A$81,0))</f>
        <v>Cash, ATM &amp; deposits</v>
      </c>
      <c r="D787" s="0" t="n">
        <f aca="false">INDEX(Intent_Analysis!$E$5:$E$81,MATCH(B787,Intent_Analysis!$A$5:$A$81,0))</f>
        <v>2</v>
      </c>
    </row>
    <row r="788" customFormat="false" ht="15" hidden="false" customHeight="false" outlineLevel="0" collapsed="false">
      <c r="A788" s="0" t="s">
        <v>1112</v>
      </c>
      <c r="B788" s="0" t="s">
        <v>79</v>
      </c>
      <c r="C788" s="0" t="str">
        <f aca="false">INDEX(Intent_Analysis!$B$5:$B$81,MATCH(B788,Intent_Analysis!$A$5:$A$81,0))</f>
        <v>Cash, ATM &amp; deposits</v>
      </c>
      <c r="D788" s="0" t="n">
        <f aca="false">INDEX(Intent_Analysis!$E$5:$E$81,MATCH(B788,Intent_Analysis!$A$5:$A$81,0))</f>
        <v>2</v>
      </c>
    </row>
    <row r="789" customFormat="false" ht="15" hidden="false" customHeight="false" outlineLevel="0" collapsed="false">
      <c r="A789" s="0" t="s">
        <v>1113</v>
      </c>
      <c r="B789" s="0" t="s">
        <v>79</v>
      </c>
      <c r="C789" s="0" t="str">
        <f aca="false">INDEX(Intent_Analysis!$B$5:$B$81,MATCH(B789,Intent_Analysis!$A$5:$A$81,0))</f>
        <v>Cash, ATM &amp; deposits</v>
      </c>
      <c r="D789" s="0" t="n">
        <f aca="false">INDEX(Intent_Analysis!$E$5:$E$81,MATCH(B789,Intent_Analysis!$A$5:$A$81,0))</f>
        <v>2</v>
      </c>
    </row>
    <row r="790" customFormat="false" ht="15" hidden="false" customHeight="false" outlineLevel="0" collapsed="false">
      <c r="A790" s="0" t="s">
        <v>1114</v>
      </c>
      <c r="B790" s="0" t="s">
        <v>79</v>
      </c>
      <c r="C790" s="0" t="str">
        <f aca="false">INDEX(Intent_Analysis!$B$5:$B$81,MATCH(B790,Intent_Analysis!$A$5:$A$81,0))</f>
        <v>Cash, ATM &amp; deposits</v>
      </c>
      <c r="D790" s="0" t="n">
        <f aca="false">INDEX(Intent_Analysis!$E$5:$E$81,MATCH(B790,Intent_Analysis!$A$5:$A$81,0))</f>
        <v>2</v>
      </c>
    </row>
    <row r="791" customFormat="false" ht="15" hidden="false" customHeight="false" outlineLevel="0" collapsed="false">
      <c r="A791" s="0" t="s">
        <v>1115</v>
      </c>
      <c r="B791" s="0" t="s">
        <v>79</v>
      </c>
      <c r="C791" s="0" t="str">
        <f aca="false">INDEX(Intent_Analysis!$B$5:$B$81,MATCH(B791,Intent_Analysis!$A$5:$A$81,0))</f>
        <v>Cash, ATM &amp; deposits</v>
      </c>
      <c r="D791" s="0" t="n">
        <f aca="false">INDEX(Intent_Analysis!$E$5:$E$81,MATCH(B791,Intent_Analysis!$A$5:$A$81,0))</f>
        <v>2</v>
      </c>
    </row>
    <row r="792" customFormat="false" ht="15" hidden="false" customHeight="false" outlineLevel="0" collapsed="false">
      <c r="A792" s="0" t="s">
        <v>1116</v>
      </c>
      <c r="B792" s="0" t="s">
        <v>79</v>
      </c>
      <c r="C792" s="0" t="str">
        <f aca="false">INDEX(Intent_Analysis!$B$5:$B$81,MATCH(B792,Intent_Analysis!$A$5:$A$81,0))</f>
        <v>Cash, ATM &amp; deposits</v>
      </c>
      <c r="D792" s="0" t="n">
        <f aca="false">INDEX(Intent_Analysis!$E$5:$E$81,MATCH(B792,Intent_Analysis!$A$5:$A$81,0))</f>
        <v>2</v>
      </c>
    </row>
    <row r="793" customFormat="false" ht="15" hidden="false" customHeight="false" outlineLevel="0" collapsed="false">
      <c r="A793" s="0" t="s">
        <v>1117</v>
      </c>
      <c r="B793" s="0" t="s">
        <v>79</v>
      </c>
      <c r="C793" s="0" t="str">
        <f aca="false">INDEX(Intent_Analysis!$B$5:$B$81,MATCH(B793,Intent_Analysis!$A$5:$A$81,0))</f>
        <v>Cash, ATM &amp; deposits</v>
      </c>
      <c r="D793" s="0" t="n">
        <f aca="false">INDEX(Intent_Analysis!$E$5:$E$81,MATCH(B793,Intent_Analysis!$A$5:$A$81,0))</f>
        <v>2</v>
      </c>
    </row>
    <row r="794" customFormat="false" ht="15" hidden="false" customHeight="false" outlineLevel="0" collapsed="false">
      <c r="A794" s="0" t="s">
        <v>1118</v>
      </c>
      <c r="B794" s="0" t="s">
        <v>79</v>
      </c>
      <c r="C794" s="0" t="str">
        <f aca="false">INDEX(Intent_Analysis!$B$5:$B$81,MATCH(B794,Intent_Analysis!$A$5:$A$81,0))</f>
        <v>Cash, ATM &amp; deposits</v>
      </c>
      <c r="D794" s="0" t="n">
        <f aca="false">INDEX(Intent_Analysis!$E$5:$E$81,MATCH(B794,Intent_Analysis!$A$5:$A$81,0))</f>
        <v>2</v>
      </c>
    </row>
    <row r="795" customFormat="false" ht="15" hidden="false" customHeight="false" outlineLevel="0" collapsed="false">
      <c r="A795" s="0" t="s">
        <v>1119</v>
      </c>
      <c r="B795" s="0" t="s">
        <v>79</v>
      </c>
      <c r="C795" s="0" t="str">
        <f aca="false">INDEX(Intent_Analysis!$B$5:$B$81,MATCH(B795,Intent_Analysis!$A$5:$A$81,0))</f>
        <v>Cash, ATM &amp; deposits</v>
      </c>
      <c r="D795" s="0" t="n">
        <f aca="false">INDEX(Intent_Analysis!$E$5:$E$81,MATCH(B795,Intent_Analysis!$A$5:$A$81,0))</f>
        <v>2</v>
      </c>
    </row>
    <row r="796" customFormat="false" ht="15" hidden="false" customHeight="false" outlineLevel="0" collapsed="false">
      <c r="A796" s="0" t="s">
        <v>1120</v>
      </c>
      <c r="B796" s="0" t="s">
        <v>79</v>
      </c>
      <c r="C796" s="0" t="str">
        <f aca="false">INDEX(Intent_Analysis!$B$5:$B$81,MATCH(B796,Intent_Analysis!$A$5:$A$81,0))</f>
        <v>Cash, ATM &amp; deposits</v>
      </c>
      <c r="D796" s="0" t="n">
        <f aca="false">INDEX(Intent_Analysis!$E$5:$E$81,MATCH(B796,Intent_Analysis!$A$5:$A$81,0))</f>
        <v>2</v>
      </c>
    </row>
    <row r="797" customFormat="false" ht="15" hidden="false" customHeight="false" outlineLevel="0" collapsed="false">
      <c r="A797" s="0" t="s">
        <v>1121</v>
      </c>
      <c r="B797" s="0" t="s">
        <v>79</v>
      </c>
      <c r="C797" s="0" t="str">
        <f aca="false">INDEX(Intent_Analysis!$B$5:$B$81,MATCH(B797,Intent_Analysis!$A$5:$A$81,0))</f>
        <v>Cash, ATM &amp; deposits</v>
      </c>
      <c r="D797" s="0" t="n">
        <f aca="false">INDEX(Intent_Analysis!$E$5:$E$81,MATCH(B797,Intent_Analysis!$A$5:$A$81,0))</f>
        <v>2</v>
      </c>
    </row>
    <row r="798" customFormat="false" ht="15" hidden="false" customHeight="false" outlineLevel="0" collapsed="false">
      <c r="A798" s="0" t="s">
        <v>1122</v>
      </c>
      <c r="B798" s="0" t="s">
        <v>79</v>
      </c>
      <c r="C798" s="0" t="str">
        <f aca="false">INDEX(Intent_Analysis!$B$5:$B$81,MATCH(B798,Intent_Analysis!$A$5:$A$81,0))</f>
        <v>Cash, ATM &amp; deposits</v>
      </c>
      <c r="D798" s="0" t="n">
        <f aca="false">INDEX(Intent_Analysis!$E$5:$E$81,MATCH(B798,Intent_Analysis!$A$5:$A$81,0))</f>
        <v>2</v>
      </c>
    </row>
    <row r="799" customFormat="false" ht="15" hidden="false" customHeight="false" outlineLevel="0" collapsed="false">
      <c r="A799" s="0" t="s">
        <v>1123</v>
      </c>
      <c r="B799" s="0" t="s">
        <v>79</v>
      </c>
      <c r="C799" s="0" t="str">
        <f aca="false">INDEX(Intent_Analysis!$B$5:$B$81,MATCH(B799,Intent_Analysis!$A$5:$A$81,0))</f>
        <v>Cash, ATM &amp; deposits</v>
      </c>
      <c r="D799" s="0" t="n">
        <f aca="false">INDEX(Intent_Analysis!$E$5:$E$81,MATCH(B799,Intent_Analysis!$A$5:$A$81,0))</f>
        <v>2</v>
      </c>
    </row>
    <row r="800" customFormat="false" ht="15" hidden="false" customHeight="false" outlineLevel="0" collapsed="false">
      <c r="A800" s="0" t="s">
        <v>1124</v>
      </c>
      <c r="B800" s="0" t="s">
        <v>79</v>
      </c>
      <c r="C800" s="0" t="str">
        <f aca="false">INDEX(Intent_Analysis!$B$5:$B$81,MATCH(B800,Intent_Analysis!$A$5:$A$81,0))</f>
        <v>Cash, ATM &amp; deposits</v>
      </c>
      <c r="D800" s="0" t="n">
        <f aca="false">INDEX(Intent_Analysis!$E$5:$E$81,MATCH(B800,Intent_Analysis!$A$5:$A$81,0))</f>
        <v>2</v>
      </c>
    </row>
    <row r="801" customFormat="false" ht="15" hidden="false" customHeight="false" outlineLevel="0" collapsed="false">
      <c r="A801" s="0" t="s">
        <v>1125</v>
      </c>
      <c r="B801" s="0" t="s">
        <v>79</v>
      </c>
      <c r="C801" s="0" t="str">
        <f aca="false">INDEX(Intent_Analysis!$B$5:$B$81,MATCH(B801,Intent_Analysis!$A$5:$A$81,0))</f>
        <v>Cash, ATM &amp; deposits</v>
      </c>
      <c r="D801" s="0" t="n">
        <f aca="false">INDEX(Intent_Analysis!$E$5:$E$81,MATCH(B801,Intent_Analysis!$A$5:$A$81,0))</f>
        <v>2</v>
      </c>
    </row>
    <row r="802" customFormat="false" ht="15" hidden="false" customHeight="false" outlineLevel="0" collapsed="false">
      <c r="A802" s="0" t="s">
        <v>1126</v>
      </c>
      <c r="B802" s="0" t="s">
        <v>79</v>
      </c>
      <c r="C802" s="0" t="str">
        <f aca="false">INDEX(Intent_Analysis!$B$5:$B$81,MATCH(B802,Intent_Analysis!$A$5:$A$81,0))</f>
        <v>Cash, ATM &amp; deposits</v>
      </c>
      <c r="D802" s="0" t="n">
        <f aca="false">INDEX(Intent_Analysis!$E$5:$E$81,MATCH(B802,Intent_Analysis!$A$5:$A$81,0))</f>
        <v>2</v>
      </c>
    </row>
    <row r="803" customFormat="false" ht="15" hidden="false" customHeight="false" outlineLevel="0" collapsed="false">
      <c r="A803" s="0" t="s">
        <v>1127</v>
      </c>
      <c r="B803" s="0" t="s">
        <v>79</v>
      </c>
      <c r="C803" s="0" t="str">
        <f aca="false">INDEX(Intent_Analysis!$B$5:$B$81,MATCH(B803,Intent_Analysis!$A$5:$A$81,0))</f>
        <v>Cash, ATM &amp; deposits</v>
      </c>
      <c r="D803" s="0" t="n">
        <f aca="false">INDEX(Intent_Analysis!$E$5:$E$81,MATCH(B803,Intent_Analysis!$A$5:$A$81,0))</f>
        <v>2</v>
      </c>
    </row>
    <row r="804" customFormat="false" ht="15" hidden="false" customHeight="false" outlineLevel="0" collapsed="false">
      <c r="A804" s="0" t="s">
        <v>1128</v>
      </c>
      <c r="B804" s="0" t="s">
        <v>79</v>
      </c>
      <c r="C804" s="0" t="str">
        <f aca="false">INDEX(Intent_Analysis!$B$5:$B$81,MATCH(B804,Intent_Analysis!$A$5:$A$81,0))</f>
        <v>Cash, ATM &amp; deposits</v>
      </c>
      <c r="D804" s="0" t="n">
        <f aca="false">INDEX(Intent_Analysis!$E$5:$E$81,MATCH(B804,Intent_Analysis!$A$5:$A$81,0))</f>
        <v>2</v>
      </c>
    </row>
    <row r="805" customFormat="false" ht="15" hidden="false" customHeight="false" outlineLevel="0" collapsed="false">
      <c r="A805" s="0" t="s">
        <v>1129</v>
      </c>
      <c r="B805" s="0" t="s">
        <v>79</v>
      </c>
      <c r="C805" s="0" t="str">
        <f aca="false">INDEX(Intent_Analysis!$B$5:$B$81,MATCH(B805,Intent_Analysis!$A$5:$A$81,0))</f>
        <v>Cash, ATM &amp; deposits</v>
      </c>
      <c r="D805" s="0" t="n">
        <f aca="false">INDEX(Intent_Analysis!$E$5:$E$81,MATCH(B805,Intent_Analysis!$A$5:$A$81,0))</f>
        <v>2</v>
      </c>
    </row>
    <row r="806" customFormat="false" ht="15" hidden="false" customHeight="false" outlineLevel="0" collapsed="false">
      <c r="A806" s="0" t="s">
        <v>1130</v>
      </c>
      <c r="B806" s="0" t="s">
        <v>79</v>
      </c>
      <c r="C806" s="0" t="str">
        <f aca="false">INDEX(Intent_Analysis!$B$5:$B$81,MATCH(B806,Intent_Analysis!$A$5:$A$81,0))</f>
        <v>Cash, ATM &amp; deposits</v>
      </c>
      <c r="D806" s="0" t="n">
        <f aca="false">INDEX(Intent_Analysis!$E$5:$E$81,MATCH(B806,Intent_Analysis!$A$5:$A$81,0))</f>
        <v>2</v>
      </c>
    </row>
    <row r="807" customFormat="false" ht="15" hidden="false" customHeight="false" outlineLevel="0" collapsed="false">
      <c r="A807" s="0" t="s">
        <v>1131</v>
      </c>
      <c r="B807" s="0" t="s">
        <v>79</v>
      </c>
      <c r="C807" s="0" t="str">
        <f aca="false">INDEX(Intent_Analysis!$B$5:$B$81,MATCH(B807,Intent_Analysis!$A$5:$A$81,0))</f>
        <v>Cash, ATM &amp; deposits</v>
      </c>
      <c r="D807" s="0" t="n">
        <f aca="false">INDEX(Intent_Analysis!$E$5:$E$81,MATCH(B807,Intent_Analysis!$A$5:$A$81,0))</f>
        <v>2</v>
      </c>
    </row>
    <row r="808" customFormat="false" ht="15" hidden="false" customHeight="false" outlineLevel="0" collapsed="false">
      <c r="A808" s="0" t="s">
        <v>1132</v>
      </c>
      <c r="B808" s="0" t="s">
        <v>79</v>
      </c>
      <c r="C808" s="0" t="str">
        <f aca="false">INDEX(Intent_Analysis!$B$5:$B$81,MATCH(B808,Intent_Analysis!$A$5:$A$81,0))</f>
        <v>Cash, ATM &amp; deposits</v>
      </c>
      <c r="D808" s="0" t="n">
        <f aca="false">INDEX(Intent_Analysis!$E$5:$E$81,MATCH(B808,Intent_Analysis!$A$5:$A$81,0))</f>
        <v>2</v>
      </c>
    </row>
    <row r="809" customFormat="false" ht="15" hidden="false" customHeight="false" outlineLevel="0" collapsed="false">
      <c r="A809" s="0" t="s">
        <v>1133</v>
      </c>
      <c r="B809" s="0" t="s">
        <v>79</v>
      </c>
      <c r="C809" s="0" t="str">
        <f aca="false">INDEX(Intent_Analysis!$B$5:$B$81,MATCH(B809,Intent_Analysis!$A$5:$A$81,0))</f>
        <v>Cash, ATM &amp; deposits</v>
      </c>
      <c r="D809" s="0" t="n">
        <f aca="false">INDEX(Intent_Analysis!$E$5:$E$81,MATCH(B809,Intent_Analysis!$A$5:$A$81,0))</f>
        <v>2</v>
      </c>
    </row>
    <row r="810" customFormat="false" ht="15" hidden="false" customHeight="false" outlineLevel="0" collapsed="false">
      <c r="A810" s="0" t="s">
        <v>1134</v>
      </c>
      <c r="B810" s="0" t="s">
        <v>79</v>
      </c>
      <c r="C810" s="0" t="str">
        <f aca="false">INDEX(Intent_Analysis!$B$5:$B$81,MATCH(B810,Intent_Analysis!$A$5:$A$81,0))</f>
        <v>Cash, ATM &amp; deposits</v>
      </c>
      <c r="D810" s="0" t="n">
        <f aca="false">INDEX(Intent_Analysis!$E$5:$E$81,MATCH(B810,Intent_Analysis!$A$5:$A$81,0))</f>
        <v>2</v>
      </c>
    </row>
    <row r="811" customFormat="false" ht="15" hidden="false" customHeight="false" outlineLevel="0" collapsed="false">
      <c r="A811" s="0" t="s">
        <v>1135</v>
      </c>
      <c r="B811" s="0" t="s">
        <v>79</v>
      </c>
      <c r="C811" s="0" t="str">
        <f aca="false">INDEX(Intent_Analysis!$B$5:$B$81,MATCH(B811,Intent_Analysis!$A$5:$A$81,0))</f>
        <v>Cash, ATM &amp; deposits</v>
      </c>
      <c r="D811" s="0" t="n">
        <f aca="false">INDEX(Intent_Analysis!$E$5:$E$81,MATCH(B811,Intent_Analysis!$A$5:$A$81,0))</f>
        <v>2</v>
      </c>
    </row>
    <row r="812" customFormat="false" ht="15" hidden="false" customHeight="false" outlineLevel="0" collapsed="false">
      <c r="A812" s="0" t="s">
        <v>1136</v>
      </c>
      <c r="B812" s="0" t="s">
        <v>79</v>
      </c>
      <c r="C812" s="0" t="str">
        <f aca="false">INDEX(Intent_Analysis!$B$5:$B$81,MATCH(B812,Intent_Analysis!$A$5:$A$81,0))</f>
        <v>Cash, ATM &amp; deposits</v>
      </c>
      <c r="D812" s="0" t="n">
        <f aca="false">INDEX(Intent_Analysis!$E$5:$E$81,MATCH(B812,Intent_Analysis!$A$5:$A$81,0))</f>
        <v>2</v>
      </c>
    </row>
    <row r="813" customFormat="false" ht="15" hidden="false" customHeight="false" outlineLevel="0" collapsed="false">
      <c r="A813" s="0" t="s">
        <v>1137</v>
      </c>
      <c r="B813" s="0" t="s">
        <v>79</v>
      </c>
      <c r="C813" s="0" t="str">
        <f aca="false">INDEX(Intent_Analysis!$B$5:$B$81,MATCH(B813,Intent_Analysis!$A$5:$A$81,0))</f>
        <v>Cash, ATM &amp; deposits</v>
      </c>
      <c r="D813" s="0" t="n">
        <f aca="false">INDEX(Intent_Analysis!$E$5:$E$81,MATCH(B813,Intent_Analysis!$A$5:$A$81,0))</f>
        <v>2</v>
      </c>
    </row>
    <row r="814" customFormat="false" ht="15" hidden="false" customHeight="false" outlineLevel="0" collapsed="false">
      <c r="A814" s="0" t="s">
        <v>1138</v>
      </c>
      <c r="B814" s="0" t="s">
        <v>79</v>
      </c>
      <c r="C814" s="0" t="str">
        <f aca="false">INDEX(Intent_Analysis!$B$5:$B$81,MATCH(B814,Intent_Analysis!$A$5:$A$81,0))</f>
        <v>Cash, ATM &amp; deposits</v>
      </c>
      <c r="D814" s="0" t="n">
        <f aca="false">INDEX(Intent_Analysis!$E$5:$E$81,MATCH(B814,Intent_Analysis!$A$5:$A$81,0))</f>
        <v>2</v>
      </c>
    </row>
    <row r="815" customFormat="false" ht="15" hidden="false" customHeight="false" outlineLevel="0" collapsed="false">
      <c r="A815" s="0" t="s">
        <v>1139</v>
      </c>
      <c r="B815" s="0" t="s">
        <v>79</v>
      </c>
      <c r="C815" s="0" t="str">
        <f aca="false">INDEX(Intent_Analysis!$B$5:$B$81,MATCH(B815,Intent_Analysis!$A$5:$A$81,0))</f>
        <v>Cash, ATM &amp; deposits</v>
      </c>
      <c r="D815" s="0" t="n">
        <f aca="false">INDEX(Intent_Analysis!$E$5:$E$81,MATCH(B815,Intent_Analysis!$A$5:$A$81,0))</f>
        <v>2</v>
      </c>
    </row>
    <row r="816" customFormat="false" ht="15" hidden="false" customHeight="false" outlineLevel="0" collapsed="false">
      <c r="A816" s="0" t="s">
        <v>1140</v>
      </c>
      <c r="B816" s="0" t="s">
        <v>79</v>
      </c>
      <c r="C816" s="0" t="str">
        <f aca="false">INDEX(Intent_Analysis!$B$5:$B$81,MATCH(B816,Intent_Analysis!$A$5:$A$81,0))</f>
        <v>Cash, ATM &amp; deposits</v>
      </c>
      <c r="D816" s="0" t="n">
        <f aca="false">INDEX(Intent_Analysis!$E$5:$E$81,MATCH(B816,Intent_Analysis!$A$5:$A$81,0))</f>
        <v>2</v>
      </c>
    </row>
    <row r="817" customFormat="false" ht="15" hidden="false" customHeight="false" outlineLevel="0" collapsed="false">
      <c r="A817" s="0" t="s">
        <v>1141</v>
      </c>
      <c r="B817" s="0" t="s">
        <v>79</v>
      </c>
      <c r="C817" s="0" t="str">
        <f aca="false">INDEX(Intent_Analysis!$B$5:$B$81,MATCH(B817,Intent_Analysis!$A$5:$A$81,0))</f>
        <v>Cash, ATM &amp; deposits</v>
      </c>
      <c r="D817" s="0" t="n">
        <f aca="false">INDEX(Intent_Analysis!$E$5:$E$81,MATCH(B817,Intent_Analysis!$A$5:$A$81,0))</f>
        <v>2</v>
      </c>
    </row>
    <row r="818" customFormat="false" ht="15" hidden="false" customHeight="false" outlineLevel="0" collapsed="false">
      <c r="A818" s="0" t="s">
        <v>1142</v>
      </c>
      <c r="B818" s="0" t="s">
        <v>79</v>
      </c>
      <c r="C818" s="0" t="str">
        <f aca="false">INDEX(Intent_Analysis!$B$5:$B$81,MATCH(B818,Intent_Analysis!$A$5:$A$81,0))</f>
        <v>Cash, ATM &amp; deposits</v>
      </c>
      <c r="D818" s="0" t="n">
        <f aca="false">INDEX(Intent_Analysis!$E$5:$E$81,MATCH(B818,Intent_Analysis!$A$5:$A$81,0))</f>
        <v>2</v>
      </c>
    </row>
    <row r="819" customFormat="false" ht="15" hidden="false" customHeight="false" outlineLevel="0" collapsed="false">
      <c r="A819" s="0" t="s">
        <v>1143</v>
      </c>
      <c r="B819" s="0" t="s">
        <v>79</v>
      </c>
      <c r="C819" s="0" t="str">
        <f aca="false">INDEX(Intent_Analysis!$B$5:$B$81,MATCH(B819,Intent_Analysis!$A$5:$A$81,0))</f>
        <v>Cash, ATM &amp; deposits</v>
      </c>
      <c r="D819" s="0" t="n">
        <f aca="false">INDEX(Intent_Analysis!$E$5:$E$81,MATCH(B819,Intent_Analysis!$A$5:$A$81,0))</f>
        <v>2</v>
      </c>
    </row>
    <row r="820" customFormat="false" ht="15" hidden="false" customHeight="false" outlineLevel="0" collapsed="false">
      <c r="A820" s="0" t="s">
        <v>1144</v>
      </c>
      <c r="B820" s="0" t="s">
        <v>79</v>
      </c>
      <c r="C820" s="0" t="str">
        <f aca="false">INDEX(Intent_Analysis!$B$5:$B$81,MATCH(B820,Intent_Analysis!$A$5:$A$81,0))</f>
        <v>Cash, ATM &amp; deposits</v>
      </c>
      <c r="D820" s="0" t="n">
        <f aca="false">INDEX(Intent_Analysis!$E$5:$E$81,MATCH(B820,Intent_Analysis!$A$5:$A$81,0))</f>
        <v>2</v>
      </c>
    </row>
    <row r="821" customFormat="false" ht="15" hidden="false" customHeight="false" outlineLevel="0" collapsed="false">
      <c r="A821" s="0" t="s">
        <v>1145</v>
      </c>
      <c r="B821" s="0" t="s">
        <v>79</v>
      </c>
      <c r="C821" s="0" t="str">
        <f aca="false">INDEX(Intent_Analysis!$B$5:$B$81,MATCH(B821,Intent_Analysis!$A$5:$A$81,0))</f>
        <v>Cash, ATM &amp; deposits</v>
      </c>
      <c r="D821" s="0" t="n">
        <f aca="false">INDEX(Intent_Analysis!$E$5:$E$81,MATCH(B821,Intent_Analysis!$A$5:$A$81,0))</f>
        <v>2</v>
      </c>
    </row>
    <row r="822" customFormat="false" ht="15" hidden="false" customHeight="false" outlineLevel="0" collapsed="false">
      <c r="A822" s="0" t="s">
        <v>1146</v>
      </c>
      <c r="B822" s="0" t="s">
        <v>79</v>
      </c>
      <c r="C822" s="0" t="str">
        <f aca="false">INDEX(Intent_Analysis!$B$5:$B$81,MATCH(B822,Intent_Analysis!$A$5:$A$81,0))</f>
        <v>Cash, ATM &amp; deposits</v>
      </c>
      <c r="D822" s="0" t="n">
        <f aca="false">INDEX(Intent_Analysis!$E$5:$E$81,MATCH(B822,Intent_Analysis!$A$5:$A$81,0))</f>
        <v>2</v>
      </c>
    </row>
    <row r="823" customFormat="false" ht="15" hidden="false" customHeight="false" outlineLevel="0" collapsed="false">
      <c r="A823" s="0" t="s">
        <v>1147</v>
      </c>
      <c r="B823" s="0" t="s">
        <v>79</v>
      </c>
      <c r="C823" s="0" t="str">
        <f aca="false">INDEX(Intent_Analysis!$B$5:$B$81,MATCH(B823,Intent_Analysis!$A$5:$A$81,0))</f>
        <v>Cash, ATM &amp; deposits</v>
      </c>
      <c r="D823" s="0" t="n">
        <f aca="false">INDEX(Intent_Analysis!$E$5:$E$81,MATCH(B823,Intent_Analysis!$A$5:$A$81,0))</f>
        <v>2</v>
      </c>
    </row>
    <row r="824" customFormat="false" ht="15" hidden="false" customHeight="false" outlineLevel="0" collapsed="false">
      <c r="A824" s="0" t="s">
        <v>1148</v>
      </c>
      <c r="B824" s="0" t="s">
        <v>79</v>
      </c>
      <c r="C824" s="0" t="str">
        <f aca="false">INDEX(Intent_Analysis!$B$5:$B$81,MATCH(B824,Intent_Analysis!$A$5:$A$81,0))</f>
        <v>Cash, ATM &amp; deposits</v>
      </c>
      <c r="D824" s="0" t="n">
        <f aca="false">INDEX(Intent_Analysis!$E$5:$E$81,MATCH(B824,Intent_Analysis!$A$5:$A$81,0))</f>
        <v>2</v>
      </c>
    </row>
    <row r="825" customFormat="false" ht="15" hidden="false" customHeight="false" outlineLevel="0" collapsed="false">
      <c r="A825" s="0" t="s">
        <v>1149</v>
      </c>
      <c r="B825" s="0" t="s">
        <v>79</v>
      </c>
      <c r="C825" s="0" t="str">
        <f aca="false">INDEX(Intent_Analysis!$B$5:$B$81,MATCH(B825,Intent_Analysis!$A$5:$A$81,0))</f>
        <v>Cash, ATM &amp; deposits</v>
      </c>
      <c r="D825" s="0" t="n">
        <f aca="false">INDEX(Intent_Analysis!$E$5:$E$81,MATCH(B825,Intent_Analysis!$A$5:$A$81,0))</f>
        <v>2</v>
      </c>
    </row>
    <row r="826" customFormat="false" ht="15" hidden="false" customHeight="false" outlineLevel="0" collapsed="false">
      <c r="A826" s="0" t="s">
        <v>1150</v>
      </c>
      <c r="B826" s="0" t="s">
        <v>79</v>
      </c>
      <c r="C826" s="0" t="str">
        <f aca="false">INDEX(Intent_Analysis!$B$5:$B$81,MATCH(B826,Intent_Analysis!$A$5:$A$81,0))</f>
        <v>Cash, ATM &amp; deposits</v>
      </c>
      <c r="D826" s="0" t="n">
        <f aca="false">INDEX(Intent_Analysis!$E$5:$E$81,MATCH(B826,Intent_Analysis!$A$5:$A$81,0))</f>
        <v>2</v>
      </c>
    </row>
    <row r="827" customFormat="false" ht="15" hidden="false" customHeight="false" outlineLevel="0" collapsed="false">
      <c r="A827" s="0" t="s">
        <v>1151</v>
      </c>
      <c r="B827" s="0" t="s">
        <v>79</v>
      </c>
      <c r="C827" s="0" t="str">
        <f aca="false">INDEX(Intent_Analysis!$B$5:$B$81,MATCH(B827,Intent_Analysis!$A$5:$A$81,0))</f>
        <v>Cash, ATM &amp; deposits</v>
      </c>
      <c r="D827" s="0" t="n">
        <f aca="false">INDEX(Intent_Analysis!$E$5:$E$81,MATCH(B827,Intent_Analysis!$A$5:$A$81,0))</f>
        <v>2</v>
      </c>
    </row>
    <row r="828" customFormat="false" ht="15" hidden="false" customHeight="false" outlineLevel="0" collapsed="false">
      <c r="A828" s="0" t="s">
        <v>1152</v>
      </c>
      <c r="B828" s="0" t="s">
        <v>79</v>
      </c>
      <c r="C828" s="0" t="str">
        <f aca="false">INDEX(Intent_Analysis!$B$5:$B$81,MATCH(B828,Intent_Analysis!$A$5:$A$81,0))</f>
        <v>Cash, ATM &amp; deposits</v>
      </c>
      <c r="D828" s="0" t="n">
        <f aca="false">INDEX(Intent_Analysis!$E$5:$E$81,MATCH(B828,Intent_Analysis!$A$5:$A$81,0))</f>
        <v>2</v>
      </c>
    </row>
    <row r="829" customFormat="false" ht="15" hidden="false" customHeight="false" outlineLevel="0" collapsed="false">
      <c r="A829" s="0" t="s">
        <v>1153</v>
      </c>
      <c r="B829" s="0" t="s">
        <v>79</v>
      </c>
      <c r="C829" s="0" t="str">
        <f aca="false">INDEX(Intent_Analysis!$B$5:$B$81,MATCH(B829,Intent_Analysis!$A$5:$A$81,0))</f>
        <v>Cash, ATM &amp; deposits</v>
      </c>
      <c r="D829" s="0" t="n">
        <f aca="false">INDEX(Intent_Analysis!$E$5:$E$81,MATCH(B829,Intent_Analysis!$A$5:$A$81,0))</f>
        <v>2</v>
      </c>
    </row>
    <row r="830" customFormat="false" ht="15" hidden="false" customHeight="false" outlineLevel="0" collapsed="false">
      <c r="A830" s="0" t="s">
        <v>1154</v>
      </c>
      <c r="B830" s="0" t="s">
        <v>79</v>
      </c>
      <c r="C830" s="0" t="str">
        <f aca="false">INDEX(Intent_Analysis!$B$5:$B$81,MATCH(B830,Intent_Analysis!$A$5:$A$81,0))</f>
        <v>Cash, ATM &amp; deposits</v>
      </c>
      <c r="D830" s="0" t="n">
        <f aca="false">INDEX(Intent_Analysis!$E$5:$E$81,MATCH(B830,Intent_Analysis!$A$5:$A$81,0))</f>
        <v>2</v>
      </c>
    </row>
    <row r="831" customFormat="false" ht="15" hidden="false" customHeight="false" outlineLevel="0" collapsed="false">
      <c r="A831" s="0" t="s">
        <v>1155</v>
      </c>
      <c r="B831" s="0" t="s">
        <v>79</v>
      </c>
      <c r="C831" s="0" t="str">
        <f aca="false">INDEX(Intent_Analysis!$B$5:$B$81,MATCH(B831,Intent_Analysis!$A$5:$A$81,0))</f>
        <v>Cash, ATM &amp; deposits</v>
      </c>
      <c r="D831" s="0" t="n">
        <f aca="false">INDEX(Intent_Analysis!$E$5:$E$81,MATCH(B831,Intent_Analysis!$A$5:$A$81,0))</f>
        <v>2</v>
      </c>
    </row>
    <row r="832" customFormat="false" ht="15" hidden="false" customHeight="false" outlineLevel="0" collapsed="false">
      <c r="A832" s="0" t="s">
        <v>1156</v>
      </c>
      <c r="B832" s="0" t="s">
        <v>79</v>
      </c>
      <c r="C832" s="0" t="str">
        <f aca="false">INDEX(Intent_Analysis!$B$5:$B$81,MATCH(B832,Intent_Analysis!$A$5:$A$81,0))</f>
        <v>Cash, ATM &amp; deposits</v>
      </c>
      <c r="D832" s="0" t="n">
        <f aca="false">INDEX(Intent_Analysis!$E$5:$E$81,MATCH(B832,Intent_Analysis!$A$5:$A$81,0))</f>
        <v>2</v>
      </c>
    </row>
    <row r="833" customFormat="false" ht="15" hidden="false" customHeight="false" outlineLevel="0" collapsed="false">
      <c r="A833" s="0" t="s">
        <v>1157</v>
      </c>
      <c r="B833" s="0" t="s">
        <v>79</v>
      </c>
      <c r="C833" s="0" t="str">
        <f aca="false">INDEX(Intent_Analysis!$B$5:$B$81,MATCH(B833,Intent_Analysis!$A$5:$A$81,0))</f>
        <v>Cash, ATM &amp; deposits</v>
      </c>
      <c r="D833" s="0" t="n">
        <f aca="false">INDEX(Intent_Analysis!$E$5:$E$81,MATCH(B833,Intent_Analysis!$A$5:$A$81,0))</f>
        <v>2</v>
      </c>
    </row>
    <row r="834" customFormat="false" ht="15" hidden="false" customHeight="false" outlineLevel="0" collapsed="false">
      <c r="A834" s="0" t="s">
        <v>1158</v>
      </c>
      <c r="B834" s="0" t="s">
        <v>79</v>
      </c>
      <c r="C834" s="0" t="str">
        <f aca="false">INDEX(Intent_Analysis!$B$5:$B$81,MATCH(B834,Intent_Analysis!$A$5:$A$81,0))</f>
        <v>Cash, ATM &amp; deposits</v>
      </c>
      <c r="D834" s="0" t="n">
        <f aca="false">INDEX(Intent_Analysis!$E$5:$E$81,MATCH(B834,Intent_Analysis!$A$5:$A$81,0))</f>
        <v>2</v>
      </c>
    </row>
    <row r="835" customFormat="false" ht="15" hidden="false" customHeight="false" outlineLevel="0" collapsed="false">
      <c r="A835" s="0" t="s">
        <v>1159</v>
      </c>
      <c r="B835" s="0" t="s">
        <v>79</v>
      </c>
      <c r="C835" s="0" t="str">
        <f aca="false">INDEX(Intent_Analysis!$B$5:$B$81,MATCH(B835,Intent_Analysis!$A$5:$A$81,0))</f>
        <v>Cash, ATM &amp; deposits</v>
      </c>
      <c r="D835" s="0" t="n">
        <f aca="false">INDEX(Intent_Analysis!$E$5:$E$81,MATCH(B835,Intent_Analysis!$A$5:$A$81,0))</f>
        <v>2</v>
      </c>
    </row>
    <row r="836" customFormat="false" ht="15" hidden="false" customHeight="false" outlineLevel="0" collapsed="false">
      <c r="A836" s="0" t="s">
        <v>1160</v>
      </c>
      <c r="B836" s="0" t="s">
        <v>79</v>
      </c>
      <c r="C836" s="0" t="str">
        <f aca="false">INDEX(Intent_Analysis!$B$5:$B$81,MATCH(B836,Intent_Analysis!$A$5:$A$81,0))</f>
        <v>Cash, ATM &amp; deposits</v>
      </c>
      <c r="D836" s="0" t="n">
        <f aca="false">INDEX(Intent_Analysis!$E$5:$E$81,MATCH(B836,Intent_Analysis!$A$5:$A$81,0))</f>
        <v>2</v>
      </c>
    </row>
    <row r="837" customFormat="false" ht="15" hidden="false" customHeight="false" outlineLevel="0" collapsed="false">
      <c r="A837" s="0" t="s">
        <v>1161</v>
      </c>
      <c r="B837" s="0" t="s">
        <v>79</v>
      </c>
      <c r="C837" s="0" t="str">
        <f aca="false">INDEX(Intent_Analysis!$B$5:$B$81,MATCH(B837,Intent_Analysis!$A$5:$A$81,0))</f>
        <v>Cash, ATM &amp; deposits</v>
      </c>
      <c r="D837" s="0" t="n">
        <f aca="false">INDEX(Intent_Analysis!$E$5:$E$81,MATCH(B837,Intent_Analysis!$A$5:$A$81,0))</f>
        <v>2</v>
      </c>
    </row>
    <row r="838" customFormat="false" ht="15" hidden="false" customHeight="false" outlineLevel="0" collapsed="false">
      <c r="A838" s="0" t="s">
        <v>1162</v>
      </c>
      <c r="B838" s="0" t="s">
        <v>79</v>
      </c>
      <c r="C838" s="0" t="str">
        <f aca="false">INDEX(Intent_Analysis!$B$5:$B$81,MATCH(B838,Intent_Analysis!$A$5:$A$81,0))</f>
        <v>Cash, ATM &amp; deposits</v>
      </c>
      <c r="D838" s="0" t="n">
        <f aca="false">INDEX(Intent_Analysis!$E$5:$E$81,MATCH(B838,Intent_Analysis!$A$5:$A$81,0))</f>
        <v>2</v>
      </c>
    </row>
    <row r="839" customFormat="false" ht="15" hidden="false" customHeight="false" outlineLevel="0" collapsed="false">
      <c r="A839" s="0" t="s">
        <v>1163</v>
      </c>
      <c r="B839" s="0" t="s">
        <v>79</v>
      </c>
      <c r="C839" s="0" t="str">
        <f aca="false">INDEX(Intent_Analysis!$B$5:$B$81,MATCH(B839,Intent_Analysis!$A$5:$A$81,0))</f>
        <v>Cash, ATM &amp; deposits</v>
      </c>
      <c r="D839" s="0" t="n">
        <f aca="false">INDEX(Intent_Analysis!$E$5:$E$81,MATCH(B839,Intent_Analysis!$A$5:$A$81,0))</f>
        <v>2</v>
      </c>
    </row>
    <row r="840" customFormat="false" ht="15" hidden="false" customHeight="false" outlineLevel="0" collapsed="false">
      <c r="A840" s="0" t="s">
        <v>1164</v>
      </c>
      <c r="B840" s="0" t="s">
        <v>79</v>
      </c>
      <c r="C840" s="0" t="str">
        <f aca="false">INDEX(Intent_Analysis!$B$5:$B$81,MATCH(B840,Intent_Analysis!$A$5:$A$81,0))</f>
        <v>Cash, ATM &amp; deposits</v>
      </c>
      <c r="D840" s="0" t="n">
        <f aca="false">INDEX(Intent_Analysis!$E$5:$E$81,MATCH(B840,Intent_Analysis!$A$5:$A$81,0))</f>
        <v>2</v>
      </c>
    </row>
    <row r="841" customFormat="false" ht="15" hidden="false" customHeight="false" outlineLevel="0" collapsed="false">
      <c r="A841" s="0" t="s">
        <v>1165</v>
      </c>
      <c r="B841" s="0" t="s">
        <v>79</v>
      </c>
      <c r="C841" s="0" t="str">
        <f aca="false">INDEX(Intent_Analysis!$B$5:$B$81,MATCH(B841,Intent_Analysis!$A$5:$A$81,0))</f>
        <v>Cash, ATM &amp; deposits</v>
      </c>
      <c r="D841" s="0" t="n">
        <f aca="false">INDEX(Intent_Analysis!$E$5:$E$81,MATCH(B841,Intent_Analysis!$A$5:$A$81,0))</f>
        <v>2</v>
      </c>
    </row>
    <row r="842" customFormat="false" ht="15" hidden="false" customHeight="false" outlineLevel="0" collapsed="false">
      <c r="A842" s="0" t="s">
        <v>1166</v>
      </c>
      <c r="B842" s="0" t="s">
        <v>79</v>
      </c>
      <c r="C842" s="0" t="str">
        <f aca="false">INDEX(Intent_Analysis!$B$5:$B$81,MATCH(B842,Intent_Analysis!$A$5:$A$81,0))</f>
        <v>Cash, ATM &amp; deposits</v>
      </c>
      <c r="D842" s="0" t="n">
        <f aca="false">INDEX(Intent_Analysis!$E$5:$E$81,MATCH(B842,Intent_Analysis!$A$5:$A$81,0))</f>
        <v>2</v>
      </c>
    </row>
    <row r="843" customFormat="false" ht="15" hidden="false" customHeight="false" outlineLevel="0" collapsed="false">
      <c r="A843" s="0" t="s">
        <v>1167</v>
      </c>
      <c r="B843" s="0" t="s">
        <v>79</v>
      </c>
      <c r="C843" s="0" t="str">
        <f aca="false">INDEX(Intent_Analysis!$B$5:$B$81,MATCH(B843,Intent_Analysis!$A$5:$A$81,0))</f>
        <v>Cash, ATM &amp; deposits</v>
      </c>
      <c r="D843" s="0" t="n">
        <f aca="false">INDEX(Intent_Analysis!$E$5:$E$81,MATCH(B843,Intent_Analysis!$A$5:$A$81,0))</f>
        <v>2</v>
      </c>
    </row>
    <row r="844" customFormat="false" ht="15" hidden="false" customHeight="false" outlineLevel="0" collapsed="false">
      <c r="A844" s="0" t="s">
        <v>1168</v>
      </c>
      <c r="B844" s="0" t="s">
        <v>79</v>
      </c>
      <c r="C844" s="0" t="str">
        <f aca="false">INDEX(Intent_Analysis!$B$5:$B$81,MATCH(B844,Intent_Analysis!$A$5:$A$81,0))</f>
        <v>Cash, ATM &amp; deposits</v>
      </c>
      <c r="D844" s="0" t="n">
        <f aca="false">INDEX(Intent_Analysis!$E$5:$E$81,MATCH(B844,Intent_Analysis!$A$5:$A$81,0))</f>
        <v>2</v>
      </c>
    </row>
    <row r="845" customFormat="false" ht="15" hidden="false" customHeight="false" outlineLevel="0" collapsed="false">
      <c r="A845" s="0" t="s">
        <v>1169</v>
      </c>
      <c r="B845" s="0" t="s">
        <v>79</v>
      </c>
      <c r="C845" s="0" t="str">
        <f aca="false">INDEX(Intent_Analysis!$B$5:$B$81,MATCH(B845,Intent_Analysis!$A$5:$A$81,0))</f>
        <v>Cash, ATM &amp; deposits</v>
      </c>
      <c r="D845" s="0" t="n">
        <f aca="false">INDEX(Intent_Analysis!$E$5:$E$81,MATCH(B845,Intent_Analysis!$A$5:$A$81,0))</f>
        <v>2</v>
      </c>
    </row>
    <row r="846" customFormat="false" ht="15" hidden="false" customHeight="false" outlineLevel="0" collapsed="false">
      <c r="A846" s="0" t="s">
        <v>1170</v>
      </c>
      <c r="B846" s="0" t="s">
        <v>79</v>
      </c>
      <c r="C846" s="0" t="str">
        <f aca="false">INDEX(Intent_Analysis!$B$5:$B$81,MATCH(B846,Intent_Analysis!$A$5:$A$81,0))</f>
        <v>Cash, ATM &amp; deposits</v>
      </c>
      <c r="D846" s="0" t="n">
        <f aca="false">INDEX(Intent_Analysis!$E$5:$E$81,MATCH(B846,Intent_Analysis!$A$5:$A$81,0))</f>
        <v>2</v>
      </c>
    </row>
    <row r="847" customFormat="false" ht="15" hidden="false" customHeight="false" outlineLevel="0" collapsed="false">
      <c r="A847" s="0" t="s">
        <v>1171</v>
      </c>
      <c r="B847" s="0" t="s">
        <v>79</v>
      </c>
      <c r="C847" s="0" t="str">
        <f aca="false">INDEX(Intent_Analysis!$B$5:$B$81,MATCH(B847,Intent_Analysis!$A$5:$A$81,0))</f>
        <v>Cash, ATM &amp; deposits</v>
      </c>
      <c r="D847" s="0" t="n">
        <f aca="false">INDEX(Intent_Analysis!$E$5:$E$81,MATCH(B847,Intent_Analysis!$A$5:$A$81,0))</f>
        <v>2</v>
      </c>
    </row>
    <row r="848" customFormat="false" ht="15" hidden="false" customHeight="false" outlineLevel="0" collapsed="false">
      <c r="A848" s="0" t="s">
        <v>1172</v>
      </c>
      <c r="B848" s="0" t="s">
        <v>79</v>
      </c>
      <c r="C848" s="0" t="str">
        <f aca="false">INDEX(Intent_Analysis!$B$5:$B$81,MATCH(B848,Intent_Analysis!$A$5:$A$81,0))</f>
        <v>Cash, ATM &amp; deposits</v>
      </c>
      <c r="D848" s="0" t="n">
        <f aca="false">INDEX(Intent_Analysis!$E$5:$E$81,MATCH(B848,Intent_Analysis!$A$5:$A$81,0))</f>
        <v>2</v>
      </c>
    </row>
    <row r="849" customFormat="false" ht="15" hidden="false" customHeight="false" outlineLevel="0" collapsed="false">
      <c r="A849" s="0" t="s">
        <v>1173</v>
      </c>
      <c r="B849" s="0" t="s">
        <v>79</v>
      </c>
      <c r="C849" s="0" t="str">
        <f aca="false">INDEX(Intent_Analysis!$B$5:$B$81,MATCH(B849,Intent_Analysis!$A$5:$A$81,0))</f>
        <v>Cash, ATM &amp; deposits</v>
      </c>
      <c r="D849" s="0" t="n">
        <f aca="false">INDEX(Intent_Analysis!$E$5:$E$81,MATCH(B849,Intent_Analysis!$A$5:$A$81,0))</f>
        <v>2</v>
      </c>
    </row>
    <row r="850" customFormat="false" ht="15" hidden="false" customHeight="false" outlineLevel="0" collapsed="false">
      <c r="A850" s="0" t="s">
        <v>1174</v>
      </c>
      <c r="B850" s="0" t="s">
        <v>79</v>
      </c>
      <c r="C850" s="0" t="str">
        <f aca="false">INDEX(Intent_Analysis!$B$5:$B$81,MATCH(B850,Intent_Analysis!$A$5:$A$81,0))</f>
        <v>Cash, ATM &amp; deposits</v>
      </c>
      <c r="D850" s="0" t="n">
        <f aca="false">INDEX(Intent_Analysis!$E$5:$E$81,MATCH(B850,Intent_Analysis!$A$5:$A$81,0))</f>
        <v>2</v>
      </c>
    </row>
    <row r="851" customFormat="false" ht="15" hidden="false" customHeight="false" outlineLevel="0" collapsed="false">
      <c r="A851" s="0" t="s">
        <v>1175</v>
      </c>
      <c r="B851" s="0" t="s">
        <v>79</v>
      </c>
      <c r="C851" s="0" t="str">
        <f aca="false">INDEX(Intent_Analysis!$B$5:$B$81,MATCH(B851,Intent_Analysis!$A$5:$A$81,0))</f>
        <v>Cash, ATM &amp; deposits</v>
      </c>
      <c r="D851" s="0" t="n">
        <f aca="false">INDEX(Intent_Analysis!$E$5:$E$81,MATCH(B851,Intent_Analysis!$A$5:$A$81,0))</f>
        <v>2</v>
      </c>
    </row>
    <row r="852" customFormat="false" ht="15" hidden="false" customHeight="false" outlineLevel="0" collapsed="false">
      <c r="A852" s="0" t="s">
        <v>1176</v>
      </c>
      <c r="B852" s="0" t="s">
        <v>79</v>
      </c>
      <c r="C852" s="0" t="str">
        <f aca="false">INDEX(Intent_Analysis!$B$5:$B$81,MATCH(B852,Intent_Analysis!$A$5:$A$81,0))</f>
        <v>Cash, ATM &amp; deposits</v>
      </c>
      <c r="D852" s="0" t="n">
        <f aca="false">INDEX(Intent_Analysis!$E$5:$E$81,MATCH(B852,Intent_Analysis!$A$5:$A$81,0))</f>
        <v>2</v>
      </c>
    </row>
    <row r="853" customFormat="false" ht="15" hidden="false" customHeight="false" outlineLevel="0" collapsed="false">
      <c r="A853" s="0" t="s">
        <v>1177</v>
      </c>
      <c r="B853" s="0" t="s">
        <v>79</v>
      </c>
      <c r="C853" s="0" t="str">
        <f aca="false">INDEX(Intent_Analysis!$B$5:$B$81,MATCH(B853,Intent_Analysis!$A$5:$A$81,0))</f>
        <v>Cash, ATM &amp; deposits</v>
      </c>
      <c r="D853" s="0" t="n">
        <f aca="false">INDEX(Intent_Analysis!$E$5:$E$81,MATCH(B853,Intent_Analysis!$A$5:$A$81,0))</f>
        <v>2</v>
      </c>
    </row>
    <row r="854" customFormat="false" ht="15" hidden="false" customHeight="false" outlineLevel="0" collapsed="false">
      <c r="A854" s="0" t="s">
        <v>1178</v>
      </c>
      <c r="B854" s="0" t="s">
        <v>79</v>
      </c>
      <c r="C854" s="0" t="str">
        <f aca="false">INDEX(Intent_Analysis!$B$5:$B$81,MATCH(B854,Intent_Analysis!$A$5:$A$81,0))</f>
        <v>Cash, ATM &amp; deposits</v>
      </c>
      <c r="D854" s="0" t="n">
        <f aca="false">INDEX(Intent_Analysis!$E$5:$E$81,MATCH(B854,Intent_Analysis!$A$5:$A$81,0))</f>
        <v>2</v>
      </c>
    </row>
    <row r="855" customFormat="false" ht="15" hidden="false" customHeight="false" outlineLevel="0" collapsed="false">
      <c r="A855" s="0" t="s">
        <v>1179</v>
      </c>
      <c r="B855" s="0" t="s">
        <v>79</v>
      </c>
      <c r="C855" s="0" t="str">
        <f aca="false">INDEX(Intent_Analysis!$B$5:$B$81,MATCH(B855,Intent_Analysis!$A$5:$A$81,0))</f>
        <v>Cash, ATM &amp; deposits</v>
      </c>
      <c r="D855" s="0" t="n">
        <f aca="false">INDEX(Intent_Analysis!$E$5:$E$81,MATCH(B855,Intent_Analysis!$A$5:$A$81,0))</f>
        <v>2</v>
      </c>
    </row>
    <row r="856" customFormat="false" ht="15" hidden="false" customHeight="false" outlineLevel="0" collapsed="false">
      <c r="A856" s="0" t="s">
        <v>1180</v>
      </c>
      <c r="B856" s="0" t="s">
        <v>79</v>
      </c>
      <c r="C856" s="0" t="str">
        <f aca="false">INDEX(Intent_Analysis!$B$5:$B$81,MATCH(B856,Intent_Analysis!$A$5:$A$81,0))</f>
        <v>Cash, ATM &amp; deposits</v>
      </c>
      <c r="D856" s="0" t="n">
        <f aca="false">INDEX(Intent_Analysis!$E$5:$E$81,MATCH(B856,Intent_Analysis!$A$5:$A$81,0))</f>
        <v>2</v>
      </c>
    </row>
    <row r="857" customFormat="false" ht="15" hidden="false" customHeight="false" outlineLevel="0" collapsed="false">
      <c r="A857" s="0" t="s">
        <v>1181</v>
      </c>
      <c r="B857" s="0" t="s">
        <v>79</v>
      </c>
      <c r="C857" s="0" t="str">
        <f aca="false">INDEX(Intent_Analysis!$B$5:$B$81,MATCH(B857,Intent_Analysis!$A$5:$A$81,0))</f>
        <v>Cash, ATM &amp; deposits</v>
      </c>
      <c r="D857" s="0" t="n">
        <f aca="false">INDEX(Intent_Analysis!$E$5:$E$81,MATCH(B857,Intent_Analysis!$A$5:$A$81,0))</f>
        <v>2</v>
      </c>
    </row>
    <row r="858" customFormat="false" ht="15" hidden="false" customHeight="false" outlineLevel="0" collapsed="false">
      <c r="A858" s="0" t="s">
        <v>1182</v>
      </c>
      <c r="B858" s="0" t="s">
        <v>79</v>
      </c>
      <c r="C858" s="0" t="str">
        <f aca="false">INDEX(Intent_Analysis!$B$5:$B$81,MATCH(B858,Intent_Analysis!$A$5:$A$81,0))</f>
        <v>Cash, ATM &amp; deposits</v>
      </c>
      <c r="D858" s="0" t="n">
        <f aca="false">INDEX(Intent_Analysis!$E$5:$E$81,MATCH(B858,Intent_Analysis!$A$5:$A$81,0))</f>
        <v>2</v>
      </c>
    </row>
    <row r="859" customFormat="false" ht="15" hidden="false" customHeight="false" outlineLevel="0" collapsed="false">
      <c r="A859" s="0" t="s">
        <v>1183</v>
      </c>
      <c r="B859" s="0" t="s">
        <v>79</v>
      </c>
      <c r="C859" s="0" t="str">
        <f aca="false">INDEX(Intent_Analysis!$B$5:$B$81,MATCH(B859,Intent_Analysis!$A$5:$A$81,0))</f>
        <v>Cash, ATM &amp; deposits</v>
      </c>
      <c r="D859" s="0" t="n">
        <f aca="false">INDEX(Intent_Analysis!$E$5:$E$81,MATCH(B859,Intent_Analysis!$A$5:$A$81,0))</f>
        <v>2</v>
      </c>
    </row>
    <row r="860" customFormat="false" ht="15" hidden="false" customHeight="false" outlineLevel="0" collapsed="false">
      <c r="A860" s="0" t="s">
        <v>1184</v>
      </c>
      <c r="B860" s="0" t="s">
        <v>79</v>
      </c>
      <c r="C860" s="0" t="str">
        <f aca="false">INDEX(Intent_Analysis!$B$5:$B$81,MATCH(B860,Intent_Analysis!$A$5:$A$81,0))</f>
        <v>Cash, ATM &amp; deposits</v>
      </c>
      <c r="D860" s="0" t="n">
        <f aca="false">INDEX(Intent_Analysis!$E$5:$E$81,MATCH(B860,Intent_Analysis!$A$5:$A$81,0))</f>
        <v>2</v>
      </c>
    </row>
    <row r="861" customFormat="false" ht="15" hidden="false" customHeight="false" outlineLevel="0" collapsed="false">
      <c r="A861" s="0" t="s">
        <v>1185</v>
      </c>
      <c r="B861" s="0" t="s">
        <v>79</v>
      </c>
      <c r="C861" s="0" t="str">
        <f aca="false">INDEX(Intent_Analysis!$B$5:$B$81,MATCH(B861,Intent_Analysis!$A$5:$A$81,0))</f>
        <v>Cash, ATM &amp; deposits</v>
      </c>
      <c r="D861" s="0" t="n">
        <f aca="false">INDEX(Intent_Analysis!$E$5:$E$81,MATCH(B861,Intent_Analysis!$A$5:$A$81,0))</f>
        <v>2</v>
      </c>
    </row>
    <row r="862" customFormat="false" ht="15" hidden="false" customHeight="false" outlineLevel="0" collapsed="false">
      <c r="A862" s="0" t="s">
        <v>1186</v>
      </c>
      <c r="B862" s="0" t="s">
        <v>79</v>
      </c>
      <c r="C862" s="0" t="str">
        <f aca="false">INDEX(Intent_Analysis!$B$5:$B$81,MATCH(B862,Intent_Analysis!$A$5:$A$81,0))</f>
        <v>Cash, ATM &amp; deposits</v>
      </c>
      <c r="D862" s="0" t="n">
        <f aca="false">INDEX(Intent_Analysis!$E$5:$E$81,MATCH(B862,Intent_Analysis!$A$5:$A$81,0))</f>
        <v>2</v>
      </c>
    </row>
    <row r="863" customFormat="false" ht="15" hidden="false" customHeight="false" outlineLevel="0" collapsed="false">
      <c r="A863" s="0" t="s">
        <v>1187</v>
      </c>
      <c r="B863" s="0" t="s">
        <v>79</v>
      </c>
      <c r="C863" s="0" t="str">
        <f aca="false">INDEX(Intent_Analysis!$B$5:$B$81,MATCH(B863,Intent_Analysis!$A$5:$A$81,0))</f>
        <v>Cash, ATM &amp; deposits</v>
      </c>
      <c r="D863" s="0" t="n">
        <f aca="false">INDEX(Intent_Analysis!$E$5:$E$81,MATCH(B863,Intent_Analysis!$A$5:$A$81,0))</f>
        <v>2</v>
      </c>
    </row>
    <row r="864" customFormat="false" ht="15" hidden="false" customHeight="false" outlineLevel="0" collapsed="false">
      <c r="A864" s="0" t="s">
        <v>1188</v>
      </c>
      <c r="B864" s="0" t="s">
        <v>79</v>
      </c>
      <c r="C864" s="0" t="str">
        <f aca="false">INDEX(Intent_Analysis!$B$5:$B$81,MATCH(B864,Intent_Analysis!$A$5:$A$81,0))</f>
        <v>Cash, ATM &amp; deposits</v>
      </c>
      <c r="D864" s="0" t="n">
        <f aca="false">INDEX(Intent_Analysis!$E$5:$E$81,MATCH(B864,Intent_Analysis!$A$5:$A$81,0))</f>
        <v>2</v>
      </c>
    </row>
    <row r="865" customFormat="false" ht="15" hidden="false" customHeight="false" outlineLevel="0" collapsed="false">
      <c r="A865" s="0" t="s">
        <v>1189</v>
      </c>
      <c r="B865" s="0" t="s">
        <v>79</v>
      </c>
      <c r="C865" s="0" t="str">
        <f aca="false">INDEX(Intent_Analysis!$B$5:$B$81,MATCH(B865,Intent_Analysis!$A$5:$A$81,0))</f>
        <v>Cash, ATM &amp; deposits</v>
      </c>
      <c r="D865" s="0" t="n">
        <f aca="false">INDEX(Intent_Analysis!$E$5:$E$81,MATCH(B865,Intent_Analysis!$A$5:$A$81,0))</f>
        <v>2</v>
      </c>
    </row>
    <row r="866" customFormat="false" ht="15" hidden="false" customHeight="false" outlineLevel="0" collapsed="false">
      <c r="A866" s="0" t="s">
        <v>1190</v>
      </c>
      <c r="B866" s="0" t="s">
        <v>79</v>
      </c>
      <c r="C866" s="0" t="str">
        <f aca="false">INDEX(Intent_Analysis!$B$5:$B$81,MATCH(B866,Intent_Analysis!$A$5:$A$81,0))</f>
        <v>Cash, ATM &amp; deposits</v>
      </c>
      <c r="D866" s="0" t="n">
        <f aca="false">INDEX(Intent_Analysis!$E$5:$E$81,MATCH(B866,Intent_Analysis!$A$5:$A$81,0))</f>
        <v>2</v>
      </c>
    </row>
    <row r="867" customFormat="false" ht="15" hidden="false" customHeight="false" outlineLevel="0" collapsed="false">
      <c r="A867" s="0" t="s">
        <v>1191</v>
      </c>
      <c r="B867" s="0" t="s">
        <v>79</v>
      </c>
      <c r="C867" s="0" t="str">
        <f aca="false">INDEX(Intent_Analysis!$B$5:$B$81,MATCH(B867,Intent_Analysis!$A$5:$A$81,0))</f>
        <v>Cash, ATM &amp; deposits</v>
      </c>
      <c r="D867" s="0" t="n">
        <f aca="false">INDEX(Intent_Analysis!$E$5:$E$81,MATCH(B867,Intent_Analysis!$A$5:$A$81,0))</f>
        <v>2</v>
      </c>
    </row>
    <row r="868" customFormat="false" ht="15" hidden="false" customHeight="false" outlineLevel="0" collapsed="false">
      <c r="A868" s="0" t="s">
        <v>1192</v>
      </c>
      <c r="B868" s="0" t="s">
        <v>79</v>
      </c>
      <c r="C868" s="0" t="str">
        <f aca="false">INDEX(Intent_Analysis!$B$5:$B$81,MATCH(B868,Intent_Analysis!$A$5:$A$81,0))</f>
        <v>Cash, ATM &amp; deposits</v>
      </c>
      <c r="D868" s="0" t="n">
        <f aca="false">INDEX(Intent_Analysis!$E$5:$E$81,MATCH(B868,Intent_Analysis!$A$5:$A$81,0))</f>
        <v>2</v>
      </c>
    </row>
    <row r="869" customFormat="false" ht="15" hidden="false" customHeight="false" outlineLevel="0" collapsed="false">
      <c r="A869" s="0" t="s">
        <v>1193</v>
      </c>
      <c r="B869" s="0" t="s">
        <v>79</v>
      </c>
      <c r="C869" s="0" t="str">
        <f aca="false">INDEX(Intent_Analysis!$B$5:$B$81,MATCH(B869,Intent_Analysis!$A$5:$A$81,0))</f>
        <v>Cash, ATM &amp; deposits</v>
      </c>
      <c r="D869" s="0" t="n">
        <f aca="false">INDEX(Intent_Analysis!$E$5:$E$81,MATCH(B869,Intent_Analysis!$A$5:$A$81,0))</f>
        <v>2</v>
      </c>
    </row>
    <row r="870" customFormat="false" ht="15" hidden="false" customHeight="false" outlineLevel="0" collapsed="false">
      <c r="A870" s="0" t="s">
        <v>1194</v>
      </c>
      <c r="B870" s="0" t="s">
        <v>79</v>
      </c>
      <c r="C870" s="0" t="str">
        <f aca="false">INDEX(Intent_Analysis!$B$5:$B$81,MATCH(B870,Intent_Analysis!$A$5:$A$81,0))</f>
        <v>Cash, ATM &amp; deposits</v>
      </c>
      <c r="D870" s="0" t="n">
        <f aca="false">INDEX(Intent_Analysis!$E$5:$E$81,MATCH(B870,Intent_Analysis!$A$5:$A$81,0))</f>
        <v>2</v>
      </c>
    </row>
    <row r="871" customFormat="false" ht="15" hidden="false" customHeight="false" outlineLevel="0" collapsed="false">
      <c r="A871" s="0" t="s">
        <v>1195</v>
      </c>
      <c r="B871" s="0" t="s">
        <v>79</v>
      </c>
      <c r="C871" s="0" t="str">
        <f aca="false">INDEX(Intent_Analysis!$B$5:$B$81,MATCH(B871,Intent_Analysis!$A$5:$A$81,0))</f>
        <v>Cash, ATM &amp; deposits</v>
      </c>
      <c r="D871" s="0" t="n">
        <f aca="false">INDEX(Intent_Analysis!$E$5:$E$81,MATCH(B871,Intent_Analysis!$A$5:$A$81,0))</f>
        <v>2</v>
      </c>
    </row>
    <row r="872" customFormat="false" ht="15" hidden="false" customHeight="false" outlineLevel="0" collapsed="false">
      <c r="A872" s="0" t="s">
        <v>1196</v>
      </c>
      <c r="B872" s="0" t="s">
        <v>79</v>
      </c>
      <c r="C872" s="0" t="str">
        <f aca="false">INDEX(Intent_Analysis!$B$5:$B$81,MATCH(B872,Intent_Analysis!$A$5:$A$81,0))</f>
        <v>Cash, ATM &amp; deposits</v>
      </c>
      <c r="D872" s="0" t="n">
        <f aca="false">INDEX(Intent_Analysis!$E$5:$E$81,MATCH(B872,Intent_Analysis!$A$5:$A$81,0))</f>
        <v>2</v>
      </c>
    </row>
    <row r="873" customFormat="false" ht="15" hidden="false" customHeight="false" outlineLevel="0" collapsed="false">
      <c r="A873" s="0" t="s">
        <v>1197</v>
      </c>
      <c r="B873" s="0" t="s">
        <v>79</v>
      </c>
      <c r="C873" s="0" t="str">
        <f aca="false">INDEX(Intent_Analysis!$B$5:$B$81,MATCH(B873,Intent_Analysis!$A$5:$A$81,0))</f>
        <v>Cash, ATM &amp; deposits</v>
      </c>
      <c r="D873" s="0" t="n">
        <f aca="false">INDEX(Intent_Analysis!$E$5:$E$81,MATCH(B873,Intent_Analysis!$A$5:$A$81,0))</f>
        <v>2</v>
      </c>
    </row>
    <row r="874" customFormat="false" ht="15" hidden="false" customHeight="false" outlineLevel="0" collapsed="false">
      <c r="A874" s="0" t="s">
        <v>1198</v>
      </c>
      <c r="B874" s="0" t="s">
        <v>79</v>
      </c>
      <c r="C874" s="0" t="str">
        <f aca="false">INDEX(Intent_Analysis!$B$5:$B$81,MATCH(B874,Intent_Analysis!$A$5:$A$81,0))</f>
        <v>Cash, ATM &amp; deposits</v>
      </c>
      <c r="D874" s="0" t="n">
        <f aca="false">INDEX(Intent_Analysis!$E$5:$E$81,MATCH(B874,Intent_Analysis!$A$5:$A$81,0))</f>
        <v>2</v>
      </c>
    </row>
    <row r="875" customFormat="false" ht="15" hidden="false" customHeight="false" outlineLevel="0" collapsed="false">
      <c r="A875" s="0" t="s">
        <v>1199</v>
      </c>
      <c r="B875" s="0" t="s">
        <v>79</v>
      </c>
      <c r="C875" s="0" t="str">
        <f aca="false">INDEX(Intent_Analysis!$B$5:$B$81,MATCH(B875,Intent_Analysis!$A$5:$A$81,0))</f>
        <v>Cash, ATM &amp; deposits</v>
      </c>
      <c r="D875" s="0" t="n">
        <f aca="false">INDEX(Intent_Analysis!$E$5:$E$81,MATCH(B875,Intent_Analysis!$A$5:$A$81,0))</f>
        <v>2</v>
      </c>
    </row>
    <row r="876" customFormat="false" ht="15" hidden="false" customHeight="false" outlineLevel="0" collapsed="false">
      <c r="A876" s="0" t="s">
        <v>1200</v>
      </c>
      <c r="B876" s="0" t="s">
        <v>79</v>
      </c>
      <c r="C876" s="0" t="str">
        <f aca="false">INDEX(Intent_Analysis!$B$5:$B$81,MATCH(B876,Intent_Analysis!$A$5:$A$81,0))</f>
        <v>Cash, ATM &amp; deposits</v>
      </c>
      <c r="D876" s="0" t="n">
        <f aca="false">INDEX(Intent_Analysis!$E$5:$E$81,MATCH(B876,Intent_Analysis!$A$5:$A$81,0))</f>
        <v>2</v>
      </c>
    </row>
    <row r="877" customFormat="false" ht="15" hidden="false" customHeight="false" outlineLevel="0" collapsed="false">
      <c r="A877" s="0" t="s">
        <v>1201</v>
      </c>
      <c r="B877" s="0" t="s">
        <v>79</v>
      </c>
      <c r="C877" s="0" t="str">
        <f aca="false">INDEX(Intent_Analysis!$B$5:$B$81,MATCH(B877,Intent_Analysis!$A$5:$A$81,0))</f>
        <v>Cash, ATM &amp; deposits</v>
      </c>
      <c r="D877" s="0" t="n">
        <f aca="false">INDEX(Intent_Analysis!$E$5:$E$81,MATCH(B877,Intent_Analysis!$A$5:$A$81,0))</f>
        <v>2</v>
      </c>
    </row>
    <row r="878" customFormat="false" ht="15" hidden="false" customHeight="false" outlineLevel="0" collapsed="false">
      <c r="A878" s="0" t="s">
        <v>1202</v>
      </c>
      <c r="B878" s="0" t="s">
        <v>79</v>
      </c>
      <c r="C878" s="0" t="str">
        <f aca="false">INDEX(Intent_Analysis!$B$5:$B$81,MATCH(B878,Intent_Analysis!$A$5:$A$81,0))</f>
        <v>Cash, ATM &amp; deposits</v>
      </c>
      <c r="D878" s="0" t="n">
        <f aca="false">INDEX(Intent_Analysis!$E$5:$E$81,MATCH(B878,Intent_Analysis!$A$5:$A$81,0))</f>
        <v>2</v>
      </c>
    </row>
    <row r="879" customFormat="false" ht="15" hidden="false" customHeight="false" outlineLevel="0" collapsed="false">
      <c r="A879" s="0" t="s">
        <v>1203</v>
      </c>
      <c r="B879" s="0" t="s">
        <v>79</v>
      </c>
      <c r="C879" s="0" t="str">
        <f aca="false">INDEX(Intent_Analysis!$B$5:$B$81,MATCH(B879,Intent_Analysis!$A$5:$A$81,0))</f>
        <v>Cash, ATM &amp; deposits</v>
      </c>
      <c r="D879" s="0" t="n">
        <f aca="false">INDEX(Intent_Analysis!$E$5:$E$81,MATCH(B879,Intent_Analysis!$A$5:$A$81,0))</f>
        <v>2</v>
      </c>
    </row>
    <row r="880" customFormat="false" ht="15" hidden="false" customHeight="false" outlineLevel="0" collapsed="false">
      <c r="A880" s="0" t="s">
        <v>1204</v>
      </c>
      <c r="B880" s="0" t="s">
        <v>79</v>
      </c>
      <c r="C880" s="0" t="str">
        <f aca="false">INDEX(Intent_Analysis!$B$5:$B$81,MATCH(B880,Intent_Analysis!$A$5:$A$81,0))</f>
        <v>Cash, ATM &amp; deposits</v>
      </c>
      <c r="D880" s="0" t="n">
        <f aca="false">INDEX(Intent_Analysis!$E$5:$E$81,MATCH(B880,Intent_Analysis!$A$5:$A$81,0))</f>
        <v>2</v>
      </c>
    </row>
    <row r="881" customFormat="false" ht="15" hidden="false" customHeight="false" outlineLevel="0" collapsed="false">
      <c r="A881" s="0" t="s">
        <v>1205</v>
      </c>
      <c r="B881" s="0" t="s">
        <v>79</v>
      </c>
      <c r="C881" s="0" t="str">
        <f aca="false">INDEX(Intent_Analysis!$B$5:$B$81,MATCH(B881,Intent_Analysis!$A$5:$A$81,0))</f>
        <v>Cash, ATM &amp; deposits</v>
      </c>
      <c r="D881" s="0" t="n">
        <f aca="false">INDEX(Intent_Analysis!$E$5:$E$81,MATCH(B881,Intent_Analysis!$A$5:$A$81,0))</f>
        <v>2</v>
      </c>
    </row>
    <row r="882" customFormat="false" ht="15" hidden="false" customHeight="false" outlineLevel="0" collapsed="false">
      <c r="A882" s="0" t="s">
        <v>1206</v>
      </c>
      <c r="B882" s="0" t="s">
        <v>84</v>
      </c>
      <c r="C882" s="0" t="str">
        <f aca="false">INDEX(Intent_Analysis!$B$5:$B$81,MATCH(B882,Intent_Analysis!$A$5:$A$81,0))</f>
        <v>Exchange rates &amp; currencies</v>
      </c>
      <c r="D882" s="0" t="n">
        <f aca="false">INDEX(Intent_Analysis!$E$5:$E$81,MATCH(B882,Intent_Analysis!$A$5:$A$81,0))</f>
        <v>1</v>
      </c>
    </row>
    <row r="883" customFormat="false" ht="15" hidden="false" customHeight="false" outlineLevel="0" collapsed="false">
      <c r="A883" s="0" t="s">
        <v>1207</v>
      </c>
      <c r="B883" s="0" t="s">
        <v>84</v>
      </c>
      <c r="C883" s="0" t="str">
        <f aca="false">INDEX(Intent_Analysis!$B$5:$B$81,MATCH(B883,Intent_Analysis!$A$5:$A$81,0))</f>
        <v>Exchange rates &amp; currencies</v>
      </c>
      <c r="D883" s="0" t="n">
        <f aca="false">INDEX(Intent_Analysis!$E$5:$E$81,MATCH(B883,Intent_Analysis!$A$5:$A$81,0))</f>
        <v>1</v>
      </c>
    </row>
    <row r="884" customFormat="false" ht="15" hidden="false" customHeight="false" outlineLevel="0" collapsed="false">
      <c r="A884" s="0" t="s">
        <v>1208</v>
      </c>
      <c r="B884" s="0" t="s">
        <v>84</v>
      </c>
      <c r="C884" s="0" t="str">
        <f aca="false">INDEX(Intent_Analysis!$B$5:$B$81,MATCH(B884,Intent_Analysis!$A$5:$A$81,0))</f>
        <v>Exchange rates &amp; currencies</v>
      </c>
      <c r="D884" s="0" t="n">
        <f aca="false">INDEX(Intent_Analysis!$E$5:$E$81,MATCH(B884,Intent_Analysis!$A$5:$A$81,0))</f>
        <v>1</v>
      </c>
    </row>
    <row r="885" customFormat="false" ht="15" hidden="false" customHeight="false" outlineLevel="0" collapsed="false">
      <c r="A885" s="0" t="s">
        <v>1209</v>
      </c>
      <c r="B885" s="0" t="s">
        <v>84</v>
      </c>
      <c r="C885" s="0" t="str">
        <f aca="false">INDEX(Intent_Analysis!$B$5:$B$81,MATCH(B885,Intent_Analysis!$A$5:$A$81,0))</f>
        <v>Exchange rates &amp; currencies</v>
      </c>
      <c r="D885" s="0" t="n">
        <f aca="false">INDEX(Intent_Analysis!$E$5:$E$81,MATCH(B885,Intent_Analysis!$A$5:$A$81,0))</f>
        <v>1</v>
      </c>
    </row>
    <row r="886" customFormat="false" ht="15" hidden="false" customHeight="false" outlineLevel="0" collapsed="false">
      <c r="A886" s="0" t="s">
        <v>1210</v>
      </c>
      <c r="B886" s="0" t="s">
        <v>84</v>
      </c>
      <c r="C886" s="0" t="str">
        <f aca="false">INDEX(Intent_Analysis!$B$5:$B$81,MATCH(B886,Intent_Analysis!$A$5:$A$81,0))</f>
        <v>Exchange rates &amp; currencies</v>
      </c>
      <c r="D886" s="0" t="n">
        <f aca="false">INDEX(Intent_Analysis!$E$5:$E$81,MATCH(B886,Intent_Analysis!$A$5:$A$81,0))</f>
        <v>1</v>
      </c>
    </row>
    <row r="887" customFormat="false" ht="15" hidden="false" customHeight="false" outlineLevel="0" collapsed="false">
      <c r="A887" s="0" t="s">
        <v>1211</v>
      </c>
      <c r="B887" s="0" t="s">
        <v>84</v>
      </c>
      <c r="C887" s="0" t="str">
        <f aca="false">INDEX(Intent_Analysis!$B$5:$B$81,MATCH(B887,Intent_Analysis!$A$5:$A$81,0))</f>
        <v>Exchange rates &amp; currencies</v>
      </c>
      <c r="D887" s="0" t="n">
        <f aca="false">INDEX(Intent_Analysis!$E$5:$E$81,MATCH(B887,Intent_Analysis!$A$5:$A$81,0))</f>
        <v>1</v>
      </c>
    </row>
    <row r="888" customFormat="false" ht="15" hidden="false" customHeight="false" outlineLevel="0" collapsed="false">
      <c r="A888" s="0" t="s">
        <v>1212</v>
      </c>
      <c r="B888" s="0" t="s">
        <v>84</v>
      </c>
      <c r="C888" s="0" t="str">
        <f aca="false">INDEX(Intent_Analysis!$B$5:$B$81,MATCH(B888,Intent_Analysis!$A$5:$A$81,0))</f>
        <v>Exchange rates &amp; currencies</v>
      </c>
      <c r="D888" s="0" t="n">
        <f aca="false">INDEX(Intent_Analysis!$E$5:$E$81,MATCH(B888,Intent_Analysis!$A$5:$A$81,0))</f>
        <v>1</v>
      </c>
    </row>
    <row r="889" customFormat="false" ht="15" hidden="false" customHeight="false" outlineLevel="0" collapsed="false">
      <c r="A889" s="0" t="s">
        <v>1213</v>
      </c>
      <c r="B889" s="0" t="s">
        <v>84</v>
      </c>
      <c r="C889" s="0" t="str">
        <f aca="false">INDEX(Intent_Analysis!$B$5:$B$81,MATCH(B889,Intent_Analysis!$A$5:$A$81,0))</f>
        <v>Exchange rates &amp; currencies</v>
      </c>
      <c r="D889" s="0" t="n">
        <f aca="false">INDEX(Intent_Analysis!$E$5:$E$81,MATCH(B889,Intent_Analysis!$A$5:$A$81,0))</f>
        <v>1</v>
      </c>
    </row>
    <row r="890" customFormat="false" ht="15" hidden="false" customHeight="false" outlineLevel="0" collapsed="false">
      <c r="A890" s="0" t="s">
        <v>1214</v>
      </c>
      <c r="B890" s="0" t="s">
        <v>84</v>
      </c>
      <c r="C890" s="0" t="str">
        <f aca="false">INDEX(Intent_Analysis!$B$5:$B$81,MATCH(B890,Intent_Analysis!$A$5:$A$81,0))</f>
        <v>Exchange rates &amp; currencies</v>
      </c>
      <c r="D890" s="0" t="n">
        <f aca="false">INDEX(Intent_Analysis!$E$5:$E$81,MATCH(B890,Intent_Analysis!$A$5:$A$81,0))</f>
        <v>1</v>
      </c>
    </row>
    <row r="891" customFormat="false" ht="15" hidden="false" customHeight="false" outlineLevel="0" collapsed="false">
      <c r="A891" s="0" t="s">
        <v>1215</v>
      </c>
      <c r="B891" s="0" t="s">
        <v>84</v>
      </c>
      <c r="C891" s="0" t="str">
        <f aca="false">INDEX(Intent_Analysis!$B$5:$B$81,MATCH(B891,Intent_Analysis!$A$5:$A$81,0))</f>
        <v>Exchange rates &amp; currencies</v>
      </c>
      <c r="D891" s="0" t="n">
        <f aca="false">INDEX(Intent_Analysis!$E$5:$E$81,MATCH(B891,Intent_Analysis!$A$5:$A$81,0))</f>
        <v>1</v>
      </c>
    </row>
    <row r="892" customFormat="false" ht="15" hidden="false" customHeight="false" outlineLevel="0" collapsed="false">
      <c r="A892" s="0" t="s">
        <v>1216</v>
      </c>
      <c r="B892" s="0" t="s">
        <v>84</v>
      </c>
      <c r="C892" s="0" t="str">
        <f aca="false">INDEX(Intent_Analysis!$B$5:$B$81,MATCH(B892,Intent_Analysis!$A$5:$A$81,0))</f>
        <v>Exchange rates &amp; currencies</v>
      </c>
      <c r="D892" s="0" t="n">
        <f aca="false">INDEX(Intent_Analysis!$E$5:$E$81,MATCH(B892,Intent_Analysis!$A$5:$A$81,0))</f>
        <v>1</v>
      </c>
    </row>
    <row r="893" customFormat="false" ht="15" hidden="false" customHeight="false" outlineLevel="0" collapsed="false">
      <c r="A893" s="0" t="s">
        <v>1217</v>
      </c>
      <c r="B893" s="0" t="s">
        <v>84</v>
      </c>
      <c r="C893" s="0" t="str">
        <f aca="false">INDEX(Intent_Analysis!$B$5:$B$81,MATCH(B893,Intent_Analysis!$A$5:$A$81,0))</f>
        <v>Exchange rates &amp; currencies</v>
      </c>
      <c r="D893" s="0" t="n">
        <f aca="false">INDEX(Intent_Analysis!$E$5:$E$81,MATCH(B893,Intent_Analysis!$A$5:$A$81,0))</f>
        <v>1</v>
      </c>
    </row>
    <row r="894" customFormat="false" ht="15" hidden="false" customHeight="false" outlineLevel="0" collapsed="false">
      <c r="A894" s="0" t="s">
        <v>1218</v>
      </c>
      <c r="B894" s="0" t="s">
        <v>84</v>
      </c>
      <c r="C894" s="0" t="str">
        <f aca="false">INDEX(Intent_Analysis!$B$5:$B$81,MATCH(B894,Intent_Analysis!$A$5:$A$81,0))</f>
        <v>Exchange rates &amp; currencies</v>
      </c>
      <c r="D894" s="0" t="n">
        <f aca="false">INDEX(Intent_Analysis!$E$5:$E$81,MATCH(B894,Intent_Analysis!$A$5:$A$81,0))</f>
        <v>1</v>
      </c>
    </row>
    <row r="895" customFormat="false" ht="15" hidden="false" customHeight="false" outlineLevel="0" collapsed="false">
      <c r="A895" s="0" t="s">
        <v>1219</v>
      </c>
      <c r="B895" s="0" t="s">
        <v>84</v>
      </c>
      <c r="C895" s="0" t="str">
        <f aca="false">INDEX(Intent_Analysis!$B$5:$B$81,MATCH(B895,Intent_Analysis!$A$5:$A$81,0))</f>
        <v>Exchange rates &amp; currencies</v>
      </c>
      <c r="D895" s="0" t="n">
        <f aca="false">INDEX(Intent_Analysis!$E$5:$E$81,MATCH(B895,Intent_Analysis!$A$5:$A$81,0))</f>
        <v>1</v>
      </c>
    </row>
    <row r="896" customFormat="false" ht="15" hidden="false" customHeight="false" outlineLevel="0" collapsed="false">
      <c r="A896" s="0" t="s">
        <v>1220</v>
      </c>
      <c r="B896" s="0" t="s">
        <v>84</v>
      </c>
      <c r="C896" s="0" t="str">
        <f aca="false">INDEX(Intent_Analysis!$B$5:$B$81,MATCH(B896,Intent_Analysis!$A$5:$A$81,0))</f>
        <v>Exchange rates &amp; currencies</v>
      </c>
      <c r="D896" s="0" t="n">
        <f aca="false">INDEX(Intent_Analysis!$E$5:$E$81,MATCH(B896,Intent_Analysis!$A$5:$A$81,0))</f>
        <v>1</v>
      </c>
    </row>
    <row r="897" customFormat="false" ht="15" hidden="false" customHeight="false" outlineLevel="0" collapsed="false">
      <c r="A897" s="0" t="s">
        <v>1221</v>
      </c>
      <c r="B897" s="0" t="s">
        <v>84</v>
      </c>
      <c r="C897" s="0" t="str">
        <f aca="false">INDEX(Intent_Analysis!$B$5:$B$81,MATCH(B897,Intent_Analysis!$A$5:$A$81,0))</f>
        <v>Exchange rates &amp; currencies</v>
      </c>
      <c r="D897" s="0" t="n">
        <f aca="false">INDEX(Intent_Analysis!$E$5:$E$81,MATCH(B897,Intent_Analysis!$A$5:$A$81,0))</f>
        <v>1</v>
      </c>
    </row>
    <row r="898" customFormat="false" ht="15" hidden="false" customHeight="false" outlineLevel="0" collapsed="false">
      <c r="A898" s="0" t="s">
        <v>1222</v>
      </c>
      <c r="B898" s="0" t="s">
        <v>84</v>
      </c>
      <c r="C898" s="0" t="str">
        <f aca="false">INDEX(Intent_Analysis!$B$5:$B$81,MATCH(B898,Intent_Analysis!$A$5:$A$81,0))</f>
        <v>Exchange rates &amp; currencies</v>
      </c>
      <c r="D898" s="0" t="n">
        <f aca="false">INDEX(Intent_Analysis!$E$5:$E$81,MATCH(B898,Intent_Analysis!$A$5:$A$81,0))</f>
        <v>1</v>
      </c>
    </row>
    <row r="899" customFormat="false" ht="15" hidden="false" customHeight="false" outlineLevel="0" collapsed="false">
      <c r="A899" s="0" t="s">
        <v>1223</v>
      </c>
      <c r="B899" s="0" t="s">
        <v>84</v>
      </c>
      <c r="C899" s="0" t="str">
        <f aca="false">INDEX(Intent_Analysis!$B$5:$B$81,MATCH(B899,Intent_Analysis!$A$5:$A$81,0))</f>
        <v>Exchange rates &amp; currencies</v>
      </c>
      <c r="D899" s="0" t="n">
        <f aca="false">INDEX(Intent_Analysis!$E$5:$E$81,MATCH(B899,Intent_Analysis!$A$5:$A$81,0))</f>
        <v>1</v>
      </c>
    </row>
    <row r="900" customFormat="false" ht="15" hidden="false" customHeight="false" outlineLevel="0" collapsed="false">
      <c r="A900" s="0" t="s">
        <v>1224</v>
      </c>
      <c r="B900" s="0" t="s">
        <v>84</v>
      </c>
      <c r="C900" s="0" t="str">
        <f aca="false">INDEX(Intent_Analysis!$B$5:$B$81,MATCH(B900,Intent_Analysis!$A$5:$A$81,0))</f>
        <v>Exchange rates &amp; currencies</v>
      </c>
      <c r="D900" s="0" t="n">
        <f aca="false">INDEX(Intent_Analysis!$E$5:$E$81,MATCH(B900,Intent_Analysis!$A$5:$A$81,0))</f>
        <v>1</v>
      </c>
    </row>
    <row r="901" customFormat="false" ht="15" hidden="false" customHeight="false" outlineLevel="0" collapsed="false">
      <c r="A901" s="0" t="s">
        <v>1225</v>
      </c>
      <c r="B901" s="0" t="s">
        <v>84</v>
      </c>
      <c r="C901" s="0" t="str">
        <f aca="false">INDEX(Intent_Analysis!$B$5:$B$81,MATCH(B901,Intent_Analysis!$A$5:$A$81,0))</f>
        <v>Exchange rates &amp; currencies</v>
      </c>
      <c r="D901" s="0" t="n">
        <f aca="false">INDEX(Intent_Analysis!$E$5:$E$81,MATCH(B901,Intent_Analysis!$A$5:$A$81,0))</f>
        <v>1</v>
      </c>
    </row>
    <row r="902" customFormat="false" ht="15" hidden="false" customHeight="false" outlineLevel="0" collapsed="false">
      <c r="A902" s="0" t="s">
        <v>1226</v>
      </c>
      <c r="B902" s="0" t="s">
        <v>84</v>
      </c>
      <c r="C902" s="0" t="str">
        <f aca="false">INDEX(Intent_Analysis!$B$5:$B$81,MATCH(B902,Intent_Analysis!$A$5:$A$81,0))</f>
        <v>Exchange rates &amp; currencies</v>
      </c>
      <c r="D902" s="0" t="n">
        <f aca="false">INDEX(Intent_Analysis!$E$5:$E$81,MATCH(B902,Intent_Analysis!$A$5:$A$81,0))</f>
        <v>1</v>
      </c>
    </row>
    <row r="903" customFormat="false" ht="15" hidden="false" customHeight="false" outlineLevel="0" collapsed="false">
      <c r="A903" s="0" t="s">
        <v>1227</v>
      </c>
      <c r="B903" s="0" t="s">
        <v>84</v>
      </c>
      <c r="C903" s="0" t="str">
        <f aca="false">INDEX(Intent_Analysis!$B$5:$B$81,MATCH(B903,Intent_Analysis!$A$5:$A$81,0))</f>
        <v>Exchange rates &amp; currencies</v>
      </c>
      <c r="D903" s="0" t="n">
        <f aca="false">INDEX(Intent_Analysis!$E$5:$E$81,MATCH(B903,Intent_Analysis!$A$5:$A$81,0))</f>
        <v>1</v>
      </c>
    </row>
    <row r="904" customFormat="false" ht="15" hidden="false" customHeight="false" outlineLevel="0" collapsed="false">
      <c r="A904" s="0" t="s">
        <v>1228</v>
      </c>
      <c r="B904" s="0" t="s">
        <v>84</v>
      </c>
      <c r="C904" s="0" t="str">
        <f aca="false">INDEX(Intent_Analysis!$B$5:$B$81,MATCH(B904,Intent_Analysis!$A$5:$A$81,0))</f>
        <v>Exchange rates &amp; currencies</v>
      </c>
      <c r="D904" s="0" t="n">
        <f aca="false">INDEX(Intent_Analysis!$E$5:$E$81,MATCH(B904,Intent_Analysis!$A$5:$A$81,0))</f>
        <v>1</v>
      </c>
    </row>
    <row r="905" customFormat="false" ht="15" hidden="false" customHeight="false" outlineLevel="0" collapsed="false">
      <c r="A905" s="0" t="s">
        <v>1229</v>
      </c>
      <c r="B905" s="0" t="s">
        <v>84</v>
      </c>
      <c r="C905" s="0" t="str">
        <f aca="false">INDEX(Intent_Analysis!$B$5:$B$81,MATCH(B905,Intent_Analysis!$A$5:$A$81,0))</f>
        <v>Exchange rates &amp; currencies</v>
      </c>
      <c r="D905" s="0" t="n">
        <f aca="false">INDEX(Intent_Analysis!$E$5:$E$81,MATCH(B905,Intent_Analysis!$A$5:$A$81,0))</f>
        <v>1</v>
      </c>
    </row>
    <row r="906" customFormat="false" ht="15" hidden="false" customHeight="false" outlineLevel="0" collapsed="false">
      <c r="A906" s="0" t="s">
        <v>1230</v>
      </c>
      <c r="B906" s="0" t="s">
        <v>84</v>
      </c>
      <c r="C906" s="0" t="str">
        <f aca="false">INDEX(Intent_Analysis!$B$5:$B$81,MATCH(B906,Intent_Analysis!$A$5:$A$81,0))</f>
        <v>Exchange rates &amp; currencies</v>
      </c>
      <c r="D906" s="0" t="n">
        <f aca="false">INDEX(Intent_Analysis!$E$5:$E$81,MATCH(B906,Intent_Analysis!$A$5:$A$81,0))</f>
        <v>1</v>
      </c>
    </row>
    <row r="907" customFormat="false" ht="15" hidden="false" customHeight="false" outlineLevel="0" collapsed="false">
      <c r="A907" s="0" t="s">
        <v>1231</v>
      </c>
      <c r="B907" s="0" t="s">
        <v>84</v>
      </c>
      <c r="C907" s="0" t="str">
        <f aca="false">INDEX(Intent_Analysis!$B$5:$B$81,MATCH(B907,Intent_Analysis!$A$5:$A$81,0))</f>
        <v>Exchange rates &amp; currencies</v>
      </c>
      <c r="D907" s="0" t="n">
        <f aca="false">INDEX(Intent_Analysis!$E$5:$E$81,MATCH(B907,Intent_Analysis!$A$5:$A$81,0))</f>
        <v>1</v>
      </c>
    </row>
    <row r="908" customFormat="false" ht="15" hidden="false" customHeight="false" outlineLevel="0" collapsed="false">
      <c r="A908" s="0" t="s">
        <v>1232</v>
      </c>
      <c r="B908" s="0" t="s">
        <v>84</v>
      </c>
      <c r="C908" s="0" t="str">
        <f aca="false">INDEX(Intent_Analysis!$B$5:$B$81,MATCH(B908,Intent_Analysis!$A$5:$A$81,0))</f>
        <v>Exchange rates &amp; currencies</v>
      </c>
      <c r="D908" s="0" t="n">
        <f aca="false">INDEX(Intent_Analysis!$E$5:$E$81,MATCH(B908,Intent_Analysis!$A$5:$A$81,0))</f>
        <v>1</v>
      </c>
    </row>
    <row r="909" customFormat="false" ht="15" hidden="false" customHeight="false" outlineLevel="0" collapsed="false">
      <c r="A909" s="0" t="s">
        <v>1233</v>
      </c>
      <c r="B909" s="0" t="s">
        <v>84</v>
      </c>
      <c r="C909" s="0" t="str">
        <f aca="false">INDEX(Intent_Analysis!$B$5:$B$81,MATCH(B909,Intent_Analysis!$A$5:$A$81,0))</f>
        <v>Exchange rates &amp; currencies</v>
      </c>
      <c r="D909" s="0" t="n">
        <f aca="false">INDEX(Intent_Analysis!$E$5:$E$81,MATCH(B909,Intent_Analysis!$A$5:$A$81,0))</f>
        <v>1</v>
      </c>
    </row>
    <row r="910" customFormat="false" ht="15" hidden="false" customHeight="false" outlineLevel="0" collapsed="false">
      <c r="A910" s="0" t="s">
        <v>1234</v>
      </c>
      <c r="B910" s="0" t="s">
        <v>84</v>
      </c>
      <c r="C910" s="0" t="str">
        <f aca="false">INDEX(Intent_Analysis!$B$5:$B$81,MATCH(B910,Intent_Analysis!$A$5:$A$81,0))</f>
        <v>Exchange rates &amp; currencies</v>
      </c>
      <c r="D910" s="0" t="n">
        <f aca="false">INDEX(Intent_Analysis!$E$5:$E$81,MATCH(B910,Intent_Analysis!$A$5:$A$81,0))</f>
        <v>1</v>
      </c>
    </row>
    <row r="911" customFormat="false" ht="15" hidden="false" customHeight="false" outlineLevel="0" collapsed="false">
      <c r="A911" s="0" t="s">
        <v>1235</v>
      </c>
      <c r="B911" s="0" t="s">
        <v>84</v>
      </c>
      <c r="C911" s="0" t="str">
        <f aca="false">INDEX(Intent_Analysis!$B$5:$B$81,MATCH(B911,Intent_Analysis!$A$5:$A$81,0))</f>
        <v>Exchange rates &amp; currencies</v>
      </c>
      <c r="D911" s="0" t="n">
        <f aca="false">INDEX(Intent_Analysis!$E$5:$E$81,MATCH(B911,Intent_Analysis!$A$5:$A$81,0))</f>
        <v>1</v>
      </c>
    </row>
    <row r="912" customFormat="false" ht="15" hidden="false" customHeight="false" outlineLevel="0" collapsed="false">
      <c r="A912" s="0" t="s">
        <v>1236</v>
      </c>
      <c r="B912" s="0" t="s">
        <v>84</v>
      </c>
      <c r="C912" s="0" t="str">
        <f aca="false">INDEX(Intent_Analysis!$B$5:$B$81,MATCH(B912,Intent_Analysis!$A$5:$A$81,0))</f>
        <v>Exchange rates &amp; currencies</v>
      </c>
      <c r="D912" s="0" t="n">
        <f aca="false">INDEX(Intent_Analysis!$E$5:$E$81,MATCH(B912,Intent_Analysis!$A$5:$A$81,0))</f>
        <v>1</v>
      </c>
    </row>
    <row r="913" customFormat="false" ht="15" hidden="false" customHeight="false" outlineLevel="0" collapsed="false">
      <c r="A913" s="0" t="s">
        <v>1237</v>
      </c>
      <c r="B913" s="0" t="s">
        <v>84</v>
      </c>
      <c r="C913" s="0" t="str">
        <f aca="false">INDEX(Intent_Analysis!$B$5:$B$81,MATCH(B913,Intent_Analysis!$A$5:$A$81,0))</f>
        <v>Exchange rates &amp; currencies</v>
      </c>
      <c r="D913" s="0" t="n">
        <f aca="false">INDEX(Intent_Analysis!$E$5:$E$81,MATCH(B913,Intent_Analysis!$A$5:$A$81,0))</f>
        <v>1</v>
      </c>
    </row>
    <row r="914" customFormat="false" ht="15" hidden="false" customHeight="false" outlineLevel="0" collapsed="false">
      <c r="A914" s="0" t="s">
        <v>1238</v>
      </c>
      <c r="B914" s="0" t="s">
        <v>84</v>
      </c>
      <c r="C914" s="0" t="str">
        <f aca="false">INDEX(Intent_Analysis!$B$5:$B$81,MATCH(B914,Intent_Analysis!$A$5:$A$81,0))</f>
        <v>Exchange rates &amp; currencies</v>
      </c>
      <c r="D914" s="0" t="n">
        <f aca="false">INDEX(Intent_Analysis!$E$5:$E$81,MATCH(B914,Intent_Analysis!$A$5:$A$81,0))</f>
        <v>1</v>
      </c>
    </row>
    <row r="915" customFormat="false" ht="15" hidden="false" customHeight="false" outlineLevel="0" collapsed="false">
      <c r="A915" s="0" t="s">
        <v>1239</v>
      </c>
      <c r="B915" s="0" t="s">
        <v>84</v>
      </c>
      <c r="C915" s="0" t="str">
        <f aca="false">INDEX(Intent_Analysis!$B$5:$B$81,MATCH(B915,Intent_Analysis!$A$5:$A$81,0))</f>
        <v>Exchange rates &amp; currencies</v>
      </c>
      <c r="D915" s="0" t="n">
        <f aca="false">INDEX(Intent_Analysis!$E$5:$E$81,MATCH(B915,Intent_Analysis!$A$5:$A$81,0))</f>
        <v>1</v>
      </c>
    </row>
    <row r="916" customFormat="false" ht="15" hidden="false" customHeight="false" outlineLevel="0" collapsed="false">
      <c r="A916" s="0" t="s">
        <v>1240</v>
      </c>
      <c r="B916" s="0" t="s">
        <v>84</v>
      </c>
      <c r="C916" s="0" t="str">
        <f aca="false">INDEX(Intent_Analysis!$B$5:$B$81,MATCH(B916,Intent_Analysis!$A$5:$A$81,0))</f>
        <v>Exchange rates &amp; currencies</v>
      </c>
      <c r="D916" s="0" t="n">
        <f aca="false">INDEX(Intent_Analysis!$E$5:$E$81,MATCH(B916,Intent_Analysis!$A$5:$A$81,0))</f>
        <v>1</v>
      </c>
    </row>
    <row r="917" customFormat="false" ht="15" hidden="false" customHeight="false" outlineLevel="0" collapsed="false">
      <c r="A917" s="0" t="s">
        <v>1241</v>
      </c>
      <c r="B917" s="0" t="s">
        <v>84</v>
      </c>
      <c r="C917" s="0" t="str">
        <f aca="false">INDEX(Intent_Analysis!$B$5:$B$81,MATCH(B917,Intent_Analysis!$A$5:$A$81,0))</f>
        <v>Exchange rates &amp; currencies</v>
      </c>
      <c r="D917" s="0" t="n">
        <f aca="false">INDEX(Intent_Analysis!$E$5:$E$81,MATCH(B917,Intent_Analysis!$A$5:$A$81,0))</f>
        <v>1</v>
      </c>
    </row>
    <row r="918" customFormat="false" ht="15" hidden="false" customHeight="false" outlineLevel="0" collapsed="false">
      <c r="A918" s="0" t="s">
        <v>1242</v>
      </c>
      <c r="B918" s="0" t="s">
        <v>84</v>
      </c>
      <c r="C918" s="0" t="str">
        <f aca="false">INDEX(Intent_Analysis!$B$5:$B$81,MATCH(B918,Intent_Analysis!$A$5:$A$81,0))</f>
        <v>Exchange rates &amp; currencies</v>
      </c>
      <c r="D918" s="0" t="n">
        <f aca="false">INDEX(Intent_Analysis!$E$5:$E$81,MATCH(B918,Intent_Analysis!$A$5:$A$81,0))</f>
        <v>1</v>
      </c>
    </row>
    <row r="919" customFormat="false" ht="15" hidden="false" customHeight="false" outlineLevel="0" collapsed="false">
      <c r="A919" s="0" t="s">
        <v>1243</v>
      </c>
      <c r="B919" s="0" t="s">
        <v>84</v>
      </c>
      <c r="C919" s="0" t="str">
        <f aca="false">INDEX(Intent_Analysis!$B$5:$B$81,MATCH(B919,Intent_Analysis!$A$5:$A$81,0))</f>
        <v>Exchange rates &amp; currencies</v>
      </c>
      <c r="D919" s="0" t="n">
        <f aca="false">INDEX(Intent_Analysis!$E$5:$E$81,MATCH(B919,Intent_Analysis!$A$5:$A$81,0))</f>
        <v>1</v>
      </c>
    </row>
    <row r="920" customFormat="false" ht="15" hidden="false" customHeight="false" outlineLevel="0" collapsed="false">
      <c r="A920" s="0" t="s">
        <v>1244</v>
      </c>
      <c r="B920" s="0" t="s">
        <v>84</v>
      </c>
      <c r="C920" s="0" t="str">
        <f aca="false">INDEX(Intent_Analysis!$B$5:$B$81,MATCH(B920,Intent_Analysis!$A$5:$A$81,0))</f>
        <v>Exchange rates &amp; currencies</v>
      </c>
      <c r="D920" s="0" t="n">
        <f aca="false">INDEX(Intent_Analysis!$E$5:$E$81,MATCH(B920,Intent_Analysis!$A$5:$A$81,0))</f>
        <v>1</v>
      </c>
    </row>
    <row r="921" customFormat="false" ht="15" hidden="false" customHeight="false" outlineLevel="0" collapsed="false">
      <c r="A921" s="0" t="s">
        <v>1245</v>
      </c>
      <c r="B921" s="0" t="s">
        <v>84</v>
      </c>
      <c r="C921" s="0" t="str">
        <f aca="false">INDEX(Intent_Analysis!$B$5:$B$81,MATCH(B921,Intent_Analysis!$A$5:$A$81,0))</f>
        <v>Exchange rates &amp; currencies</v>
      </c>
      <c r="D921" s="0" t="n">
        <f aca="false">INDEX(Intent_Analysis!$E$5:$E$81,MATCH(B921,Intent_Analysis!$A$5:$A$81,0))</f>
        <v>1</v>
      </c>
    </row>
    <row r="922" customFormat="false" ht="15" hidden="false" customHeight="false" outlineLevel="0" collapsed="false">
      <c r="A922" s="0" t="s">
        <v>1246</v>
      </c>
      <c r="B922" s="0" t="s">
        <v>84</v>
      </c>
      <c r="C922" s="0" t="str">
        <f aca="false">INDEX(Intent_Analysis!$B$5:$B$81,MATCH(B922,Intent_Analysis!$A$5:$A$81,0))</f>
        <v>Exchange rates &amp; currencies</v>
      </c>
      <c r="D922" s="0" t="n">
        <f aca="false">INDEX(Intent_Analysis!$E$5:$E$81,MATCH(B922,Intent_Analysis!$A$5:$A$81,0))</f>
        <v>1</v>
      </c>
    </row>
    <row r="923" customFormat="false" ht="15" hidden="false" customHeight="false" outlineLevel="0" collapsed="false">
      <c r="A923" s="0" t="s">
        <v>1247</v>
      </c>
      <c r="B923" s="0" t="s">
        <v>84</v>
      </c>
      <c r="C923" s="0" t="str">
        <f aca="false">INDEX(Intent_Analysis!$B$5:$B$81,MATCH(B923,Intent_Analysis!$A$5:$A$81,0))</f>
        <v>Exchange rates &amp; currencies</v>
      </c>
      <c r="D923" s="0" t="n">
        <f aca="false">INDEX(Intent_Analysis!$E$5:$E$81,MATCH(B923,Intent_Analysis!$A$5:$A$81,0))</f>
        <v>1</v>
      </c>
    </row>
    <row r="924" customFormat="false" ht="15" hidden="false" customHeight="false" outlineLevel="0" collapsed="false">
      <c r="A924" s="0" t="s">
        <v>1248</v>
      </c>
      <c r="B924" s="0" t="s">
        <v>84</v>
      </c>
      <c r="C924" s="0" t="str">
        <f aca="false">INDEX(Intent_Analysis!$B$5:$B$81,MATCH(B924,Intent_Analysis!$A$5:$A$81,0))</f>
        <v>Exchange rates &amp; currencies</v>
      </c>
      <c r="D924" s="0" t="n">
        <f aca="false">INDEX(Intent_Analysis!$E$5:$E$81,MATCH(B924,Intent_Analysis!$A$5:$A$81,0))</f>
        <v>1</v>
      </c>
    </row>
    <row r="925" customFormat="false" ht="15" hidden="false" customHeight="false" outlineLevel="0" collapsed="false">
      <c r="A925" s="0" t="s">
        <v>1249</v>
      </c>
      <c r="B925" s="0" t="s">
        <v>84</v>
      </c>
      <c r="C925" s="0" t="str">
        <f aca="false">INDEX(Intent_Analysis!$B$5:$B$81,MATCH(B925,Intent_Analysis!$A$5:$A$81,0))</f>
        <v>Exchange rates &amp; currencies</v>
      </c>
      <c r="D925" s="0" t="n">
        <f aca="false">INDEX(Intent_Analysis!$E$5:$E$81,MATCH(B925,Intent_Analysis!$A$5:$A$81,0))</f>
        <v>1</v>
      </c>
    </row>
    <row r="926" customFormat="false" ht="15" hidden="false" customHeight="false" outlineLevel="0" collapsed="false">
      <c r="A926" s="0" t="s">
        <v>1250</v>
      </c>
      <c r="B926" s="0" t="s">
        <v>84</v>
      </c>
      <c r="C926" s="0" t="str">
        <f aca="false">INDEX(Intent_Analysis!$B$5:$B$81,MATCH(B926,Intent_Analysis!$A$5:$A$81,0))</f>
        <v>Exchange rates &amp; currencies</v>
      </c>
      <c r="D926" s="0" t="n">
        <f aca="false">INDEX(Intent_Analysis!$E$5:$E$81,MATCH(B926,Intent_Analysis!$A$5:$A$81,0))</f>
        <v>1</v>
      </c>
    </row>
    <row r="927" customFormat="false" ht="15" hidden="false" customHeight="false" outlineLevel="0" collapsed="false">
      <c r="A927" s="0" t="s">
        <v>1251</v>
      </c>
      <c r="B927" s="0" t="s">
        <v>84</v>
      </c>
      <c r="C927" s="0" t="str">
        <f aca="false">INDEX(Intent_Analysis!$B$5:$B$81,MATCH(B927,Intent_Analysis!$A$5:$A$81,0))</f>
        <v>Exchange rates &amp; currencies</v>
      </c>
      <c r="D927" s="0" t="n">
        <f aca="false">INDEX(Intent_Analysis!$E$5:$E$81,MATCH(B927,Intent_Analysis!$A$5:$A$81,0))</f>
        <v>1</v>
      </c>
    </row>
    <row r="928" customFormat="false" ht="15" hidden="false" customHeight="false" outlineLevel="0" collapsed="false">
      <c r="A928" s="0" t="s">
        <v>1252</v>
      </c>
      <c r="B928" s="0" t="s">
        <v>84</v>
      </c>
      <c r="C928" s="0" t="str">
        <f aca="false">INDEX(Intent_Analysis!$B$5:$B$81,MATCH(B928,Intent_Analysis!$A$5:$A$81,0))</f>
        <v>Exchange rates &amp; currencies</v>
      </c>
      <c r="D928" s="0" t="n">
        <f aca="false">INDEX(Intent_Analysis!$E$5:$E$81,MATCH(B928,Intent_Analysis!$A$5:$A$81,0))</f>
        <v>1</v>
      </c>
    </row>
    <row r="929" customFormat="false" ht="15" hidden="false" customHeight="false" outlineLevel="0" collapsed="false">
      <c r="A929" s="0" t="s">
        <v>1253</v>
      </c>
      <c r="B929" s="0" t="s">
        <v>84</v>
      </c>
      <c r="C929" s="0" t="str">
        <f aca="false">INDEX(Intent_Analysis!$B$5:$B$81,MATCH(B929,Intent_Analysis!$A$5:$A$81,0))</f>
        <v>Exchange rates &amp; currencies</v>
      </c>
      <c r="D929" s="0" t="n">
        <f aca="false">INDEX(Intent_Analysis!$E$5:$E$81,MATCH(B929,Intent_Analysis!$A$5:$A$81,0))</f>
        <v>1</v>
      </c>
    </row>
    <row r="930" customFormat="false" ht="15" hidden="false" customHeight="false" outlineLevel="0" collapsed="false">
      <c r="A930" s="0" t="s">
        <v>1254</v>
      </c>
      <c r="B930" s="0" t="s">
        <v>84</v>
      </c>
      <c r="C930" s="0" t="str">
        <f aca="false">INDEX(Intent_Analysis!$B$5:$B$81,MATCH(B930,Intent_Analysis!$A$5:$A$81,0))</f>
        <v>Exchange rates &amp; currencies</v>
      </c>
      <c r="D930" s="0" t="n">
        <f aca="false">INDEX(Intent_Analysis!$E$5:$E$81,MATCH(B930,Intent_Analysis!$A$5:$A$81,0))</f>
        <v>1</v>
      </c>
    </row>
    <row r="931" customFormat="false" ht="15" hidden="false" customHeight="false" outlineLevel="0" collapsed="false">
      <c r="A931" s="0" t="s">
        <v>1255</v>
      </c>
      <c r="B931" s="0" t="s">
        <v>84</v>
      </c>
      <c r="C931" s="0" t="str">
        <f aca="false">INDEX(Intent_Analysis!$B$5:$B$81,MATCH(B931,Intent_Analysis!$A$5:$A$81,0))</f>
        <v>Exchange rates &amp; currencies</v>
      </c>
      <c r="D931" s="0" t="n">
        <f aca="false">INDEX(Intent_Analysis!$E$5:$E$81,MATCH(B931,Intent_Analysis!$A$5:$A$81,0))</f>
        <v>1</v>
      </c>
    </row>
    <row r="932" customFormat="false" ht="15" hidden="false" customHeight="false" outlineLevel="0" collapsed="false">
      <c r="A932" s="0" t="s">
        <v>1256</v>
      </c>
      <c r="B932" s="0" t="s">
        <v>84</v>
      </c>
      <c r="C932" s="0" t="str">
        <f aca="false">INDEX(Intent_Analysis!$B$5:$B$81,MATCH(B932,Intent_Analysis!$A$5:$A$81,0))</f>
        <v>Exchange rates &amp; currencies</v>
      </c>
      <c r="D932" s="0" t="n">
        <f aca="false">INDEX(Intent_Analysis!$E$5:$E$81,MATCH(B932,Intent_Analysis!$A$5:$A$81,0))</f>
        <v>1</v>
      </c>
    </row>
    <row r="933" customFormat="false" ht="15" hidden="false" customHeight="false" outlineLevel="0" collapsed="false">
      <c r="A933" s="0" t="s">
        <v>1257</v>
      </c>
      <c r="B933" s="0" t="s">
        <v>84</v>
      </c>
      <c r="C933" s="0" t="str">
        <f aca="false">INDEX(Intent_Analysis!$B$5:$B$81,MATCH(B933,Intent_Analysis!$A$5:$A$81,0))</f>
        <v>Exchange rates &amp; currencies</v>
      </c>
      <c r="D933" s="0" t="n">
        <f aca="false">INDEX(Intent_Analysis!$E$5:$E$81,MATCH(B933,Intent_Analysis!$A$5:$A$81,0))</f>
        <v>1</v>
      </c>
    </row>
    <row r="934" customFormat="false" ht="15" hidden="false" customHeight="false" outlineLevel="0" collapsed="false">
      <c r="A934" s="0" t="s">
        <v>1258</v>
      </c>
      <c r="B934" s="0" t="s">
        <v>84</v>
      </c>
      <c r="C934" s="0" t="str">
        <f aca="false">INDEX(Intent_Analysis!$B$5:$B$81,MATCH(B934,Intent_Analysis!$A$5:$A$81,0))</f>
        <v>Exchange rates &amp; currencies</v>
      </c>
      <c r="D934" s="0" t="n">
        <f aca="false">INDEX(Intent_Analysis!$E$5:$E$81,MATCH(B934,Intent_Analysis!$A$5:$A$81,0))</f>
        <v>1</v>
      </c>
    </row>
    <row r="935" customFormat="false" ht="15" hidden="false" customHeight="false" outlineLevel="0" collapsed="false">
      <c r="A935" s="0" t="s">
        <v>1259</v>
      </c>
      <c r="B935" s="0" t="s">
        <v>84</v>
      </c>
      <c r="C935" s="0" t="str">
        <f aca="false">INDEX(Intent_Analysis!$B$5:$B$81,MATCH(B935,Intent_Analysis!$A$5:$A$81,0))</f>
        <v>Exchange rates &amp; currencies</v>
      </c>
      <c r="D935" s="0" t="n">
        <f aca="false">INDEX(Intent_Analysis!$E$5:$E$81,MATCH(B935,Intent_Analysis!$A$5:$A$81,0))</f>
        <v>1</v>
      </c>
    </row>
    <row r="936" customFormat="false" ht="15" hidden="false" customHeight="false" outlineLevel="0" collapsed="false">
      <c r="A936" s="0" t="s">
        <v>1260</v>
      </c>
      <c r="B936" s="0" t="s">
        <v>84</v>
      </c>
      <c r="C936" s="0" t="str">
        <f aca="false">INDEX(Intent_Analysis!$B$5:$B$81,MATCH(B936,Intent_Analysis!$A$5:$A$81,0))</f>
        <v>Exchange rates &amp; currencies</v>
      </c>
      <c r="D936" s="0" t="n">
        <f aca="false">INDEX(Intent_Analysis!$E$5:$E$81,MATCH(B936,Intent_Analysis!$A$5:$A$81,0))</f>
        <v>1</v>
      </c>
    </row>
    <row r="937" customFormat="false" ht="15" hidden="false" customHeight="false" outlineLevel="0" collapsed="false">
      <c r="A937" s="0" t="s">
        <v>1261</v>
      </c>
      <c r="B937" s="0" t="s">
        <v>84</v>
      </c>
      <c r="C937" s="0" t="str">
        <f aca="false">INDEX(Intent_Analysis!$B$5:$B$81,MATCH(B937,Intent_Analysis!$A$5:$A$81,0))</f>
        <v>Exchange rates &amp; currencies</v>
      </c>
      <c r="D937" s="0" t="n">
        <f aca="false">INDEX(Intent_Analysis!$E$5:$E$81,MATCH(B937,Intent_Analysis!$A$5:$A$81,0))</f>
        <v>1</v>
      </c>
    </row>
    <row r="938" customFormat="false" ht="15" hidden="false" customHeight="false" outlineLevel="0" collapsed="false">
      <c r="A938" s="0" t="s">
        <v>1262</v>
      </c>
      <c r="B938" s="0" t="s">
        <v>84</v>
      </c>
      <c r="C938" s="0" t="str">
        <f aca="false">INDEX(Intent_Analysis!$B$5:$B$81,MATCH(B938,Intent_Analysis!$A$5:$A$81,0))</f>
        <v>Exchange rates &amp; currencies</v>
      </c>
      <c r="D938" s="0" t="n">
        <f aca="false">INDEX(Intent_Analysis!$E$5:$E$81,MATCH(B938,Intent_Analysis!$A$5:$A$81,0))</f>
        <v>1</v>
      </c>
    </row>
    <row r="939" customFormat="false" ht="15" hidden="false" customHeight="false" outlineLevel="0" collapsed="false">
      <c r="A939" s="0" t="s">
        <v>1263</v>
      </c>
      <c r="B939" s="0" t="s">
        <v>84</v>
      </c>
      <c r="C939" s="0" t="str">
        <f aca="false">INDEX(Intent_Analysis!$B$5:$B$81,MATCH(B939,Intent_Analysis!$A$5:$A$81,0))</f>
        <v>Exchange rates &amp; currencies</v>
      </c>
      <c r="D939" s="0" t="n">
        <f aca="false">INDEX(Intent_Analysis!$E$5:$E$81,MATCH(B939,Intent_Analysis!$A$5:$A$81,0))</f>
        <v>1</v>
      </c>
    </row>
    <row r="940" customFormat="false" ht="15" hidden="false" customHeight="false" outlineLevel="0" collapsed="false">
      <c r="A940" s="0" t="s">
        <v>1264</v>
      </c>
      <c r="B940" s="0" t="s">
        <v>84</v>
      </c>
      <c r="C940" s="0" t="str">
        <f aca="false">INDEX(Intent_Analysis!$B$5:$B$81,MATCH(B940,Intent_Analysis!$A$5:$A$81,0))</f>
        <v>Exchange rates &amp; currencies</v>
      </c>
      <c r="D940" s="0" t="n">
        <f aca="false">INDEX(Intent_Analysis!$E$5:$E$81,MATCH(B940,Intent_Analysis!$A$5:$A$81,0))</f>
        <v>1</v>
      </c>
    </row>
    <row r="941" customFormat="false" ht="15" hidden="false" customHeight="false" outlineLevel="0" collapsed="false">
      <c r="A941" s="0" t="s">
        <v>1265</v>
      </c>
      <c r="B941" s="0" t="s">
        <v>84</v>
      </c>
      <c r="C941" s="0" t="str">
        <f aca="false">INDEX(Intent_Analysis!$B$5:$B$81,MATCH(B941,Intent_Analysis!$A$5:$A$81,0))</f>
        <v>Exchange rates &amp; currencies</v>
      </c>
      <c r="D941" s="0" t="n">
        <f aca="false">INDEX(Intent_Analysis!$E$5:$E$81,MATCH(B941,Intent_Analysis!$A$5:$A$81,0))</f>
        <v>1</v>
      </c>
    </row>
    <row r="942" customFormat="false" ht="15" hidden="false" customHeight="false" outlineLevel="0" collapsed="false">
      <c r="A942" s="0" t="s">
        <v>1266</v>
      </c>
      <c r="B942" s="0" t="s">
        <v>84</v>
      </c>
      <c r="C942" s="0" t="str">
        <f aca="false">INDEX(Intent_Analysis!$B$5:$B$81,MATCH(B942,Intent_Analysis!$A$5:$A$81,0))</f>
        <v>Exchange rates &amp; currencies</v>
      </c>
      <c r="D942" s="0" t="n">
        <f aca="false">INDEX(Intent_Analysis!$E$5:$E$81,MATCH(B942,Intent_Analysis!$A$5:$A$81,0))</f>
        <v>1</v>
      </c>
    </row>
    <row r="943" customFormat="false" ht="15" hidden="false" customHeight="false" outlineLevel="0" collapsed="false">
      <c r="A943" s="0" t="s">
        <v>1267</v>
      </c>
      <c r="B943" s="0" t="s">
        <v>84</v>
      </c>
      <c r="C943" s="0" t="str">
        <f aca="false">INDEX(Intent_Analysis!$B$5:$B$81,MATCH(B943,Intent_Analysis!$A$5:$A$81,0))</f>
        <v>Exchange rates &amp; currencies</v>
      </c>
      <c r="D943" s="0" t="n">
        <f aca="false">INDEX(Intent_Analysis!$E$5:$E$81,MATCH(B943,Intent_Analysis!$A$5:$A$81,0))</f>
        <v>1</v>
      </c>
    </row>
    <row r="944" customFormat="false" ht="15" hidden="false" customHeight="false" outlineLevel="0" collapsed="false">
      <c r="A944" s="0" t="s">
        <v>1268</v>
      </c>
      <c r="B944" s="0" t="s">
        <v>84</v>
      </c>
      <c r="C944" s="0" t="str">
        <f aca="false">INDEX(Intent_Analysis!$B$5:$B$81,MATCH(B944,Intent_Analysis!$A$5:$A$81,0))</f>
        <v>Exchange rates &amp; currencies</v>
      </c>
      <c r="D944" s="0" t="n">
        <f aca="false">INDEX(Intent_Analysis!$E$5:$E$81,MATCH(B944,Intent_Analysis!$A$5:$A$81,0))</f>
        <v>1</v>
      </c>
    </row>
    <row r="945" customFormat="false" ht="15" hidden="false" customHeight="false" outlineLevel="0" collapsed="false">
      <c r="A945" s="0" t="s">
        <v>1269</v>
      </c>
      <c r="B945" s="0" t="s">
        <v>84</v>
      </c>
      <c r="C945" s="0" t="str">
        <f aca="false">INDEX(Intent_Analysis!$B$5:$B$81,MATCH(B945,Intent_Analysis!$A$5:$A$81,0))</f>
        <v>Exchange rates &amp; currencies</v>
      </c>
      <c r="D945" s="0" t="n">
        <f aca="false">INDEX(Intent_Analysis!$E$5:$E$81,MATCH(B945,Intent_Analysis!$A$5:$A$81,0))</f>
        <v>1</v>
      </c>
    </row>
    <row r="946" customFormat="false" ht="15" hidden="false" customHeight="false" outlineLevel="0" collapsed="false">
      <c r="A946" s="0" t="s">
        <v>1270</v>
      </c>
      <c r="B946" s="0" t="s">
        <v>84</v>
      </c>
      <c r="C946" s="0" t="str">
        <f aca="false">INDEX(Intent_Analysis!$B$5:$B$81,MATCH(B946,Intent_Analysis!$A$5:$A$81,0))</f>
        <v>Exchange rates &amp; currencies</v>
      </c>
      <c r="D946" s="0" t="n">
        <f aca="false">INDEX(Intent_Analysis!$E$5:$E$81,MATCH(B946,Intent_Analysis!$A$5:$A$81,0))</f>
        <v>1</v>
      </c>
    </row>
    <row r="947" customFormat="false" ht="15" hidden="false" customHeight="false" outlineLevel="0" collapsed="false">
      <c r="A947" s="0" t="s">
        <v>1271</v>
      </c>
      <c r="B947" s="0" t="s">
        <v>84</v>
      </c>
      <c r="C947" s="0" t="str">
        <f aca="false">INDEX(Intent_Analysis!$B$5:$B$81,MATCH(B947,Intent_Analysis!$A$5:$A$81,0))</f>
        <v>Exchange rates &amp; currencies</v>
      </c>
      <c r="D947" s="0" t="n">
        <f aca="false">INDEX(Intent_Analysis!$E$5:$E$81,MATCH(B947,Intent_Analysis!$A$5:$A$81,0))</f>
        <v>1</v>
      </c>
    </row>
    <row r="948" customFormat="false" ht="15" hidden="false" customHeight="false" outlineLevel="0" collapsed="false">
      <c r="A948" s="0" t="s">
        <v>1272</v>
      </c>
      <c r="B948" s="0" t="s">
        <v>84</v>
      </c>
      <c r="C948" s="0" t="str">
        <f aca="false">INDEX(Intent_Analysis!$B$5:$B$81,MATCH(B948,Intent_Analysis!$A$5:$A$81,0))</f>
        <v>Exchange rates &amp; currencies</v>
      </c>
      <c r="D948" s="0" t="n">
        <f aca="false">INDEX(Intent_Analysis!$E$5:$E$81,MATCH(B948,Intent_Analysis!$A$5:$A$81,0))</f>
        <v>1</v>
      </c>
    </row>
    <row r="949" customFormat="false" ht="15" hidden="false" customHeight="false" outlineLevel="0" collapsed="false">
      <c r="A949" s="0" t="s">
        <v>1273</v>
      </c>
      <c r="B949" s="0" t="s">
        <v>84</v>
      </c>
      <c r="C949" s="0" t="str">
        <f aca="false">INDEX(Intent_Analysis!$B$5:$B$81,MATCH(B949,Intent_Analysis!$A$5:$A$81,0))</f>
        <v>Exchange rates &amp; currencies</v>
      </c>
      <c r="D949" s="0" t="n">
        <f aca="false">INDEX(Intent_Analysis!$E$5:$E$81,MATCH(B949,Intent_Analysis!$A$5:$A$81,0))</f>
        <v>1</v>
      </c>
    </row>
    <row r="950" customFormat="false" ht="15" hidden="false" customHeight="false" outlineLevel="0" collapsed="false">
      <c r="A950" s="0" t="s">
        <v>1274</v>
      </c>
      <c r="B950" s="0" t="s">
        <v>84</v>
      </c>
      <c r="C950" s="0" t="str">
        <f aca="false">INDEX(Intent_Analysis!$B$5:$B$81,MATCH(B950,Intent_Analysis!$A$5:$A$81,0))</f>
        <v>Exchange rates &amp; currencies</v>
      </c>
      <c r="D950" s="0" t="n">
        <f aca="false">INDEX(Intent_Analysis!$E$5:$E$81,MATCH(B950,Intent_Analysis!$A$5:$A$81,0))</f>
        <v>1</v>
      </c>
    </row>
    <row r="951" customFormat="false" ht="15" hidden="false" customHeight="false" outlineLevel="0" collapsed="false">
      <c r="A951" s="0" t="s">
        <v>1275</v>
      </c>
      <c r="B951" s="0" t="s">
        <v>84</v>
      </c>
      <c r="C951" s="0" t="str">
        <f aca="false">INDEX(Intent_Analysis!$B$5:$B$81,MATCH(B951,Intent_Analysis!$A$5:$A$81,0))</f>
        <v>Exchange rates &amp; currencies</v>
      </c>
      <c r="D951" s="0" t="n">
        <f aca="false">INDEX(Intent_Analysis!$E$5:$E$81,MATCH(B951,Intent_Analysis!$A$5:$A$81,0))</f>
        <v>1</v>
      </c>
    </row>
    <row r="952" customFormat="false" ht="15" hidden="false" customHeight="false" outlineLevel="0" collapsed="false">
      <c r="A952" s="0" t="s">
        <v>1276</v>
      </c>
      <c r="B952" s="0" t="s">
        <v>84</v>
      </c>
      <c r="C952" s="0" t="str">
        <f aca="false">INDEX(Intent_Analysis!$B$5:$B$81,MATCH(B952,Intent_Analysis!$A$5:$A$81,0))</f>
        <v>Exchange rates &amp; currencies</v>
      </c>
      <c r="D952" s="0" t="n">
        <f aca="false">INDEX(Intent_Analysis!$E$5:$E$81,MATCH(B952,Intent_Analysis!$A$5:$A$81,0))</f>
        <v>1</v>
      </c>
    </row>
    <row r="953" customFormat="false" ht="15" hidden="false" customHeight="false" outlineLevel="0" collapsed="false">
      <c r="A953" s="0" t="s">
        <v>1277</v>
      </c>
      <c r="B953" s="0" t="s">
        <v>84</v>
      </c>
      <c r="C953" s="0" t="str">
        <f aca="false">INDEX(Intent_Analysis!$B$5:$B$81,MATCH(B953,Intent_Analysis!$A$5:$A$81,0))</f>
        <v>Exchange rates &amp; currencies</v>
      </c>
      <c r="D953" s="0" t="n">
        <f aca="false">INDEX(Intent_Analysis!$E$5:$E$81,MATCH(B953,Intent_Analysis!$A$5:$A$81,0))</f>
        <v>1</v>
      </c>
    </row>
    <row r="954" customFormat="false" ht="15" hidden="false" customHeight="false" outlineLevel="0" collapsed="false">
      <c r="A954" s="0" t="s">
        <v>1278</v>
      </c>
      <c r="B954" s="0" t="s">
        <v>84</v>
      </c>
      <c r="C954" s="0" t="str">
        <f aca="false">INDEX(Intent_Analysis!$B$5:$B$81,MATCH(B954,Intent_Analysis!$A$5:$A$81,0))</f>
        <v>Exchange rates &amp; currencies</v>
      </c>
      <c r="D954" s="0" t="n">
        <f aca="false">INDEX(Intent_Analysis!$E$5:$E$81,MATCH(B954,Intent_Analysis!$A$5:$A$81,0))</f>
        <v>1</v>
      </c>
    </row>
    <row r="955" customFormat="false" ht="15" hidden="false" customHeight="false" outlineLevel="0" collapsed="false">
      <c r="A955" s="0" t="s">
        <v>1279</v>
      </c>
      <c r="B955" s="0" t="s">
        <v>84</v>
      </c>
      <c r="C955" s="0" t="str">
        <f aca="false">INDEX(Intent_Analysis!$B$5:$B$81,MATCH(B955,Intent_Analysis!$A$5:$A$81,0))</f>
        <v>Exchange rates &amp; currencies</v>
      </c>
      <c r="D955" s="0" t="n">
        <f aca="false">INDEX(Intent_Analysis!$E$5:$E$81,MATCH(B955,Intent_Analysis!$A$5:$A$81,0))</f>
        <v>1</v>
      </c>
    </row>
    <row r="956" customFormat="false" ht="15" hidden="false" customHeight="false" outlineLevel="0" collapsed="false">
      <c r="A956" s="0" t="s">
        <v>1280</v>
      </c>
      <c r="B956" s="0" t="s">
        <v>84</v>
      </c>
      <c r="C956" s="0" t="str">
        <f aca="false">INDEX(Intent_Analysis!$B$5:$B$81,MATCH(B956,Intent_Analysis!$A$5:$A$81,0))</f>
        <v>Exchange rates &amp; currencies</v>
      </c>
      <c r="D956" s="0" t="n">
        <f aca="false">INDEX(Intent_Analysis!$E$5:$E$81,MATCH(B956,Intent_Analysis!$A$5:$A$81,0))</f>
        <v>1</v>
      </c>
    </row>
    <row r="957" customFormat="false" ht="15" hidden="false" customHeight="false" outlineLevel="0" collapsed="false">
      <c r="A957" s="0" t="s">
        <v>1281</v>
      </c>
      <c r="B957" s="0" t="s">
        <v>84</v>
      </c>
      <c r="C957" s="0" t="str">
        <f aca="false">INDEX(Intent_Analysis!$B$5:$B$81,MATCH(B957,Intent_Analysis!$A$5:$A$81,0))</f>
        <v>Exchange rates &amp; currencies</v>
      </c>
      <c r="D957" s="0" t="n">
        <f aca="false">INDEX(Intent_Analysis!$E$5:$E$81,MATCH(B957,Intent_Analysis!$A$5:$A$81,0))</f>
        <v>1</v>
      </c>
    </row>
    <row r="958" customFormat="false" ht="15" hidden="false" customHeight="false" outlineLevel="0" collapsed="false">
      <c r="A958" s="0" t="s">
        <v>1282</v>
      </c>
      <c r="B958" s="0" t="s">
        <v>84</v>
      </c>
      <c r="C958" s="0" t="str">
        <f aca="false">INDEX(Intent_Analysis!$B$5:$B$81,MATCH(B958,Intent_Analysis!$A$5:$A$81,0))</f>
        <v>Exchange rates &amp; currencies</v>
      </c>
      <c r="D958" s="0" t="n">
        <f aca="false">INDEX(Intent_Analysis!$E$5:$E$81,MATCH(B958,Intent_Analysis!$A$5:$A$81,0))</f>
        <v>1</v>
      </c>
    </row>
    <row r="959" customFormat="false" ht="15" hidden="false" customHeight="false" outlineLevel="0" collapsed="false">
      <c r="A959" s="0" t="s">
        <v>1283</v>
      </c>
      <c r="B959" s="0" t="s">
        <v>84</v>
      </c>
      <c r="C959" s="0" t="str">
        <f aca="false">INDEX(Intent_Analysis!$B$5:$B$81,MATCH(B959,Intent_Analysis!$A$5:$A$81,0))</f>
        <v>Exchange rates &amp; currencies</v>
      </c>
      <c r="D959" s="0" t="n">
        <f aca="false">INDEX(Intent_Analysis!$E$5:$E$81,MATCH(B959,Intent_Analysis!$A$5:$A$81,0))</f>
        <v>1</v>
      </c>
    </row>
    <row r="960" customFormat="false" ht="15" hidden="false" customHeight="false" outlineLevel="0" collapsed="false">
      <c r="A960" s="0" t="s">
        <v>1284</v>
      </c>
      <c r="B960" s="0" t="s">
        <v>84</v>
      </c>
      <c r="C960" s="0" t="str">
        <f aca="false">INDEX(Intent_Analysis!$B$5:$B$81,MATCH(B960,Intent_Analysis!$A$5:$A$81,0))</f>
        <v>Exchange rates &amp; currencies</v>
      </c>
      <c r="D960" s="0" t="n">
        <f aca="false">INDEX(Intent_Analysis!$E$5:$E$81,MATCH(B960,Intent_Analysis!$A$5:$A$81,0))</f>
        <v>1</v>
      </c>
    </row>
    <row r="961" customFormat="false" ht="15" hidden="false" customHeight="false" outlineLevel="0" collapsed="false">
      <c r="A961" s="0" t="s">
        <v>1285</v>
      </c>
      <c r="B961" s="0" t="s">
        <v>84</v>
      </c>
      <c r="C961" s="0" t="str">
        <f aca="false">INDEX(Intent_Analysis!$B$5:$B$81,MATCH(B961,Intent_Analysis!$A$5:$A$81,0))</f>
        <v>Exchange rates &amp; currencies</v>
      </c>
      <c r="D961" s="0" t="n">
        <f aca="false">INDEX(Intent_Analysis!$E$5:$E$81,MATCH(B961,Intent_Analysis!$A$5:$A$81,0))</f>
        <v>1</v>
      </c>
    </row>
    <row r="962" customFormat="false" ht="15" hidden="false" customHeight="false" outlineLevel="0" collapsed="false">
      <c r="A962" s="0" t="s">
        <v>1286</v>
      </c>
      <c r="B962" s="0" t="s">
        <v>84</v>
      </c>
      <c r="C962" s="0" t="str">
        <f aca="false">INDEX(Intent_Analysis!$B$5:$B$81,MATCH(B962,Intent_Analysis!$A$5:$A$81,0))</f>
        <v>Exchange rates &amp; currencies</v>
      </c>
      <c r="D962" s="0" t="n">
        <f aca="false">INDEX(Intent_Analysis!$E$5:$E$81,MATCH(B962,Intent_Analysis!$A$5:$A$81,0))</f>
        <v>1</v>
      </c>
    </row>
    <row r="963" customFormat="false" ht="15" hidden="false" customHeight="false" outlineLevel="0" collapsed="false">
      <c r="A963" s="0" t="s">
        <v>1287</v>
      </c>
      <c r="B963" s="0" t="s">
        <v>84</v>
      </c>
      <c r="C963" s="0" t="str">
        <f aca="false">INDEX(Intent_Analysis!$B$5:$B$81,MATCH(B963,Intent_Analysis!$A$5:$A$81,0))</f>
        <v>Exchange rates &amp; currencies</v>
      </c>
      <c r="D963" s="0" t="n">
        <f aca="false">INDEX(Intent_Analysis!$E$5:$E$81,MATCH(B963,Intent_Analysis!$A$5:$A$81,0))</f>
        <v>1</v>
      </c>
    </row>
    <row r="964" customFormat="false" ht="15" hidden="false" customHeight="false" outlineLevel="0" collapsed="false">
      <c r="A964" s="0" t="s">
        <v>1288</v>
      </c>
      <c r="B964" s="0" t="s">
        <v>84</v>
      </c>
      <c r="C964" s="0" t="str">
        <f aca="false">INDEX(Intent_Analysis!$B$5:$B$81,MATCH(B964,Intent_Analysis!$A$5:$A$81,0))</f>
        <v>Exchange rates &amp; currencies</v>
      </c>
      <c r="D964" s="0" t="n">
        <f aca="false">INDEX(Intent_Analysis!$E$5:$E$81,MATCH(B964,Intent_Analysis!$A$5:$A$81,0))</f>
        <v>1</v>
      </c>
    </row>
    <row r="965" customFormat="false" ht="15" hidden="false" customHeight="false" outlineLevel="0" collapsed="false">
      <c r="A965" s="0" t="s">
        <v>1289</v>
      </c>
      <c r="B965" s="0" t="s">
        <v>84</v>
      </c>
      <c r="C965" s="0" t="str">
        <f aca="false">INDEX(Intent_Analysis!$B$5:$B$81,MATCH(B965,Intent_Analysis!$A$5:$A$81,0))</f>
        <v>Exchange rates &amp; currencies</v>
      </c>
      <c r="D965" s="0" t="n">
        <f aca="false">INDEX(Intent_Analysis!$E$5:$E$81,MATCH(B965,Intent_Analysis!$A$5:$A$81,0))</f>
        <v>1</v>
      </c>
    </row>
    <row r="966" customFormat="false" ht="15" hidden="false" customHeight="false" outlineLevel="0" collapsed="false">
      <c r="A966" s="0" t="s">
        <v>1290</v>
      </c>
      <c r="B966" s="0" t="s">
        <v>84</v>
      </c>
      <c r="C966" s="0" t="str">
        <f aca="false">INDEX(Intent_Analysis!$B$5:$B$81,MATCH(B966,Intent_Analysis!$A$5:$A$81,0))</f>
        <v>Exchange rates &amp; currencies</v>
      </c>
      <c r="D966" s="0" t="n">
        <f aca="false">INDEX(Intent_Analysis!$E$5:$E$81,MATCH(B966,Intent_Analysis!$A$5:$A$81,0))</f>
        <v>1</v>
      </c>
    </row>
    <row r="967" customFormat="false" ht="15" hidden="false" customHeight="false" outlineLevel="0" collapsed="false">
      <c r="A967" s="0" t="s">
        <v>1291</v>
      </c>
      <c r="B967" s="0" t="s">
        <v>84</v>
      </c>
      <c r="C967" s="0" t="str">
        <f aca="false">INDEX(Intent_Analysis!$B$5:$B$81,MATCH(B967,Intent_Analysis!$A$5:$A$81,0))</f>
        <v>Exchange rates &amp; currencies</v>
      </c>
      <c r="D967" s="0" t="n">
        <f aca="false">INDEX(Intent_Analysis!$E$5:$E$81,MATCH(B967,Intent_Analysis!$A$5:$A$81,0))</f>
        <v>1</v>
      </c>
    </row>
    <row r="968" customFormat="false" ht="15" hidden="false" customHeight="false" outlineLevel="0" collapsed="false">
      <c r="A968" s="0" t="s">
        <v>1292</v>
      </c>
      <c r="B968" s="0" t="s">
        <v>84</v>
      </c>
      <c r="C968" s="0" t="str">
        <f aca="false">INDEX(Intent_Analysis!$B$5:$B$81,MATCH(B968,Intent_Analysis!$A$5:$A$81,0))</f>
        <v>Exchange rates &amp; currencies</v>
      </c>
      <c r="D968" s="0" t="n">
        <f aca="false">INDEX(Intent_Analysis!$E$5:$E$81,MATCH(B968,Intent_Analysis!$A$5:$A$81,0))</f>
        <v>1</v>
      </c>
    </row>
    <row r="969" customFormat="false" ht="15" hidden="false" customHeight="false" outlineLevel="0" collapsed="false">
      <c r="A969" s="0" t="s">
        <v>1293</v>
      </c>
      <c r="B969" s="0" t="s">
        <v>84</v>
      </c>
      <c r="C969" s="0" t="str">
        <f aca="false">INDEX(Intent_Analysis!$B$5:$B$81,MATCH(B969,Intent_Analysis!$A$5:$A$81,0))</f>
        <v>Exchange rates &amp; currencies</v>
      </c>
      <c r="D969" s="0" t="n">
        <f aca="false">INDEX(Intent_Analysis!$E$5:$E$81,MATCH(B969,Intent_Analysis!$A$5:$A$81,0))</f>
        <v>1</v>
      </c>
    </row>
    <row r="970" customFormat="false" ht="15" hidden="false" customHeight="false" outlineLevel="0" collapsed="false">
      <c r="A970" s="0" t="s">
        <v>1294</v>
      </c>
      <c r="B970" s="0" t="s">
        <v>84</v>
      </c>
      <c r="C970" s="0" t="str">
        <f aca="false">INDEX(Intent_Analysis!$B$5:$B$81,MATCH(B970,Intent_Analysis!$A$5:$A$81,0))</f>
        <v>Exchange rates &amp; currencies</v>
      </c>
      <c r="D970" s="0" t="n">
        <f aca="false">INDEX(Intent_Analysis!$E$5:$E$81,MATCH(B970,Intent_Analysis!$A$5:$A$81,0))</f>
        <v>1</v>
      </c>
    </row>
    <row r="971" customFormat="false" ht="15" hidden="false" customHeight="false" outlineLevel="0" collapsed="false">
      <c r="A971" s="0" t="s">
        <v>1295</v>
      </c>
      <c r="B971" s="0" t="s">
        <v>84</v>
      </c>
      <c r="C971" s="0" t="str">
        <f aca="false">INDEX(Intent_Analysis!$B$5:$B$81,MATCH(B971,Intent_Analysis!$A$5:$A$81,0))</f>
        <v>Exchange rates &amp; currencies</v>
      </c>
      <c r="D971" s="0" t="n">
        <f aca="false">INDEX(Intent_Analysis!$E$5:$E$81,MATCH(B971,Intent_Analysis!$A$5:$A$81,0))</f>
        <v>1</v>
      </c>
    </row>
    <row r="972" customFormat="false" ht="15" hidden="false" customHeight="false" outlineLevel="0" collapsed="false">
      <c r="A972" s="0" t="s">
        <v>1296</v>
      </c>
      <c r="B972" s="0" t="s">
        <v>84</v>
      </c>
      <c r="C972" s="0" t="str">
        <f aca="false">INDEX(Intent_Analysis!$B$5:$B$81,MATCH(B972,Intent_Analysis!$A$5:$A$81,0))</f>
        <v>Exchange rates &amp; currencies</v>
      </c>
      <c r="D972" s="0" t="n">
        <f aca="false">INDEX(Intent_Analysis!$E$5:$E$81,MATCH(B972,Intent_Analysis!$A$5:$A$81,0))</f>
        <v>1</v>
      </c>
    </row>
    <row r="973" customFormat="false" ht="15" hidden="false" customHeight="false" outlineLevel="0" collapsed="false">
      <c r="A973" s="0" t="s">
        <v>1297</v>
      </c>
      <c r="B973" s="0" t="s">
        <v>84</v>
      </c>
      <c r="C973" s="0" t="str">
        <f aca="false">INDEX(Intent_Analysis!$B$5:$B$81,MATCH(B973,Intent_Analysis!$A$5:$A$81,0))</f>
        <v>Exchange rates &amp; currencies</v>
      </c>
      <c r="D973" s="0" t="n">
        <f aca="false">INDEX(Intent_Analysis!$E$5:$E$81,MATCH(B973,Intent_Analysis!$A$5:$A$81,0))</f>
        <v>1</v>
      </c>
    </row>
    <row r="974" customFormat="false" ht="15" hidden="false" customHeight="false" outlineLevel="0" collapsed="false">
      <c r="A974" s="0" t="s">
        <v>1298</v>
      </c>
      <c r="B974" s="0" t="s">
        <v>84</v>
      </c>
      <c r="C974" s="0" t="str">
        <f aca="false">INDEX(Intent_Analysis!$B$5:$B$81,MATCH(B974,Intent_Analysis!$A$5:$A$81,0))</f>
        <v>Exchange rates &amp; currencies</v>
      </c>
      <c r="D974" s="0" t="n">
        <f aca="false">INDEX(Intent_Analysis!$E$5:$E$81,MATCH(B974,Intent_Analysis!$A$5:$A$81,0))</f>
        <v>1</v>
      </c>
    </row>
    <row r="975" customFormat="false" ht="15" hidden="false" customHeight="false" outlineLevel="0" collapsed="false">
      <c r="A975" s="0" t="s">
        <v>1299</v>
      </c>
      <c r="B975" s="0" t="s">
        <v>84</v>
      </c>
      <c r="C975" s="0" t="str">
        <f aca="false">INDEX(Intent_Analysis!$B$5:$B$81,MATCH(B975,Intent_Analysis!$A$5:$A$81,0))</f>
        <v>Exchange rates &amp; currencies</v>
      </c>
      <c r="D975" s="0" t="n">
        <f aca="false">INDEX(Intent_Analysis!$E$5:$E$81,MATCH(B975,Intent_Analysis!$A$5:$A$81,0))</f>
        <v>1</v>
      </c>
    </row>
    <row r="976" customFormat="false" ht="15" hidden="false" customHeight="false" outlineLevel="0" collapsed="false">
      <c r="A976" s="0" t="s">
        <v>1300</v>
      </c>
      <c r="B976" s="0" t="s">
        <v>84</v>
      </c>
      <c r="C976" s="0" t="str">
        <f aca="false">INDEX(Intent_Analysis!$B$5:$B$81,MATCH(B976,Intent_Analysis!$A$5:$A$81,0))</f>
        <v>Exchange rates &amp; currencies</v>
      </c>
      <c r="D976" s="0" t="n">
        <f aca="false">INDEX(Intent_Analysis!$E$5:$E$81,MATCH(B976,Intent_Analysis!$A$5:$A$81,0))</f>
        <v>1</v>
      </c>
    </row>
    <row r="977" customFormat="false" ht="15" hidden="false" customHeight="false" outlineLevel="0" collapsed="false">
      <c r="A977" s="0" t="s">
        <v>1301</v>
      </c>
      <c r="B977" s="0" t="s">
        <v>84</v>
      </c>
      <c r="C977" s="0" t="str">
        <f aca="false">INDEX(Intent_Analysis!$B$5:$B$81,MATCH(B977,Intent_Analysis!$A$5:$A$81,0))</f>
        <v>Exchange rates &amp; currencies</v>
      </c>
      <c r="D977" s="0" t="n">
        <f aca="false">INDEX(Intent_Analysis!$E$5:$E$81,MATCH(B977,Intent_Analysis!$A$5:$A$81,0))</f>
        <v>1</v>
      </c>
    </row>
    <row r="978" customFormat="false" ht="15" hidden="false" customHeight="false" outlineLevel="0" collapsed="false">
      <c r="A978" s="0" t="s">
        <v>1302</v>
      </c>
      <c r="B978" s="0" t="s">
        <v>84</v>
      </c>
      <c r="C978" s="0" t="str">
        <f aca="false">INDEX(Intent_Analysis!$B$5:$B$81,MATCH(B978,Intent_Analysis!$A$5:$A$81,0))</f>
        <v>Exchange rates &amp; currencies</v>
      </c>
      <c r="D978" s="0" t="n">
        <f aca="false">INDEX(Intent_Analysis!$E$5:$E$81,MATCH(B978,Intent_Analysis!$A$5:$A$81,0))</f>
        <v>1</v>
      </c>
    </row>
    <row r="979" customFormat="false" ht="15" hidden="false" customHeight="false" outlineLevel="0" collapsed="false">
      <c r="A979" s="0" t="s">
        <v>1303</v>
      </c>
      <c r="B979" s="0" t="s">
        <v>84</v>
      </c>
      <c r="C979" s="0" t="str">
        <f aca="false">INDEX(Intent_Analysis!$B$5:$B$81,MATCH(B979,Intent_Analysis!$A$5:$A$81,0))</f>
        <v>Exchange rates &amp; currencies</v>
      </c>
      <c r="D979" s="0" t="n">
        <f aca="false">INDEX(Intent_Analysis!$E$5:$E$81,MATCH(B979,Intent_Analysis!$A$5:$A$81,0))</f>
        <v>1</v>
      </c>
    </row>
    <row r="980" customFormat="false" ht="15" hidden="false" customHeight="false" outlineLevel="0" collapsed="false">
      <c r="A980" s="0" t="s">
        <v>1304</v>
      </c>
      <c r="B980" s="0" t="s">
        <v>84</v>
      </c>
      <c r="C980" s="0" t="str">
        <f aca="false">INDEX(Intent_Analysis!$B$5:$B$81,MATCH(B980,Intent_Analysis!$A$5:$A$81,0))</f>
        <v>Exchange rates &amp; currencies</v>
      </c>
      <c r="D980" s="0" t="n">
        <f aca="false">INDEX(Intent_Analysis!$E$5:$E$81,MATCH(B980,Intent_Analysis!$A$5:$A$81,0))</f>
        <v>1</v>
      </c>
    </row>
    <row r="981" customFormat="false" ht="15" hidden="false" customHeight="false" outlineLevel="0" collapsed="false">
      <c r="A981" s="0" t="s">
        <v>1305</v>
      </c>
      <c r="B981" s="0" t="s">
        <v>84</v>
      </c>
      <c r="C981" s="0" t="str">
        <f aca="false">INDEX(Intent_Analysis!$B$5:$B$81,MATCH(B981,Intent_Analysis!$A$5:$A$81,0))</f>
        <v>Exchange rates &amp; currencies</v>
      </c>
      <c r="D981" s="0" t="n">
        <f aca="false">INDEX(Intent_Analysis!$E$5:$E$81,MATCH(B981,Intent_Analysis!$A$5:$A$81,0))</f>
        <v>1</v>
      </c>
    </row>
    <row r="982" customFormat="false" ht="15" hidden="false" customHeight="false" outlineLevel="0" collapsed="false">
      <c r="A982" s="0" t="s">
        <v>1306</v>
      </c>
      <c r="B982" s="0" t="s">
        <v>84</v>
      </c>
      <c r="C982" s="0" t="str">
        <f aca="false">INDEX(Intent_Analysis!$B$5:$B$81,MATCH(B982,Intent_Analysis!$A$5:$A$81,0))</f>
        <v>Exchange rates &amp; currencies</v>
      </c>
      <c r="D982" s="0" t="n">
        <f aca="false">INDEX(Intent_Analysis!$E$5:$E$81,MATCH(B982,Intent_Analysis!$A$5:$A$81,0))</f>
        <v>1</v>
      </c>
    </row>
    <row r="983" customFormat="false" ht="15" hidden="false" customHeight="false" outlineLevel="0" collapsed="false">
      <c r="A983" s="0" t="s">
        <v>1307</v>
      </c>
      <c r="B983" s="0" t="s">
        <v>84</v>
      </c>
      <c r="C983" s="0" t="str">
        <f aca="false">INDEX(Intent_Analysis!$B$5:$B$81,MATCH(B983,Intent_Analysis!$A$5:$A$81,0))</f>
        <v>Exchange rates &amp; currencies</v>
      </c>
      <c r="D983" s="0" t="n">
        <f aca="false">INDEX(Intent_Analysis!$E$5:$E$81,MATCH(B983,Intent_Analysis!$A$5:$A$81,0))</f>
        <v>1</v>
      </c>
    </row>
    <row r="984" customFormat="false" ht="15" hidden="false" customHeight="false" outlineLevel="0" collapsed="false">
      <c r="A984" s="0" t="s">
        <v>1308</v>
      </c>
      <c r="B984" s="0" t="s">
        <v>84</v>
      </c>
      <c r="C984" s="0" t="str">
        <f aca="false">INDEX(Intent_Analysis!$B$5:$B$81,MATCH(B984,Intent_Analysis!$A$5:$A$81,0))</f>
        <v>Exchange rates &amp; currencies</v>
      </c>
      <c r="D984" s="0" t="n">
        <f aca="false">INDEX(Intent_Analysis!$E$5:$E$81,MATCH(B984,Intent_Analysis!$A$5:$A$81,0))</f>
        <v>1</v>
      </c>
    </row>
    <row r="985" customFormat="false" ht="15" hidden="false" customHeight="false" outlineLevel="0" collapsed="false">
      <c r="A985" s="0" t="s">
        <v>1309</v>
      </c>
      <c r="B985" s="0" t="s">
        <v>84</v>
      </c>
      <c r="C985" s="0" t="str">
        <f aca="false">INDEX(Intent_Analysis!$B$5:$B$81,MATCH(B985,Intent_Analysis!$A$5:$A$81,0))</f>
        <v>Exchange rates &amp; currencies</v>
      </c>
      <c r="D985" s="0" t="n">
        <f aca="false">INDEX(Intent_Analysis!$E$5:$E$81,MATCH(B985,Intent_Analysis!$A$5:$A$81,0))</f>
        <v>1</v>
      </c>
    </row>
    <row r="986" customFormat="false" ht="15" hidden="false" customHeight="false" outlineLevel="0" collapsed="false">
      <c r="A986" s="0" t="s">
        <v>1310</v>
      </c>
      <c r="B986" s="0" t="s">
        <v>84</v>
      </c>
      <c r="C986" s="0" t="str">
        <f aca="false">INDEX(Intent_Analysis!$B$5:$B$81,MATCH(B986,Intent_Analysis!$A$5:$A$81,0))</f>
        <v>Exchange rates &amp; currencies</v>
      </c>
      <c r="D986" s="0" t="n">
        <f aca="false">INDEX(Intent_Analysis!$E$5:$E$81,MATCH(B986,Intent_Analysis!$A$5:$A$81,0))</f>
        <v>1</v>
      </c>
    </row>
    <row r="987" customFormat="false" ht="15" hidden="false" customHeight="false" outlineLevel="0" collapsed="false">
      <c r="A987" s="0" t="s">
        <v>1311</v>
      </c>
      <c r="B987" s="0" t="s">
        <v>84</v>
      </c>
      <c r="C987" s="0" t="str">
        <f aca="false">INDEX(Intent_Analysis!$B$5:$B$81,MATCH(B987,Intent_Analysis!$A$5:$A$81,0))</f>
        <v>Exchange rates &amp; currencies</v>
      </c>
      <c r="D987" s="0" t="n">
        <f aca="false">INDEX(Intent_Analysis!$E$5:$E$81,MATCH(B987,Intent_Analysis!$A$5:$A$81,0))</f>
        <v>1</v>
      </c>
    </row>
    <row r="988" customFormat="false" ht="15" hidden="false" customHeight="false" outlineLevel="0" collapsed="false">
      <c r="A988" s="0" t="s">
        <v>1312</v>
      </c>
      <c r="B988" s="0" t="s">
        <v>84</v>
      </c>
      <c r="C988" s="0" t="str">
        <f aca="false">INDEX(Intent_Analysis!$B$5:$B$81,MATCH(B988,Intent_Analysis!$A$5:$A$81,0))</f>
        <v>Exchange rates &amp; currencies</v>
      </c>
      <c r="D988" s="0" t="n">
        <f aca="false">INDEX(Intent_Analysis!$E$5:$E$81,MATCH(B988,Intent_Analysis!$A$5:$A$81,0))</f>
        <v>1</v>
      </c>
    </row>
    <row r="989" customFormat="false" ht="15" hidden="false" customHeight="false" outlineLevel="0" collapsed="false">
      <c r="A989" s="0" t="s">
        <v>1313</v>
      </c>
      <c r="B989" s="0" t="s">
        <v>84</v>
      </c>
      <c r="C989" s="0" t="str">
        <f aca="false">INDEX(Intent_Analysis!$B$5:$B$81,MATCH(B989,Intent_Analysis!$A$5:$A$81,0))</f>
        <v>Exchange rates &amp; currencies</v>
      </c>
      <c r="D989" s="0" t="n">
        <f aca="false">INDEX(Intent_Analysis!$E$5:$E$81,MATCH(B989,Intent_Analysis!$A$5:$A$81,0))</f>
        <v>1</v>
      </c>
    </row>
    <row r="990" customFormat="false" ht="15" hidden="false" customHeight="false" outlineLevel="0" collapsed="false">
      <c r="A990" s="0" t="s">
        <v>1314</v>
      </c>
      <c r="B990" s="0" t="s">
        <v>84</v>
      </c>
      <c r="C990" s="0" t="str">
        <f aca="false">INDEX(Intent_Analysis!$B$5:$B$81,MATCH(B990,Intent_Analysis!$A$5:$A$81,0))</f>
        <v>Exchange rates &amp; currencies</v>
      </c>
      <c r="D990" s="0" t="n">
        <f aca="false">INDEX(Intent_Analysis!$E$5:$E$81,MATCH(B990,Intent_Analysis!$A$5:$A$81,0))</f>
        <v>1</v>
      </c>
    </row>
    <row r="991" customFormat="false" ht="15" hidden="false" customHeight="false" outlineLevel="0" collapsed="false">
      <c r="A991" s="0" t="s">
        <v>1315</v>
      </c>
      <c r="B991" s="0" t="s">
        <v>84</v>
      </c>
      <c r="C991" s="0" t="str">
        <f aca="false">INDEX(Intent_Analysis!$B$5:$B$81,MATCH(B991,Intent_Analysis!$A$5:$A$81,0))</f>
        <v>Exchange rates &amp; currencies</v>
      </c>
      <c r="D991" s="0" t="n">
        <f aca="false">INDEX(Intent_Analysis!$E$5:$E$81,MATCH(B991,Intent_Analysis!$A$5:$A$81,0))</f>
        <v>1</v>
      </c>
    </row>
    <row r="992" customFormat="false" ht="15" hidden="false" customHeight="false" outlineLevel="0" collapsed="false">
      <c r="A992" s="0" t="s">
        <v>1316</v>
      </c>
      <c r="B992" s="0" t="s">
        <v>84</v>
      </c>
      <c r="C992" s="0" t="str">
        <f aca="false">INDEX(Intent_Analysis!$B$5:$B$81,MATCH(B992,Intent_Analysis!$A$5:$A$81,0))</f>
        <v>Exchange rates &amp; currencies</v>
      </c>
      <c r="D992" s="0" t="n">
        <f aca="false">INDEX(Intent_Analysis!$E$5:$E$81,MATCH(B992,Intent_Analysis!$A$5:$A$81,0))</f>
        <v>1</v>
      </c>
    </row>
    <row r="993" customFormat="false" ht="15" hidden="false" customHeight="false" outlineLevel="0" collapsed="false">
      <c r="A993" s="0" t="s">
        <v>1317</v>
      </c>
      <c r="B993" s="0" t="s">
        <v>84</v>
      </c>
      <c r="C993" s="0" t="str">
        <f aca="false">INDEX(Intent_Analysis!$B$5:$B$81,MATCH(B993,Intent_Analysis!$A$5:$A$81,0))</f>
        <v>Exchange rates &amp; currencies</v>
      </c>
      <c r="D993" s="0" t="n">
        <f aca="false">INDEX(Intent_Analysis!$E$5:$E$81,MATCH(B993,Intent_Analysis!$A$5:$A$81,0))</f>
        <v>1</v>
      </c>
    </row>
    <row r="994" customFormat="false" ht="15" hidden="false" customHeight="false" outlineLevel="0" collapsed="false">
      <c r="A994" s="0" t="s">
        <v>1318</v>
      </c>
      <c r="B994" s="0" t="s">
        <v>84</v>
      </c>
      <c r="C994" s="0" t="str">
        <f aca="false">INDEX(Intent_Analysis!$B$5:$B$81,MATCH(B994,Intent_Analysis!$A$5:$A$81,0))</f>
        <v>Exchange rates &amp; currencies</v>
      </c>
      <c r="D994" s="0" t="n">
        <f aca="false">INDEX(Intent_Analysis!$E$5:$E$81,MATCH(B994,Intent_Analysis!$A$5:$A$81,0))</f>
        <v>1</v>
      </c>
    </row>
    <row r="995" customFormat="false" ht="15" hidden="false" customHeight="false" outlineLevel="0" collapsed="false">
      <c r="A995" s="0" t="s">
        <v>1319</v>
      </c>
      <c r="B995" s="0" t="s">
        <v>84</v>
      </c>
      <c r="C995" s="0" t="str">
        <f aca="false">INDEX(Intent_Analysis!$B$5:$B$81,MATCH(B995,Intent_Analysis!$A$5:$A$81,0))</f>
        <v>Exchange rates &amp; currencies</v>
      </c>
      <c r="D995" s="0" t="n">
        <f aca="false">INDEX(Intent_Analysis!$E$5:$E$81,MATCH(B995,Intent_Analysis!$A$5:$A$81,0))</f>
        <v>1</v>
      </c>
    </row>
    <row r="996" customFormat="false" ht="15" hidden="false" customHeight="false" outlineLevel="0" collapsed="false">
      <c r="A996" s="0" t="s">
        <v>1320</v>
      </c>
      <c r="B996" s="0" t="s">
        <v>84</v>
      </c>
      <c r="C996" s="0" t="str">
        <f aca="false">INDEX(Intent_Analysis!$B$5:$B$81,MATCH(B996,Intent_Analysis!$A$5:$A$81,0))</f>
        <v>Exchange rates &amp; currencies</v>
      </c>
      <c r="D996" s="0" t="n">
        <f aca="false">INDEX(Intent_Analysis!$E$5:$E$81,MATCH(B996,Intent_Analysis!$A$5:$A$81,0))</f>
        <v>1</v>
      </c>
    </row>
    <row r="997" customFormat="false" ht="15" hidden="false" customHeight="false" outlineLevel="0" collapsed="false">
      <c r="A997" s="0" t="s">
        <v>1321</v>
      </c>
      <c r="B997" s="0" t="s">
        <v>84</v>
      </c>
      <c r="C997" s="0" t="str">
        <f aca="false">INDEX(Intent_Analysis!$B$5:$B$81,MATCH(B997,Intent_Analysis!$A$5:$A$81,0))</f>
        <v>Exchange rates &amp; currencies</v>
      </c>
      <c r="D997" s="0" t="n">
        <f aca="false">INDEX(Intent_Analysis!$E$5:$E$81,MATCH(B997,Intent_Analysis!$A$5:$A$81,0))</f>
        <v>1</v>
      </c>
    </row>
    <row r="998" customFormat="false" ht="15" hidden="false" customHeight="false" outlineLevel="0" collapsed="false">
      <c r="A998" s="0" t="s">
        <v>1322</v>
      </c>
      <c r="B998" s="0" t="s">
        <v>84</v>
      </c>
      <c r="C998" s="0" t="str">
        <f aca="false">INDEX(Intent_Analysis!$B$5:$B$81,MATCH(B998,Intent_Analysis!$A$5:$A$81,0))</f>
        <v>Exchange rates &amp; currencies</v>
      </c>
      <c r="D998" s="0" t="n">
        <f aca="false">INDEX(Intent_Analysis!$E$5:$E$81,MATCH(B998,Intent_Analysis!$A$5:$A$81,0))</f>
        <v>1</v>
      </c>
    </row>
    <row r="999" customFormat="false" ht="15" hidden="false" customHeight="false" outlineLevel="0" collapsed="false">
      <c r="A999" s="0" t="s">
        <v>1323</v>
      </c>
      <c r="B999" s="0" t="s">
        <v>84</v>
      </c>
      <c r="C999" s="0" t="str">
        <f aca="false">INDEX(Intent_Analysis!$B$5:$B$81,MATCH(B999,Intent_Analysis!$A$5:$A$81,0))</f>
        <v>Exchange rates &amp; currencies</v>
      </c>
      <c r="D999" s="0" t="n">
        <f aca="false">INDEX(Intent_Analysis!$E$5:$E$81,MATCH(B999,Intent_Analysis!$A$5:$A$81,0))</f>
        <v>1</v>
      </c>
    </row>
    <row r="1000" customFormat="false" ht="15" hidden="false" customHeight="false" outlineLevel="0" collapsed="false">
      <c r="A1000" s="0" t="s">
        <v>1324</v>
      </c>
      <c r="B1000" s="0" t="s">
        <v>84</v>
      </c>
      <c r="C1000" s="0" t="str">
        <f aca="false">INDEX(Intent_Analysis!$B$5:$B$81,MATCH(B1000,Intent_Analysis!$A$5:$A$81,0))</f>
        <v>Exchange rates &amp; currencies</v>
      </c>
      <c r="D1000" s="0" t="n">
        <f aca="false">INDEX(Intent_Analysis!$E$5:$E$81,MATCH(B1000,Intent_Analysis!$A$5:$A$81,0))</f>
        <v>1</v>
      </c>
    </row>
    <row r="1001" customFormat="false" ht="15" hidden="false" customHeight="false" outlineLevel="0" collapsed="false">
      <c r="A1001" s="0" t="s">
        <v>1325</v>
      </c>
      <c r="B1001" s="0" t="s">
        <v>84</v>
      </c>
      <c r="C1001" s="0" t="str">
        <f aca="false">INDEX(Intent_Analysis!$B$5:$B$81,MATCH(B1001,Intent_Analysis!$A$5:$A$81,0))</f>
        <v>Exchange rates &amp; currencies</v>
      </c>
      <c r="D1001" s="0" t="n">
        <f aca="false">INDEX(Intent_Analysis!$E$5:$E$81,MATCH(B1001,Intent_Analysis!$A$5:$A$81,0))</f>
        <v>1</v>
      </c>
    </row>
    <row r="1002" customFormat="false" ht="15" hidden="false" customHeight="false" outlineLevel="0" collapsed="false">
      <c r="A1002" s="0" t="s">
        <v>1326</v>
      </c>
      <c r="B1002" s="0" t="s">
        <v>84</v>
      </c>
      <c r="C1002" s="0" t="str">
        <f aca="false">INDEX(Intent_Analysis!$B$5:$B$81,MATCH(B1002,Intent_Analysis!$A$5:$A$81,0))</f>
        <v>Exchange rates &amp; currencies</v>
      </c>
      <c r="D1002" s="0" t="n">
        <f aca="false">INDEX(Intent_Analysis!$E$5:$E$81,MATCH(B1002,Intent_Analysis!$A$5:$A$81,0))</f>
        <v>1</v>
      </c>
    </row>
    <row r="1003" customFormat="false" ht="15" hidden="false" customHeight="false" outlineLevel="0" collapsed="false">
      <c r="A1003" s="0" t="s">
        <v>1327</v>
      </c>
      <c r="B1003" s="0" t="s">
        <v>84</v>
      </c>
      <c r="C1003" s="0" t="str">
        <f aca="false">INDEX(Intent_Analysis!$B$5:$B$81,MATCH(B1003,Intent_Analysis!$A$5:$A$81,0))</f>
        <v>Exchange rates &amp; currencies</v>
      </c>
      <c r="D1003" s="0" t="n">
        <f aca="false">INDEX(Intent_Analysis!$E$5:$E$81,MATCH(B1003,Intent_Analysis!$A$5:$A$81,0))</f>
        <v>1</v>
      </c>
    </row>
    <row r="1004" customFormat="false" ht="15" hidden="false" customHeight="false" outlineLevel="0" collapsed="false">
      <c r="A1004" s="0" t="s">
        <v>1328</v>
      </c>
      <c r="B1004" s="0" t="s">
        <v>84</v>
      </c>
      <c r="C1004" s="0" t="str">
        <f aca="false">INDEX(Intent_Analysis!$B$5:$B$81,MATCH(B1004,Intent_Analysis!$A$5:$A$81,0))</f>
        <v>Exchange rates &amp; currencies</v>
      </c>
      <c r="D1004" s="0" t="n">
        <f aca="false">INDEX(Intent_Analysis!$E$5:$E$81,MATCH(B1004,Intent_Analysis!$A$5:$A$81,0))</f>
        <v>1</v>
      </c>
    </row>
    <row r="1005" customFormat="false" ht="15" hidden="false" customHeight="false" outlineLevel="0" collapsed="false">
      <c r="A1005" s="0" t="s">
        <v>1329</v>
      </c>
      <c r="B1005" s="0" t="s">
        <v>84</v>
      </c>
      <c r="C1005" s="0" t="str">
        <f aca="false">INDEX(Intent_Analysis!$B$5:$B$81,MATCH(B1005,Intent_Analysis!$A$5:$A$81,0))</f>
        <v>Exchange rates &amp; currencies</v>
      </c>
      <c r="D1005" s="0" t="n">
        <f aca="false">INDEX(Intent_Analysis!$E$5:$E$81,MATCH(B1005,Intent_Analysis!$A$5:$A$81,0))</f>
        <v>1</v>
      </c>
    </row>
    <row r="1006" customFormat="false" ht="15" hidden="false" customHeight="false" outlineLevel="0" collapsed="false">
      <c r="A1006" s="0" t="s">
        <v>1330</v>
      </c>
      <c r="B1006" s="0" t="s">
        <v>84</v>
      </c>
      <c r="C1006" s="0" t="str">
        <f aca="false">INDEX(Intent_Analysis!$B$5:$B$81,MATCH(B1006,Intent_Analysis!$A$5:$A$81,0))</f>
        <v>Exchange rates &amp; currencies</v>
      </c>
      <c r="D1006" s="0" t="n">
        <f aca="false">INDEX(Intent_Analysis!$E$5:$E$81,MATCH(B1006,Intent_Analysis!$A$5:$A$81,0))</f>
        <v>1</v>
      </c>
    </row>
    <row r="1007" customFormat="false" ht="15" hidden="false" customHeight="false" outlineLevel="0" collapsed="false">
      <c r="A1007" s="0" t="s">
        <v>1331</v>
      </c>
      <c r="B1007" s="0" t="s">
        <v>84</v>
      </c>
      <c r="C1007" s="0" t="str">
        <f aca="false">INDEX(Intent_Analysis!$B$5:$B$81,MATCH(B1007,Intent_Analysis!$A$5:$A$81,0))</f>
        <v>Exchange rates &amp; currencies</v>
      </c>
      <c r="D1007" s="0" t="n">
        <f aca="false">INDEX(Intent_Analysis!$E$5:$E$81,MATCH(B1007,Intent_Analysis!$A$5:$A$81,0))</f>
        <v>1</v>
      </c>
    </row>
    <row r="1008" customFormat="false" ht="15" hidden="false" customHeight="false" outlineLevel="0" collapsed="false">
      <c r="A1008" s="0" t="s">
        <v>1332</v>
      </c>
      <c r="B1008" s="0" t="s">
        <v>51</v>
      </c>
      <c r="C1008" s="0" t="str">
        <f aca="false">INDEX(Intent_Analysis!$B$5:$B$81,MATCH(B1008,Intent_Analysis!$A$5:$A$81,0))</f>
        <v>Card delivery &amp; activation</v>
      </c>
      <c r="D1008" s="0" t="n">
        <f aca="false">INDEX(Intent_Analysis!$E$5:$E$81,MATCH(B1008,Intent_Analysis!$A$5:$A$81,0))</f>
        <v>1</v>
      </c>
    </row>
    <row r="1009" customFormat="false" ht="15" hidden="false" customHeight="false" outlineLevel="0" collapsed="false">
      <c r="A1009" s="0" t="s">
        <v>1333</v>
      </c>
      <c r="B1009" s="0" t="s">
        <v>51</v>
      </c>
      <c r="C1009" s="0" t="str">
        <f aca="false">INDEX(Intent_Analysis!$B$5:$B$81,MATCH(B1009,Intent_Analysis!$A$5:$A$81,0))</f>
        <v>Card delivery &amp; activation</v>
      </c>
      <c r="D1009" s="0" t="n">
        <f aca="false">INDEX(Intent_Analysis!$E$5:$E$81,MATCH(B1009,Intent_Analysis!$A$5:$A$81,0))</f>
        <v>1</v>
      </c>
    </row>
    <row r="1010" customFormat="false" ht="15" hidden="false" customHeight="false" outlineLevel="0" collapsed="false">
      <c r="A1010" s="0" t="s">
        <v>1334</v>
      </c>
      <c r="B1010" s="0" t="s">
        <v>51</v>
      </c>
      <c r="C1010" s="0" t="str">
        <f aca="false">INDEX(Intent_Analysis!$B$5:$B$81,MATCH(B1010,Intent_Analysis!$A$5:$A$81,0))</f>
        <v>Card delivery &amp; activation</v>
      </c>
      <c r="D1010" s="0" t="n">
        <f aca="false">INDEX(Intent_Analysis!$E$5:$E$81,MATCH(B1010,Intent_Analysis!$A$5:$A$81,0))</f>
        <v>1</v>
      </c>
    </row>
    <row r="1011" customFormat="false" ht="15" hidden="false" customHeight="false" outlineLevel="0" collapsed="false">
      <c r="A1011" s="0" t="s">
        <v>1335</v>
      </c>
      <c r="B1011" s="0" t="s">
        <v>51</v>
      </c>
      <c r="C1011" s="0" t="str">
        <f aca="false">INDEX(Intent_Analysis!$B$5:$B$81,MATCH(B1011,Intent_Analysis!$A$5:$A$81,0))</f>
        <v>Card delivery &amp; activation</v>
      </c>
      <c r="D1011" s="0" t="n">
        <f aca="false">INDEX(Intent_Analysis!$E$5:$E$81,MATCH(B1011,Intent_Analysis!$A$5:$A$81,0))</f>
        <v>1</v>
      </c>
    </row>
    <row r="1012" customFormat="false" ht="15" hidden="false" customHeight="false" outlineLevel="0" collapsed="false">
      <c r="A1012" s="0" t="s">
        <v>1336</v>
      </c>
      <c r="B1012" s="0" t="s">
        <v>51</v>
      </c>
      <c r="C1012" s="0" t="str">
        <f aca="false">INDEX(Intent_Analysis!$B$5:$B$81,MATCH(B1012,Intent_Analysis!$A$5:$A$81,0))</f>
        <v>Card delivery &amp; activation</v>
      </c>
      <c r="D1012" s="0" t="n">
        <f aca="false">INDEX(Intent_Analysis!$E$5:$E$81,MATCH(B1012,Intent_Analysis!$A$5:$A$81,0))</f>
        <v>1</v>
      </c>
    </row>
    <row r="1013" customFormat="false" ht="15" hidden="false" customHeight="false" outlineLevel="0" collapsed="false">
      <c r="A1013" s="0" t="s">
        <v>1337</v>
      </c>
      <c r="B1013" s="0" t="s">
        <v>51</v>
      </c>
      <c r="C1013" s="0" t="str">
        <f aca="false">INDEX(Intent_Analysis!$B$5:$B$81,MATCH(B1013,Intent_Analysis!$A$5:$A$81,0))</f>
        <v>Card delivery &amp; activation</v>
      </c>
      <c r="D1013" s="0" t="n">
        <f aca="false">INDEX(Intent_Analysis!$E$5:$E$81,MATCH(B1013,Intent_Analysis!$A$5:$A$81,0))</f>
        <v>1</v>
      </c>
    </row>
    <row r="1014" customFormat="false" ht="15" hidden="false" customHeight="false" outlineLevel="0" collapsed="false">
      <c r="A1014" s="0" t="s">
        <v>1338</v>
      </c>
      <c r="B1014" s="0" t="s">
        <v>51</v>
      </c>
      <c r="C1014" s="0" t="str">
        <f aca="false">INDEX(Intent_Analysis!$B$5:$B$81,MATCH(B1014,Intent_Analysis!$A$5:$A$81,0))</f>
        <v>Card delivery &amp; activation</v>
      </c>
      <c r="D1014" s="0" t="n">
        <f aca="false">INDEX(Intent_Analysis!$E$5:$E$81,MATCH(B1014,Intent_Analysis!$A$5:$A$81,0))</f>
        <v>1</v>
      </c>
    </row>
    <row r="1015" customFormat="false" ht="15" hidden="false" customHeight="false" outlineLevel="0" collapsed="false">
      <c r="A1015" s="0" t="s">
        <v>1339</v>
      </c>
      <c r="B1015" s="0" t="s">
        <v>51</v>
      </c>
      <c r="C1015" s="0" t="str">
        <f aca="false">INDEX(Intent_Analysis!$B$5:$B$81,MATCH(B1015,Intent_Analysis!$A$5:$A$81,0))</f>
        <v>Card delivery &amp; activation</v>
      </c>
      <c r="D1015" s="0" t="n">
        <f aca="false">INDEX(Intent_Analysis!$E$5:$E$81,MATCH(B1015,Intent_Analysis!$A$5:$A$81,0))</f>
        <v>1</v>
      </c>
    </row>
    <row r="1016" customFormat="false" ht="15" hidden="false" customHeight="false" outlineLevel="0" collapsed="false">
      <c r="A1016" s="0" t="s">
        <v>1340</v>
      </c>
      <c r="B1016" s="0" t="s">
        <v>51</v>
      </c>
      <c r="C1016" s="0" t="str">
        <f aca="false">INDEX(Intent_Analysis!$B$5:$B$81,MATCH(B1016,Intent_Analysis!$A$5:$A$81,0))</f>
        <v>Card delivery &amp; activation</v>
      </c>
      <c r="D1016" s="0" t="n">
        <f aca="false">INDEX(Intent_Analysis!$E$5:$E$81,MATCH(B1016,Intent_Analysis!$A$5:$A$81,0))</f>
        <v>1</v>
      </c>
    </row>
    <row r="1017" customFormat="false" ht="15" hidden="false" customHeight="false" outlineLevel="0" collapsed="false">
      <c r="A1017" s="0" t="s">
        <v>1341</v>
      </c>
      <c r="B1017" s="0" t="s">
        <v>51</v>
      </c>
      <c r="C1017" s="0" t="str">
        <f aca="false">INDEX(Intent_Analysis!$B$5:$B$81,MATCH(B1017,Intent_Analysis!$A$5:$A$81,0))</f>
        <v>Card delivery &amp; activation</v>
      </c>
      <c r="D1017" s="0" t="n">
        <f aca="false">INDEX(Intent_Analysis!$E$5:$E$81,MATCH(B1017,Intent_Analysis!$A$5:$A$81,0))</f>
        <v>1</v>
      </c>
    </row>
    <row r="1018" customFormat="false" ht="15" hidden="false" customHeight="false" outlineLevel="0" collapsed="false">
      <c r="A1018" s="0" t="s">
        <v>1342</v>
      </c>
      <c r="B1018" s="0" t="s">
        <v>51</v>
      </c>
      <c r="C1018" s="0" t="str">
        <f aca="false">INDEX(Intent_Analysis!$B$5:$B$81,MATCH(B1018,Intent_Analysis!$A$5:$A$81,0))</f>
        <v>Card delivery &amp; activation</v>
      </c>
      <c r="D1018" s="0" t="n">
        <f aca="false">INDEX(Intent_Analysis!$E$5:$E$81,MATCH(B1018,Intent_Analysis!$A$5:$A$81,0))</f>
        <v>1</v>
      </c>
    </row>
    <row r="1019" customFormat="false" ht="15" hidden="false" customHeight="false" outlineLevel="0" collapsed="false">
      <c r="A1019" s="0" t="s">
        <v>1343</v>
      </c>
      <c r="B1019" s="0" t="s">
        <v>51</v>
      </c>
      <c r="C1019" s="0" t="str">
        <f aca="false">INDEX(Intent_Analysis!$B$5:$B$81,MATCH(B1019,Intent_Analysis!$A$5:$A$81,0))</f>
        <v>Card delivery &amp; activation</v>
      </c>
      <c r="D1019" s="0" t="n">
        <f aca="false">INDEX(Intent_Analysis!$E$5:$E$81,MATCH(B1019,Intent_Analysis!$A$5:$A$81,0))</f>
        <v>1</v>
      </c>
    </row>
    <row r="1020" customFormat="false" ht="15" hidden="false" customHeight="false" outlineLevel="0" collapsed="false">
      <c r="A1020" s="0" t="s">
        <v>1344</v>
      </c>
      <c r="B1020" s="0" t="s">
        <v>51</v>
      </c>
      <c r="C1020" s="0" t="str">
        <f aca="false">INDEX(Intent_Analysis!$B$5:$B$81,MATCH(B1020,Intent_Analysis!$A$5:$A$81,0))</f>
        <v>Card delivery &amp; activation</v>
      </c>
      <c r="D1020" s="0" t="n">
        <f aca="false">INDEX(Intent_Analysis!$E$5:$E$81,MATCH(B1020,Intent_Analysis!$A$5:$A$81,0))</f>
        <v>1</v>
      </c>
    </row>
    <row r="1021" customFormat="false" ht="15" hidden="false" customHeight="false" outlineLevel="0" collapsed="false">
      <c r="A1021" s="0" t="s">
        <v>1345</v>
      </c>
      <c r="B1021" s="0" t="s">
        <v>51</v>
      </c>
      <c r="C1021" s="0" t="str">
        <f aca="false">INDEX(Intent_Analysis!$B$5:$B$81,MATCH(B1021,Intent_Analysis!$A$5:$A$81,0))</f>
        <v>Card delivery &amp; activation</v>
      </c>
      <c r="D1021" s="0" t="n">
        <f aca="false">INDEX(Intent_Analysis!$E$5:$E$81,MATCH(B1021,Intent_Analysis!$A$5:$A$81,0))</f>
        <v>1</v>
      </c>
    </row>
    <row r="1022" customFormat="false" ht="15" hidden="false" customHeight="false" outlineLevel="0" collapsed="false">
      <c r="A1022" s="0" t="s">
        <v>1346</v>
      </c>
      <c r="B1022" s="0" t="s">
        <v>51</v>
      </c>
      <c r="C1022" s="0" t="str">
        <f aca="false">INDEX(Intent_Analysis!$B$5:$B$81,MATCH(B1022,Intent_Analysis!$A$5:$A$81,0))</f>
        <v>Card delivery &amp; activation</v>
      </c>
      <c r="D1022" s="0" t="n">
        <f aca="false">INDEX(Intent_Analysis!$E$5:$E$81,MATCH(B1022,Intent_Analysis!$A$5:$A$81,0))</f>
        <v>1</v>
      </c>
    </row>
    <row r="1023" customFormat="false" ht="15" hidden="false" customHeight="false" outlineLevel="0" collapsed="false">
      <c r="A1023" s="0" t="s">
        <v>1347</v>
      </c>
      <c r="B1023" s="0" t="s">
        <v>51</v>
      </c>
      <c r="C1023" s="0" t="str">
        <f aca="false">INDEX(Intent_Analysis!$B$5:$B$81,MATCH(B1023,Intent_Analysis!$A$5:$A$81,0))</f>
        <v>Card delivery &amp; activation</v>
      </c>
      <c r="D1023" s="0" t="n">
        <f aca="false">INDEX(Intent_Analysis!$E$5:$E$81,MATCH(B1023,Intent_Analysis!$A$5:$A$81,0))</f>
        <v>1</v>
      </c>
    </row>
    <row r="1024" customFormat="false" ht="15" hidden="false" customHeight="false" outlineLevel="0" collapsed="false">
      <c r="A1024" s="0" t="s">
        <v>1348</v>
      </c>
      <c r="B1024" s="0" t="s">
        <v>51</v>
      </c>
      <c r="C1024" s="0" t="str">
        <f aca="false">INDEX(Intent_Analysis!$B$5:$B$81,MATCH(B1024,Intent_Analysis!$A$5:$A$81,0))</f>
        <v>Card delivery &amp; activation</v>
      </c>
      <c r="D1024" s="0" t="n">
        <f aca="false">INDEX(Intent_Analysis!$E$5:$E$81,MATCH(B1024,Intent_Analysis!$A$5:$A$81,0))</f>
        <v>1</v>
      </c>
    </row>
    <row r="1025" customFormat="false" ht="15" hidden="false" customHeight="false" outlineLevel="0" collapsed="false">
      <c r="A1025" s="0" t="s">
        <v>1349</v>
      </c>
      <c r="B1025" s="0" t="s">
        <v>51</v>
      </c>
      <c r="C1025" s="0" t="str">
        <f aca="false">INDEX(Intent_Analysis!$B$5:$B$81,MATCH(B1025,Intent_Analysis!$A$5:$A$81,0))</f>
        <v>Card delivery &amp; activation</v>
      </c>
      <c r="D1025" s="0" t="n">
        <f aca="false">INDEX(Intent_Analysis!$E$5:$E$81,MATCH(B1025,Intent_Analysis!$A$5:$A$81,0))</f>
        <v>1</v>
      </c>
    </row>
    <row r="1026" customFormat="false" ht="15" hidden="false" customHeight="false" outlineLevel="0" collapsed="false">
      <c r="A1026" s="0" t="s">
        <v>1350</v>
      </c>
      <c r="B1026" s="0" t="s">
        <v>51</v>
      </c>
      <c r="C1026" s="0" t="str">
        <f aca="false">INDEX(Intent_Analysis!$B$5:$B$81,MATCH(B1026,Intent_Analysis!$A$5:$A$81,0))</f>
        <v>Card delivery &amp; activation</v>
      </c>
      <c r="D1026" s="0" t="n">
        <f aca="false">INDEX(Intent_Analysis!$E$5:$E$81,MATCH(B1026,Intent_Analysis!$A$5:$A$81,0))</f>
        <v>1</v>
      </c>
    </row>
    <row r="1027" customFormat="false" ht="15" hidden="false" customHeight="false" outlineLevel="0" collapsed="false">
      <c r="A1027" s="0" t="s">
        <v>1351</v>
      </c>
      <c r="B1027" s="0" t="s">
        <v>51</v>
      </c>
      <c r="C1027" s="0" t="str">
        <f aca="false">INDEX(Intent_Analysis!$B$5:$B$81,MATCH(B1027,Intent_Analysis!$A$5:$A$81,0))</f>
        <v>Card delivery &amp; activation</v>
      </c>
      <c r="D1027" s="0" t="n">
        <f aca="false">INDEX(Intent_Analysis!$E$5:$E$81,MATCH(B1027,Intent_Analysis!$A$5:$A$81,0))</f>
        <v>1</v>
      </c>
    </row>
    <row r="1028" customFormat="false" ht="15" hidden="false" customHeight="false" outlineLevel="0" collapsed="false">
      <c r="A1028" s="0" t="s">
        <v>1352</v>
      </c>
      <c r="B1028" s="0" t="s">
        <v>51</v>
      </c>
      <c r="C1028" s="0" t="str">
        <f aca="false">INDEX(Intent_Analysis!$B$5:$B$81,MATCH(B1028,Intent_Analysis!$A$5:$A$81,0))</f>
        <v>Card delivery &amp; activation</v>
      </c>
      <c r="D1028" s="0" t="n">
        <f aca="false">INDEX(Intent_Analysis!$E$5:$E$81,MATCH(B1028,Intent_Analysis!$A$5:$A$81,0))</f>
        <v>1</v>
      </c>
    </row>
    <row r="1029" customFormat="false" ht="15" hidden="false" customHeight="false" outlineLevel="0" collapsed="false">
      <c r="A1029" s="0" t="s">
        <v>1353</v>
      </c>
      <c r="B1029" s="0" t="s">
        <v>51</v>
      </c>
      <c r="C1029" s="0" t="str">
        <f aca="false">INDEX(Intent_Analysis!$B$5:$B$81,MATCH(B1029,Intent_Analysis!$A$5:$A$81,0))</f>
        <v>Card delivery &amp; activation</v>
      </c>
      <c r="D1029" s="0" t="n">
        <f aca="false">INDEX(Intent_Analysis!$E$5:$E$81,MATCH(B1029,Intent_Analysis!$A$5:$A$81,0))</f>
        <v>1</v>
      </c>
    </row>
    <row r="1030" customFormat="false" ht="15" hidden="false" customHeight="false" outlineLevel="0" collapsed="false">
      <c r="A1030" s="0" t="s">
        <v>1354</v>
      </c>
      <c r="B1030" s="0" t="s">
        <v>51</v>
      </c>
      <c r="C1030" s="0" t="str">
        <f aca="false">INDEX(Intent_Analysis!$B$5:$B$81,MATCH(B1030,Intent_Analysis!$A$5:$A$81,0))</f>
        <v>Card delivery &amp; activation</v>
      </c>
      <c r="D1030" s="0" t="n">
        <f aca="false">INDEX(Intent_Analysis!$E$5:$E$81,MATCH(B1030,Intent_Analysis!$A$5:$A$81,0))</f>
        <v>1</v>
      </c>
    </row>
    <row r="1031" customFormat="false" ht="15" hidden="false" customHeight="false" outlineLevel="0" collapsed="false">
      <c r="A1031" s="0" t="s">
        <v>1355</v>
      </c>
      <c r="B1031" s="0" t="s">
        <v>51</v>
      </c>
      <c r="C1031" s="0" t="str">
        <f aca="false">INDEX(Intent_Analysis!$B$5:$B$81,MATCH(B1031,Intent_Analysis!$A$5:$A$81,0))</f>
        <v>Card delivery &amp; activation</v>
      </c>
      <c r="D1031" s="0" t="n">
        <f aca="false">INDEX(Intent_Analysis!$E$5:$E$81,MATCH(B1031,Intent_Analysis!$A$5:$A$81,0))</f>
        <v>1</v>
      </c>
    </row>
    <row r="1032" customFormat="false" ht="15" hidden="false" customHeight="false" outlineLevel="0" collapsed="false">
      <c r="A1032" s="0" t="s">
        <v>1356</v>
      </c>
      <c r="B1032" s="0" t="s">
        <v>51</v>
      </c>
      <c r="C1032" s="0" t="str">
        <f aca="false">INDEX(Intent_Analysis!$B$5:$B$81,MATCH(B1032,Intent_Analysis!$A$5:$A$81,0))</f>
        <v>Card delivery &amp; activation</v>
      </c>
      <c r="D1032" s="0" t="n">
        <f aca="false">INDEX(Intent_Analysis!$E$5:$E$81,MATCH(B1032,Intent_Analysis!$A$5:$A$81,0))</f>
        <v>1</v>
      </c>
    </row>
    <row r="1033" customFormat="false" ht="15" hidden="false" customHeight="false" outlineLevel="0" collapsed="false">
      <c r="A1033" s="0" t="s">
        <v>1357</v>
      </c>
      <c r="B1033" s="0" t="s">
        <v>51</v>
      </c>
      <c r="C1033" s="0" t="str">
        <f aca="false">INDEX(Intent_Analysis!$B$5:$B$81,MATCH(B1033,Intent_Analysis!$A$5:$A$81,0))</f>
        <v>Card delivery &amp; activation</v>
      </c>
      <c r="D1033" s="0" t="n">
        <f aca="false">INDEX(Intent_Analysis!$E$5:$E$81,MATCH(B1033,Intent_Analysis!$A$5:$A$81,0))</f>
        <v>1</v>
      </c>
    </row>
    <row r="1034" customFormat="false" ht="15" hidden="false" customHeight="false" outlineLevel="0" collapsed="false">
      <c r="A1034" s="0" t="s">
        <v>1358</v>
      </c>
      <c r="B1034" s="0" t="s">
        <v>51</v>
      </c>
      <c r="C1034" s="0" t="str">
        <f aca="false">INDEX(Intent_Analysis!$B$5:$B$81,MATCH(B1034,Intent_Analysis!$A$5:$A$81,0))</f>
        <v>Card delivery &amp; activation</v>
      </c>
      <c r="D1034" s="0" t="n">
        <f aca="false">INDEX(Intent_Analysis!$E$5:$E$81,MATCH(B1034,Intent_Analysis!$A$5:$A$81,0))</f>
        <v>1</v>
      </c>
    </row>
    <row r="1035" customFormat="false" ht="15" hidden="false" customHeight="false" outlineLevel="0" collapsed="false">
      <c r="A1035" s="0" t="s">
        <v>1359</v>
      </c>
      <c r="B1035" s="0" t="s">
        <v>51</v>
      </c>
      <c r="C1035" s="0" t="str">
        <f aca="false">INDEX(Intent_Analysis!$B$5:$B$81,MATCH(B1035,Intent_Analysis!$A$5:$A$81,0))</f>
        <v>Card delivery &amp; activation</v>
      </c>
      <c r="D1035" s="0" t="n">
        <f aca="false">INDEX(Intent_Analysis!$E$5:$E$81,MATCH(B1035,Intent_Analysis!$A$5:$A$81,0))</f>
        <v>1</v>
      </c>
    </row>
    <row r="1036" customFormat="false" ht="15" hidden="false" customHeight="false" outlineLevel="0" collapsed="false">
      <c r="A1036" s="0" t="s">
        <v>1360</v>
      </c>
      <c r="B1036" s="0" t="s">
        <v>51</v>
      </c>
      <c r="C1036" s="0" t="str">
        <f aca="false">INDEX(Intent_Analysis!$B$5:$B$81,MATCH(B1036,Intent_Analysis!$A$5:$A$81,0))</f>
        <v>Card delivery &amp; activation</v>
      </c>
      <c r="D1036" s="0" t="n">
        <f aca="false">INDEX(Intent_Analysis!$E$5:$E$81,MATCH(B1036,Intent_Analysis!$A$5:$A$81,0))</f>
        <v>1</v>
      </c>
    </row>
    <row r="1037" customFormat="false" ht="15" hidden="false" customHeight="false" outlineLevel="0" collapsed="false">
      <c r="A1037" s="0" t="s">
        <v>1361</v>
      </c>
      <c r="B1037" s="0" t="s">
        <v>51</v>
      </c>
      <c r="C1037" s="0" t="str">
        <f aca="false">INDEX(Intent_Analysis!$B$5:$B$81,MATCH(B1037,Intent_Analysis!$A$5:$A$81,0))</f>
        <v>Card delivery &amp; activation</v>
      </c>
      <c r="D1037" s="0" t="n">
        <f aca="false">INDEX(Intent_Analysis!$E$5:$E$81,MATCH(B1037,Intent_Analysis!$A$5:$A$81,0))</f>
        <v>1</v>
      </c>
    </row>
    <row r="1038" customFormat="false" ht="15" hidden="false" customHeight="false" outlineLevel="0" collapsed="false">
      <c r="A1038" s="0" t="s">
        <v>1362</v>
      </c>
      <c r="B1038" s="0" t="s">
        <v>51</v>
      </c>
      <c r="C1038" s="0" t="str">
        <f aca="false">INDEX(Intent_Analysis!$B$5:$B$81,MATCH(B1038,Intent_Analysis!$A$5:$A$81,0))</f>
        <v>Card delivery &amp; activation</v>
      </c>
      <c r="D1038" s="0" t="n">
        <f aca="false">INDEX(Intent_Analysis!$E$5:$E$81,MATCH(B1038,Intent_Analysis!$A$5:$A$81,0))</f>
        <v>1</v>
      </c>
    </row>
    <row r="1039" customFormat="false" ht="15" hidden="false" customHeight="false" outlineLevel="0" collapsed="false">
      <c r="A1039" s="0" t="s">
        <v>1363</v>
      </c>
      <c r="B1039" s="0" t="s">
        <v>51</v>
      </c>
      <c r="C1039" s="0" t="str">
        <f aca="false">INDEX(Intent_Analysis!$B$5:$B$81,MATCH(B1039,Intent_Analysis!$A$5:$A$81,0))</f>
        <v>Card delivery &amp; activation</v>
      </c>
      <c r="D1039" s="0" t="n">
        <f aca="false">INDEX(Intent_Analysis!$E$5:$E$81,MATCH(B1039,Intent_Analysis!$A$5:$A$81,0))</f>
        <v>1</v>
      </c>
    </row>
    <row r="1040" customFormat="false" ht="15" hidden="false" customHeight="false" outlineLevel="0" collapsed="false">
      <c r="A1040" s="0" t="s">
        <v>1364</v>
      </c>
      <c r="B1040" s="0" t="s">
        <v>51</v>
      </c>
      <c r="C1040" s="0" t="str">
        <f aca="false">INDEX(Intent_Analysis!$B$5:$B$81,MATCH(B1040,Intent_Analysis!$A$5:$A$81,0))</f>
        <v>Card delivery &amp; activation</v>
      </c>
      <c r="D1040" s="0" t="n">
        <f aca="false">INDEX(Intent_Analysis!$E$5:$E$81,MATCH(B1040,Intent_Analysis!$A$5:$A$81,0))</f>
        <v>1</v>
      </c>
    </row>
    <row r="1041" customFormat="false" ht="15" hidden="false" customHeight="false" outlineLevel="0" collapsed="false">
      <c r="A1041" s="0" t="s">
        <v>1365</v>
      </c>
      <c r="B1041" s="0" t="s">
        <v>51</v>
      </c>
      <c r="C1041" s="0" t="str">
        <f aca="false">INDEX(Intent_Analysis!$B$5:$B$81,MATCH(B1041,Intent_Analysis!$A$5:$A$81,0))</f>
        <v>Card delivery &amp; activation</v>
      </c>
      <c r="D1041" s="0" t="n">
        <f aca="false">INDEX(Intent_Analysis!$E$5:$E$81,MATCH(B1041,Intent_Analysis!$A$5:$A$81,0))</f>
        <v>1</v>
      </c>
    </row>
    <row r="1042" customFormat="false" ht="15" hidden="false" customHeight="false" outlineLevel="0" collapsed="false">
      <c r="A1042" s="0" t="s">
        <v>1366</v>
      </c>
      <c r="B1042" s="0" t="s">
        <v>51</v>
      </c>
      <c r="C1042" s="0" t="str">
        <f aca="false">INDEX(Intent_Analysis!$B$5:$B$81,MATCH(B1042,Intent_Analysis!$A$5:$A$81,0))</f>
        <v>Card delivery &amp; activation</v>
      </c>
      <c r="D1042" s="0" t="n">
        <f aca="false">INDEX(Intent_Analysis!$E$5:$E$81,MATCH(B1042,Intent_Analysis!$A$5:$A$81,0))</f>
        <v>1</v>
      </c>
    </row>
    <row r="1043" customFormat="false" ht="15" hidden="false" customHeight="false" outlineLevel="0" collapsed="false">
      <c r="A1043" s="0" t="s">
        <v>1367</v>
      </c>
      <c r="B1043" s="0" t="s">
        <v>51</v>
      </c>
      <c r="C1043" s="0" t="str">
        <f aca="false">INDEX(Intent_Analysis!$B$5:$B$81,MATCH(B1043,Intent_Analysis!$A$5:$A$81,0))</f>
        <v>Card delivery &amp; activation</v>
      </c>
      <c r="D1043" s="0" t="n">
        <f aca="false">INDEX(Intent_Analysis!$E$5:$E$81,MATCH(B1043,Intent_Analysis!$A$5:$A$81,0))</f>
        <v>1</v>
      </c>
    </row>
    <row r="1044" customFormat="false" ht="15" hidden="false" customHeight="false" outlineLevel="0" collapsed="false">
      <c r="A1044" s="0" t="s">
        <v>1368</v>
      </c>
      <c r="B1044" s="0" t="s">
        <v>51</v>
      </c>
      <c r="C1044" s="0" t="str">
        <f aca="false">INDEX(Intent_Analysis!$B$5:$B$81,MATCH(B1044,Intent_Analysis!$A$5:$A$81,0))</f>
        <v>Card delivery &amp; activation</v>
      </c>
      <c r="D1044" s="0" t="n">
        <f aca="false">INDEX(Intent_Analysis!$E$5:$E$81,MATCH(B1044,Intent_Analysis!$A$5:$A$81,0))</f>
        <v>1</v>
      </c>
    </row>
    <row r="1045" customFormat="false" ht="15" hidden="false" customHeight="false" outlineLevel="0" collapsed="false">
      <c r="A1045" s="0" t="s">
        <v>1369</v>
      </c>
      <c r="B1045" s="0" t="s">
        <v>51</v>
      </c>
      <c r="C1045" s="0" t="str">
        <f aca="false">INDEX(Intent_Analysis!$B$5:$B$81,MATCH(B1045,Intent_Analysis!$A$5:$A$81,0))</f>
        <v>Card delivery &amp; activation</v>
      </c>
      <c r="D1045" s="0" t="n">
        <f aca="false">INDEX(Intent_Analysis!$E$5:$E$81,MATCH(B1045,Intent_Analysis!$A$5:$A$81,0))</f>
        <v>1</v>
      </c>
    </row>
    <row r="1046" customFormat="false" ht="15" hidden="false" customHeight="false" outlineLevel="0" collapsed="false">
      <c r="A1046" s="0" t="s">
        <v>1370</v>
      </c>
      <c r="B1046" s="0" t="s">
        <v>51</v>
      </c>
      <c r="C1046" s="0" t="str">
        <f aca="false">INDEX(Intent_Analysis!$B$5:$B$81,MATCH(B1046,Intent_Analysis!$A$5:$A$81,0))</f>
        <v>Card delivery &amp; activation</v>
      </c>
      <c r="D1046" s="0" t="n">
        <f aca="false">INDEX(Intent_Analysis!$E$5:$E$81,MATCH(B1046,Intent_Analysis!$A$5:$A$81,0))</f>
        <v>1</v>
      </c>
    </row>
    <row r="1047" customFormat="false" ht="15" hidden="false" customHeight="false" outlineLevel="0" collapsed="false">
      <c r="A1047" s="0" t="s">
        <v>1371</v>
      </c>
      <c r="B1047" s="0" t="s">
        <v>51</v>
      </c>
      <c r="C1047" s="0" t="str">
        <f aca="false">INDEX(Intent_Analysis!$B$5:$B$81,MATCH(B1047,Intent_Analysis!$A$5:$A$81,0))</f>
        <v>Card delivery &amp; activation</v>
      </c>
      <c r="D1047" s="0" t="n">
        <f aca="false">INDEX(Intent_Analysis!$E$5:$E$81,MATCH(B1047,Intent_Analysis!$A$5:$A$81,0))</f>
        <v>1</v>
      </c>
    </row>
    <row r="1048" customFormat="false" ht="15" hidden="false" customHeight="false" outlineLevel="0" collapsed="false">
      <c r="A1048" s="0" t="s">
        <v>1372</v>
      </c>
      <c r="B1048" s="0" t="s">
        <v>51</v>
      </c>
      <c r="C1048" s="0" t="str">
        <f aca="false">INDEX(Intent_Analysis!$B$5:$B$81,MATCH(B1048,Intent_Analysis!$A$5:$A$81,0))</f>
        <v>Card delivery &amp; activation</v>
      </c>
      <c r="D1048" s="0" t="n">
        <f aca="false">INDEX(Intent_Analysis!$E$5:$E$81,MATCH(B1048,Intent_Analysis!$A$5:$A$81,0))</f>
        <v>1</v>
      </c>
    </row>
    <row r="1049" customFormat="false" ht="15" hidden="false" customHeight="false" outlineLevel="0" collapsed="false">
      <c r="A1049" s="0" t="s">
        <v>1373</v>
      </c>
      <c r="B1049" s="0" t="s">
        <v>51</v>
      </c>
      <c r="C1049" s="0" t="str">
        <f aca="false">INDEX(Intent_Analysis!$B$5:$B$81,MATCH(B1049,Intent_Analysis!$A$5:$A$81,0))</f>
        <v>Card delivery &amp; activation</v>
      </c>
      <c r="D1049" s="0" t="n">
        <f aca="false">INDEX(Intent_Analysis!$E$5:$E$81,MATCH(B1049,Intent_Analysis!$A$5:$A$81,0))</f>
        <v>1</v>
      </c>
    </row>
    <row r="1050" customFormat="false" ht="15" hidden="false" customHeight="false" outlineLevel="0" collapsed="false">
      <c r="A1050" s="0" t="s">
        <v>1374</v>
      </c>
      <c r="B1050" s="0" t="s">
        <v>51</v>
      </c>
      <c r="C1050" s="0" t="str">
        <f aca="false">INDEX(Intent_Analysis!$B$5:$B$81,MATCH(B1050,Intent_Analysis!$A$5:$A$81,0))</f>
        <v>Card delivery &amp; activation</v>
      </c>
      <c r="D1050" s="0" t="n">
        <f aca="false">INDEX(Intent_Analysis!$E$5:$E$81,MATCH(B1050,Intent_Analysis!$A$5:$A$81,0))</f>
        <v>1</v>
      </c>
    </row>
    <row r="1051" customFormat="false" ht="15" hidden="false" customHeight="false" outlineLevel="0" collapsed="false">
      <c r="A1051" s="0" t="s">
        <v>1375</v>
      </c>
      <c r="B1051" s="0" t="s">
        <v>51</v>
      </c>
      <c r="C1051" s="0" t="str">
        <f aca="false">INDEX(Intent_Analysis!$B$5:$B$81,MATCH(B1051,Intent_Analysis!$A$5:$A$81,0))</f>
        <v>Card delivery &amp; activation</v>
      </c>
      <c r="D1051" s="0" t="n">
        <f aca="false">INDEX(Intent_Analysis!$E$5:$E$81,MATCH(B1051,Intent_Analysis!$A$5:$A$81,0))</f>
        <v>1</v>
      </c>
    </row>
    <row r="1052" customFormat="false" ht="15" hidden="false" customHeight="false" outlineLevel="0" collapsed="false">
      <c r="A1052" s="0" t="s">
        <v>1376</v>
      </c>
      <c r="B1052" s="0" t="s">
        <v>51</v>
      </c>
      <c r="C1052" s="0" t="str">
        <f aca="false">INDEX(Intent_Analysis!$B$5:$B$81,MATCH(B1052,Intent_Analysis!$A$5:$A$81,0))</f>
        <v>Card delivery &amp; activation</v>
      </c>
      <c r="D1052" s="0" t="n">
        <f aca="false">INDEX(Intent_Analysis!$E$5:$E$81,MATCH(B1052,Intent_Analysis!$A$5:$A$81,0))</f>
        <v>1</v>
      </c>
    </row>
    <row r="1053" customFormat="false" ht="15" hidden="false" customHeight="false" outlineLevel="0" collapsed="false">
      <c r="A1053" s="0" t="s">
        <v>1377</v>
      </c>
      <c r="B1053" s="0" t="s">
        <v>51</v>
      </c>
      <c r="C1053" s="0" t="str">
        <f aca="false">INDEX(Intent_Analysis!$B$5:$B$81,MATCH(B1053,Intent_Analysis!$A$5:$A$81,0))</f>
        <v>Card delivery &amp; activation</v>
      </c>
      <c r="D1053" s="0" t="n">
        <f aca="false">INDEX(Intent_Analysis!$E$5:$E$81,MATCH(B1053,Intent_Analysis!$A$5:$A$81,0))</f>
        <v>1</v>
      </c>
    </row>
    <row r="1054" customFormat="false" ht="15" hidden="false" customHeight="false" outlineLevel="0" collapsed="false">
      <c r="A1054" s="0" t="s">
        <v>1378</v>
      </c>
      <c r="B1054" s="0" t="s">
        <v>51</v>
      </c>
      <c r="C1054" s="0" t="str">
        <f aca="false">INDEX(Intent_Analysis!$B$5:$B$81,MATCH(B1054,Intent_Analysis!$A$5:$A$81,0))</f>
        <v>Card delivery &amp; activation</v>
      </c>
      <c r="D1054" s="0" t="n">
        <f aca="false">INDEX(Intent_Analysis!$E$5:$E$81,MATCH(B1054,Intent_Analysis!$A$5:$A$81,0))</f>
        <v>1</v>
      </c>
    </row>
    <row r="1055" customFormat="false" ht="15" hidden="false" customHeight="false" outlineLevel="0" collapsed="false">
      <c r="A1055" s="0" t="s">
        <v>1379</v>
      </c>
      <c r="B1055" s="0" t="s">
        <v>51</v>
      </c>
      <c r="C1055" s="0" t="str">
        <f aca="false">INDEX(Intent_Analysis!$B$5:$B$81,MATCH(B1055,Intent_Analysis!$A$5:$A$81,0))</f>
        <v>Card delivery &amp; activation</v>
      </c>
      <c r="D1055" s="0" t="n">
        <f aca="false">INDEX(Intent_Analysis!$E$5:$E$81,MATCH(B1055,Intent_Analysis!$A$5:$A$81,0))</f>
        <v>1</v>
      </c>
    </row>
    <row r="1056" customFormat="false" ht="15" hidden="false" customHeight="false" outlineLevel="0" collapsed="false">
      <c r="A1056" s="0" t="s">
        <v>1380</v>
      </c>
      <c r="B1056" s="0" t="s">
        <v>51</v>
      </c>
      <c r="C1056" s="0" t="str">
        <f aca="false">INDEX(Intent_Analysis!$B$5:$B$81,MATCH(B1056,Intent_Analysis!$A$5:$A$81,0))</f>
        <v>Card delivery &amp; activation</v>
      </c>
      <c r="D1056" s="0" t="n">
        <f aca="false">INDEX(Intent_Analysis!$E$5:$E$81,MATCH(B1056,Intent_Analysis!$A$5:$A$81,0))</f>
        <v>1</v>
      </c>
    </row>
    <row r="1057" customFormat="false" ht="15" hidden="false" customHeight="false" outlineLevel="0" collapsed="false">
      <c r="A1057" s="0" t="s">
        <v>1381</v>
      </c>
      <c r="B1057" s="0" t="s">
        <v>51</v>
      </c>
      <c r="C1057" s="0" t="str">
        <f aca="false">INDEX(Intent_Analysis!$B$5:$B$81,MATCH(B1057,Intent_Analysis!$A$5:$A$81,0))</f>
        <v>Card delivery &amp; activation</v>
      </c>
      <c r="D1057" s="0" t="n">
        <f aca="false">INDEX(Intent_Analysis!$E$5:$E$81,MATCH(B1057,Intent_Analysis!$A$5:$A$81,0))</f>
        <v>1</v>
      </c>
    </row>
    <row r="1058" customFormat="false" ht="15" hidden="false" customHeight="false" outlineLevel="0" collapsed="false">
      <c r="A1058" s="0" t="s">
        <v>1382</v>
      </c>
      <c r="B1058" s="0" t="s">
        <v>51</v>
      </c>
      <c r="C1058" s="0" t="str">
        <f aca="false">INDEX(Intent_Analysis!$B$5:$B$81,MATCH(B1058,Intent_Analysis!$A$5:$A$81,0))</f>
        <v>Card delivery &amp; activation</v>
      </c>
      <c r="D1058" s="0" t="n">
        <f aca="false">INDEX(Intent_Analysis!$E$5:$E$81,MATCH(B1058,Intent_Analysis!$A$5:$A$81,0))</f>
        <v>1</v>
      </c>
    </row>
    <row r="1059" customFormat="false" ht="15" hidden="false" customHeight="false" outlineLevel="0" collapsed="false">
      <c r="A1059" s="0" t="s">
        <v>1383</v>
      </c>
      <c r="B1059" s="0" t="s">
        <v>51</v>
      </c>
      <c r="C1059" s="0" t="str">
        <f aca="false">INDEX(Intent_Analysis!$B$5:$B$81,MATCH(B1059,Intent_Analysis!$A$5:$A$81,0))</f>
        <v>Card delivery &amp; activation</v>
      </c>
      <c r="D1059" s="0" t="n">
        <f aca="false">INDEX(Intent_Analysis!$E$5:$E$81,MATCH(B1059,Intent_Analysis!$A$5:$A$81,0))</f>
        <v>1</v>
      </c>
    </row>
    <row r="1060" customFormat="false" ht="15" hidden="false" customHeight="false" outlineLevel="0" collapsed="false">
      <c r="A1060" s="0" t="s">
        <v>1384</v>
      </c>
      <c r="B1060" s="0" t="s">
        <v>51</v>
      </c>
      <c r="C1060" s="0" t="str">
        <f aca="false">INDEX(Intent_Analysis!$B$5:$B$81,MATCH(B1060,Intent_Analysis!$A$5:$A$81,0))</f>
        <v>Card delivery &amp; activation</v>
      </c>
      <c r="D1060" s="0" t="n">
        <f aca="false">INDEX(Intent_Analysis!$E$5:$E$81,MATCH(B1060,Intent_Analysis!$A$5:$A$81,0))</f>
        <v>1</v>
      </c>
    </row>
    <row r="1061" customFormat="false" ht="15" hidden="false" customHeight="false" outlineLevel="0" collapsed="false">
      <c r="A1061" s="0" t="s">
        <v>1385</v>
      </c>
      <c r="B1061" s="0" t="s">
        <v>51</v>
      </c>
      <c r="C1061" s="0" t="str">
        <f aca="false">INDEX(Intent_Analysis!$B$5:$B$81,MATCH(B1061,Intent_Analysis!$A$5:$A$81,0))</f>
        <v>Card delivery &amp; activation</v>
      </c>
      <c r="D1061" s="0" t="n">
        <f aca="false">INDEX(Intent_Analysis!$E$5:$E$81,MATCH(B1061,Intent_Analysis!$A$5:$A$81,0))</f>
        <v>1</v>
      </c>
    </row>
    <row r="1062" customFormat="false" ht="15" hidden="false" customHeight="false" outlineLevel="0" collapsed="false">
      <c r="A1062" s="0" t="s">
        <v>1386</v>
      </c>
      <c r="B1062" s="0" t="s">
        <v>51</v>
      </c>
      <c r="C1062" s="0" t="str">
        <f aca="false">INDEX(Intent_Analysis!$B$5:$B$81,MATCH(B1062,Intent_Analysis!$A$5:$A$81,0))</f>
        <v>Card delivery &amp; activation</v>
      </c>
      <c r="D1062" s="0" t="n">
        <f aca="false">INDEX(Intent_Analysis!$E$5:$E$81,MATCH(B1062,Intent_Analysis!$A$5:$A$81,0))</f>
        <v>1</v>
      </c>
    </row>
    <row r="1063" customFormat="false" ht="15" hidden="false" customHeight="false" outlineLevel="0" collapsed="false">
      <c r="A1063" s="0" t="s">
        <v>1387</v>
      </c>
      <c r="B1063" s="0" t="s">
        <v>51</v>
      </c>
      <c r="C1063" s="0" t="str">
        <f aca="false">INDEX(Intent_Analysis!$B$5:$B$81,MATCH(B1063,Intent_Analysis!$A$5:$A$81,0))</f>
        <v>Card delivery &amp; activation</v>
      </c>
      <c r="D1063" s="0" t="n">
        <f aca="false">INDEX(Intent_Analysis!$E$5:$E$81,MATCH(B1063,Intent_Analysis!$A$5:$A$81,0))</f>
        <v>1</v>
      </c>
    </row>
    <row r="1064" customFormat="false" ht="15" hidden="false" customHeight="false" outlineLevel="0" collapsed="false">
      <c r="A1064" s="0" t="s">
        <v>1388</v>
      </c>
      <c r="B1064" s="0" t="s">
        <v>51</v>
      </c>
      <c r="C1064" s="0" t="str">
        <f aca="false">INDEX(Intent_Analysis!$B$5:$B$81,MATCH(B1064,Intent_Analysis!$A$5:$A$81,0))</f>
        <v>Card delivery &amp; activation</v>
      </c>
      <c r="D1064" s="0" t="n">
        <f aca="false">INDEX(Intent_Analysis!$E$5:$E$81,MATCH(B1064,Intent_Analysis!$A$5:$A$81,0))</f>
        <v>1</v>
      </c>
    </row>
    <row r="1065" customFormat="false" ht="15" hidden="false" customHeight="false" outlineLevel="0" collapsed="false">
      <c r="A1065" s="0" t="s">
        <v>1389</v>
      </c>
      <c r="B1065" s="0" t="s">
        <v>51</v>
      </c>
      <c r="C1065" s="0" t="str">
        <f aca="false">INDEX(Intent_Analysis!$B$5:$B$81,MATCH(B1065,Intent_Analysis!$A$5:$A$81,0))</f>
        <v>Card delivery &amp; activation</v>
      </c>
      <c r="D1065" s="0" t="n">
        <f aca="false">INDEX(Intent_Analysis!$E$5:$E$81,MATCH(B1065,Intent_Analysis!$A$5:$A$81,0))</f>
        <v>1</v>
      </c>
    </row>
    <row r="1066" customFormat="false" ht="15" hidden="false" customHeight="false" outlineLevel="0" collapsed="false">
      <c r="A1066" s="0" t="s">
        <v>1390</v>
      </c>
      <c r="B1066" s="0" t="s">
        <v>51</v>
      </c>
      <c r="C1066" s="0" t="str">
        <f aca="false">INDEX(Intent_Analysis!$B$5:$B$81,MATCH(B1066,Intent_Analysis!$A$5:$A$81,0))</f>
        <v>Card delivery &amp; activation</v>
      </c>
      <c r="D1066" s="0" t="n">
        <f aca="false">INDEX(Intent_Analysis!$E$5:$E$81,MATCH(B1066,Intent_Analysis!$A$5:$A$81,0))</f>
        <v>1</v>
      </c>
    </row>
    <row r="1067" customFormat="false" ht="15" hidden="false" customHeight="false" outlineLevel="0" collapsed="false">
      <c r="A1067" s="0" t="s">
        <v>1391</v>
      </c>
      <c r="B1067" s="0" t="s">
        <v>51</v>
      </c>
      <c r="C1067" s="0" t="str">
        <f aca="false">INDEX(Intent_Analysis!$B$5:$B$81,MATCH(B1067,Intent_Analysis!$A$5:$A$81,0))</f>
        <v>Card delivery &amp; activation</v>
      </c>
      <c r="D1067" s="0" t="n">
        <f aca="false">INDEX(Intent_Analysis!$E$5:$E$81,MATCH(B1067,Intent_Analysis!$A$5:$A$81,0))</f>
        <v>1</v>
      </c>
    </row>
    <row r="1068" customFormat="false" ht="15" hidden="false" customHeight="false" outlineLevel="0" collapsed="false">
      <c r="A1068" s="0" t="s">
        <v>1392</v>
      </c>
      <c r="B1068" s="0" t="s">
        <v>51</v>
      </c>
      <c r="C1068" s="0" t="str">
        <f aca="false">INDEX(Intent_Analysis!$B$5:$B$81,MATCH(B1068,Intent_Analysis!$A$5:$A$81,0))</f>
        <v>Card delivery &amp; activation</v>
      </c>
      <c r="D1068" s="0" t="n">
        <f aca="false">INDEX(Intent_Analysis!$E$5:$E$81,MATCH(B1068,Intent_Analysis!$A$5:$A$81,0))</f>
        <v>1</v>
      </c>
    </row>
    <row r="1069" customFormat="false" ht="15" hidden="false" customHeight="false" outlineLevel="0" collapsed="false">
      <c r="A1069" s="0" t="s">
        <v>1393</v>
      </c>
      <c r="B1069" s="0" t="s">
        <v>51</v>
      </c>
      <c r="C1069" s="0" t="str">
        <f aca="false">INDEX(Intent_Analysis!$B$5:$B$81,MATCH(B1069,Intent_Analysis!$A$5:$A$81,0))</f>
        <v>Card delivery &amp; activation</v>
      </c>
      <c r="D1069" s="0" t="n">
        <f aca="false">INDEX(Intent_Analysis!$E$5:$E$81,MATCH(B1069,Intent_Analysis!$A$5:$A$81,0))</f>
        <v>1</v>
      </c>
    </row>
    <row r="1070" customFormat="false" ht="15" hidden="false" customHeight="false" outlineLevel="0" collapsed="false">
      <c r="A1070" s="0" t="s">
        <v>1394</v>
      </c>
      <c r="B1070" s="0" t="s">
        <v>51</v>
      </c>
      <c r="C1070" s="0" t="str">
        <f aca="false">INDEX(Intent_Analysis!$B$5:$B$81,MATCH(B1070,Intent_Analysis!$A$5:$A$81,0))</f>
        <v>Card delivery &amp; activation</v>
      </c>
      <c r="D1070" s="0" t="n">
        <f aca="false">INDEX(Intent_Analysis!$E$5:$E$81,MATCH(B1070,Intent_Analysis!$A$5:$A$81,0))</f>
        <v>1</v>
      </c>
    </row>
    <row r="1071" customFormat="false" ht="15" hidden="false" customHeight="false" outlineLevel="0" collapsed="false">
      <c r="A1071" s="0" t="s">
        <v>1395</v>
      </c>
      <c r="B1071" s="0" t="s">
        <v>51</v>
      </c>
      <c r="C1071" s="0" t="str">
        <f aca="false">INDEX(Intent_Analysis!$B$5:$B$81,MATCH(B1071,Intent_Analysis!$A$5:$A$81,0))</f>
        <v>Card delivery &amp; activation</v>
      </c>
      <c r="D1071" s="0" t="n">
        <f aca="false">INDEX(Intent_Analysis!$E$5:$E$81,MATCH(B1071,Intent_Analysis!$A$5:$A$81,0))</f>
        <v>1</v>
      </c>
    </row>
    <row r="1072" customFormat="false" ht="15" hidden="false" customHeight="false" outlineLevel="0" collapsed="false">
      <c r="A1072" s="0" t="s">
        <v>1396</v>
      </c>
      <c r="B1072" s="0" t="s">
        <v>51</v>
      </c>
      <c r="C1072" s="0" t="str">
        <f aca="false">INDEX(Intent_Analysis!$B$5:$B$81,MATCH(B1072,Intent_Analysis!$A$5:$A$81,0))</f>
        <v>Card delivery &amp; activation</v>
      </c>
      <c r="D1072" s="0" t="n">
        <f aca="false">INDEX(Intent_Analysis!$E$5:$E$81,MATCH(B1072,Intent_Analysis!$A$5:$A$81,0))</f>
        <v>1</v>
      </c>
    </row>
    <row r="1073" customFormat="false" ht="15" hidden="false" customHeight="false" outlineLevel="0" collapsed="false">
      <c r="A1073" s="0" t="s">
        <v>1397</v>
      </c>
      <c r="B1073" s="0" t="s">
        <v>51</v>
      </c>
      <c r="C1073" s="0" t="str">
        <f aca="false">INDEX(Intent_Analysis!$B$5:$B$81,MATCH(B1073,Intent_Analysis!$A$5:$A$81,0))</f>
        <v>Card delivery &amp; activation</v>
      </c>
      <c r="D1073" s="0" t="n">
        <f aca="false">INDEX(Intent_Analysis!$E$5:$E$81,MATCH(B1073,Intent_Analysis!$A$5:$A$81,0))</f>
        <v>1</v>
      </c>
    </row>
    <row r="1074" customFormat="false" ht="15" hidden="false" customHeight="false" outlineLevel="0" collapsed="false">
      <c r="A1074" s="0" t="s">
        <v>1398</v>
      </c>
      <c r="B1074" s="0" t="s">
        <v>51</v>
      </c>
      <c r="C1074" s="0" t="str">
        <f aca="false">INDEX(Intent_Analysis!$B$5:$B$81,MATCH(B1074,Intent_Analysis!$A$5:$A$81,0))</f>
        <v>Card delivery &amp; activation</v>
      </c>
      <c r="D1074" s="0" t="n">
        <f aca="false">INDEX(Intent_Analysis!$E$5:$E$81,MATCH(B1074,Intent_Analysis!$A$5:$A$81,0))</f>
        <v>1</v>
      </c>
    </row>
    <row r="1075" customFormat="false" ht="15" hidden="false" customHeight="false" outlineLevel="0" collapsed="false">
      <c r="A1075" s="0" t="s">
        <v>1399</v>
      </c>
      <c r="B1075" s="0" t="s">
        <v>51</v>
      </c>
      <c r="C1075" s="0" t="str">
        <f aca="false">INDEX(Intent_Analysis!$B$5:$B$81,MATCH(B1075,Intent_Analysis!$A$5:$A$81,0))</f>
        <v>Card delivery &amp; activation</v>
      </c>
      <c r="D1075" s="0" t="n">
        <f aca="false">INDEX(Intent_Analysis!$E$5:$E$81,MATCH(B1075,Intent_Analysis!$A$5:$A$81,0))</f>
        <v>1</v>
      </c>
    </row>
    <row r="1076" customFormat="false" ht="15" hidden="false" customHeight="false" outlineLevel="0" collapsed="false">
      <c r="A1076" s="0" t="s">
        <v>1400</v>
      </c>
      <c r="B1076" s="0" t="s">
        <v>51</v>
      </c>
      <c r="C1076" s="0" t="str">
        <f aca="false">INDEX(Intent_Analysis!$B$5:$B$81,MATCH(B1076,Intent_Analysis!$A$5:$A$81,0))</f>
        <v>Card delivery &amp; activation</v>
      </c>
      <c r="D1076" s="0" t="n">
        <f aca="false">INDEX(Intent_Analysis!$E$5:$E$81,MATCH(B1076,Intent_Analysis!$A$5:$A$81,0))</f>
        <v>1</v>
      </c>
    </row>
    <row r="1077" customFormat="false" ht="15" hidden="false" customHeight="false" outlineLevel="0" collapsed="false">
      <c r="A1077" s="0" t="s">
        <v>1401</v>
      </c>
      <c r="B1077" s="0" t="s">
        <v>51</v>
      </c>
      <c r="C1077" s="0" t="str">
        <f aca="false">INDEX(Intent_Analysis!$B$5:$B$81,MATCH(B1077,Intent_Analysis!$A$5:$A$81,0))</f>
        <v>Card delivery &amp; activation</v>
      </c>
      <c r="D1077" s="0" t="n">
        <f aca="false">INDEX(Intent_Analysis!$E$5:$E$81,MATCH(B1077,Intent_Analysis!$A$5:$A$81,0))</f>
        <v>1</v>
      </c>
    </row>
    <row r="1078" customFormat="false" ht="15" hidden="false" customHeight="false" outlineLevel="0" collapsed="false">
      <c r="A1078" s="0" t="s">
        <v>1402</v>
      </c>
      <c r="B1078" s="0" t="s">
        <v>51</v>
      </c>
      <c r="C1078" s="0" t="str">
        <f aca="false">INDEX(Intent_Analysis!$B$5:$B$81,MATCH(B1078,Intent_Analysis!$A$5:$A$81,0))</f>
        <v>Card delivery &amp; activation</v>
      </c>
      <c r="D1078" s="0" t="n">
        <f aca="false">INDEX(Intent_Analysis!$E$5:$E$81,MATCH(B1078,Intent_Analysis!$A$5:$A$81,0))</f>
        <v>1</v>
      </c>
    </row>
    <row r="1079" customFormat="false" ht="15" hidden="false" customHeight="false" outlineLevel="0" collapsed="false">
      <c r="A1079" s="0" t="s">
        <v>1403</v>
      </c>
      <c r="B1079" s="0" t="s">
        <v>51</v>
      </c>
      <c r="C1079" s="0" t="str">
        <f aca="false">INDEX(Intent_Analysis!$B$5:$B$81,MATCH(B1079,Intent_Analysis!$A$5:$A$81,0))</f>
        <v>Card delivery &amp; activation</v>
      </c>
      <c r="D1079" s="0" t="n">
        <f aca="false">INDEX(Intent_Analysis!$E$5:$E$81,MATCH(B1079,Intent_Analysis!$A$5:$A$81,0))</f>
        <v>1</v>
      </c>
    </row>
    <row r="1080" customFormat="false" ht="15" hidden="false" customHeight="false" outlineLevel="0" collapsed="false">
      <c r="A1080" s="0" t="s">
        <v>1404</v>
      </c>
      <c r="B1080" s="0" t="s">
        <v>51</v>
      </c>
      <c r="C1080" s="0" t="str">
        <f aca="false">INDEX(Intent_Analysis!$B$5:$B$81,MATCH(B1080,Intent_Analysis!$A$5:$A$81,0))</f>
        <v>Card delivery &amp; activation</v>
      </c>
      <c r="D1080" s="0" t="n">
        <f aca="false">INDEX(Intent_Analysis!$E$5:$E$81,MATCH(B1080,Intent_Analysis!$A$5:$A$81,0))</f>
        <v>1</v>
      </c>
    </row>
    <row r="1081" customFormat="false" ht="15" hidden="false" customHeight="false" outlineLevel="0" collapsed="false">
      <c r="A1081" s="0" t="s">
        <v>1405</v>
      </c>
      <c r="B1081" s="0" t="s">
        <v>51</v>
      </c>
      <c r="C1081" s="0" t="str">
        <f aca="false">INDEX(Intent_Analysis!$B$5:$B$81,MATCH(B1081,Intent_Analysis!$A$5:$A$81,0))</f>
        <v>Card delivery &amp; activation</v>
      </c>
      <c r="D1081" s="0" t="n">
        <f aca="false">INDEX(Intent_Analysis!$E$5:$E$81,MATCH(B1081,Intent_Analysis!$A$5:$A$81,0))</f>
        <v>1</v>
      </c>
    </row>
    <row r="1082" customFormat="false" ht="15" hidden="false" customHeight="false" outlineLevel="0" collapsed="false">
      <c r="A1082" s="0" t="s">
        <v>1406</v>
      </c>
      <c r="B1082" s="0" t="s">
        <v>51</v>
      </c>
      <c r="C1082" s="0" t="str">
        <f aca="false">INDEX(Intent_Analysis!$B$5:$B$81,MATCH(B1082,Intent_Analysis!$A$5:$A$81,0))</f>
        <v>Card delivery &amp; activation</v>
      </c>
      <c r="D1082" s="0" t="n">
        <f aca="false">INDEX(Intent_Analysis!$E$5:$E$81,MATCH(B1082,Intent_Analysis!$A$5:$A$81,0))</f>
        <v>1</v>
      </c>
    </row>
    <row r="1083" customFormat="false" ht="15" hidden="false" customHeight="false" outlineLevel="0" collapsed="false">
      <c r="A1083" s="0" t="s">
        <v>1407</v>
      </c>
      <c r="B1083" s="0" t="s">
        <v>51</v>
      </c>
      <c r="C1083" s="0" t="str">
        <f aca="false">INDEX(Intent_Analysis!$B$5:$B$81,MATCH(B1083,Intent_Analysis!$A$5:$A$81,0))</f>
        <v>Card delivery &amp; activation</v>
      </c>
      <c r="D1083" s="0" t="n">
        <f aca="false">INDEX(Intent_Analysis!$E$5:$E$81,MATCH(B1083,Intent_Analysis!$A$5:$A$81,0))</f>
        <v>1</v>
      </c>
    </row>
    <row r="1084" customFormat="false" ht="15" hidden="false" customHeight="false" outlineLevel="0" collapsed="false">
      <c r="A1084" s="0" t="s">
        <v>1408</v>
      </c>
      <c r="B1084" s="0" t="s">
        <v>51</v>
      </c>
      <c r="C1084" s="0" t="str">
        <f aca="false">INDEX(Intent_Analysis!$B$5:$B$81,MATCH(B1084,Intent_Analysis!$A$5:$A$81,0))</f>
        <v>Card delivery &amp; activation</v>
      </c>
      <c r="D1084" s="0" t="n">
        <f aca="false">INDEX(Intent_Analysis!$E$5:$E$81,MATCH(B1084,Intent_Analysis!$A$5:$A$81,0))</f>
        <v>1</v>
      </c>
    </row>
    <row r="1085" customFormat="false" ht="15" hidden="false" customHeight="false" outlineLevel="0" collapsed="false">
      <c r="A1085" s="0" t="s">
        <v>1409</v>
      </c>
      <c r="B1085" s="0" t="s">
        <v>51</v>
      </c>
      <c r="C1085" s="0" t="str">
        <f aca="false">INDEX(Intent_Analysis!$B$5:$B$81,MATCH(B1085,Intent_Analysis!$A$5:$A$81,0))</f>
        <v>Card delivery &amp; activation</v>
      </c>
      <c r="D1085" s="0" t="n">
        <f aca="false">INDEX(Intent_Analysis!$E$5:$E$81,MATCH(B1085,Intent_Analysis!$A$5:$A$81,0))</f>
        <v>1</v>
      </c>
    </row>
    <row r="1086" customFormat="false" ht="15" hidden="false" customHeight="false" outlineLevel="0" collapsed="false">
      <c r="A1086" s="0" t="s">
        <v>1410</v>
      </c>
      <c r="B1086" s="0" t="s">
        <v>51</v>
      </c>
      <c r="C1086" s="0" t="str">
        <f aca="false">INDEX(Intent_Analysis!$B$5:$B$81,MATCH(B1086,Intent_Analysis!$A$5:$A$81,0))</f>
        <v>Card delivery &amp; activation</v>
      </c>
      <c r="D1086" s="0" t="n">
        <f aca="false">INDEX(Intent_Analysis!$E$5:$E$81,MATCH(B1086,Intent_Analysis!$A$5:$A$81,0))</f>
        <v>1</v>
      </c>
    </row>
    <row r="1087" customFormat="false" ht="15" hidden="false" customHeight="false" outlineLevel="0" collapsed="false">
      <c r="A1087" s="0" t="s">
        <v>1411</v>
      </c>
      <c r="B1087" s="0" t="s">
        <v>51</v>
      </c>
      <c r="C1087" s="0" t="str">
        <f aca="false">INDEX(Intent_Analysis!$B$5:$B$81,MATCH(B1087,Intent_Analysis!$A$5:$A$81,0))</f>
        <v>Card delivery &amp; activation</v>
      </c>
      <c r="D1087" s="0" t="n">
        <f aca="false">INDEX(Intent_Analysis!$E$5:$E$81,MATCH(B1087,Intent_Analysis!$A$5:$A$81,0))</f>
        <v>1</v>
      </c>
    </row>
    <row r="1088" customFormat="false" ht="15" hidden="false" customHeight="false" outlineLevel="0" collapsed="false">
      <c r="A1088" s="0" t="s">
        <v>1412</v>
      </c>
      <c r="B1088" s="0" t="s">
        <v>51</v>
      </c>
      <c r="C1088" s="0" t="str">
        <f aca="false">INDEX(Intent_Analysis!$B$5:$B$81,MATCH(B1088,Intent_Analysis!$A$5:$A$81,0))</f>
        <v>Card delivery &amp; activation</v>
      </c>
      <c r="D1088" s="0" t="n">
        <f aca="false">INDEX(Intent_Analysis!$E$5:$E$81,MATCH(B1088,Intent_Analysis!$A$5:$A$81,0))</f>
        <v>1</v>
      </c>
    </row>
    <row r="1089" customFormat="false" ht="15" hidden="false" customHeight="false" outlineLevel="0" collapsed="false">
      <c r="A1089" s="0" t="s">
        <v>1413</v>
      </c>
      <c r="B1089" s="0" t="s">
        <v>51</v>
      </c>
      <c r="C1089" s="0" t="str">
        <f aca="false">INDEX(Intent_Analysis!$B$5:$B$81,MATCH(B1089,Intent_Analysis!$A$5:$A$81,0))</f>
        <v>Card delivery &amp; activation</v>
      </c>
      <c r="D1089" s="0" t="n">
        <f aca="false">INDEX(Intent_Analysis!$E$5:$E$81,MATCH(B1089,Intent_Analysis!$A$5:$A$81,0))</f>
        <v>1</v>
      </c>
    </row>
    <row r="1090" customFormat="false" ht="15" hidden="false" customHeight="false" outlineLevel="0" collapsed="false">
      <c r="A1090" s="0" t="s">
        <v>1414</v>
      </c>
      <c r="B1090" s="0" t="s">
        <v>51</v>
      </c>
      <c r="C1090" s="0" t="str">
        <f aca="false">INDEX(Intent_Analysis!$B$5:$B$81,MATCH(B1090,Intent_Analysis!$A$5:$A$81,0))</f>
        <v>Card delivery &amp; activation</v>
      </c>
      <c r="D1090" s="0" t="n">
        <f aca="false">INDEX(Intent_Analysis!$E$5:$E$81,MATCH(B1090,Intent_Analysis!$A$5:$A$81,0))</f>
        <v>1</v>
      </c>
    </row>
    <row r="1091" customFormat="false" ht="15" hidden="false" customHeight="false" outlineLevel="0" collapsed="false">
      <c r="A1091" s="0" t="s">
        <v>1415</v>
      </c>
      <c r="B1091" s="0" t="s">
        <v>51</v>
      </c>
      <c r="C1091" s="0" t="str">
        <f aca="false">INDEX(Intent_Analysis!$B$5:$B$81,MATCH(B1091,Intent_Analysis!$A$5:$A$81,0))</f>
        <v>Card delivery &amp; activation</v>
      </c>
      <c r="D1091" s="0" t="n">
        <f aca="false">INDEX(Intent_Analysis!$E$5:$E$81,MATCH(B1091,Intent_Analysis!$A$5:$A$81,0))</f>
        <v>1</v>
      </c>
    </row>
    <row r="1092" customFormat="false" ht="15" hidden="false" customHeight="false" outlineLevel="0" collapsed="false">
      <c r="A1092" s="0" t="s">
        <v>1416</v>
      </c>
      <c r="B1092" s="0" t="s">
        <v>51</v>
      </c>
      <c r="C1092" s="0" t="str">
        <f aca="false">INDEX(Intent_Analysis!$B$5:$B$81,MATCH(B1092,Intent_Analysis!$A$5:$A$81,0))</f>
        <v>Card delivery &amp; activation</v>
      </c>
      <c r="D1092" s="0" t="n">
        <f aca="false">INDEX(Intent_Analysis!$E$5:$E$81,MATCH(B1092,Intent_Analysis!$A$5:$A$81,0))</f>
        <v>1</v>
      </c>
    </row>
    <row r="1093" customFormat="false" ht="15" hidden="false" customHeight="false" outlineLevel="0" collapsed="false">
      <c r="A1093" s="0" t="s">
        <v>1417</v>
      </c>
      <c r="B1093" s="0" t="s">
        <v>51</v>
      </c>
      <c r="C1093" s="0" t="str">
        <f aca="false">INDEX(Intent_Analysis!$B$5:$B$81,MATCH(B1093,Intent_Analysis!$A$5:$A$81,0))</f>
        <v>Card delivery &amp; activation</v>
      </c>
      <c r="D1093" s="0" t="n">
        <f aca="false">INDEX(Intent_Analysis!$E$5:$E$81,MATCH(B1093,Intent_Analysis!$A$5:$A$81,0))</f>
        <v>1</v>
      </c>
    </row>
    <row r="1094" customFormat="false" ht="15" hidden="false" customHeight="false" outlineLevel="0" collapsed="false">
      <c r="A1094" s="0" t="s">
        <v>1418</v>
      </c>
      <c r="B1094" s="0" t="s">
        <v>51</v>
      </c>
      <c r="C1094" s="0" t="str">
        <f aca="false">INDEX(Intent_Analysis!$B$5:$B$81,MATCH(B1094,Intent_Analysis!$A$5:$A$81,0))</f>
        <v>Card delivery &amp; activation</v>
      </c>
      <c r="D1094" s="0" t="n">
        <f aca="false">INDEX(Intent_Analysis!$E$5:$E$81,MATCH(B1094,Intent_Analysis!$A$5:$A$81,0))</f>
        <v>1</v>
      </c>
    </row>
    <row r="1095" customFormat="false" ht="15" hidden="false" customHeight="false" outlineLevel="0" collapsed="false">
      <c r="A1095" s="0" t="s">
        <v>1419</v>
      </c>
      <c r="B1095" s="0" t="s">
        <v>51</v>
      </c>
      <c r="C1095" s="0" t="str">
        <f aca="false">INDEX(Intent_Analysis!$B$5:$B$81,MATCH(B1095,Intent_Analysis!$A$5:$A$81,0))</f>
        <v>Card delivery &amp; activation</v>
      </c>
      <c r="D1095" s="0" t="n">
        <f aca="false">INDEX(Intent_Analysis!$E$5:$E$81,MATCH(B1095,Intent_Analysis!$A$5:$A$81,0))</f>
        <v>1</v>
      </c>
    </row>
    <row r="1096" customFormat="false" ht="15" hidden="false" customHeight="false" outlineLevel="0" collapsed="false">
      <c r="A1096" s="0" t="s">
        <v>1420</v>
      </c>
      <c r="B1096" s="0" t="s">
        <v>51</v>
      </c>
      <c r="C1096" s="0" t="str">
        <f aca="false">INDEX(Intent_Analysis!$B$5:$B$81,MATCH(B1096,Intent_Analysis!$A$5:$A$81,0))</f>
        <v>Card delivery &amp; activation</v>
      </c>
      <c r="D1096" s="0" t="n">
        <f aca="false">INDEX(Intent_Analysis!$E$5:$E$81,MATCH(B1096,Intent_Analysis!$A$5:$A$81,0))</f>
        <v>1</v>
      </c>
    </row>
    <row r="1097" customFormat="false" ht="15" hidden="false" customHeight="false" outlineLevel="0" collapsed="false">
      <c r="A1097" s="0" t="s">
        <v>1421</v>
      </c>
      <c r="B1097" s="0" t="s">
        <v>51</v>
      </c>
      <c r="C1097" s="0" t="str">
        <f aca="false">INDEX(Intent_Analysis!$B$5:$B$81,MATCH(B1097,Intent_Analysis!$A$5:$A$81,0))</f>
        <v>Card delivery &amp; activation</v>
      </c>
      <c r="D1097" s="0" t="n">
        <f aca="false">INDEX(Intent_Analysis!$E$5:$E$81,MATCH(B1097,Intent_Analysis!$A$5:$A$81,0))</f>
        <v>1</v>
      </c>
    </row>
    <row r="1098" customFormat="false" ht="15" hidden="false" customHeight="false" outlineLevel="0" collapsed="false">
      <c r="A1098" s="0" t="s">
        <v>1422</v>
      </c>
      <c r="B1098" s="0" t="s">
        <v>51</v>
      </c>
      <c r="C1098" s="0" t="str">
        <f aca="false">INDEX(Intent_Analysis!$B$5:$B$81,MATCH(B1098,Intent_Analysis!$A$5:$A$81,0))</f>
        <v>Card delivery &amp; activation</v>
      </c>
      <c r="D1098" s="0" t="n">
        <f aca="false">INDEX(Intent_Analysis!$E$5:$E$81,MATCH(B1098,Intent_Analysis!$A$5:$A$81,0))</f>
        <v>1</v>
      </c>
    </row>
    <row r="1099" customFormat="false" ht="15" hidden="false" customHeight="false" outlineLevel="0" collapsed="false">
      <c r="A1099" s="0" t="s">
        <v>1423</v>
      </c>
      <c r="B1099" s="0" t="s">
        <v>51</v>
      </c>
      <c r="C1099" s="0" t="str">
        <f aca="false">INDEX(Intent_Analysis!$B$5:$B$81,MATCH(B1099,Intent_Analysis!$A$5:$A$81,0))</f>
        <v>Card delivery &amp; activation</v>
      </c>
      <c r="D1099" s="0" t="n">
        <f aca="false">INDEX(Intent_Analysis!$E$5:$E$81,MATCH(B1099,Intent_Analysis!$A$5:$A$81,0))</f>
        <v>1</v>
      </c>
    </row>
    <row r="1100" customFormat="false" ht="15" hidden="false" customHeight="false" outlineLevel="0" collapsed="false">
      <c r="A1100" s="0" t="s">
        <v>1424</v>
      </c>
      <c r="B1100" s="0" t="s">
        <v>51</v>
      </c>
      <c r="C1100" s="0" t="str">
        <f aca="false">INDEX(Intent_Analysis!$B$5:$B$81,MATCH(B1100,Intent_Analysis!$A$5:$A$81,0))</f>
        <v>Card delivery &amp; activation</v>
      </c>
      <c r="D1100" s="0" t="n">
        <f aca="false">INDEX(Intent_Analysis!$E$5:$E$81,MATCH(B1100,Intent_Analysis!$A$5:$A$81,0))</f>
        <v>1</v>
      </c>
    </row>
    <row r="1101" customFormat="false" ht="15" hidden="false" customHeight="false" outlineLevel="0" collapsed="false">
      <c r="A1101" s="0" t="s">
        <v>1425</v>
      </c>
      <c r="B1101" s="0" t="s">
        <v>51</v>
      </c>
      <c r="C1101" s="0" t="str">
        <f aca="false">INDEX(Intent_Analysis!$B$5:$B$81,MATCH(B1101,Intent_Analysis!$A$5:$A$81,0))</f>
        <v>Card delivery &amp; activation</v>
      </c>
      <c r="D1101" s="0" t="n">
        <f aca="false">INDEX(Intent_Analysis!$E$5:$E$81,MATCH(B1101,Intent_Analysis!$A$5:$A$81,0))</f>
        <v>1</v>
      </c>
    </row>
    <row r="1102" customFormat="false" ht="15" hidden="false" customHeight="false" outlineLevel="0" collapsed="false">
      <c r="A1102" s="0" t="s">
        <v>1426</v>
      </c>
      <c r="B1102" s="0" t="s">
        <v>51</v>
      </c>
      <c r="C1102" s="0" t="str">
        <f aca="false">INDEX(Intent_Analysis!$B$5:$B$81,MATCH(B1102,Intent_Analysis!$A$5:$A$81,0))</f>
        <v>Card delivery &amp; activation</v>
      </c>
      <c r="D1102" s="0" t="n">
        <f aca="false">INDEX(Intent_Analysis!$E$5:$E$81,MATCH(B1102,Intent_Analysis!$A$5:$A$81,0))</f>
        <v>1</v>
      </c>
    </row>
    <row r="1103" customFormat="false" ht="15" hidden="false" customHeight="false" outlineLevel="0" collapsed="false">
      <c r="A1103" s="0" t="s">
        <v>1427</v>
      </c>
      <c r="B1103" s="0" t="s">
        <v>51</v>
      </c>
      <c r="C1103" s="0" t="str">
        <f aca="false">INDEX(Intent_Analysis!$B$5:$B$81,MATCH(B1103,Intent_Analysis!$A$5:$A$81,0))</f>
        <v>Card delivery &amp; activation</v>
      </c>
      <c r="D1103" s="0" t="n">
        <f aca="false">INDEX(Intent_Analysis!$E$5:$E$81,MATCH(B1103,Intent_Analysis!$A$5:$A$81,0))</f>
        <v>1</v>
      </c>
    </row>
    <row r="1104" customFormat="false" ht="15" hidden="false" customHeight="false" outlineLevel="0" collapsed="false">
      <c r="A1104" s="0" t="s">
        <v>1428</v>
      </c>
      <c r="B1104" s="0" t="s">
        <v>51</v>
      </c>
      <c r="C1104" s="0" t="str">
        <f aca="false">INDEX(Intent_Analysis!$B$5:$B$81,MATCH(B1104,Intent_Analysis!$A$5:$A$81,0))</f>
        <v>Card delivery &amp; activation</v>
      </c>
      <c r="D1104" s="0" t="n">
        <f aca="false">INDEX(Intent_Analysis!$E$5:$E$81,MATCH(B1104,Intent_Analysis!$A$5:$A$81,0))</f>
        <v>1</v>
      </c>
    </row>
    <row r="1105" customFormat="false" ht="15" hidden="false" customHeight="false" outlineLevel="0" collapsed="false">
      <c r="A1105" s="0" t="s">
        <v>1429</v>
      </c>
      <c r="B1105" s="0" t="s">
        <v>51</v>
      </c>
      <c r="C1105" s="0" t="str">
        <f aca="false">INDEX(Intent_Analysis!$B$5:$B$81,MATCH(B1105,Intent_Analysis!$A$5:$A$81,0))</f>
        <v>Card delivery &amp; activation</v>
      </c>
      <c r="D1105" s="0" t="n">
        <f aca="false">INDEX(Intent_Analysis!$E$5:$E$81,MATCH(B1105,Intent_Analysis!$A$5:$A$81,0))</f>
        <v>1</v>
      </c>
    </row>
    <row r="1106" customFormat="false" ht="15" hidden="false" customHeight="false" outlineLevel="0" collapsed="false">
      <c r="A1106" s="0" t="s">
        <v>1430</v>
      </c>
      <c r="B1106" s="0" t="s">
        <v>51</v>
      </c>
      <c r="C1106" s="0" t="str">
        <f aca="false">INDEX(Intent_Analysis!$B$5:$B$81,MATCH(B1106,Intent_Analysis!$A$5:$A$81,0))</f>
        <v>Card delivery &amp; activation</v>
      </c>
      <c r="D1106" s="0" t="n">
        <f aca="false">INDEX(Intent_Analysis!$E$5:$E$81,MATCH(B1106,Intent_Analysis!$A$5:$A$81,0))</f>
        <v>1</v>
      </c>
    </row>
    <row r="1107" customFormat="false" ht="15" hidden="false" customHeight="false" outlineLevel="0" collapsed="false">
      <c r="A1107" s="0" t="s">
        <v>1431</v>
      </c>
      <c r="B1107" s="0" t="s">
        <v>51</v>
      </c>
      <c r="C1107" s="0" t="str">
        <f aca="false">INDEX(Intent_Analysis!$B$5:$B$81,MATCH(B1107,Intent_Analysis!$A$5:$A$81,0))</f>
        <v>Card delivery &amp; activation</v>
      </c>
      <c r="D1107" s="0" t="n">
        <f aca="false">INDEX(Intent_Analysis!$E$5:$E$81,MATCH(B1107,Intent_Analysis!$A$5:$A$81,0))</f>
        <v>1</v>
      </c>
    </row>
    <row r="1108" customFormat="false" ht="15" hidden="false" customHeight="false" outlineLevel="0" collapsed="false">
      <c r="A1108" s="0" t="s">
        <v>1432</v>
      </c>
      <c r="B1108" s="0" t="s">
        <v>51</v>
      </c>
      <c r="C1108" s="0" t="str">
        <f aca="false">INDEX(Intent_Analysis!$B$5:$B$81,MATCH(B1108,Intent_Analysis!$A$5:$A$81,0))</f>
        <v>Card delivery &amp; activation</v>
      </c>
      <c r="D1108" s="0" t="n">
        <f aca="false">INDEX(Intent_Analysis!$E$5:$E$81,MATCH(B1108,Intent_Analysis!$A$5:$A$81,0))</f>
        <v>1</v>
      </c>
    </row>
    <row r="1109" customFormat="false" ht="15" hidden="false" customHeight="false" outlineLevel="0" collapsed="false">
      <c r="A1109" s="0" t="s">
        <v>1433</v>
      </c>
      <c r="B1109" s="0" t="s">
        <v>51</v>
      </c>
      <c r="C1109" s="0" t="str">
        <f aca="false">INDEX(Intent_Analysis!$B$5:$B$81,MATCH(B1109,Intent_Analysis!$A$5:$A$81,0))</f>
        <v>Card delivery &amp; activation</v>
      </c>
      <c r="D1109" s="0" t="n">
        <f aca="false">INDEX(Intent_Analysis!$E$5:$E$81,MATCH(B1109,Intent_Analysis!$A$5:$A$81,0))</f>
        <v>1</v>
      </c>
    </row>
    <row r="1110" customFormat="false" ht="15" hidden="false" customHeight="false" outlineLevel="0" collapsed="false">
      <c r="A1110" s="0" t="s">
        <v>1434</v>
      </c>
      <c r="B1110" s="0" t="s">
        <v>51</v>
      </c>
      <c r="C1110" s="0" t="str">
        <f aca="false">INDEX(Intent_Analysis!$B$5:$B$81,MATCH(B1110,Intent_Analysis!$A$5:$A$81,0))</f>
        <v>Card delivery &amp; activation</v>
      </c>
      <c r="D1110" s="0" t="n">
        <f aca="false">INDEX(Intent_Analysis!$E$5:$E$81,MATCH(B1110,Intent_Analysis!$A$5:$A$81,0))</f>
        <v>1</v>
      </c>
    </row>
    <row r="1111" customFormat="false" ht="15" hidden="false" customHeight="false" outlineLevel="0" collapsed="false">
      <c r="A1111" s="0" t="s">
        <v>1435</v>
      </c>
      <c r="B1111" s="0" t="s">
        <v>51</v>
      </c>
      <c r="C1111" s="0" t="str">
        <f aca="false">INDEX(Intent_Analysis!$B$5:$B$81,MATCH(B1111,Intent_Analysis!$A$5:$A$81,0))</f>
        <v>Card delivery &amp; activation</v>
      </c>
      <c r="D1111" s="0" t="n">
        <f aca="false">INDEX(Intent_Analysis!$E$5:$E$81,MATCH(B1111,Intent_Analysis!$A$5:$A$81,0))</f>
        <v>1</v>
      </c>
    </row>
    <row r="1112" customFormat="false" ht="15" hidden="false" customHeight="false" outlineLevel="0" collapsed="false">
      <c r="A1112" s="0" t="s">
        <v>1436</v>
      </c>
      <c r="B1112" s="0" t="s">
        <v>51</v>
      </c>
      <c r="C1112" s="0" t="str">
        <f aca="false">INDEX(Intent_Analysis!$B$5:$B$81,MATCH(B1112,Intent_Analysis!$A$5:$A$81,0))</f>
        <v>Card delivery &amp; activation</v>
      </c>
      <c r="D1112" s="0" t="n">
        <f aca="false">INDEX(Intent_Analysis!$E$5:$E$81,MATCH(B1112,Intent_Analysis!$A$5:$A$81,0))</f>
        <v>1</v>
      </c>
    </row>
    <row r="1113" customFormat="false" ht="15" hidden="false" customHeight="false" outlineLevel="0" collapsed="false">
      <c r="A1113" s="0" t="s">
        <v>1437</v>
      </c>
      <c r="B1113" s="0" t="s">
        <v>51</v>
      </c>
      <c r="C1113" s="0" t="str">
        <f aca="false">INDEX(Intent_Analysis!$B$5:$B$81,MATCH(B1113,Intent_Analysis!$A$5:$A$81,0))</f>
        <v>Card delivery &amp; activation</v>
      </c>
      <c r="D1113" s="0" t="n">
        <f aca="false">INDEX(Intent_Analysis!$E$5:$E$81,MATCH(B1113,Intent_Analysis!$A$5:$A$81,0))</f>
        <v>1</v>
      </c>
    </row>
    <row r="1114" customFormat="false" ht="15" hidden="false" customHeight="false" outlineLevel="0" collapsed="false">
      <c r="A1114" s="0" t="s">
        <v>1438</v>
      </c>
      <c r="B1114" s="0" t="s">
        <v>51</v>
      </c>
      <c r="C1114" s="0" t="str">
        <f aca="false">INDEX(Intent_Analysis!$B$5:$B$81,MATCH(B1114,Intent_Analysis!$A$5:$A$81,0))</f>
        <v>Card delivery &amp; activation</v>
      </c>
      <c r="D1114" s="0" t="n">
        <f aca="false">INDEX(Intent_Analysis!$E$5:$E$81,MATCH(B1114,Intent_Analysis!$A$5:$A$81,0))</f>
        <v>1</v>
      </c>
    </row>
    <row r="1115" customFormat="false" ht="15" hidden="false" customHeight="false" outlineLevel="0" collapsed="false">
      <c r="A1115" s="0" t="s">
        <v>1439</v>
      </c>
      <c r="B1115" s="0" t="s">
        <v>51</v>
      </c>
      <c r="C1115" s="0" t="str">
        <f aca="false">INDEX(Intent_Analysis!$B$5:$B$81,MATCH(B1115,Intent_Analysis!$A$5:$A$81,0))</f>
        <v>Card delivery &amp; activation</v>
      </c>
      <c r="D1115" s="0" t="n">
        <f aca="false">INDEX(Intent_Analysis!$E$5:$E$81,MATCH(B1115,Intent_Analysis!$A$5:$A$81,0))</f>
        <v>1</v>
      </c>
    </row>
    <row r="1116" customFormat="false" ht="15" hidden="false" customHeight="false" outlineLevel="0" collapsed="false">
      <c r="A1116" s="0" t="s">
        <v>1440</v>
      </c>
      <c r="B1116" s="0" t="s">
        <v>51</v>
      </c>
      <c r="C1116" s="0" t="str">
        <f aca="false">INDEX(Intent_Analysis!$B$5:$B$81,MATCH(B1116,Intent_Analysis!$A$5:$A$81,0))</f>
        <v>Card delivery &amp; activation</v>
      </c>
      <c r="D1116" s="0" t="n">
        <f aca="false">INDEX(Intent_Analysis!$E$5:$E$81,MATCH(B1116,Intent_Analysis!$A$5:$A$81,0))</f>
        <v>1</v>
      </c>
    </row>
    <row r="1117" customFormat="false" ht="15" hidden="false" customHeight="false" outlineLevel="0" collapsed="false">
      <c r="A1117" s="0" t="s">
        <v>1441</v>
      </c>
      <c r="B1117" s="0" t="s">
        <v>51</v>
      </c>
      <c r="C1117" s="0" t="str">
        <f aca="false">INDEX(Intent_Analysis!$B$5:$B$81,MATCH(B1117,Intent_Analysis!$A$5:$A$81,0))</f>
        <v>Card delivery &amp; activation</v>
      </c>
      <c r="D1117" s="0" t="n">
        <f aca="false">INDEX(Intent_Analysis!$E$5:$E$81,MATCH(B1117,Intent_Analysis!$A$5:$A$81,0))</f>
        <v>1</v>
      </c>
    </row>
    <row r="1118" customFormat="false" ht="15" hidden="false" customHeight="false" outlineLevel="0" collapsed="false">
      <c r="A1118" s="0" t="s">
        <v>1442</v>
      </c>
      <c r="B1118" s="0" t="s">
        <v>51</v>
      </c>
      <c r="C1118" s="0" t="str">
        <f aca="false">INDEX(Intent_Analysis!$B$5:$B$81,MATCH(B1118,Intent_Analysis!$A$5:$A$81,0))</f>
        <v>Card delivery &amp; activation</v>
      </c>
      <c r="D1118" s="0" t="n">
        <f aca="false">INDEX(Intent_Analysis!$E$5:$E$81,MATCH(B1118,Intent_Analysis!$A$5:$A$81,0))</f>
        <v>1</v>
      </c>
    </row>
    <row r="1119" customFormat="false" ht="15" hidden="false" customHeight="false" outlineLevel="0" collapsed="false">
      <c r="A1119" s="0" t="s">
        <v>1443</v>
      </c>
      <c r="B1119" s="0" t="s">
        <v>51</v>
      </c>
      <c r="C1119" s="0" t="str">
        <f aca="false">INDEX(Intent_Analysis!$B$5:$B$81,MATCH(B1119,Intent_Analysis!$A$5:$A$81,0))</f>
        <v>Card delivery &amp; activation</v>
      </c>
      <c r="D1119" s="0" t="n">
        <f aca="false">INDEX(Intent_Analysis!$E$5:$E$81,MATCH(B1119,Intent_Analysis!$A$5:$A$81,0))</f>
        <v>1</v>
      </c>
    </row>
    <row r="1120" customFormat="false" ht="15" hidden="false" customHeight="false" outlineLevel="0" collapsed="false">
      <c r="A1120" s="0" t="s">
        <v>1444</v>
      </c>
      <c r="B1120" s="0" t="s">
        <v>106</v>
      </c>
      <c r="C1120" s="0" t="str">
        <f aca="false">INDEX(Intent_Analysis!$B$5:$B$81,MATCH(B1120,Intent_Analysis!$A$5:$A$81,0))</f>
        <v>Top-ups</v>
      </c>
      <c r="D1120" s="0" t="n">
        <f aca="false">INDEX(Intent_Analysis!$E$5:$E$81,MATCH(B1120,Intent_Analysis!$A$5:$A$81,0))</f>
        <v>1</v>
      </c>
    </row>
    <row r="1121" customFormat="false" ht="15" hidden="false" customHeight="false" outlineLevel="0" collapsed="false">
      <c r="A1121" s="0" t="s">
        <v>1445</v>
      </c>
      <c r="B1121" s="0" t="s">
        <v>106</v>
      </c>
      <c r="C1121" s="0" t="str">
        <f aca="false">INDEX(Intent_Analysis!$B$5:$B$81,MATCH(B1121,Intent_Analysis!$A$5:$A$81,0))</f>
        <v>Top-ups</v>
      </c>
      <c r="D1121" s="0" t="n">
        <f aca="false">INDEX(Intent_Analysis!$E$5:$E$81,MATCH(B1121,Intent_Analysis!$A$5:$A$81,0))</f>
        <v>1</v>
      </c>
    </row>
    <row r="1122" customFormat="false" ht="15" hidden="false" customHeight="false" outlineLevel="0" collapsed="false">
      <c r="A1122" s="0" t="s">
        <v>1446</v>
      </c>
      <c r="B1122" s="0" t="s">
        <v>106</v>
      </c>
      <c r="C1122" s="0" t="str">
        <f aca="false">INDEX(Intent_Analysis!$B$5:$B$81,MATCH(B1122,Intent_Analysis!$A$5:$A$81,0))</f>
        <v>Top-ups</v>
      </c>
      <c r="D1122" s="0" t="n">
        <f aca="false">INDEX(Intent_Analysis!$E$5:$E$81,MATCH(B1122,Intent_Analysis!$A$5:$A$81,0))</f>
        <v>1</v>
      </c>
    </row>
    <row r="1123" customFormat="false" ht="15" hidden="false" customHeight="false" outlineLevel="0" collapsed="false">
      <c r="A1123" s="0" t="s">
        <v>1447</v>
      </c>
      <c r="B1123" s="0" t="s">
        <v>106</v>
      </c>
      <c r="C1123" s="0" t="str">
        <f aca="false">INDEX(Intent_Analysis!$B$5:$B$81,MATCH(B1123,Intent_Analysis!$A$5:$A$81,0))</f>
        <v>Top-ups</v>
      </c>
      <c r="D1123" s="0" t="n">
        <f aca="false">INDEX(Intent_Analysis!$E$5:$E$81,MATCH(B1123,Intent_Analysis!$A$5:$A$81,0))</f>
        <v>1</v>
      </c>
    </row>
    <row r="1124" customFormat="false" ht="15" hidden="false" customHeight="false" outlineLevel="0" collapsed="false">
      <c r="A1124" s="0" t="s">
        <v>1448</v>
      </c>
      <c r="B1124" s="0" t="s">
        <v>106</v>
      </c>
      <c r="C1124" s="0" t="str">
        <f aca="false">INDEX(Intent_Analysis!$B$5:$B$81,MATCH(B1124,Intent_Analysis!$A$5:$A$81,0))</f>
        <v>Top-ups</v>
      </c>
      <c r="D1124" s="0" t="n">
        <f aca="false">INDEX(Intent_Analysis!$E$5:$E$81,MATCH(B1124,Intent_Analysis!$A$5:$A$81,0))</f>
        <v>1</v>
      </c>
    </row>
    <row r="1125" customFormat="false" ht="15" hidden="false" customHeight="false" outlineLevel="0" collapsed="false">
      <c r="A1125" s="0" t="s">
        <v>1449</v>
      </c>
      <c r="B1125" s="0" t="s">
        <v>106</v>
      </c>
      <c r="C1125" s="0" t="str">
        <f aca="false">INDEX(Intent_Analysis!$B$5:$B$81,MATCH(B1125,Intent_Analysis!$A$5:$A$81,0))</f>
        <v>Top-ups</v>
      </c>
      <c r="D1125" s="0" t="n">
        <f aca="false">INDEX(Intent_Analysis!$E$5:$E$81,MATCH(B1125,Intent_Analysis!$A$5:$A$81,0))</f>
        <v>1</v>
      </c>
    </row>
    <row r="1126" customFormat="false" ht="15" hidden="false" customHeight="false" outlineLevel="0" collapsed="false">
      <c r="A1126" s="0" t="s">
        <v>1450</v>
      </c>
      <c r="B1126" s="0" t="s">
        <v>106</v>
      </c>
      <c r="C1126" s="0" t="str">
        <f aca="false">INDEX(Intent_Analysis!$B$5:$B$81,MATCH(B1126,Intent_Analysis!$A$5:$A$81,0))</f>
        <v>Top-ups</v>
      </c>
      <c r="D1126" s="0" t="n">
        <f aca="false">INDEX(Intent_Analysis!$E$5:$E$81,MATCH(B1126,Intent_Analysis!$A$5:$A$81,0))</f>
        <v>1</v>
      </c>
    </row>
    <row r="1127" customFormat="false" ht="15" hidden="false" customHeight="false" outlineLevel="0" collapsed="false">
      <c r="A1127" s="0" t="s">
        <v>1451</v>
      </c>
      <c r="B1127" s="0" t="s">
        <v>106</v>
      </c>
      <c r="C1127" s="0" t="str">
        <f aca="false">INDEX(Intent_Analysis!$B$5:$B$81,MATCH(B1127,Intent_Analysis!$A$5:$A$81,0))</f>
        <v>Top-ups</v>
      </c>
      <c r="D1127" s="0" t="n">
        <f aca="false">INDEX(Intent_Analysis!$E$5:$E$81,MATCH(B1127,Intent_Analysis!$A$5:$A$81,0))</f>
        <v>1</v>
      </c>
    </row>
    <row r="1128" customFormat="false" ht="15" hidden="false" customHeight="false" outlineLevel="0" collapsed="false">
      <c r="A1128" s="0" t="s">
        <v>1452</v>
      </c>
      <c r="B1128" s="0" t="s">
        <v>106</v>
      </c>
      <c r="C1128" s="0" t="str">
        <f aca="false">INDEX(Intent_Analysis!$B$5:$B$81,MATCH(B1128,Intent_Analysis!$A$5:$A$81,0))</f>
        <v>Top-ups</v>
      </c>
      <c r="D1128" s="0" t="n">
        <f aca="false">INDEX(Intent_Analysis!$E$5:$E$81,MATCH(B1128,Intent_Analysis!$A$5:$A$81,0))</f>
        <v>1</v>
      </c>
    </row>
    <row r="1129" customFormat="false" ht="15" hidden="false" customHeight="false" outlineLevel="0" collapsed="false">
      <c r="A1129" s="0" t="s">
        <v>1453</v>
      </c>
      <c r="B1129" s="0" t="s">
        <v>106</v>
      </c>
      <c r="C1129" s="0" t="str">
        <f aca="false">INDEX(Intent_Analysis!$B$5:$B$81,MATCH(B1129,Intent_Analysis!$A$5:$A$81,0))</f>
        <v>Top-ups</v>
      </c>
      <c r="D1129" s="0" t="n">
        <f aca="false">INDEX(Intent_Analysis!$E$5:$E$81,MATCH(B1129,Intent_Analysis!$A$5:$A$81,0))</f>
        <v>1</v>
      </c>
    </row>
    <row r="1130" customFormat="false" ht="15" hidden="false" customHeight="false" outlineLevel="0" collapsed="false">
      <c r="A1130" s="0" t="s">
        <v>1454</v>
      </c>
      <c r="B1130" s="0" t="s">
        <v>106</v>
      </c>
      <c r="C1130" s="0" t="str">
        <f aca="false">INDEX(Intent_Analysis!$B$5:$B$81,MATCH(B1130,Intent_Analysis!$A$5:$A$81,0))</f>
        <v>Top-ups</v>
      </c>
      <c r="D1130" s="0" t="n">
        <f aca="false">INDEX(Intent_Analysis!$E$5:$E$81,MATCH(B1130,Intent_Analysis!$A$5:$A$81,0))</f>
        <v>1</v>
      </c>
    </row>
    <row r="1131" customFormat="false" ht="15" hidden="false" customHeight="false" outlineLevel="0" collapsed="false">
      <c r="A1131" s="0" t="s">
        <v>1455</v>
      </c>
      <c r="B1131" s="0" t="s">
        <v>106</v>
      </c>
      <c r="C1131" s="0" t="str">
        <f aca="false">INDEX(Intent_Analysis!$B$5:$B$81,MATCH(B1131,Intent_Analysis!$A$5:$A$81,0))</f>
        <v>Top-ups</v>
      </c>
      <c r="D1131" s="0" t="n">
        <f aca="false">INDEX(Intent_Analysis!$E$5:$E$81,MATCH(B1131,Intent_Analysis!$A$5:$A$81,0))</f>
        <v>1</v>
      </c>
    </row>
    <row r="1132" customFormat="false" ht="15" hidden="false" customHeight="false" outlineLevel="0" collapsed="false">
      <c r="A1132" s="0" t="s">
        <v>1456</v>
      </c>
      <c r="B1132" s="0" t="s">
        <v>106</v>
      </c>
      <c r="C1132" s="0" t="str">
        <f aca="false">INDEX(Intent_Analysis!$B$5:$B$81,MATCH(B1132,Intent_Analysis!$A$5:$A$81,0))</f>
        <v>Top-ups</v>
      </c>
      <c r="D1132" s="0" t="n">
        <f aca="false">INDEX(Intent_Analysis!$E$5:$E$81,MATCH(B1132,Intent_Analysis!$A$5:$A$81,0))</f>
        <v>1</v>
      </c>
    </row>
    <row r="1133" customFormat="false" ht="15" hidden="false" customHeight="false" outlineLevel="0" collapsed="false">
      <c r="A1133" s="0" t="s">
        <v>1457</v>
      </c>
      <c r="B1133" s="0" t="s">
        <v>106</v>
      </c>
      <c r="C1133" s="0" t="str">
        <f aca="false">INDEX(Intent_Analysis!$B$5:$B$81,MATCH(B1133,Intent_Analysis!$A$5:$A$81,0))</f>
        <v>Top-ups</v>
      </c>
      <c r="D1133" s="0" t="n">
        <f aca="false">INDEX(Intent_Analysis!$E$5:$E$81,MATCH(B1133,Intent_Analysis!$A$5:$A$81,0))</f>
        <v>1</v>
      </c>
    </row>
    <row r="1134" customFormat="false" ht="15" hidden="false" customHeight="false" outlineLevel="0" collapsed="false">
      <c r="A1134" s="0" t="s">
        <v>1458</v>
      </c>
      <c r="B1134" s="0" t="s">
        <v>106</v>
      </c>
      <c r="C1134" s="0" t="str">
        <f aca="false">INDEX(Intent_Analysis!$B$5:$B$81,MATCH(B1134,Intent_Analysis!$A$5:$A$81,0))</f>
        <v>Top-ups</v>
      </c>
      <c r="D1134" s="0" t="n">
        <f aca="false">INDEX(Intent_Analysis!$E$5:$E$81,MATCH(B1134,Intent_Analysis!$A$5:$A$81,0))</f>
        <v>1</v>
      </c>
    </row>
    <row r="1135" customFormat="false" ht="15" hidden="false" customHeight="false" outlineLevel="0" collapsed="false">
      <c r="A1135" s="0" t="s">
        <v>1459</v>
      </c>
      <c r="B1135" s="0" t="s">
        <v>106</v>
      </c>
      <c r="C1135" s="0" t="str">
        <f aca="false">INDEX(Intent_Analysis!$B$5:$B$81,MATCH(B1135,Intent_Analysis!$A$5:$A$81,0))</f>
        <v>Top-ups</v>
      </c>
      <c r="D1135" s="0" t="n">
        <f aca="false">INDEX(Intent_Analysis!$E$5:$E$81,MATCH(B1135,Intent_Analysis!$A$5:$A$81,0))</f>
        <v>1</v>
      </c>
    </row>
    <row r="1136" customFormat="false" ht="15" hidden="false" customHeight="false" outlineLevel="0" collapsed="false">
      <c r="A1136" s="0" t="s">
        <v>1460</v>
      </c>
      <c r="B1136" s="0" t="s">
        <v>106</v>
      </c>
      <c r="C1136" s="0" t="str">
        <f aca="false">INDEX(Intent_Analysis!$B$5:$B$81,MATCH(B1136,Intent_Analysis!$A$5:$A$81,0))</f>
        <v>Top-ups</v>
      </c>
      <c r="D1136" s="0" t="n">
        <f aca="false">INDEX(Intent_Analysis!$E$5:$E$81,MATCH(B1136,Intent_Analysis!$A$5:$A$81,0))</f>
        <v>1</v>
      </c>
    </row>
    <row r="1137" customFormat="false" ht="15" hidden="false" customHeight="false" outlineLevel="0" collapsed="false">
      <c r="A1137" s="0" t="s">
        <v>1461</v>
      </c>
      <c r="B1137" s="0" t="s">
        <v>106</v>
      </c>
      <c r="C1137" s="0" t="str">
        <f aca="false">INDEX(Intent_Analysis!$B$5:$B$81,MATCH(B1137,Intent_Analysis!$A$5:$A$81,0))</f>
        <v>Top-ups</v>
      </c>
      <c r="D1137" s="0" t="n">
        <f aca="false">INDEX(Intent_Analysis!$E$5:$E$81,MATCH(B1137,Intent_Analysis!$A$5:$A$81,0))</f>
        <v>1</v>
      </c>
    </row>
    <row r="1138" customFormat="false" ht="15" hidden="false" customHeight="false" outlineLevel="0" collapsed="false">
      <c r="A1138" s="0" t="s">
        <v>1462</v>
      </c>
      <c r="B1138" s="0" t="s">
        <v>106</v>
      </c>
      <c r="C1138" s="0" t="str">
        <f aca="false">INDEX(Intent_Analysis!$B$5:$B$81,MATCH(B1138,Intent_Analysis!$A$5:$A$81,0))</f>
        <v>Top-ups</v>
      </c>
      <c r="D1138" s="0" t="n">
        <f aca="false">INDEX(Intent_Analysis!$E$5:$E$81,MATCH(B1138,Intent_Analysis!$A$5:$A$81,0))</f>
        <v>1</v>
      </c>
    </row>
    <row r="1139" customFormat="false" ht="15" hidden="false" customHeight="false" outlineLevel="0" collapsed="false">
      <c r="A1139" s="0" t="s">
        <v>1463</v>
      </c>
      <c r="B1139" s="0" t="s">
        <v>106</v>
      </c>
      <c r="C1139" s="0" t="str">
        <f aca="false">INDEX(Intent_Analysis!$B$5:$B$81,MATCH(B1139,Intent_Analysis!$A$5:$A$81,0))</f>
        <v>Top-ups</v>
      </c>
      <c r="D1139" s="0" t="n">
        <f aca="false">INDEX(Intent_Analysis!$E$5:$E$81,MATCH(B1139,Intent_Analysis!$A$5:$A$81,0))</f>
        <v>1</v>
      </c>
    </row>
    <row r="1140" customFormat="false" ht="15" hidden="false" customHeight="false" outlineLevel="0" collapsed="false">
      <c r="A1140" s="0" t="s">
        <v>1464</v>
      </c>
      <c r="B1140" s="0" t="s">
        <v>106</v>
      </c>
      <c r="C1140" s="0" t="str">
        <f aca="false">INDEX(Intent_Analysis!$B$5:$B$81,MATCH(B1140,Intent_Analysis!$A$5:$A$81,0))</f>
        <v>Top-ups</v>
      </c>
      <c r="D1140" s="0" t="n">
        <f aca="false">INDEX(Intent_Analysis!$E$5:$E$81,MATCH(B1140,Intent_Analysis!$A$5:$A$81,0))</f>
        <v>1</v>
      </c>
    </row>
    <row r="1141" customFormat="false" ht="15" hidden="false" customHeight="false" outlineLevel="0" collapsed="false">
      <c r="A1141" s="0" t="s">
        <v>1465</v>
      </c>
      <c r="B1141" s="0" t="s">
        <v>106</v>
      </c>
      <c r="C1141" s="0" t="str">
        <f aca="false">INDEX(Intent_Analysis!$B$5:$B$81,MATCH(B1141,Intent_Analysis!$A$5:$A$81,0))</f>
        <v>Top-ups</v>
      </c>
      <c r="D1141" s="0" t="n">
        <f aca="false">INDEX(Intent_Analysis!$E$5:$E$81,MATCH(B1141,Intent_Analysis!$A$5:$A$81,0))</f>
        <v>1</v>
      </c>
    </row>
    <row r="1142" customFormat="false" ht="15" hidden="false" customHeight="false" outlineLevel="0" collapsed="false">
      <c r="A1142" s="0" t="s">
        <v>1466</v>
      </c>
      <c r="B1142" s="0" t="s">
        <v>106</v>
      </c>
      <c r="C1142" s="0" t="str">
        <f aca="false">INDEX(Intent_Analysis!$B$5:$B$81,MATCH(B1142,Intent_Analysis!$A$5:$A$81,0))</f>
        <v>Top-ups</v>
      </c>
      <c r="D1142" s="0" t="n">
        <f aca="false">INDEX(Intent_Analysis!$E$5:$E$81,MATCH(B1142,Intent_Analysis!$A$5:$A$81,0))</f>
        <v>1</v>
      </c>
    </row>
    <row r="1143" customFormat="false" ht="15" hidden="false" customHeight="false" outlineLevel="0" collapsed="false">
      <c r="A1143" s="0" t="s">
        <v>1467</v>
      </c>
      <c r="B1143" s="0" t="s">
        <v>106</v>
      </c>
      <c r="C1143" s="0" t="str">
        <f aca="false">INDEX(Intent_Analysis!$B$5:$B$81,MATCH(B1143,Intent_Analysis!$A$5:$A$81,0))</f>
        <v>Top-ups</v>
      </c>
      <c r="D1143" s="0" t="n">
        <f aca="false">INDEX(Intent_Analysis!$E$5:$E$81,MATCH(B1143,Intent_Analysis!$A$5:$A$81,0))</f>
        <v>1</v>
      </c>
    </row>
    <row r="1144" customFormat="false" ht="15" hidden="false" customHeight="false" outlineLevel="0" collapsed="false">
      <c r="A1144" s="0" t="s">
        <v>1468</v>
      </c>
      <c r="B1144" s="0" t="s">
        <v>106</v>
      </c>
      <c r="C1144" s="0" t="str">
        <f aca="false">INDEX(Intent_Analysis!$B$5:$B$81,MATCH(B1144,Intent_Analysis!$A$5:$A$81,0))</f>
        <v>Top-ups</v>
      </c>
      <c r="D1144" s="0" t="n">
        <f aca="false">INDEX(Intent_Analysis!$E$5:$E$81,MATCH(B1144,Intent_Analysis!$A$5:$A$81,0))</f>
        <v>1</v>
      </c>
    </row>
    <row r="1145" customFormat="false" ht="15" hidden="false" customHeight="false" outlineLevel="0" collapsed="false">
      <c r="A1145" s="0" t="s">
        <v>1469</v>
      </c>
      <c r="B1145" s="0" t="s">
        <v>106</v>
      </c>
      <c r="C1145" s="0" t="str">
        <f aca="false">INDEX(Intent_Analysis!$B$5:$B$81,MATCH(B1145,Intent_Analysis!$A$5:$A$81,0))</f>
        <v>Top-ups</v>
      </c>
      <c r="D1145" s="0" t="n">
        <f aca="false">INDEX(Intent_Analysis!$E$5:$E$81,MATCH(B1145,Intent_Analysis!$A$5:$A$81,0))</f>
        <v>1</v>
      </c>
    </row>
    <row r="1146" customFormat="false" ht="15" hidden="false" customHeight="false" outlineLevel="0" collapsed="false">
      <c r="A1146" s="0" t="s">
        <v>1470</v>
      </c>
      <c r="B1146" s="0" t="s">
        <v>106</v>
      </c>
      <c r="C1146" s="0" t="str">
        <f aca="false">INDEX(Intent_Analysis!$B$5:$B$81,MATCH(B1146,Intent_Analysis!$A$5:$A$81,0))</f>
        <v>Top-ups</v>
      </c>
      <c r="D1146" s="0" t="n">
        <f aca="false">INDEX(Intent_Analysis!$E$5:$E$81,MATCH(B1146,Intent_Analysis!$A$5:$A$81,0))</f>
        <v>1</v>
      </c>
    </row>
    <row r="1147" customFormat="false" ht="15" hidden="false" customHeight="false" outlineLevel="0" collapsed="false">
      <c r="A1147" s="0" t="s">
        <v>1471</v>
      </c>
      <c r="B1147" s="0" t="s">
        <v>106</v>
      </c>
      <c r="C1147" s="0" t="str">
        <f aca="false">INDEX(Intent_Analysis!$B$5:$B$81,MATCH(B1147,Intent_Analysis!$A$5:$A$81,0))</f>
        <v>Top-ups</v>
      </c>
      <c r="D1147" s="0" t="n">
        <f aca="false">INDEX(Intent_Analysis!$E$5:$E$81,MATCH(B1147,Intent_Analysis!$A$5:$A$81,0))</f>
        <v>1</v>
      </c>
    </row>
    <row r="1148" customFormat="false" ht="15" hidden="false" customHeight="false" outlineLevel="0" collapsed="false">
      <c r="A1148" s="0" t="s">
        <v>1472</v>
      </c>
      <c r="B1148" s="0" t="s">
        <v>106</v>
      </c>
      <c r="C1148" s="0" t="str">
        <f aca="false">INDEX(Intent_Analysis!$B$5:$B$81,MATCH(B1148,Intent_Analysis!$A$5:$A$81,0))</f>
        <v>Top-ups</v>
      </c>
      <c r="D1148" s="0" t="n">
        <f aca="false">INDEX(Intent_Analysis!$E$5:$E$81,MATCH(B1148,Intent_Analysis!$A$5:$A$81,0))</f>
        <v>1</v>
      </c>
    </row>
    <row r="1149" customFormat="false" ht="15" hidden="false" customHeight="false" outlineLevel="0" collapsed="false">
      <c r="A1149" s="0" t="s">
        <v>1473</v>
      </c>
      <c r="B1149" s="0" t="s">
        <v>106</v>
      </c>
      <c r="C1149" s="0" t="str">
        <f aca="false">INDEX(Intent_Analysis!$B$5:$B$81,MATCH(B1149,Intent_Analysis!$A$5:$A$81,0))</f>
        <v>Top-ups</v>
      </c>
      <c r="D1149" s="0" t="n">
        <f aca="false">INDEX(Intent_Analysis!$E$5:$E$81,MATCH(B1149,Intent_Analysis!$A$5:$A$81,0))</f>
        <v>1</v>
      </c>
    </row>
    <row r="1150" customFormat="false" ht="15" hidden="false" customHeight="false" outlineLevel="0" collapsed="false">
      <c r="A1150" s="0" t="s">
        <v>1474</v>
      </c>
      <c r="B1150" s="0" t="s">
        <v>106</v>
      </c>
      <c r="C1150" s="0" t="str">
        <f aca="false">INDEX(Intent_Analysis!$B$5:$B$81,MATCH(B1150,Intent_Analysis!$A$5:$A$81,0))</f>
        <v>Top-ups</v>
      </c>
      <c r="D1150" s="0" t="n">
        <f aca="false">INDEX(Intent_Analysis!$E$5:$E$81,MATCH(B1150,Intent_Analysis!$A$5:$A$81,0))</f>
        <v>1</v>
      </c>
    </row>
    <row r="1151" customFormat="false" ht="15" hidden="false" customHeight="false" outlineLevel="0" collapsed="false">
      <c r="A1151" s="0" t="s">
        <v>1475</v>
      </c>
      <c r="B1151" s="0" t="s">
        <v>106</v>
      </c>
      <c r="C1151" s="0" t="str">
        <f aca="false">INDEX(Intent_Analysis!$B$5:$B$81,MATCH(B1151,Intent_Analysis!$A$5:$A$81,0))</f>
        <v>Top-ups</v>
      </c>
      <c r="D1151" s="0" t="n">
        <f aca="false">INDEX(Intent_Analysis!$E$5:$E$81,MATCH(B1151,Intent_Analysis!$A$5:$A$81,0))</f>
        <v>1</v>
      </c>
    </row>
    <row r="1152" customFormat="false" ht="15" hidden="false" customHeight="false" outlineLevel="0" collapsed="false">
      <c r="A1152" s="0" t="s">
        <v>1476</v>
      </c>
      <c r="B1152" s="0" t="s">
        <v>106</v>
      </c>
      <c r="C1152" s="0" t="str">
        <f aca="false">INDEX(Intent_Analysis!$B$5:$B$81,MATCH(B1152,Intent_Analysis!$A$5:$A$81,0))</f>
        <v>Top-ups</v>
      </c>
      <c r="D1152" s="0" t="n">
        <f aca="false">INDEX(Intent_Analysis!$E$5:$E$81,MATCH(B1152,Intent_Analysis!$A$5:$A$81,0))</f>
        <v>1</v>
      </c>
    </row>
    <row r="1153" customFormat="false" ht="15" hidden="false" customHeight="false" outlineLevel="0" collapsed="false">
      <c r="A1153" s="0" t="s">
        <v>1477</v>
      </c>
      <c r="B1153" s="0" t="s">
        <v>106</v>
      </c>
      <c r="C1153" s="0" t="str">
        <f aca="false">INDEX(Intent_Analysis!$B$5:$B$81,MATCH(B1153,Intent_Analysis!$A$5:$A$81,0))</f>
        <v>Top-ups</v>
      </c>
      <c r="D1153" s="0" t="n">
        <f aca="false">INDEX(Intent_Analysis!$E$5:$E$81,MATCH(B1153,Intent_Analysis!$A$5:$A$81,0))</f>
        <v>1</v>
      </c>
    </row>
    <row r="1154" customFormat="false" ht="15" hidden="false" customHeight="false" outlineLevel="0" collapsed="false">
      <c r="A1154" s="0" t="s">
        <v>1478</v>
      </c>
      <c r="B1154" s="0" t="s">
        <v>106</v>
      </c>
      <c r="C1154" s="0" t="str">
        <f aca="false">INDEX(Intent_Analysis!$B$5:$B$81,MATCH(B1154,Intent_Analysis!$A$5:$A$81,0))</f>
        <v>Top-ups</v>
      </c>
      <c r="D1154" s="0" t="n">
        <f aca="false">INDEX(Intent_Analysis!$E$5:$E$81,MATCH(B1154,Intent_Analysis!$A$5:$A$81,0))</f>
        <v>1</v>
      </c>
    </row>
    <row r="1155" customFormat="false" ht="15" hidden="false" customHeight="false" outlineLevel="0" collapsed="false">
      <c r="A1155" s="0" t="s">
        <v>1479</v>
      </c>
      <c r="B1155" s="0" t="s">
        <v>106</v>
      </c>
      <c r="C1155" s="0" t="str">
        <f aca="false">INDEX(Intent_Analysis!$B$5:$B$81,MATCH(B1155,Intent_Analysis!$A$5:$A$81,0))</f>
        <v>Top-ups</v>
      </c>
      <c r="D1155" s="0" t="n">
        <f aca="false">INDEX(Intent_Analysis!$E$5:$E$81,MATCH(B1155,Intent_Analysis!$A$5:$A$81,0))</f>
        <v>1</v>
      </c>
    </row>
    <row r="1156" customFormat="false" ht="15" hidden="false" customHeight="false" outlineLevel="0" collapsed="false">
      <c r="A1156" s="0" t="s">
        <v>1480</v>
      </c>
      <c r="B1156" s="0" t="s">
        <v>106</v>
      </c>
      <c r="C1156" s="0" t="str">
        <f aca="false">INDEX(Intent_Analysis!$B$5:$B$81,MATCH(B1156,Intent_Analysis!$A$5:$A$81,0))</f>
        <v>Top-ups</v>
      </c>
      <c r="D1156" s="0" t="n">
        <f aca="false">INDEX(Intent_Analysis!$E$5:$E$81,MATCH(B1156,Intent_Analysis!$A$5:$A$81,0))</f>
        <v>1</v>
      </c>
    </row>
    <row r="1157" customFormat="false" ht="15" hidden="false" customHeight="false" outlineLevel="0" collapsed="false">
      <c r="A1157" s="0" t="s">
        <v>1481</v>
      </c>
      <c r="B1157" s="0" t="s">
        <v>106</v>
      </c>
      <c r="C1157" s="0" t="str">
        <f aca="false">INDEX(Intent_Analysis!$B$5:$B$81,MATCH(B1157,Intent_Analysis!$A$5:$A$81,0))</f>
        <v>Top-ups</v>
      </c>
      <c r="D1157" s="0" t="n">
        <f aca="false">INDEX(Intent_Analysis!$E$5:$E$81,MATCH(B1157,Intent_Analysis!$A$5:$A$81,0))</f>
        <v>1</v>
      </c>
    </row>
    <row r="1158" customFormat="false" ht="15" hidden="false" customHeight="false" outlineLevel="0" collapsed="false">
      <c r="A1158" s="0" t="s">
        <v>1482</v>
      </c>
      <c r="B1158" s="0" t="s">
        <v>106</v>
      </c>
      <c r="C1158" s="0" t="str">
        <f aca="false">INDEX(Intent_Analysis!$B$5:$B$81,MATCH(B1158,Intent_Analysis!$A$5:$A$81,0))</f>
        <v>Top-ups</v>
      </c>
      <c r="D1158" s="0" t="n">
        <f aca="false">INDEX(Intent_Analysis!$E$5:$E$81,MATCH(B1158,Intent_Analysis!$A$5:$A$81,0))</f>
        <v>1</v>
      </c>
    </row>
    <row r="1159" customFormat="false" ht="15" hidden="false" customHeight="false" outlineLevel="0" collapsed="false">
      <c r="A1159" s="0" t="s">
        <v>1483</v>
      </c>
      <c r="B1159" s="0" t="s">
        <v>106</v>
      </c>
      <c r="C1159" s="0" t="str">
        <f aca="false">INDEX(Intent_Analysis!$B$5:$B$81,MATCH(B1159,Intent_Analysis!$A$5:$A$81,0))</f>
        <v>Top-ups</v>
      </c>
      <c r="D1159" s="0" t="n">
        <f aca="false">INDEX(Intent_Analysis!$E$5:$E$81,MATCH(B1159,Intent_Analysis!$A$5:$A$81,0))</f>
        <v>1</v>
      </c>
    </row>
    <row r="1160" customFormat="false" ht="15" hidden="false" customHeight="false" outlineLevel="0" collapsed="false">
      <c r="A1160" s="0" t="s">
        <v>1484</v>
      </c>
      <c r="B1160" s="0" t="s">
        <v>106</v>
      </c>
      <c r="C1160" s="0" t="str">
        <f aca="false">INDEX(Intent_Analysis!$B$5:$B$81,MATCH(B1160,Intent_Analysis!$A$5:$A$81,0))</f>
        <v>Top-ups</v>
      </c>
      <c r="D1160" s="0" t="n">
        <f aca="false">INDEX(Intent_Analysis!$E$5:$E$81,MATCH(B1160,Intent_Analysis!$A$5:$A$81,0))</f>
        <v>1</v>
      </c>
    </row>
    <row r="1161" customFormat="false" ht="15" hidden="false" customHeight="false" outlineLevel="0" collapsed="false">
      <c r="A1161" s="0" t="s">
        <v>1485</v>
      </c>
      <c r="B1161" s="0" t="s">
        <v>106</v>
      </c>
      <c r="C1161" s="0" t="str">
        <f aca="false">INDEX(Intent_Analysis!$B$5:$B$81,MATCH(B1161,Intent_Analysis!$A$5:$A$81,0))</f>
        <v>Top-ups</v>
      </c>
      <c r="D1161" s="0" t="n">
        <f aca="false">INDEX(Intent_Analysis!$E$5:$E$81,MATCH(B1161,Intent_Analysis!$A$5:$A$81,0))</f>
        <v>1</v>
      </c>
    </row>
    <row r="1162" customFormat="false" ht="15" hidden="false" customHeight="false" outlineLevel="0" collapsed="false">
      <c r="A1162" s="0" t="s">
        <v>1486</v>
      </c>
      <c r="B1162" s="0" t="s">
        <v>106</v>
      </c>
      <c r="C1162" s="0" t="str">
        <f aca="false">INDEX(Intent_Analysis!$B$5:$B$81,MATCH(B1162,Intent_Analysis!$A$5:$A$81,0))</f>
        <v>Top-ups</v>
      </c>
      <c r="D1162" s="0" t="n">
        <f aca="false">INDEX(Intent_Analysis!$E$5:$E$81,MATCH(B1162,Intent_Analysis!$A$5:$A$81,0))</f>
        <v>1</v>
      </c>
    </row>
    <row r="1163" customFormat="false" ht="15" hidden="false" customHeight="false" outlineLevel="0" collapsed="false">
      <c r="A1163" s="0" t="s">
        <v>1487</v>
      </c>
      <c r="B1163" s="0" t="s">
        <v>106</v>
      </c>
      <c r="C1163" s="0" t="str">
        <f aca="false">INDEX(Intent_Analysis!$B$5:$B$81,MATCH(B1163,Intent_Analysis!$A$5:$A$81,0))</f>
        <v>Top-ups</v>
      </c>
      <c r="D1163" s="0" t="n">
        <f aca="false">INDEX(Intent_Analysis!$E$5:$E$81,MATCH(B1163,Intent_Analysis!$A$5:$A$81,0))</f>
        <v>1</v>
      </c>
    </row>
    <row r="1164" customFormat="false" ht="15" hidden="false" customHeight="false" outlineLevel="0" collapsed="false">
      <c r="A1164" s="0" t="s">
        <v>1488</v>
      </c>
      <c r="B1164" s="0" t="s">
        <v>106</v>
      </c>
      <c r="C1164" s="0" t="str">
        <f aca="false">INDEX(Intent_Analysis!$B$5:$B$81,MATCH(B1164,Intent_Analysis!$A$5:$A$81,0))</f>
        <v>Top-ups</v>
      </c>
      <c r="D1164" s="0" t="n">
        <f aca="false">INDEX(Intent_Analysis!$E$5:$E$81,MATCH(B1164,Intent_Analysis!$A$5:$A$81,0))</f>
        <v>1</v>
      </c>
    </row>
    <row r="1165" customFormat="false" ht="15" hidden="false" customHeight="false" outlineLevel="0" collapsed="false">
      <c r="A1165" s="0" t="s">
        <v>1489</v>
      </c>
      <c r="B1165" s="0" t="s">
        <v>106</v>
      </c>
      <c r="C1165" s="0" t="str">
        <f aca="false">INDEX(Intent_Analysis!$B$5:$B$81,MATCH(B1165,Intent_Analysis!$A$5:$A$81,0))</f>
        <v>Top-ups</v>
      </c>
      <c r="D1165" s="0" t="n">
        <f aca="false">INDEX(Intent_Analysis!$E$5:$E$81,MATCH(B1165,Intent_Analysis!$A$5:$A$81,0))</f>
        <v>1</v>
      </c>
    </row>
    <row r="1166" customFormat="false" ht="15" hidden="false" customHeight="false" outlineLevel="0" collapsed="false">
      <c r="A1166" s="0" t="s">
        <v>1490</v>
      </c>
      <c r="B1166" s="0" t="s">
        <v>106</v>
      </c>
      <c r="C1166" s="0" t="str">
        <f aca="false">INDEX(Intent_Analysis!$B$5:$B$81,MATCH(B1166,Intent_Analysis!$A$5:$A$81,0))</f>
        <v>Top-ups</v>
      </c>
      <c r="D1166" s="0" t="n">
        <f aca="false">INDEX(Intent_Analysis!$E$5:$E$81,MATCH(B1166,Intent_Analysis!$A$5:$A$81,0))</f>
        <v>1</v>
      </c>
    </row>
    <row r="1167" customFormat="false" ht="15" hidden="false" customHeight="false" outlineLevel="0" collapsed="false">
      <c r="A1167" s="0" t="s">
        <v>1491</v>
      </c>
      <c r="B1167" s="0" t="s">
        <v>106</v>
      </c>
      <c r="C1167" s="0" t="str">
        <f aca="false">INDEX(Intent_Analysis!$B$5:$B$81,MATCH(B1167,Intent_Analysis!$A$5:$A$81,0))</f>
        <v>Top-ups</v>
      </c>
      <c r="D1167" s="0" t="n">
        <f aca="false">INDEX(Intent_Analysis!$E$5:$E$81,MATCH(B1167,Intent_Analysis!$A$5:$A$81,0))</f>
        <v>1</v>
      </c>
    </row>
    <row r="1168" customFormat="false" ht="15" hidden="false" customHeight="false" outlineLevel="0" collapsed="false">
      <c r="A1168" s="0" t="s">
        <v>1492</v>
      </c>
      <c r="B1168" s="0" t="s">
        <v>106</v>
      </c>
      <c r="C1168" s="0" t="str">
        <f aca="false">INDEX(Intent_Analysis!$B$5:$B$81,MATCH(B1168,Intent_Analysis!$A$5:$A$81,0))</f>
        <v>Top-ups</v>
      </c>
      <c r="D1168" s="0" t="n">
        <f aca="false">INDEX(Intent_Analysis!$E$5:$E$81,MATCH(B1168,Intent_Analysis!$A$5:$A$81,0))</f>
        <v>1</v>
      </c>
    </row>
    <row r="1169" customFormat="false" ht="15" hidden="false" customHeight="false" outlineLevel="0" collapsed="false">
      <c r="A1169" s="0" t="s">
        <v>1493</v>
      </c>
      <c r="B1169" s="0" t="s">
        <v>106</v>
      </c>
      <c r="C1169" s="0" t="str">
        <f aca="false">INDEX(Intent_Analysis!$B$5:$B$81,MATCH(B1169,Intent_Analysis!$A$5:$A$81,0))</f>
        <v>Top-ups</v>
      </c>
      <c r="D1169" s="0" t="n">
        <f aca="false">INDEX(Intent_Analysis!$E$5:$E$81,MATCH(B1169,Intent_Analysis!$A$5:$A$81,0))</f>
        <v>1</v>
      </c>
    </row>
    <row r="1170" customFormat="false" ht="15" hidden="false" customHeight="false" outlineLevel="0" collapsed="false">
      <c r="A1170" s="0" t="s">
        <v>1494</v>
      </c>
      <c r="B1170" s="0" t="s">
        <v>106</v>
      </c>
      <c r="C1170" s="0" t="str">
        <f aca="false">INDEX(Intent_Analysis!$B$5:$B$81,MATCH(B1170,Intent_Analysis!$A$5:$A$81,0))</f>
        <v>Top-ups</v>
      </c>
      <c r="D1170" s="0" t="n">
        <f aca="false">INDEX(Intent_Analysis!$E$5:$E$81,MATCH(B1170,Intent_Analysis!$A$5:$A$81,0))</f>
        <v>1</v>
      </c>
    </row>
    <row r="1171" customFormat="false" ht="15" hidden="false" customHeight="false" outlineLevel="0" collapsed="false">
      <c r="A1171" s="0" t="s">
        <v>1495</v>
      </c>
      <c r="B1171" s="0" t="s">
        <v>106</v>
      </c>
      <c r="C1171" s="0" t="str">
        <f aca="false">INDEX(Intent_Analysis!$B$5:$B$81,MATCH(B1171,Intent_Analysis!$A$5:$A$81,0))</f>
        <v>Top-ups</v>
      </c>
      <c r="D1171" s="0" t="n">
        <f aca="false">INDEX(Intent_Analysis!$E$5:$E$81,MATCH(B1171,Intent_Analysis!$A$5:$A$81,0))</f>
        <v>1</v>
      </c>
    </row>
    <row r="1172" customFormat="false" ht="15" hidden="false" customHeight="false" outlineLevel="0" collapsed="false">
      <c r="A1172" s="0" t="s">
        <v>1496</v>
      </c>
      <c r="B1172" s="0" t="s">
        <v>106</v>
      </c>
      <c r="C1172" s="0" t="str">
        <f aca="false">INDEX(Intent_Analysis!$B$5:$B$81,MATCH(B1172,Intent_Analysis!$A$5:$A$81,0))</f>
        <v>Top-ups</v>
      </c>
      <c r="D1172" s="0" t="n">
        <f aca="false">INDEX(Intent_Analysis!$E$5:$E$81,MATCH(B1172,Intent_Analysis!$A$5:$A$81,0))</f>
        <v>1</v>
      </c>
    </row>
    <row r="1173" customFormat="false" ht="15" hidden="false" customHeight="false" outlineLevel="0" collapsed="false">
      <c r="A1173" s="0" t="s">
        <v>1497</v>
      </c>
      <c r="B1173" s="0" t="s">
        <v>106</v>
      </c>
      <c r="C1173" s="0" t="str">
        <f aca="false">INDEX(Intent_Analysis!$B$5:$B$81,MATCH(B1173,Intent_Analysis!$A$5:$A$81,0))</f>
        <v>Top-ups</v>
      </c>
      <c r="D1173" s="0" t="n">
        <f aca="false">INDEX(Intent_Analysis!$E$5:$E$81,MATCH(B1173,Intent_Analysis!$A$5:$A$81,0))</f>
        <v>1</v>
      </c>
    </row>
    <row r="1174" customFormat="false" ht="15" hidden="false" customHeight="false" outlineLevel="0" collapsed="false">
      <c r="A1174" s="0" t="s">
        <v>1498</v>
      </c>
      <c r="B1174" s="0" t="s">
        <v>106</v>
      </c>
      <c r="C1174" s="0" t="str">
        <f aca="false">INDEX(Intent_Analysis!$B$5:$B$81,MATCH(B1174,Intent_Analysis!$A$5:$A$81,0))</f>
        <v>Top-ups</v>
      </c>
      <c r="D1174" s="0" t="n">
        <f aca="false">INDEX(Intent_Analysis!$E$5:$E$81,MATCH(B1174,Intent_Analysis!$A$5:$A$81,0))</f>
        <v>1</v>
      </c>
    </row>
    <row r="1175" customFormat="false" ht="15" hidden="false" customHeight="false" outlineLevel="0" collapsed="false">
      <c r="A1175" s="0" t="s">
        <v>1499</v>
      </c>
      <c r="B1175" s="0" t="s">
        <v>106</v>
      </c>
      <c r="C1175" s="0" t="str">
        <f aca="false">INDEX(Intent_Analysis!$B$5:$B$81,MATCH(B1175,Intent_Analysis!$A$5:$A$81,0))</f>
        <v>Top-ups</v>
      </c>
      <c r="D1175" s="0" t="n">
        <f aca="false">INDEX(Intent_Analysis!$E$5:$E$81,MATCH(B1175,Intent_Analysis!$A$5:$A$81,0))</f>
        <v>1</v>
      </c>
    </row>
    <row r="1176" customFormat="false" ht="15" hidden="false" customHeight="false" outlineLevel="0" collapsed="false">
      <c r="A1176" s="0" t="s">
        <v>1500</v>
      </c>
      <c r="B1176" s="0" t="s">
        <v>106</v>
      </c>
      <c r="C1176" s="0" t="str">
        <f aca="false">INDEX(Intent_Analysis!$B$5:$B$81,MATCH(B1176,Intent_Analysis!$A$5:$A$81,0))</f>
        <v>Top-ups</v>
      </c>
      <c r="D1176" s="0" t="n">
        <f aca="false">INDEX(Intent_Analysis!$E$5:$E$81,MATCH(B1176,Intent_Analysis!$A$5:$A$81,0))</f>
        <v>1</v>
      </c>
    </row>
    <row r="1177" customFormat="false" ht="15" hidden="false" customHeight="false" outlineLevel="0" collapsed="false">
      <c r="A1177" s="0" t="s">
        <v>1501</v>
      </c>
      <c r="B1177" s="0" t="s">
        <v>106</v>
      </c>
      <c r="C1177" s="0" t="str">
        <f aca="false">INDEX(Intent_Analysis!$B$5:$B$81,MATCH(B1177,Intent_Analysis!$A$5:$A$81,0))</f>
        <v>Top-ups</v>
      </c>
      <c r="D1177" s="0" t="n">
        <f aca="false">INDEX(Intent_Analysis!$E$5:$E$81,MATCH(B1177,Intent_Analysis!$A$5:$A$81,0))</f>
        <v>1</v>
      </c>
    </row>
    <row r="1178" customFormat="false" ht="15" hidden="false" customHeight="false" outlineLevel="0" collapsed="false">
      <c r="A1178" s="0" t="s">
        <v>1502</v>
      </c>
      <c r="B1178" s="0" t="s">
        <v>106</v>
      </c>
      <c r="C1178" s="0" t="str">
        <f aca="false">INDEX(Intent_Analysis!$B$5:$B$81,MATCH(B1178,Intent_Analysis!$A$5:$A$81,0))</f>
        <v>Top-ups</v>
      </c>
      <c r="D1178" s="0" t="n">
        <f aca="false">INDEX(Intent_Analysis!$E$5:$E$81,MATCH(B1178,Intent_Analysis!$A$5:$A$81,0))</f>
        <v>1</v>
      </c>
    </row>
    <row r="1179" customFormat="false" ht="15" hidden="false" customHeight="false" outlineLevel="0" collapsed="false">
      <c r="A1179" s="0" t="s">
        <v>1503</v>
      </c>
      <c r="B1179" s="0" t="s">
        <v>106</v>
      </c>
      <c r="C1179" s="0" t="str">
        <f aca="false">INDEX(Intent_Analysis!$B$5:$B$81,MATCH(B1179,Intent_Analysis!$A$5:$A$81,0))</f>
        <v>Top-ups</v>
      </c>
      <c r="D1179" s="0" t="n">
        <f aca="false">INDEX(Intent_Analysis!$E$5:$E$81,MATCH(B1179,Intent_Analysis!$A$5:$A$81,0))</f>
        <v>1</v>
      </c>
    </row>
    <row r="1180" customFormat="false" ht="15" hidden="false" customHeight="false" outlineLevel="0" collapsed="false">
      <c r="A1180" s="0" t="s">
        <v>1504</v>
      </c>
      <c r="B1180" s="0" t="s">
        <v>106</v>
      </c>
      <c r="C1180" s="0" t="str">
        <f aca="false">INDEX(Intent_Analysis!$B$5:$B$81,MATCH(B1180,Intent_Analysis!$A$5:$A$81,0))</f>
        <v>Top-ups</v>
      </c>
      <c r="D1180" s="0" t="n">
        <f aca="false">INDEX(Intent_Analysis!$E$5:$E$81,MATCH(B1180,Intent_Analysis!$A$5:$A$81,0))</f>
        <v>1</v>
      </c>
    </row>
    <row r="1181" customFormat="false" ht="15" hidden="false" customHeight="false" outlineLevel="0" collapsed="false">
      <c r="A1181" s="0" t="s">
        <v>1505</v>
      </c>
      <c r="B1181" s="0" t="s">
        <v>106</v>
      </c>
      <c r="C1181" s="0" t="str">
        <f aca="false">INDEX(Intent_Analysis!$B$5:$B$81,MATCH(B1181,Intent_Analysis!$A$5:$A$81,0))</f>
        <v>Top-ups</v>
      </c>
      <c r="D1181" s="0" t="n">
        <f aca="false">INDEX(Intent_Analysis!$E$5:$E$81,MATCH(B1181,Intent_Analysis!$A$5:$A$81,0))</f>
        <v>1</v>
      </c>
    </row>
    <row r="1182" customFormat="false" ht="15" hidden="false" customHeight="false" outlineLevel="0" collapsed="false">
      <c r="A1182" s="0" t="s">
        <v>1506</v>
      </c>
      <c r="B1182" s="0" t="s">
        <v>106</v>
      </c>
      <c r="C1182" s="0" t="str">
        <f aca="false">INDEX(Intent_Analysis!$B$5:$B$81,MATCH(B1182,Intent_Analysis!$A$5:$A$81,0))</f>
        <v>Top-ups</v>
      </c>
      <c r="D1182" s="0" t="n">
        <f aca="false">INDEX(Intent_Analysis!$E$5:$E$81,MATCH(B1182,Intent_Analysis!$A$5:$A$81,0))</f>
        <v>1</v>
      </c>
    </row>
    <row r="1183" customFormat="false" ht="15" hidden="false" customHeight="false" outlineLevel="0" collapsed="false">
      <c r="A1183" s="0" t="s">
        <v>1507</v>
      </c>
      <c r="B1183" s="0" t="s">
        <v>106</v>
      </c>
      <c r="C1183" s="0" t="str">
        <f aca="false">INDEX(Intent_Analysis!$B$5:$B$81,MATCH(B1183,Intent_Analysis!$A$5:$A$81,0))</f>
        <v>Top-ups</v>
      </c>
      <c r="D1183" s="0" t="n">
        <f aca="false">INDEX(Intent_Analysis!$E$5:$E$81,MATCH(B1183,Intent_Analysis!$A$5:$A$81,0))</f>
        <v>1</v>
      </c>
    </row>
    <row r="1184" customFormat="false" ht="15" hidden="false" customHeight="false" outlineLevel="0" collapsed="false">
      <c r="A1184" s="0" t="s">
        <v>1508</v>
      </c>
      <c r="B1184" s="0" t="s">
        <v>106</v>
      </c>
      <c r="C1184" s="0" t="str">
        <f aca="false">INDEX(Intent_Analysis!$B$5:$B$81,MATCH(B1184,Intent_Analysis!$A$5:$A$81,0))</f>
        <v>Top-ups</v>
      </c>
      <c r="D1184" s="0" t="n">
        <f aca="false">INDEX(Intent_Analysis!$E$5:$E$81,MATCH(B1184,Intent_Analysis!$A$5:$A$81,0))</f>
        <v>1</v>
      </c>
    </row>
    <row r="1185" customFormat="false" ht="15" hidden="false" customHeight="false" outlineLevel="0" collapsed="false">
      <c r="A1185" s="0" t="s">
        <v>1509</v>
      </c>
      <c r="B1185" s="0" t="s">
        <v>106</v>
      </c>
      <c r="C1185" s="0" t="str">
        <f aca="false">INDEX(Intent_Analysis!$B$5:$B$81,MATCH(B1185,Intent_Analysis!$A$5:$A$81,0))</f>
        <v>Top-ups</v>
      </c>
      <c r="D1185" s="0" t="n">
        <f aca="false">INDEX(Intent_Analysis!$E$5:$E$81,MATCH(B1185,Intent_Analysis!$A$5:$A$81,0))</f>
        <v>1</v>
      </c>
    </row>
    <row r="1186" customFormat="false" ht="15" hidden="false" customHeight="false" outlineLevel="0" collapsed="false">
      <c r="A1186" s="0" t="s">
        <v>1510</v>
      </c>
      <c r="B1186" s="0" t="s">
        <v>106</v>
      </c>
      <c r="C1186" s="0" t="str">
        <f aca="false">INDEX(Intent_Analysis!$B$5:$B$81,MATCH(B1186,Intent_Analysis!$A$5:$A$81,0))</f>
        <v>Top-ups</v>
      </c>
      <c r="D1186" s="0" t="n">
        <f aca="false">INDEX(Intent_Analysis!$E$5:$E$81,MATCH(B1186,Intent_Analysis!$A$5:$A$81,0))</f>
        <v>1</v>
      </c>
    </row>
    <row r="1187" customFormat="false" ht="15" hidden="false" customHeight="false" outlineLevel="0" collapsed="false">
      <c r="A1187" s="0" t="s">
        <v>1511</v>
      </c>
      <c r="B1187" s="0" t="s">
        <v>106</v>
      </c>
      <c r="C1187" s="0" t="str">
        <f aca="false">INDEX(Intent_Analysis!$B$5:$B$81,MATCH(B1187,Intent_Analysis!$A$5:$A$81,0))</f>
        <v>Top-ups</v>
      </c>
      <c r="D1187" s="0" t="n">
        <f aca="false">INDEX(Intent_Analysis!$E$5:$E$81,MATCH(B1187,Intent_Analysis!$A$5:$A$81,0))</f>
        <v>1</v>
      </c>
    </row>
    <row r="1188" customFormat="false" ht="15" hidden="false" customHeight="false" outlineLevel="0" collapsed="false">
      <c r="A1188" s="0" t="s">
        <v>1512</v>
      </c>
      <c r="B1188" s="0" t="s">
        <v>106</v>
      </c>
      <c r="C1188" s="0" t="str">
        <f aca="false">INDEX(Intent_Analysis!$B$5:$B$81,MATCH(B1188,Intent_Analysis!$A$5:$A$81,0))</f>
        <v>Top-ups</v>
      </c>
      <c r="D1188" s="0" t="n">
        <f aca="false">INDEX(Intent_Analysis!$E$5:$E$81,MATCH(B1188,Intent_Analysis!$A$5:$A$81,0))</f>
        <v>1</v>
      </c>
    </row>
    <row r="1189" customFormat="false" ht="15" hidden="false" customHeight="false" outlineLevel="0" collapsed="false">
      <c r="A1189" s="0" t="s">
        <v>1513</v>
      </c>
      <c r="B1189" s="0" t="s">
        <v>106</v>
      </c>
      <c r="C1189" s="0" t="str">
        <f aca="false">INDEX(Intent_Analysis!$B$5:$B$81,MATCH(B1189,Intent_Analysis!$A$5:$A$81,0))</f>
        <v>Top-ups</v>
      </c>
      <c r="D1189" s="0" t="n">
        <f aca="false">INDEX(Intent_Analysis!$E$5:$E$81,MATCH(B1189,Intent_Analysis!$A$5:$A$81,0))</f>
        <v>1</v>
      </c>
    </row>
    <row r="1190" customFormat="false" ht="15" hidden="false" customHeight="false" outlineLevel="0" collapsed="false">
      <c r="A1190" s="0" t="s">
        <v>1514</v>
      </c>
      <c r="B1190" s="0" t="s">
        <v>106</v>
      </c>
      <c r="C1190" s="0" t="str">
        <f aca="false">INDEX(Intent_Analysis!$B$5:$B$81,MATCH(B1190,Intent_Analysis!$A$5:$A$81,0))</f>
        <v>Top-ups</v>
      </c>
      <c r="D1190" s="0" t="n">
        <f aca="false">INDEX(Intent_Analysis!$E$5:$E$81,MATCH(B1190,Intent_Analysis!$A$5:$A$81,0))</f>
        <v>1</v>
      </c>
    </row>
    <row r="1191" customFormat="false" ht="15" hidden="false" customHeight="false" outlineLevel="0" collapsed="false">
      <c r="A1191" s="0" t="s">
        <v>1515</v>
      </c>
      <c r="B1191" s="0" t="s">
        <v>106</v>
      </c>
      <c r="C1191" s="0" t="str">
        <f aca="false">INDEX(Intent_Analysis!$B$5:$B$81,MATCH(B1191,Intent_Analysis!$A$5:$A$81,0))</f>
        <v>Top-ups</v>
      </c>
      <c r="D1191" s="0" t="n">
        <f aca="false">INDEX(Intent_Analysis!$E$5:$E$81,MATCH(B1191,Intent_Analysis!$A$5:$A$81,0))</f>
        <v>1</v>
      </c>
    </row>
    <row r="1192" customFormat="false" ht="15" hidden="false" customHeight="false" outlineLevel="0" collapsed="false">
      <c r="A1192" s="0" t="s">
        <v>1516</v>
      </c>
      <c r="B1192" s="0" t="s">
        <v>106</v>
      </c>
      <c r="C1192" s="0" t="str">
        <f aca="false">INDEX(Intent_Analysis!$B$5:$B$81,MATCH(B1192,Intent_Analysis!$A$5:$A$81,0))</f>
        <v>Top-ups</v>
      </c>
      <c r="D1192" s="0" t="n">
        <f aca="false">INDEX(Intent_Analysis!$E$5:$E$81,MATCH(B1192,Intent_Analysis!$A$5:$A$81,0))</f>
        <v>1</v>
      </c>
    </row>
    <row r="1193" customFormat="false" ht="15" hidden="false" customHeight="false" outlineLevel="0" collapsed="false">
      <c r="A1193" s="0" t="s">
        <v>1517</v>
      </c>
      <c r="B1193" s="0" t="s">
        <v>106</v>
      </c>
      <c r="C1193" s="0" t="str">
        <f aca="false">INDEX(Intent_Analysis!$B$5:$B$81,MATCH(B1193,Intent_Analysis!$A$5:$A$81,0))</f>
        <v>Top-ups</v>
      </c>
      <c r="D1193" s="0" t="n">
        <f aca="false">INDEX(Intent_Analysis!$E$5:$E$81,MATCH(B1193,Intent_Analysis!$A$5:$A$81,0))</f>
        <v>1</v>
      </c>
    </row>
    <row r="1194" customFormat="false" ht="15" hidden="false" customHeight="false" outlineLevel="0" collapsed="false">
      <c r="A1194" s="0" t="s">
        <v>1518</v>
      </c>
      <c r="B1194" s="0" t="s">
        <v>106</v>
      </c>
      <c r="C1194" s="0" t="str">
        <f aca="false">INDEX(Intent_Analysis!$B$5:$B$81,MATCH(B1194,Intent_Analysis!$A$5:$A$81,0))</f>
        <v>Top-ups</v>
      </c>
      <c r="D1194" s="0" t="n">
        <f aca="false">INDEX(Intent_Analysis!$E$5:$E$81,MATCH(B1194,Intent_Analysis!$A$5:$A$81,0))</f>
        <v>1</v>
      </c>
    </row>
    <row r="1195" customFormat="false" ht="15" hidden="false" customHeight="false" outlineLevel="0" collapsed="false">
      <c r="A1195" s="0" t="s">
        <v>1519</v>
      </c>
      <c r="B1195" s="0" t="s">
        <v>106</v>
      </c>
      <c r="C1195" s="0" t="str">
        <f aca="false">INDEX(Intent_Analysis!$B$5:$B$81,MATCH(B1195,Intent_Analysis!$A$5:$A$81,0))</f>
        <v>Top-ups</v>
      </c>
      <c r="D1195" s="0" t="n">
        <f aca="false">INDEX(Intent_Analysis!$E$5:$E$81,MATCH(B1195,Intent_Analysis!$A$5:$A$81,0))</f>
        <v>1</v>
      </c>
    </row>
    <row r="1196" customFormat="false" ht="15" hidden="false" customHeight="false" outlineLevel="0" collapsed="false">
      <c r="A1196" s="0" t="s">
        <v>1520</v>
      </c>
      <c r="B1196" s="0" t="s">
        <v>106</v>
      </c>
      <c r="C1196" s="0" t="str">
        <f aca="false">INDEX(Intent_Analysis!$B$5:$B$81,MATCH(B1196,Intent_Analysis!$A$5:$A$81,0))</f>
        <v>Top-ups</v>
      </c>
      <c r="D1196" s="0" t="n">
        <f aca="false">INDEX(Intent_Analysis!$E$5:$E$81,MATCH(B1196,Intent_Analysis!$A$5:$A$81,0))</f>
        <v>1</v>
      </c>
    </row>
    <row r="1197" customFormat="false" ht="15" hidden="false" customHeight="false" outlineLevel="0" collapsed="false">
      <c r="A1197" s="0" t="s">
        <v>1521</v>
      </c>
      <c r="B1197" s="0" t="s">
        <v>106</v>
      </c>
      <c r="C1197" s="0" t="str">
        <f aca="false">INDEX(Intent_Analysis!$B$5:$B$81,MATCH(B1197,Intent_Analysis!$A$5:$A$81,0))</f>
        <v>Top-ups</v>
      </c>
      <c r="D1197" s="0" t="n">
        <f aca="false">INDEX(Intent_Analysis!$E$5:$E$81,MATCH(B1197,Intent_Analysis!$A$5:$A$81,0))</f>
        <v>1</v>
      </c>
    </row>
    <row r="1198" customFormat="false" ht="15" hidden="false" customHeight="false" outlineLevel="0" collapsed="false">
      <c r="A1198" s="0" t="s">
        <v>1522</v>
      </c>
      <c r="B1198" s="0" t="s">
        <v>106</v>
      </c>
      <c r="C1198" s="0" t="str">
        <f aca="false">INDEX(Intent_Analysis!$B$5:$B$81,MATCH(B1198,Intent_Analysis!$A$5:$A$81,0))</f>
        <v>Top-ups</v>
      </c>
      <c r="D1198" s="0" t="n">
        <f aca="false">INDEX(Intent_Analysis!$E$5:$E$81,MATCH(B1198,Intent_Analysis!$A$5:$A$81,0))</f>
        <v>1</v>
      </c>
    </row>
    <row r="1199" customFormat="false" ht="15" hidden="false" customHeight="false" outlineLevel="0" collapsed="false">
      <c r="A1199" s="0" t="s">
        <v>1523</v>
      </c>
      <c r="B1199" s="0" t="s">
        <v>106</v>
      </c>
      <c r="C1199" s="0" t="str">
        <f aca="false">INDEX(Intent_Analysis!$B$5:$B$81,MATCH(B1199,Intent_Analysis!$A$5:$A$81,0))</f>
        <v>Top-ups</v>
      </c>
      <c r="D1199" s="0" t="n">
        <f aca="false">INDEX(Intent_Analysis!$E$5:$E$81,MATCH(B1199,Intent_Analysis!$A$5:$A$81,0))</f>
        <v>1</v>
      </c>
    </row>
    <row r="1200" customFormat="false" ht="15" hidden="false" customHeight="false" outlineLevel="0" collapsed="false">
      <c r="A1200" s="0" t="s">
        <v>1524</v>
      </c>
      <c r="B1200" s="0" t="s">
        <v>106</v>
      </c>
      <c r="C1200" s="0" t="str">
        <f aca="false">INDEX(Intent_Analysis!$B$5:$B$81,MATCH(B1200,Intent_Analysis!$A$5:$A$81,0))</f>
        <v>Top-ups</v>
      </c>
      <c r="D1200" s="0" t="n">
        <f aca="false">INDEX(Intent_Analysis!$E$5:$E$81,MATCH(B1200,Intent_Analysis!$A$5:$A$81,0))</f>
        <v>1</v>
      </c>
    </row>
    <row r="1201" customFormat="false" ht="15" hidden="false" customHeight="false" outlineLevel="0" collapsed="false">
      <c r="A1201" s="0" t="s">
        <v>1525</v>
      </c>
      <c r="B1201" s="0" t="s">
        <v>106</v>
      </c>
      <c r="C1201" s="0" t="str">
        <f aca="false">INDEX(Intent_Analysis!$B$5:$B$81,MATCH(B1201,Intent_Analysis!$A$5:$A$81,0))</f>
        <v>Top-ups</v>
      </c>
      <c r="D1201" s="0" t="n">
        <f aca="false">INDEX(Intent_Analysis!$E$5:$E$81,MATCH(B1201,Intent_Analysis!$A$5:$A$81,0))</f>
        <v>1</v>
      </c>
    </row>
    <row r="1202" customFormat="false" ht="15" hidden="false" customHeight="false" outlineLevel="0" collapsed="false">
      <c r="A1202" s="0" t="s">
        <v>1526</v>
      </c>
      <c r="B1202" s="0" t="s">
        <v>106</v>
      </c>
      <c r="C1202" s="0" t="str">
        <f aca="false">INDEX(Intent_Analysis!$B$5:$B$81,MATCH(B1202,Intent_Analysis!$A$5:$A$81,0))</f>
        <v>Top-ups</v>
      </c>
      <c r="D1202" s="0" t="n">
        <f aca="false">INDEX(Intent_Analysis!$E$5:$E$81,MATCH(B1202,Intent_Analysis!$A$5:$A$81,0))</f>
        <v>1</v>
      </c>
    </row>
    <row r="1203" customFormat="false" ht="15" hidden="false" customHeight="false" outlineLevel="0" collapsed="false">
      <c r="A1203" s="0" t="s">
        <v>1527</v>
      </c>
      <c r="B1203" s="0" t="s">
        <v>106</v>
      </c>
      <c r="C1203" s="0" t="str">
        <f aca="false">INDEX(Intent_Analysis!$B$5:$B$81,MATCH(B1203,Intent_Analysis!$A$5:$A$81,0))</f>
        <v>Top-ups</v>
      </c>
      <c r="D1203" s="0" t="n">
        <f aca="false">INDEX(Intent_Analysis!$E$5:$E$81,MATCH(B1203,Intent_Analysis!$A$5:$A$81,0))</f>
        <v>1</v>
      </c>
    </row>
    <row r="1204" customFormat="false" ht="15" hidden="false" customHeight="false" outlineLevel="0" collapsed="false">
      <c r="A1204" s="0" t="s">
        <v>1528</v>
      </c>
      <c r="B1204" s="0" t="s">
        <v>106</v>
      </c>
      <c r="C1204" s="0" t="str">
        <f aca="false">INDEX(Intent_Analysis!$B$5:$B$81,MATCH(B1204,Intent_Analysis!$A$5:$A$81,0))</f>
        <v>Top-ups</v>
      </c>
      <c r="D1204" s="0" t="n">
        <f aca="false">INDEX(Intent_Analysis!$E$5:$E$81,MATCH(B1204,Intent_Analysis!$A$5:$A$81,0))</f>
        <v>1</v>
      </c>
    </row>
    <row r="1205" customFormat="false" ht="15" hidden="false" customHeight="false" outlineLevel="0" collapsed="false">
      <c r="A1205" s="0" t="s">
        <v>1529</v>
      </c>
      <c r="B1205" s="0" t="s">
        <v>106</v>
      </c>
      <c r="C1205" s="0" t="str">
        <f aca="false">INDEX(Intent_Analysis!$B$5:$B$81,MATCH(B1205,Intent_Analysis!$A$5:$A$81,0))</f>
        <v>Top-ups</v>
      </c>
      <c r="D1205" s="0" t="n">
        <f aca="false">INDEX(Intent_Analysis!$E$5:$E$81,MATCH(B1205,Intent_Analysis!$A$5:$A$81,0))</f>
        <v>1</v>
      </c>
    </row>
    <row r="1206" customFormat="false" ht="15" hidden="false" customHeight="false" outlineLevel="0" collapsed="false">
      <c r="A1206" s="0" t="s">
        <v>1530</v>
      </c>
      <c r="B1206" s="0" t="s">
        <v>106</v>
      </c>
      <c r="C1206" s="0" t="str">
        <f aca="false">INDEX(Intent_Analysis!$B$5:$B$81,MATCH(B1206,Intent_Analysis!$A$5:$A$81,0))</f>
        <v>Top-ups</v>
      </c>
      <c r="D1206" s="0" t="n">
        <f aca="false">INDEX(Intent_Analysis!$E$5:$E$81,MATCH(B1206,Intent_Analysis!$A$5:$A$81,0))</f>
        <v>1</v>
      </c>
    </row>
    <row r="1207" customFormat="false" ht="15" hidden="false" customHeight="false" outlineLevel="0" collapsed="false">
      <c r="A1207" s="0" t="s">
        <v>1531</v>
      </c>
      <c r="B1207" s="0" t="s">
        <v>106</v>
      </c>
      <c r="C1207" s="0" t="str">
        <f aca="false">INDEX(Intent_Analysis!$B$5:$B$81,MATCH(B1207,Intent_Analysis!$A$5:$A$81,0))</f>
        <v>Top-ups</v>
      </c>
      <c r="D1207" s="0" t="n">
        <f aca="false">INDEX(Intent_Analysis!$E$5:$E$81,MATCH(B1207,Intent_Analysis!$A$5:$A$81,0))</f>
        <v>1</v>
      </c>
    </row>
    <row r="1208" customFormat="false" ht="15" hidden="false" customHeight="false" outlineLevel="0" collapsed="false">
      <c r="A1208" s="0" t="s">
        <v>1532</v>
      </c>
      <c r="B1208" s="0" t="s">
        <v>106</v>
      </c>
      <c r="C1208" s="0" t="str">
        <f aca="false">INDEX(Intent_Analysis!$B$5:$B$81,MATCH(B1208,Intent_Analysis!$A$5:$A$81,0))</f>
        <v>Top-ups</v>
      </c>
      <c r="D1208" s="0" t="n">
        <f aca="false">INDEX(Intent_Analysis!$E$5:$E$81,MATCH(B1208,Intent_Analysis!$A$5:$A$81,0))</f>
        <v>1</v>
      </c>
    </row>
    <row r="1209" customFormat="false" ht="15" hidden="false" customHeight="false" outlineLevel="0" collapsed="false">
      <c r="A1209" s="0" t="s">
        <v>1533</v>
      </c>
      <c r="B1209" s="0" t="s">
        <v>106</v>
      </c>
      <c r="C1209" s="0" t="str">
        <f aca="false">INDEX(Intent_Analysis!$B$5:$B$81,MATCH(B1209,Intent_Analysis!$A$5:$A$81,0))</f>
        <v>Top-ups</v>
      </c>
      <c r="D1209" s="0" t="n">
        <f aca="false">INDEX(Intent_Analysis!$E$5:$E$81,MATCH(B1209,Intent_Analysis!$A$5:$A$81,0))</f>
        <v>1</v>
      </c>
    </row>
    <row r="1210" customFormat="false" ht="15" hidden="false" customHeight="false" outlineLevel="0" collapsed="false">
      <c r="A1210" s="0" t="s">
        <v>1534</v>
      </c>
      <c r="B1210" s="0" t="s">
        <v>106</v>
      </c>
      <c r="C1210" s="0" t="str">
        <f aca="false">INDEX(Intent_Analysis!$B$5:$B$81,MATCH(B1210,Intent_Analysis!$A$5:$A$81,0))</f>
        <v>Top-ups</v>
      </c>
      <c r="D1210" s="0" t="n">
        <f aca="false">INDEX(Intent_Analysis!$E$5:$E$81,MATCH(B1210,Intent_Analysis!$A$5:$A$81,0))</f>
        <v>1</v>
      </c>
    </row>
    <row r="1211" customFormat="false" ht="15" hidden="false" customHeight="false" outlineLevel="0" collapsed="false">
      <c r="A1211" s="0" t="s">
        <v>1535</v>
      </c>
      <c r="B1211" s="0" t="s">
        <v>106</v>
      </c>
      <c r="C1211" s="0" t="str">
        <f aca="false">INDEX(Intent_Analysis!$B$5:$B$81,MATCH(B1211,Intent_Analysis!$A$5:$A$81,0))</f>
        <v>Top-ups</v>
      </c>
      <c r="D1211" s="0" t="n">
        <f aca="false">INDEX(Intent_Analysis!$E$5:$E$81,MATCH(B1211,Intent_Analysis!$A$5:$A$81,0))</f>
        <v>1</v>
      </c>
    </row>
    <row r="1212" customFormat="false" ht="15" hidden="false" customHeight="false" outlineLevel="0" collapsed="false">
      <c r="A1212" s="0" t="s">
        <v>1536</v>
      </c>
      <c r="B1212" s="0" t="s">
        <v>106</v>
      </c>
      <c r="C1212" s="0" t="str">
        <f aca="false">INDEX(Intent_Analysis!$B$5:$B$81,MATCH(B1212,Intent_Analysis!$A$5:$A$81,0))</f>
        <v>Top-ups</v>
      </c>
      <c r="D1212" s="0" t="n">
        <f aca="false">INDEX(Intent_Analysis!$E$5:$E$81,MATCH(B1212,Intent_Analysis!$A$5:$A$81,0))</f>
        <v>1</v>
      </c>
    </row>
    <row r="1213" customFormat="false" ht="15" hidden="false" customHeight="false" outlineLevel="0" collapsed="false">
      <c r="A1213" s="0" t="s">
        <v>1537</v>
      </c>
      <c r="B1213" s="0" t="s">
        <v>106</v>
      </c>
      <c r="C1213" s="0" t="str">
        <f aca="false">INDEX(Intent_Analysis!$B$5:$B$81,MATCH(B1213,Intent_Analysis!$A$5:$A$81,0))</f>
        <v>Top-ups</v>
      </c>
      <c r="D1213" s="0" t="n">
        <f aca="false">INDEX(Intent_Analysis!$E$5:$E$81,MATCH(B1213,Intent_Analysis!$A$5:$A$81,0))</f>
        <v>1</v>
      </c>
    </row>
    <row r="1214" customFormat="false" ht="15" hidden="false" customHeight="false" outlineLevel="0" collapsed="false">
      <c r="A1214" s="0" t="s">
        <v>1538</v>
      </c>
      <c r="B1214" s="0" t="s">
        <v>106</v>
      </c>
      <c r="C1214" s="0" t="str">
        <f aca="false">INDEX(Intent_Analysis!$B$5:$B$81,MATCH(B1214,Intent_Analysis!$A$5:$A$81,0))</f>
        <v>Top-ups</v>
      </c>
      <c r="D1214" s="0" t="n">
        <f aca="false">INDEX(Intent_Analysis!$E$5:$E$81,MATCH(B1214,Intent_Analysis!$A$5:$A$81,0))</f>
        <v>1</v>
      </c>
    </row>
    <row r="1215" customFormat="false" ht="15" hidden="false" customHeight="false" outlineLevel="0" collapsed="false">
      <c r="A1215" s="0" t="s">
        <v>1539</v>
      </c>
      <c r="B1215" s="0" t="s">
        <v>106</v>
      </c>
      <c r="C1215" s="0" t="str">
        <f aca="false">INDEX(Intent_Analysis!$B$5:$B$81,MATCH(B1215,Intent_Analysis!$A$5:$A$81,0))</f>
        <v>Top-ups</v>
      </c>
      <c r="D1215" s="0" t="n">
        <f aca="false">INDEX(Intent_Analysis!$E$5:$E$81,MATCH(B1215,Intent_Analysis!$A$5:$A$81,0))</f>
        <v>1</v>
      </c>
    </row>
    <row r="1216" customFormat="false" ht="15" hidden="false" customHeight="false" outlineLevel="0" collapsed="false">
      <c r="A1216" s="0" t="s">
        <v>1540</v>
      </c>
      <c r="B1216" s="0" t="s">
        <v>106</v>
      </c>
      <c r="C1216" s="0" t="str">
        <f aca="false">INDEX(Intent_Analysis!$B$5:$B$81,MATCH(B1216,Intent_Analysis!$A$5:$A$81,0))</f>
        <v>Top-ups</v>
      </c>
      <c r="D1216" s="0" t="n">
        <f aca="false">INDEX(Intent_Analysis!$E$5:$E$81,MATCH(B1216,Intent_Analysis!$A$5:$A$81,0))</f>
        <v>1</v>
      </c>
    </row>
    <row r="1217" customFormat="false" ht="15" hidden="false" customHeight="false" outlineLevel="0" collapsed="false">
      <c r="A1217" s="0" t="s">
        <v>1541</v>
      </c>
      <c r="B1217" s="0" t="s">
        <v>106</v>
      </c>
      <c r="C1217" s="0" t="str">
        <f aca="false">INDEX(Intent_Analysis!$B$5:$B$81,MATCH(B1217,Intent_Analysis!$A$5:$A$81,0))</f>
        <v>Top-ups</v>
      </c>
      <c r="D1217" s="0" t="n">
        <f aca="false">INDEX(Intent_Analysis!$E$5:$E$81,MATCH(B1217,Intent_Analysis!$A$5:$A$81,0))</f>
        <v>1</v>
      </c>
    </row>
    <row r="1218" customFormat="false" ht="15" hidden="false" customHeight="false" outlineLevel="0" collapsed="false">
      <c r="A1218" s="0" t="s">
        <v>1542</v>
      </c>
      <c r="B1218" s="0" t="s">
        <v>106</v>
      </c>
      <c r="C1218" s="0" t="str">
        <f aca="false">INDEX(Intent_Analysis!$B$5:$B$81,MATCH(B1218,Intent_Analysis!$A$5:$A$81,0))</f>
        <v>Top-ups</v>
      </c>
      <c r="D1218" s="0" t="n">
        <f aca="false">INDEX(Intent_Analysis!$E$5:$E$81,MATCH(B1218,Intent_Analysis!$A$5:$A$81,0))</f>
        <v>1</v>
      </c>
    </row>
    <row r="1219" customFormat="false" ht="15" hidden="false" customHeight="false" outlineLevel="0" collapsed="false">
      <c r="A1219" s="0" t="s">
        <v>1543</v>
      </c>
      <c r="B1219" s="0" t="s">
        <v>106</v>
      </c>
      <c r="C1219" s="0" t="str">
        <f aca="false">INDEX(Intent_Analysis!$B$5:$B$81,MATCH(B1219,Intent_Analysis!$A$5:$A$81,0))</f>
        <v>Top-ups</v>
      </c>
      <c r="D1219" s="0" t="n">
        <f aca="false">INDEX(Intent_Analysis!$E$5:$E$81,MATCH(B1219,Intent_Analysis!$A$5:$A$81,0))</f>
        <v>1</v>
      </c>
    </row>
    <row r="1220" customFormat="false" ht="15" hidden="false" customHeight="false" outlineLevel="0" collapsed="false">
      <c r="A1220" s="0" t="s">
        <v>1544</v>
      </c>
      <c r="B1220" s="0" t="s">
        <v>106</v>
      </c>
      <c r="C1220" s="0" t="str">
        <f aca="false">INDEX(Intent_Analysis!$B$5:$B$81,MATCH(B1220,Intent_Analysis!$A$5:$A$81,0))</f>
        <v>Top-ups</v>
      </c>
      <c r="D1220" s="0" t="n">
        <f aca="false">INDEX(Intent_Analysis!$E$5:$E$81,MATCH(B1220,Intent_Analysis!$A$5:$A$81,0))</f>
        <v>1</v>
      </c>
    </row>
    <row r="1221" customFormat="false" ht="15" hidden="false" customHeight="false" outlineLevel="0" collapsed="false">
      <c r="A1221" s="0" t="s">
        <v>1545</v>
      </c>
      <c r="B1221" s="0" t="s">
        <v>106</v>
      </c>
      <c r="C1221" s="0" t="str">
        <f aca="false">INDEX(Intent_Analysis!$B$5:$B$81,MATCH(B1221,Intent_Analysis!$A$5:$A$81,0))</f>
        <v>Top-ups</v>
      </c>
      <c r="D1221" s="0" t="n">
        <f aca="false">INDEX(Intent_Analysis!$E$5:$E$81,MATCH(B1221,Intent_Analysis!$A$5:$A$81,0))</f>
        <v>1</v>
      </c>
    </row>
    <row r="1222" customFormat="false" ht="15" hidden="false" customHeight="false" outlineLevel="0" collapsed="false">
      <c r="A1222" s="0" t="s">
        <v>1546</v>
      </c>
      <c r="B1222" s="0" t="s">
        <v>106</v>
      </c>
      <c r="C1222" s="0" t="str">
        <f aca="false">INDEX(Intent_Analysis!$B$5:$B$81,MATCH(B1222,Intent_Analysis!$A$5:$A$81,0))</f>
        <v>Top-ups</v>
      </c>
      <c r="D1222" s="0" t="n">
        <f aca="false">INDEX(Intent_Analysis!$E$5:$E$81,MATCH(B1222,Intent_Analysis!$A$5:$A$81,0))</f>
        <v>1</v>
      </c>
    </row>
    <row r="1223" customFormat="false" ht="15" hidden="false" customHeight="false" outlineLevel="0" collapsed="false">
      <c r="A1223" s="0" t="s">
        <v>1547</v>
      </c>
      <c r="B1223" s="0" t="s">
        <v>106</v>
      </c>
      <c r="C1223" s="0" t="str">
        <f aca="false">INDEX(Intent_Analysis!$B$5:$B$81,MATCH(B1223,Intent_Analysis!$A$5:$A$81,0))</f>
        <v>Top-ups</v>
      </c>
      <c r="D1223" s="0" t="n">
        <f aca="false">INDEX(Intent_Analysis!$E$5:$E$81,MATCH(B1223,Intent_Analysis!$A$5:$A$81,0))</f>
        <v>1</v>
      </c>
    </row>
    <row r="1224" customFormat="false" ht="15" hidden="false" customHeight="false" outlineLevel="0" collapsed="false">
      <c r="A1224" s="0" t="s">
        <v>1548</v>
      </c>
      <c r="B1224" s="0" t="s">
        <v>106</v>
      </c>
      <c r="C1224" s="0" t="str">
        <f aca="false">INDEX(Intent_Analysis!$B$5:$B$81,MATCH(B1224,Intent_Analysis!$A$5:$A$81,0))</f>
        <v>Top-ups</v>
      </c>
      <c r="D1224" s="0" t="n">
        <f aca="false">INDEX(Intent_Analysis!$E$5:$E$81,MATCH(B1224,Intent_Analysis!$A$5:$A$81,0))</f>
        <v>1</v>
      </c>
    </row>
    <row r="1225" customFormat="false" ht="15" hidden="false" customHeight="false" outlineLevel="0" collapsed="false">
      <c r="A1225" s="0" t="s">
        <v>1549</v>
      </c>
      <c r="B1225" s="0" t="s">
        <v>106</v>
      </c>
      <c r="C1225" s="0" t="str">
        <f aca="false">INDEX(Intent_Analysis!$B$5:$B$81,MATCH(B1225,Intent_Analysis!$A$5:$A$81,0))</f>
        <v>Top-ups</v>
      </c>
      <c r="D1225" s="0" t="n">
        <f aca="false">INDEX(Intent_Analysis!$E$5:$E$81,MATCH(B1225,Intent_Analysis!$A$5:$A$81,0))</f>
        <v>1</v>
      </c>
    </row>
    <row r="1226" customFormat="false" ht="15" hidden="false" customHeight="false" outlineLevel="0" collapsed="false">
      <c r="A1226" s="0" t="s">
        <v>1550</v>
      </c>
      <c r="B1226" s="0" t="s">
        <v>106</v>
      </c>
      <c r="C1226" s="0" t="str">
        <f aca="false">INDEX(Intent_Analysis!$B$5:$B$81,MATCH(B1226,Intent_Analysis!$A$5:$A$81,0))</f>
        <v>Top-ups</v>
      </c>
      <c r="D1226" s="0" t="n">
        <f aca="false">INDEX(Intent_Analysis!$E$5:$E$81,MATCH(B1226,Intent_Analysis!$A$5:$A$81,0))</f>
        <v>1</v>
      </c>
    </row>
    <row r="1227" customFormat="false" ht="15" hidden="false" customHeight="false" outlineLevel="0" collapsed="false">
      <c r="A1227" s="0" t="s">
        <v>1551</v>
      </c>
      <c r="B1227" s="0" t="s">
        <v>106</v>
      </c>
      <c r="C1227" s="0" t="str">
        <f aca="false">INDEX(Intent_Analysis!$B$5:$B$81,MATCH(B1227,Intent_Analysis!$A$5:$A$81,0))</f>
        <v>Top-ups</v>
      </c>
      <c r="D1227" s="0" t="n">
        <f aca="false">INDEX(Intent_Analysis!$E$5:$E$81,MATCH(B1227,Intent_Analysis!$A$5:$A$81,0))</f>
        <v>1</v>
      </c>
    </row>
    <row r="1228" customFormat="false" ht="15" hidden="false" customHeight="false" outlineLevel="0" collapsed="false">
      <c r="A1228" s="0" t="s">
        <v>1552</v>
      </c>
      <c r="B1228" s="0" t="s">
        <v>106</v>
      </c>
      <c r="C1228" s="0" t="str">
        <f aca="false">INDEX(Intent_Analysis!$B$5:$B$81,MATCH(B1228,Intent_Analysis!$A$5:$A$81,0))</f>
        <v>Top-ups</v>
      </c>
      <c r="D1228" s="0" t="n">
        <f aca="false">INDEX(Intent_Analysis!$E$5:$E$81,MATCH(B1228,Intent_Analysis!$A$5:$A$81,0))</f>
        <v>1</v>
      </c>
    </row>
    <row r="1229" customFormat="false" ht="15" hidden="false" customHeight="false" outlineLevel="0" collapsed="false">
      <c r="A1229" s="0" t="s">
        <v>1553</v>
      </c>
      <c r="B1229" s="0" t="s">
        <v>106</v>
      </c>
      <c r="C1229" s="0" t="str">
        <f aca="false">INDEX(Intent_Analysis!$B$5:$B$81,MATCH(B1229,Intent_Analysis!$A$5:$A$81,0))</f>
        <v>Top-ups</v>
      </c>
      <c r="D1229" s="0" t="n">
        <f aca="false">INDEX(Intent_Analysis!$E$5:$E$81,MATCH(B1229,Intent_Analysis!$A$5:$A$81,0))</f>
        <v>1</v>
      </c>
    </row>
    <row r="1230" customFormat="false" ht="15" hidden="false" customHeight="false" outlineLevel="0" collapsed="false">
      <c r="A1230" s="0" t="s">
        <v>1554</v>
      </c>
      <c r="B1230" s="0" t="s">
        <v>106</v>
      </c>
      <c r="C1230" s="0" t="str">
        <f aca="false">INDEX(Intent_Analysis!$B$5:$B$81,MATCH(B1230,Intent_Analysis!$A$5:$A$81,0))</f>
        <v>Top-ups</v>
      </c>
      <c r="D1230" s="0" t="n">
        <f aca="false">INDEX(Intent_Analysis!$E$5:$E$81,MATCH(B1230,Intent_Analysis!$A$5:$A$81,0))</f>
        <v>1</v>
      </c>
    </row>
    <row r="1231" customFormat="false" ht="15" hidden="false" customHeight="false" outlineLevel="0" collapsed="false">
      <c r="A1231" s="0" t="s">
        <v>1555</v>
      </c>
      <c r="B1231" s="0" t="s">
        <v>106</v>
      </c>
      <c r="C1231" s="0" t="str">
        <f aca="false">INDEX(Intent_Analysis!$B$5:$B$81,MATCH(B1231,Intent_Analysis!$A$5:$A$81,0))</f>
        <v>Top-ups</v>
      </c>
      <c r="D1231" s="0" t="n">
        <f aca="false">INDEX(Intent_Analysis!$E$5:$E$81,MATCH(B1231,Intent_Analysis!$A$5:$A$81,0))</f>
        <v>1</v>
      </c>
    </row>
    <row r="1232" customFormat="false" ht="15" hidden="false" customHeight="false" outlineLevel="0" collapsed="false">
      <c r="A1232" s="0" t="s">
        <v>1556</v>
      </c>
      <c r="B1232" s="0" t="s">
        <v>106</v>
      </c>
      <c r="C1232" s="0" t="str">
        <f aca="false">INDEX(Intent_Analysis!$B$5:$B$81,MATCH(B1232,Intent_Analysis!$A$5:$A$81,0))</f>
        <v>Top-ups</v>
      </c>
      <c r="D1232" s="0" t="n">
        <f aca="false">INDEX(Intent_Analysis!$E$5:$E$81,MATCH(B1232,Intent_Analysis!$A$5:$A$81,0))</f>
        <v>1</v>
      </c>
    </row>
    <row r="1233" customFormat="false" ht="15" hidden="false" customHeight="false" outlineLevel="0" collapsed="false">
      <c r="A1233" s="0" t="s">
        <v>1557</v>
      </c>
      <c r="B1233" s="0" t="s">
        <v>106</v>
      </c>
      <c r="C1233" s="0" t="str">
        <f aca="false">INDEX(Intent_Analysis!$B$5:$B$81,MATCH(B1233,Intent_Analysis!$A$5:$A$81,0))</f>
        <v>Top-ups</v>
      </c>
      <c r="D1233" s="0" t="n">
        <f aca="false">INDEX(Intent_Analysis!$E$5:$E$81,MATCH(B1233,Intent_Analysis!$A$5:$A$81,0))</f>
        <v>1</v>
      </c>
    </row>
    <row r="1234" customFormat="false" ht="15" hidden="false" customHeight="false" outlineLevel="0" collapsed="false">
      <c r="A1234" s="0" t="s">
        <v>1558</v>
      </c>
      <c r="B1234" s="0" t="s">
        <v>106</v>
      </c>
      <c r="C1234" s="0" t="str">
        <f aca="false">INDEX(Intent_Analysis!$B$5:$B$81,MATCH(B1234,Intent_Analysis!$A$5:$A$81,0))</f>
        <v>Top-ups</v>
      </c>
      <c r="D1234" s="0" t="n">
        <f aca="false">INDEX(Intent_Analysis!$E$5:$E$81,MATCH(B1234,Intent_Analysis!$A$5:$A$81,0))</f>
        <v>1</v>
      </c>
    </row>
    <row r="1235" customFormat="false" ht="15" hidden="false" customHeight="false" outlineLevel="0" collapsed="false">
      <c r="A1235" s="0" t="s">
        <v>1559</v>
      </c>
      <c r="B1235" s="0" t="s">
        <v>106</v>
      </c>
      <c r="C1235" s="0" t="str">
        <f aca="false">INDEX(Intent_Analysis!$B$5:$B$81,MATCH(B1235,Intent_Analysis!$A$5:$A$81,0))</f>
        <v>Top-ups</v>
      </c>
      <c r="D1235" s="0" t="n">
        <f aca="false">INDEX(Intent_Analysis!$E$5:$E$81,MATCH(B1235,Intent_Analysis!$A$5:$A$81,0))</f>
        <v>1</v>
      </c>
    </row>
    <row r="1236" customFormat="false" ht="15" hidden="false" customHeight="false" outlineLevel="0" collapsed="false">
      <c r="A1236" s="0" t="s">
        <v>1560</v>
      </c>
      <c r="B1236" s="0" t="s">
        <v>106</v>
      </c>
      <c r="C1236" s="0" t="str">
        <f aca="false">INDEX(Intent_Analysis!$B$5:$B$81,MATCH(B1236,Intent_Analysis!$A$5:$A$81,0))</f>
        <v>Top-ups</v>
      </c>
      <c r="D1236" s="0" t="n">
        <f aca="false">INDEX(Intent_Analysis!$E$5:$E$81,MATCH(B1236,Intent_Analysis!$A$5:$A$81,0))</f>
        <v>1</v>
      </c>
    </row>
    <row r="1237" customFormat="false" ht="15" hidden="false" customHeight="false" outlineLevel="0" collapsed="false">
      <c r="A1237" s="0" t="s">
        <v>1561</v>
      </c>
      <c r="B1237" s="0" t="s">
        <v>106</v>
      </c>
      <c r="C1237" s="0" t="str">
        <f aca="false">INDEX(Intent_Analysis!$B$5:$B$81,MATCH(B1237,Intent_Analysis!$A$5:$A$81,0))</f>
        <v>Top-ups</v>
      </c>
      <c r="D1237" s="0" t="n">
        <f aca="false">INDEX(Intent_Analysis!$E$5:$E$81,MATCH(B1237,Intent_Analysis!$A$5:$A$81,0))</f>
        <v>1</v>
      </c>
    </row>
    <row r="1238" customFormat="false" ht="15" hidden="false" customHeight="false" outlineLevel="0" collapsed="false">
      <c r="A1238" s="0" t="s">
        <v>1562</v>
      </c>
      <c r="B1238" s="0" t="s">
        <v>106</v>
      </c>
      <c r="C1238" s="0" t="str">
        <f aca="false">INDEX(Intent_Analysis!$B$5:$B$81,MATCH(B1238,Intent_Analysis!$A$5:$A$81,0))</f>
        <v>Top-ups</v>
      </c>
      <c r="D1238" s="0" t="n">
        <f aca="false">INDEX(Intent_Analysis!$E$5:$E$81,MATCH(B1238,Intent_Analysis!$A$5:$A$81,0))</f>
        <v>1</v>
      </c>
    </row>
    <row r="1239" customFormat="false" ht="15" hidden="false" customHeight="false" outlineLevel="0" collapsed="false">
      <c r="A1239" s="0" t="s">
        <v>1563</v>
      </c>
      <c r="B1239" s="0" t="s">
        <v>106</v>
      </c>
      <c r="C1239" s="0" t="str">
        <f aca="false">INDEX(Intent_Analysis!$B$5:$B$81,MATCH(B1239,Intent_Analysis!$A$5:$A$81,0))</f>
        <v>Top-ups</v>
      </c>
      <c r="D1239" s="0" t="n">
        <f aca="false">INDEX(Intent_Analysis!$E$5:$E$81,MATCH(B1239,Intent_Analysis!$A$5:$A$81,0))</f>
        <v>1</v>
      </c>
    </row>
    <row r="1240" customFormat="false" ht="15" hidden="false" customHeight="false" outlineLevel="0" collapsed="false">
      <c r="A1240" s="0" t="s">
        <v>1564</v>
      </c>
      <c r="B1240" s="0" t="s">
        <v>106</v>
      </c>
      <c r="C1240" s="0" t="str">
        <f aca="false">INDEX(Intent_Analysis!$B$5:$B$81,MATCH(B1240,Intent_Analysis!$A$5:$A$81,0))</f>
        <v>Top-ups</v>
      </c>
      <c r="D1240" s="0" t="n">
        <f aca="false">INDEX(Intent_Analysis!$E$5:$E$81,MATCH(B1240,Intent_Analysis!$A$5:$A$81,0))</f>
        <v>1</v>
      </c>
    </row>
    <row r="1241" customFormat="false" ht="15" hidden="false" customHeight="false" outlineLevel="0" collapsed="false">
      <c r="A1241" s="0" t="s">
        <v>1565</v>
      </c>
      <c r="B1241" s="0" t="s">
        <v>106</v>
      </c>
      <c r="C1241" s="0" t="str">
        <f aca="false">INDEX(Intent_Analysis!$B$5:$B$81,MATCH(B1241,Intent_Analysis!$A$5:$A$81,0))</f>
        <v>Top-ups</v>
      </c>
      <c r="D1241" s="0" t="n">
        <f aca="false">INDEX(Intent_Analysis!$E$5:$E$81,MATCH(B1241,Intent_Analysis!$A$5:$A$81,0))</f>
        <v>1</v>
      </c>
    </row>
    <row r="1242" customFormat="false" ht="15" hidden="false" customHeight="false" outlineLevel="0" collapsed="false">
      <c r="A1242" s="0" t="s">
        <v>1566</v>
      </c>
      <c r="B1242" s="0" t="s">
        <v>106</v>
      </c>
      <c r="C1242" s="0" t="str">
        <f aca="false">INDEX(Intent_Analysis!$B$5:$B$81,MATCH(B1242,Intent_Analysis!$A$5:$A$81,0))</f>
        <v>Top-ups</v>
      </c>
      <c r="D1242" s="0" t="n">
        <f aca="false">INDEX(Intent_Analysis!$E$5:$E$81,MATCH(B1242,Intent_Analysis!$A$5:$A$81,0))</f>
        <v>1</v>
      </c>
    </row>
    <row r="1243" customFormat="false" ht="15" hidden="false" customHeight="false" outlineLevel="0" collapsed="false">
      <c r="A1243" s="0" t="s">
        <v>1567</v>
      </c>
      <c r="B1243" s="0" t="s">
        <v>106</v>
      </c>
      <c r="C1243" s="0" t="str">
        <f aca="false">INDEX(Intent_Analysis!$B$5:$B$81,MATCH(B1243,Intent_Analysis!$A$5:$A$81,0))</f>
        <v>Top-ups</v>
      </c>
      <c r="D1243" s="0" t="n">
        <f aca="false">INDEX(Intent_Analysis!$E$5:$E$81,MATCH(B1243,Intent_Analysis!$A$5:$A$81,0))</f>
        <v>1</v>
      </c>
    </row>
    <row r="1244" customFormat="false" ht="15" hidden="false" customHeight="false" outlineLevel="0" collapsed="false">
      <c r="A1244" s="0" t="s">
        <v>1568</v>
      </c>
      <c r="B1244" s="0" t="s">
        <v>106</v>
      </c>
      <c r="C1244" s="0" t="str">
        <f aca="false">INDEX(Intent_Analysis!$B$5:$B$81,MATCH(B1244,Intent_Analysis!$A$5:$A$81,0))</f>
        <v>Top-ups</v>
      </c>
      <c r="D1244" s="0" t="n">
        <f aca="false">INDEX(Intent_Analysis!$E$5:$E$81,MATCH(B1244,Intent_Analysis!$A$5:$A$81,0))</f>
        <v>1</v>
      </c>
    </row>
    <row r="1245" customFormat="false" ht="15" hidden="false" customHeight="false" outlineLevel="0" collapsed="false">
      <c r="A1245" s="0" t="s">
        <v>1569</v>
      </c>
      <c r="B1245" s="0" t="s">
        <v>106</v>
      </c>
      <c r="C1245" s="0" t="str">
        <f aca="false">INDEX(Intent_Analysis!$B$5:$B$81,MATCH(B1245,Intent_Analysis!$A$5:$A$81,0))</f>
        <v>Top-ups</v>
      </c>
      <c r="D1245" s="0" t="n">
        <f aca="false">INDEX(Intent_Analysis!$E$5:$E$81,MATCH(B1245,Intent_Analysis!$A$5:$A$81,0))</f>
        <v>1</v>
      </c>
    </row>
    <row r="1246" customFormat="false" ht="15" hidden="false" customHeight="false" outlineLevel="0" collapsed="false">
      <c r="A1246" s="0" t="s">
        <v>1570</v>
      </c>
      <c r="B1246" s="0" t="s">
        <v>106</v>
      </c>
      <c r="C1246" s="0" t="str">
        <f aca="false">INDEX(Intent_Analysis!$B$5:$B$81,MATCH(B1246,Intent_Analysis!$A$5:$A$81,0))</f>
        <v>Top-ups</v>
      </c>
      <c r="D1246" s="0" t="n">
        <f aca="false">INDEX(Intent_Analysis!$E$5:$E$81,MATCH(B1246,Intent_Analysis!$A$5:$A$81,0))</f>
        <v>1</v>
      </c>
    </row>
    <row r="1247" customFormat="false" ht="15" hidden="false" customHeight="false" outlineLevel="0" collapsed="false">
      <c r="A1247" s="0" t="s">
        <v>1571</v>
      </c>
      <c r="B1247" s="0" t="s">
        <v>67</v>
      </c>
      <c r="C1247" s="0" t="str">
        <f aca="false">INDEX(Intent_Analysis!$B$5:$B$81,MATCH(B1247,Intent_Analysis!$A$5:$A$81,0))</f>
        <v>Card usage &amp; features</v>
      </c>
      <c r="D1247" s="0" t="n">
        <f aca="false">INDEX(Intent_Analysis!$E$5:$E$81,MATCH(B1247,Intent_Analysis!$A$5:$A$81,0))</f>
        <v>2</v>
      </c>
    </row>
    <row r="1248" customFormat="false" ht="15" hidden="false" customHeight="false" outlineLevel="0" collapsed="false">
      <c r="A1248" s="0" t="s">
        <v>1572</v>
      </c>
      <c r="B1248" s="0" t="s">
        <v>67</v>
      </c>
      <c r="C1248" s="0" t="str">
        <f aca="false">INDEX(Intent_Analysis!$B$5:$B$81,MATCH(B1248,Intent_Analysis!$A$5:$A$81,0))</f>
        <v>Card usage &amp; features</v>
      </c>
      <c r="D1248" s="0" t="n">
        <f aca="false">INDEX(Intent_Analysis!$E$5:$E$81,MATCH(B1248,Intent_Analysis!$A$5:$A$81,0))</f>
        <v>2</v>
      </c>
    </row>
    <row r="1249" customFormat="false" ht="15" hidden="false" customHeight="false" outlineLevel="0" collapsed="false">
      <c r="A1249" s="0" t="s">
        <v>1573</v>
      </c>
      <c r="B1249" s="0" t="s">
        <v>67</v>
      </c>
      <c r="C1249" s="0" t="str">
        <f aca="false">INDEX(Intent_Analysis!$B$5:$B$81,MATCH(B1249,Intent_Analysis!$A$5:$A$81,0))</f>
        <v>Card usage &amp; features</v>
      </c>
      <c r="D1249" s="0" t="n">
        <f aca="false">INDEX(Intent_Analysis!$E$5:$E$81,MATCH(B1249,Intent_Analysis!$A$5:$A$81,0))</f>
        <v>2</v>
      </c>
    </row>
    <row r="1250" customFormat="false" ht="15" hidden="false" customHeight="false" outlineLevel="0" collapsed="false">
      <c r="A1250" s="0" t="s">
        <v>1574</v>
      </c>
      <c r="B1250" s="0" t="s">
        <v>67</v>
      </c>
      <c r="C1250" s="0" t="str">
        <f aca="false">INDEX(Intent_Analysis!$B$5:$B$81,MATCH(B1250,Intent_Analysis!$A$5:$A$81,0))</f>
        <v>Card usage &amp; features</v>
      </c>
      <c r="D1250" s="0" t="n">
        <f aca="false">INDEX(Intent_Analysis!$E$5:$E$81,MATCH(B1250,Intent_Analysis!$A$5:$A$81,0))</f>
        <v>2</v>
      </c>
    </row>
    <row r="1251" customFormat="false" ht="15" hidden="false" customHeight="false" outlineLevel="0" collapsed="false">
      <c r="A1251" s="0" t="s">
        <v>1575</v>
      </c>
      <c r="B1251" s="0" t="s">
        <v>67</v>
      </c>
      <c r="C1251" s="0" t="str">
        <f aca="false">INDEX(Intent_Analysis!$B$5:$B$81,MATCH(B1251,Intent_Analysis!$A$5:$A$81,0))</f>
        <v>Card usage &amp; features</v>
      </c>
      <c r="D1251" s="0" t="n">
        <f aca="false">INDEX(Intent_Analysis!$E$5:$E$81,MATCH(B1251,Intent_Analysis!$A$5:$A$81,0))</f>
        <v>2</v>
      </c>
    </row>
    <row r="1252" customFormat="false" ht="15" hidden="false" customHeight="false" outlineLevel="0" collapsed="false">
      <c r="A1252" s="0" t="s">
        <v>1576</v>
      </c>
      <c r="B1252" s="0" t="s">
        <v>67</v>
      </c>
      <c r="C1252" s="0" t="str">
        <f aca="false">INDEX(Intent_Analysis!$B$5:$B$81,MATCH(B1252,Intent_Analysis!$A$5:$A$81,0))</f>
        <v>Card usage &amp; features</v>
      </c>
      <c r="D1252" s="0" t="n">
        <f aca="false">INDEX(Intent_Analysis!$E$5:$E$81,MATCH(B1252,Intent_Analysis!$A$5:$A$81,0))</f>
        <v>2</v>
      </c>
    </row>
    <row r="1253" customFormat="false" ht="15" hidden="false" customHeight="false" outlineLevel="0" collapsed="false">
      <c r="A1253" s="0" t="s">
        <v>1577</v>
      </c>
      <c r="B1253" s="0" t="s">
        <v>67</v>
      </c>
      <c r="C1253" s="0" t="str">
        <f aca="false">INDEX(Intent_Analysis!$B$5:$B$81,MATCH(B1253,Intent_Analysis!$A$5:$A$81,0))</f>
        <v>Card usage &amp; features</v>
      </c>
      <c r="D1253" s="0" t="n">
        <f aca="false">INDEX(Intent_Analysis!$E$5:$E$81,MATCH(B1253,Intent_Analysis!$A$5:$A$81,0))</f>
        <v>2</v>
      </c>
    </row>
    <row r="1254" customFormat="false" ht="15" hidden="false" customHeight="false" outlineLevel="0" collapsed="false">
      <c r="A1254" s="0" t="s">
        <v>1578</v>
      </c>
      <c r="B1254" s="0" t="s">
        <v>67</v>
      </c>
      <c r="C1254" s="0" t="str">
        <f aca="false">INDEX(Intent_Analysis!$B$5:$B$81,MATCH(B1254,Intent_Analysis!$A$5:$A$81,0))</f>
        <v>Card usage &amp; features</v>
      </c>
      <c r="D1254" s="0" t="n">
        <f aca="false">INDEX(Intent_Analysis!$E$5:$E$81,MATCH(B1254,Intent_Analysis!$A$5:$A$81,0))</f>
        <v>2</v>
      </c>
    </row>
    <row r="1255" customFormat="false" ht="15" hidden="false" customHeight="false" outlineLevel="0" collapsed="false">
      <c r="A1255" s="0" t="s">
        <v>1579</v>
      </c>
      <c r="B1255" s="0" t="s">
        <v>67</v>
      </c>
      <c r="C1255" s="0" t="str">
        <f aca="false">INDEX(Intent_Analysis!$B$5:$B$81,MATCH(B1255,Intent_Analysis!$A$5:$A$81,0))</f>
        <v>Card usage &amp; features</v>
      </c>
      <c r="D1255" s="0" t="n">
        <f aca="false">INDEX(Intent_Analysis!$E$5:$E$81,MATCH(B1255,Intent_Analysis!$A$5:$A$81,0))</f>
        <v>2</v>
      </c>
    </row>
    <row r="1256" customFormat="false" ht="15" hidden="false" customHeight="false" outlineLevel="0" collapsed="false">
      <c r="A1256" s="0" t="s">
        <v>1580</v>
      </c>
      <c r="B1256" s="0" t="s">
        <v>67</v>
      </c>
      <c r="C1256" s="0" t="str">
        <f aca="false">INDEX(Intent_Analysis!$B$5:$B$81,MATCH(B1256,Intent_Analysis!$A$5:$A$81,0))</f>
        <v>Card usage &amp; features</v>
      </c>
      <c r="D1256" s="0" t="n">
        <f aca="false">INDEX(Intent_Analysis!$E$5:$E$81,MATCH(B1256,Intent_Analysis!$A$5:$A$81,0))</f>
        <v>2</v>
      </c>
    </row>
    <row r="1257" customFormat="false" ht="15" hidden="false" customHeight="false" outlineLevel="0" collapsed="false">
      <c r="A1257" s="0" t="s">
        <v>1581</v>
      </c>
      <c r="B1257" s="0" t="s">
        <v>67</v>
      </c>
      <c r="C1257" s="0" t="str">
        <f aca="false">INDEX(Intent_Analysis!$B$5:$B$81,MATCH(B1257,Intent_Analysis!$A$5:$A$81,0))</f>
        <v>Card usage &amp; features</v>
      </c>
      <c r="D1257" s="0" t="n">
        <f aca="false">INDEX(Intent_Analysis!$E$5:$E$81,MATCH(B1257,Intent_Analysis!$A$5:$A$81,0))</f>
        <v>2</v>
      </c>
    </row>
    <row r="1258" customFormat="false" ht="15" hidden="false" customHeight="false" outlineLevel="0" collapsed="false">
      <c r="A1258" s="0" t="s">
        <v>1582</v>
      </c>
      <c r="B1258" s="0" t="s">
        <v>67</v>
      </c>
      <c r="C1258" s="0" t="str">
        <f aca="false">INDEX(Intent_Analysis!$B$5:$B$81,MATCH(B1258,Intent_Analysis!$A$5:$A$81,0))</f>
        <v>Card usage &amp; features</v>
      </c>
      <c r="D1258" s="0" t="n">
        <f aca="false">INDEX(Intent_Analysis!$E$5:$E$81,MATCH(B1258,Intent_Analysis!$A$5:$A$81,0))</f>
        <v>2</v>
      </c>
    </row>
    <row r="1259" customFormat="false" ht="15" hidden="false" customHeight="false" outlineLevel="0" collapsed="false">
      <c r="A1259" s="0" t="s">
        <v>1583</v>
      </c>
      <c r="B1259" s="0" t="s">
        <v>67</v>
      </c>
      <c r="C1259" s="0" t="str">
        <f aca="false">INDEX(Intent_Analysis!$B$5:$B$81,MATCH(B1259,Intent_Analysis!$A$5:$A$81,0))</f>
        <v>Card usage &amp; features</v>
      </c>
      <c r="D1259" s="0" t="n">
        <f aca="false">INDEX(Intent_Analysis!$E$5:$E$81,MATCH(B1259,Intent_Analysis!$A$5:$A$81,0))</f>
        <v>2</v>
      </c>
    </row>
    <row r="1260" customFormat="false" ht="15" hidden="false" customHeight="false" outlineLevel="0" collapsed="false">
      <c r="A1260" s="0" t="s">
        <v>1584</v>
      </c>
      <c r="B1260" s="0" t="s">
        <v>67</v>
      </c>
      <c r="C1260" s="0" t="str">
        <f aca="false">INDEX(Intent_Analysis!$B$5:$B$81,MATCH(B1260,Intent_Analysis!$A$5:$A$81,0))</f>
        <v>Card usage &amp; features</v>
      </c>
      <c r="D1260" s="0" t="n">
        <f aca="false">INDEX(Intent_Analysis!$E$5:$E$81,MATCH(B1260,Intent_Analysis!$A$5:$A$81,0))</f>
        <v>2</v>
      </c>
    </row>
    <row r="1261" customFormat="false" ht="15" hidden="false" customHeight="false" outlineLevel="0" collapsed="false">
      <c r="A1261" s="0" t="s">
        <v>1585</v>
      </c>
      <c r="B1261" s="0" t="s">
        <v>67</v>
      </c>
      <c r="C1261" s="0" t="str">
        <f aca="false">INDEX(Intent_Analysis!$B$5:$B$81,MATCH(B1261,Intent_Analysis!$A$5:$A$81,0))</f>
        <v>Card usage &amp; features</v>
      </c>
      <c r="D1261" s="0" t="n">
        <f aca="false">INDEX(Intent_Analysis!$E$5:$E$81,MATCH(B1261,Intent_Analysis!$A$5:$A$81,0))</f>
        <v>2</v>
      </c>
    </row>
    <row r="1262" customFormat="false" ht="15" hidden="false" customHeight="false" outlineLevel="0" collapsed="false">
      <c r="A1262" s="0" t="s">
        <v>1586</v>
      </c>
      <c r="B1262" s="0" t="s">
        <v>67</v>
      </c>
      <c r="C1262" s="0" t="str">
        <f aca="false">INDEX(Intent_Analysis!$B$5:$B$81,MATCH(B1262,Intent_Analysis!$A$5:$A$81,0))</f>
        <v>Card usage &amp; features</v>
      </c>
      <c r="D1262" s="0" t="n">
        <f aca="false">INDEX(Intent_Analysis!$E$5:$E$81,MATCH(B1262,Intent_Analysis!$A$5:$A$81,0))</f>
        <v>2</v>
      </c>
    </row>
    <row r="1263" customFormat="false" ht="15" hidden="false" customHeight="false" outlineLevel="0" collapsed="false">
      <c r="A1263" s="0" t="s">
        <v>1587</v>
      </c>
      <c r="B1263" s="0" t="s">
        <v>67</v>
      </c>
      <c r="C1263" s="0" t="str">
        <f aca="false">INDEX(Intent_Analysis!$B$5:$B$81,MATCH(B1263,Intent_Analysis!$A$5:$A$81,0))</f>
        <v>Card usage &amp; features</v>
      </c>
      <c r="D1263" s="0" t="n">
        <f aca="false">INDEX(Intent_Analysis!$E$5:$E$81,MATCH(B1263,Intent_Analysis!$A$5:$A$81,0))</f>
        <v>2</v>
      </c>
    </row>
    <row r="1264" customFormat="false" ht="15" hidden="false" customHeight="false" outlineLevel="0" collapsed="false">
      <c r="A1264" s="0" t="s">
        <v>1588</v>
      </c>
      <c r="B1264" s="0" t="s">
        <v>67</v>
      </c>
      <c r="C1264" s="0" t="str">
        <f aca="false">INDEX(Intent_Analysis!$B$5:$B$81,MATCH(B1264,Intent_Analysis!$A$5:$A$81,0))</f>
        <v>Card usage &amp; features</v>
      </c>
      <c r="D1264" s="0" t="n">
        <f aca="false">INDEX(Intent_Analysis!$E$5:$E$81,MATCH(B1264,Intent_Analysis!$A$5:$A$81,0))</f>
        <v>2</v>
      </c>
    </row>
    <row r="1265" customFormat="false" ht="15" hidden="false" customHeight="false" outlineLevel="0" collapsed="false">
      <c r="A1265" s="0" t="s">
        <v>1589</v>
      </c>
      <c r="B1265" s="0" t="s">
        <v>67</v>
      </c>
      <c r="C1265" s="0" t="str">
        <f aca="false">INDEX(Intent_Analysis!$B$5:$B$81,MATCH(B1265,Intent_Analysis!$A$5:$A$81,0))</f>
        <v>Card usage &amp; features</v>
      </c>
      <c r="D1265" s="0" t="n">
        <f aca="false">INDEX(Intent_Analysis!$E$5:$E$81,MATCH(B1265,Intent_Analysis!$A$5:$A$81,0))</f>
        <v>2</v>
      </c>
    </row>
    <row r="1266" customFormat="false" ht="15" hidden="false" customHeight="false" outlineLevel="0" collapsed="false">
      <c r="A1266" s="0" t="s">
        <v>1590</v>
      </c>
      <c r="B1266" s="0" t="s">
        <v>67</v>
      </c>
      <c r="C1266" s="0" t="str">
        <f aca="false">INDEX(Intent_Analysis!$B$5:$B$81,MATCH(B1266,Intent_Analysis!$A$5:$A$81,0))</f>
        <v>Card usage &amp; features</v>
      </c>
      <c r="D1266" s="0" t="n">
        <f aca="false">INDEX(Intent_Analysis!$E$5:$E$81,MATCH(B1266,Intent_Analysis!$A$5:$A$81,0))</f>
        <v>2</v>
      </c>
    </row>
    <row r="1267" customFormat="false" ht="15" hidden="false" customHeight="false" outlineLevel="0" collapsed="false">
      <c r="A1267" s="0" t="s">
        <v>1591</v>
      </c>
      <c r="B1267" s="0" t="s">
        <v>67</v>
      </c>
      <c r="C1267" s="0" t="str">
        <f aca="false">INDEX(Intent_Analysis!$B$5:$B$81,MATCH(B1267,Intent_Analysis!$A$5:$A$81,0))</f>
        <v>Card usage &amp; features</v>
      </c>
      <c r="D1267" s="0" t="n">
        <f aca="false">INDEX(Intent_Analysis!$E$5:$E$81,MATCH(B1267,Intent_Analysis!$A$5:$A$81,0))</f>
        <v>2</v>
      </c>
    </row>
    <row r="1268" customFormat="false" ht="15" hidden="false" customHeight="false" outlineLevel="0" collapsed="false">
      <c r="A1268" s="0" t="s">
        <v>1592</v>
      </c>
      <c r="B1268" s="0" t="s">
        <v>67</v>
      </c>
      <c r="C1268" s="0" t="str">
        <f aca="false">INDEX(Intent_Analysis!$B$5:$B$81,MATCH(B1268,Intent_Analysis!$A$5:$A$81,0))</f>
        <v>Card usage &amp; features</v>
      </c>
      <c r="D1268" s="0" t="n">
        <f aca="false">INDEX(Intent_Analysis!$E$5:$E$81,MATCH(B1268,Intent_Analysis!$A$5:$A$81,0))</f>
        <v>2</v>
      </c>
    </row>
    <row r="1269" customFormat="false" ht="15" hidden="false" customHeight="false" outlineLevel="0" collapsed="false">
      <c r="A1269" s="0" t="s">
        <v>1593</v>
      </c>
      <c r="B1269" s="0" t="s">
        <v>67</v>
      </c>
      <c r="C1269" s="0" t="str">
        <f aca="false">INDEX(Intent_Analysis!$B$5:$B$81,MATCH(B1269,Intent_Analysis!$A$5:$A$81,0))</f>
        <v>Card usage &amp; features</v>
      </c>
      <c r="D1269" s="0" t="n">
        <f aca="false">INDEX(Intent_Analysis!$E$5:$E$81,MATCH(B1269,Intent_Analysis!$A$5:$A$81,0))</f>
        <v>2</v>
      </c>
    </row>
    <row r="1270" customFormat="false" ht="15" hidden="false" customHeight="false" outlineLevel="0" collapsed="false">
      <c r="A1270" s="0" t="s">
        <v>1594</v>
      </c>
      <c r="B1270" s="0" t="s">
        <v>67</v>
      </c>
      <c r="C1270" s="0" t="str">
        <f aca="false">INDEX(Intent_Analysis!$B$5:$B$81,MATCH(B1270,Intent_Analysis!$A$5:$A$81,0))</f>
        <v>Card usage &amp; features</v>
      </c>
      <c r="D1270" s="0" t="n">
        <f aca="false">INDEX(Intent_Analysis!$E$5:$E$81,MATCH(B1270,Intent_Analysis!$A$5:$A$81,0))</f>
        <v>2</v>
      </c>
    </row>
    <row r="1271" customFormat="false" ht="15" hidden="false" customHeight="false" outlineLevel="0" collapsed="false">
      <c r="A1271" s="0" t="s">
        <v>1595</v>
      </c>
      <c r="B1271" s="0" t="s">
        <v>67</v>
      </c>
      <c r="C1271" s="0" t="str">
        <f aca="false">INDEX(Intent_Analysis!$B$5:$B$81,MATCH(B1271,Intent_Analysis!$A$5:$A$81,0))</f>
        <v>Card usage &amp; features</v>
      </c>
      <c r="D1271" s="0" t="n">
        <f aca="false">INDEX(Intent_Analysis!$E$5:$E$81,MATCH(B1271,Intent_Analysis!$A$5:$A$81,0))</f>
        <v>2</v>
      </c>
    </row>
    <row r="1272" customFormat="false" ht="15" hidden="false" customHeight="false" outlineLevel="0" collapsed="false">
      <c r="A1272" s="0" t="s">
        <v>1596</v>
      </c>
      <c r="B1272" s="0" t="s">
        <v>67</v>
      </c>
      <c r="C1272" s="0" t="str">
        <f aca="false">INDEX(Intent_Analysis!$B$5:$B$81,MATCH(B1272,Intent_Analysis!$A$5:$A$81,0))</f>
        <v>Card usage &amp; features</v>
      </c>
      <c r="D1272" s="0" t="n">
        <f aca="false">INDEX(Intent_Analysis!$E$5:$E$81,MATCH(B1272,Intent_Analysis!$A$5:$A$81,0))</f>
        <v>2</v>
      </c>
    </row>
    <row r="1273" customFormat="false" ht="15" hidden="false" customHeight="false" outlineLevel="0" collapsed="false">
      <c r="A1273" s="0" t="s">
        <v>1597</v>
      </c>
      <c r="B1273" s="0" t="s">
        <v>67</v>
      </c>
      <c r="C1273" s="0" t="str">
        <f aca="false">INDEX(Intent_Analysis!$B$5:$B$81,MATCH(B1273,Intent_Analysis!$A$5:$A$81,0))</f>
        <v>Card usage &amp; features</v>
      </c>
      <c r="D1273" s="0" t="n">
        <f aca="false">INDEX(Intent_Analysis!$E$5:$E$81,MATCH(B1273,Intent_Analysis!$A$5:$A$81,0))</f>
        <v>2</v>
      </c>
    </row>
    <row r="1274" customFormat="false" ht="15" hidden="false" customHeight="false" outlineLevel="0" collapsed="false">
      <c r="A1274" s="0" t="s">
        <v>1598</v>
      </c>
      <c r="B1274" s="0" t="s">
        <v>67</v>
      </c>
      <c r="C1274" s="0" t="str">
        <f aca="false">INDEX(Intent_Analysis!$B$5:$B$81,MATCH(B1274,Intent_Analysis!$A$5:$A$81,0))</f>
        <v>Card usage &amp; features</v>
      </c>
      <c r="D1274" s="0" t="n">
        <f aca="false">INDEX(Intent_Analysis!$E$5:$E$81,MATCH(B1274,Intent_Analysis!$A$5:$A$81,0))</f>
        <v>2</v>
      </c>
    </row>
    <row r="1275" customFormat="false" ht="15" hidden="false" customHeight="false" outlineLevel="0" collapsed="false">
      <c r="A1275" s="0" t="s">
        <v>1599</v>
      </c>
      <c r="B1275" s="0" t="s">
        <v>67</v>
      </c>
      <c r="C1275" s="0" t="str">
        <f aca="false">INDEX(Intent_Analysis!$B$5:$B$81,MATCH(B1275,Intent_Analysis!$A$5:$A$81,0))</f>
        <v>Card usage &amp; features</v>
      </c>
      <c r="D1275" s="0" t="n">
        <f aca="false">INDEX(Intent_Analysis!$E$5:$E$81,MATCH(B1275,Intent_Analysis!$A$5:$A$81,0))</f>
        <v>2</v>
      </c>
    </row>
    <row r="1276" customFormat="false" ht="15" hidden="false" customHeight="false" outlineLevel="0" collapsed="false">
      <c r="A1276" s="0" t="s">
        <v>1600</v>
      </c>
      <c r="B1276" s="0" t="s">
        <v>67</v>
      </c>
      <c r="C1276" s="0" t="str">
        <f aca="false">INDEX(Intent_Analysis!$B$5:$B$81,MATCH(B1276,Intent_Analysis!$A$5:$A$81,0))</f>
        <v>Card usage &amp; features</v>
      </c>
      <c r="D1276" s="0" t="n">
        <f aca="false">INDEX(Intent_Analysis!$E$5:$E$81,MATCH(B1276,Intent_Analysis!$A$5:$A$81,0))</f>
        <v>2</v>
      </c>
    </row>
    <row r="1277" customFormat="false" ht="15" hidden="false" customHeight="false" outlineLevel="0" collapsed="false">
      <c r="A1277" s="0" t="s">
        <v>1601</v>
      </c>
      <c r="B1277" s="0" t="s">
        <v>67</v>
      </c>
      <c r="C1277" s="0" t="str">
        <f aca="false">INDEX(Intent_Analysis!$B$5:$B$81,MATCH(B1277,Intent_Analysis!$A$5:$A$81,0))</f>
        <v>Card usage &amp; features</v>
      </c>
      <c r="D1277" s="0" t="n">
        <f aca="false">INDEX(Intent_Analysis!$E$5:$E$81,MATCH(B1277,Intent_Analysis!$A$5:$A$81,0))</f>
        <v>2</v>
      </c>
    </row>
    <row r="1278" customFormat="false" ht="15" hidden="false" customHeight="false" outlineLevel="0" collapsed="false">
      <c r="A1278" s="0" t="s">
        <v>1602</v>
      </c>
      <c r="B1278" s="0" t="s">
        <v>67</v>
      </c>
      <c r="C1278" s="0" t="str">
        <f aca="false">INDEX(Intent_Analysis!$B$5:$B$81,MATCH(B1278,Intent_Analysis!$A$5:$A$81,0))</f>
        <v>Card usage &amp; features</v>
      </c>
      <c r="D1278" s="0" t="n">
        <f aca="false">INDEX(Intent_Analysis!$E$5:$E$81,MATCH(B1278,Intent_Analysis!$A$5:$A$81,0))</f>
        <v>2</v>
      </c>
    </row>
    <row r="1279" customFormat="false" ht="15" hidden="false" customHeight="false" outlineLevel="0" collapsed="false">
      <c r="A1279" s="0" t="s">
        <v>1603</v>
      </c>
      <c r="B1279" s="0" t="s">
        <v>67</v>
      </c>
      <c r="C1279" s="0" t="str">
        <f aca="false">INDEX(Intent_Analysis!$B$5:$B$81,MATCH(B1279,Intent_Analysis!$A$5:$A$81,0))</f>
        <v>Card usage &amp; features</v>
      </c>
      <c r="D1279" s="0" t="n">
        <f aca="false">INDEX(Intent_Analysis!$E$5:$E$81,MATCH(B1279,Intent_Analysis!$A$5:$A$81,0))</f>
        <v>2</v>
      </c>
    </row>
    <row r="1280" customFormat="false" ht="15" hidden="false" customHeight="false" outlineLevel="0" collapsed="false">
      <c r="A1280" s="0" t="s">
        <v>1604</v>
      </c>
      <c r="B1280" s="0" t="s">
        <v>67</v>
      </c>
      <c r="C1280" s="0" t="str">
        <f aca="false">INDEX(Intent_Analysis!$B$5:$B$81,MATCH(B1280,Intent_Analysis!$A$5:$A$81,0))</f>
        <v>Card usage &amp; features</v>
      </c>
      <c r="D1280" s="0" t="n">
        <f aca="false">INDEX(Intent_Analysis!$E$5:$E$81,MATCH(B1280,Intent_Analysis!$A$5:$A$81,0))</f>
        <v>2</v>
      </c>
    </row>
    <row r="1281" customFormat="false" ht="15" hidden="false" customHeight="false" outlineLevel="0" collapsed="false">
      <c r="A1281" s="0" t="s">
        <v>1605</v>
      </c>
      <c r="B1281" s="0" t="s">
        <v>67</v>
      </c>
      <c r="C1281" s="0" t="str">
        <f aca="false">INDEX(Intent_Analysis!$B$5:$B$81,MATCH(B1281,Intent_Analysis!$A$5:$A$81,0))</f>
        <v>Card usage &amp; features</v>
      </c>
      <c r="D1281" s="0" t="n">
        <f aca="false">INDEX(Intent_Analysis!$E$5:$E$81,MATCH(B1281,Intent_Analysis!$A$5:$A$81,0))</f>
        <v>2</v>
      </c>
    </row>
    <row r="1282" customFormat="false" ht="15" hidden="false" customHeight="false" outlineLevel="0" collapsed="false">
      <c r="A1282" s="0" t="s">
        <v>1606</v>
      </c>
      <c r="B1282" s="0" t="s">
        <v>67</v>
      </c>
      <c r="C1282" s="0" t="str">
        <f aca="false">INDEX(Intent_Analysis!$B$5:$B$81,MATCH(B1282,Intent_Analysis!$A$5:$A$81,0))</f>
        <v>Card usage &amp; features</v>
      </c>
      <c r="D1282" s="0" t="n">
        <f aca="false">INDEX(Intent_Analysis!$E$5:$E$81,MATCH(B1282,Intent_Analysis!$A$5:$A$81,0))</f>
        <v>2</v>
      </c>
    </row>
    <row r="1283" customFormat="false" ht="15" hidden="false" customHeight="false" outlineLevel="0" collapsed="false">
      <c r="A1283" s="0" t="s">
        <v>1607</v>
      </c>
      <c r="B1283" s="0" t="s">
        <v>67</v>
      </c>
      <c r="C1283" s="0" t="str">
        <f aca="false">INDEX(Intent_Analysis!$B$5:$B$81,MATCH(B1283,Intent_Analysis!$A$5:$A$81,0))</f>
        <v>Card usage &amp; features</v>
      </c>
      <c r="D1283" s="0" t="n">
        <f aca="false">INDEX(Intent_Analysis!$E$5:$E$81,MATCH(B1283,Intent_Analysis!$A$5:$A$81,0))</f>
        <v>2</v>
      </c>
    </row>
    <row r="1284" customFormat="false" ht="15" hidden="false" customHeight="false" outlineLevel="0" collapsed="false">
      <c r="A1284" s="0" t="s">
        <v>1608</v>
      </c>
      <c r="B1284" s="0" t="s">
        <v>67</v>
      </c>
      <c r="C1284" s="0" t="str">
        <f aca="false">INDEX(Intent_Analysis!$B$5:$B$81,MATCH(B1284,Intent_Analysis!$A$5:$A$81,0))</f>
        <v>Card usage &amp; features</v>
      </c>
      <c r="D1284" s="0" t="n">
        <f aca="false">INDEX(Intent_Analysis!$E$5:$E$81,MATCH(B1284,Intent_Analysis!$A$5:$A$81,0))</f>
        <v>2</v>
      </c>
    </row>
    <row r="1285" customFormat="false" ht="15" hidden="false" customHeight="false" outlineLevel="0" collapsed="false">
      <c r="A1285" s="0" t="s">
        <v>1609</v>
      </c>
      <c r="B1285" s="0" t="s">
        <v>67</v>
      </c>
      <c r="C1285" s="0" t="str">
        <f aca="false">INDEX(Intent_Analysis!$B$5:$B$81,MATCH(B1285,Intent_Analysis!$A$5:$A$81,0))</f>
        <v>Card usage &amp; features</v>
      </c>
      <c r="D1285" s="0" t="n">
        <f aca="false">INDEX(Intent_Analysis!$E$5:$E$81,MATCH(B1285,Intent_Analysis!$A$5:$A$81,0))</f>
        <v>2</v>
      </c>
    </row>
    <row r="1286" customFormat="false" ht="15" hidden="false" customHeight="false" outlineLevel="0" collapsed="false">
      <c r="A1286" s="0" t="s">
        <v>1610</v>
      </c>
      <c r="B1286" s="0" t="s">
        <v>67</v>
      </c>
      <c r="C1286" s="0" t="str">
        <f aca="false">INDEX(Intent_Analysis!$B$5:$B$81,MATCH(B1286,Intent_Analysis!$A$5:$A$81,0))</f>
        <v>Card usage &amp; features</v>
      </c>
      <c r="D1286" s="0" t="n">
        <f aca="false">INDEX(Intent_Analysis!$E$5:$E$81,MATCH(B1286,Intent_Analysis!$A$5:$A$81,0))</f>
        <v>2</v>
      </c>
    </row>
    <row r="1287" customFormat="false" ht="15" hidden="false" customHeight="false" outlineLevel="0" collapsed="false">
      <c r="A1287" s="0" t="s">
        <v>1611</v>
      </c>
      <c r="B1287" s="0" t="s">
        <v>67</v>
      </c>
      <c r="C1287" s="0" t="str">
        <f aca="false">INDEX(Intent_Analysis!$B$5:$B$81,MATCH(B1287,Intent_Analysis!$A$5:$A$81,0))</f>
        <v>Card usage &amp; features</v>
      </c>
      <c r="D1287" s="0" t="n">
        <f aca="false">INDEX(Intent_Analysis!$E$5:$E$81,MATCH(B1287,Intent_Analysis!$A$5:$A$81,0))</f>
        <v>2</v>
      </c>
    </row>
    <row r="1288" customFormat="false" ht="15" hidden="false" customHeight="false" outlineLevel="0" collapsed="false">
      <c r="A1288" s="0" t="s">
        <v>1612</v>
      </c>
      <c r="B1288" s="0" t="s">
        <v>67</v>
      </c>
      <c r="C1288" s="0" t="str">
        <f aca="false">INDEX(Intent_Analysis!$B$5:$B$81,MATCH(B1288,Intent_Analysis!$A$5:$A$81,0))</f>
        <v>Card usage &amp; features</v>
      </c>
      <c r="D1288" s="0" t="n">
        <f aca="false">INDEX(Intent_Analysis!$E$5:$E$81,MATCH(B1288,Intent_Analysis!$A$5:$A$81,0))</f>
        <v>2</v>
      </c>
    </row>
    <row r="1289" customFormat="false" ht="15" hidden="false" customHeight="false" outlineLevel="0" collapsed="false">
      <c r="A1289" s="0" t="s">
        <v>1613</v>
      </c>
      <c r="B1289" s="0" t="s">
        <v>67</v>
      </c>
      <c r="C1289" s="0" t="str">
        <f aca="false">INDEX(Intent_Analysis!$B$5:$B$81,MATCH(B1289,Intent_Analysis!$A$5:$A$81,0))</f>
        <v>Card usage &amp; features</v>
      </c>
      <c r="D1289" s="0" t="n">
        <f aca="false">INDEX(Intent_Analysis!$E$5:$E$81,MATCH(B1289,Intent_Analysis!$A$5:$A$81,0))</f>
        <v>2</v>
      </c>
    </row>
    <row r="1290" customFormat="false" ht="15" hidden="false" customHeight="false" outlineLevel="0" collapsed="false">
      <c r="A1290" s="0" t="s">
        <v>1614</v>
      </c>
      <c r="B1290" s="0" t="s">
        <v>67</v>
      </c>
      <c r="C1290" s="0" t="str">
        <f aca="false">INDEX(Intent_Analysis!$B$5:$B$81,MATCH(B1290,Intent_Analysis!$A$5:$A$81,0))</f>
        <v>Card usage &amp; features</v>
      </c>
      <c r="D1290" s="0" t="n">
        <f aca="false">INDEX(Intent_Analysis!$E$5:$E$81,MATCH(B1290,Intent_Analysis!$A$5:$A$81,0))</f>
        <v>2</v>
      </c>
    </row>
    <row r="1291" customFormat="false" ht="15" hidden="false" customHeight="false" outlineLevel="0" collapsed="false">
      <c r="A1291" s="0" t="s">
        <v>1615</v>
      </c>
      <c r="B1291" s="0" t="s">
        <v>67</v>
      </c>
      <c r="C1291" s="0" t="str">
        <f aca="false">INDEX(Intent_Analysis!$B$5:$B$81,MATCH(B1291,Intent_Analysis!$A$5:$A$81,0))</f>
        <v>Card usage &amp; features</v>
      </c>
      <c r="D1291" s="0" t="n">
        <f aca="false">INDEX(Intent_Analysis!$E$5:$E$81,MATCH(B1291,Intent_Analysis!$A$5:$A$81,0))</f>
        <v>2</v>
      </c>
    </row>
    <row r="1292" customFormat="false" ht="68.65" hidden="false" customHeight="false" outlineLevel="0" collapsed="false">
      <c r="A1292" s="25" t="s">
        <v>1616</v>
      </c>
      <c r="B1292" s="0" t="s">
        <v>67</v>
      </c>
      <c r="C1292" s="0" t="str">
        <f aca="false">INDEX(Intent_Analysis!$B$5:$B$81,MATCH(B1292,Intent_Analysis!$A$5:$A$81,0))</f>
        <v>Card usage &amp; features</v>
      </c>
      <c r="D1292" s="0" t="n">
        <f aca="false">INDEX(Intent_Analysis!$E$5:$E$81,MATCH(B1292,Intent_Analysis!$A$5:$A$81,0))</f>
        <v>2</v>
      </c>
    </row>
    <row r="1293" customFormat="false" ht="15" hidden="false" customHeight="false" outlineLevel="0" collapsed="false">
      <c r="A1293" s="0" t="s">
        <v>1617</v>
      </c>
      <c r="B1293" s="0" t="s">
        <v>67</v>
      </c>
      <c r="C1293" s="0" t="str">
        <f aca="false">INDEX(Intent_Analysis!$B$5:$B$81,MATCH(B1293,Intent_Analysis!$A$5:$A$81,0))</f>
        <v>Card usage &amp; features</v>
      </c>
      <c r="D1293" s="0" t="n">
        <f aca="false">INDEX(Intent_Analysis!$E$5:$E$81,MATCH(B1293,Intent_Analysis!$A$5:$A$81,0))</f>
        <v>2</v>
      </c>
    </row>
    <row r="1294" customFormat="false" ht="15" hidden="false" customHeight="false" outlineLevel="0" collapsed="false">
      <c r="A1294" s="0" t="s">
        <v>1618</v>
      </c>
      <c r="B1294" s="0" t="s">
        <v>67</v>
      </c>
      <c r="C1294" s="0" t="str">
        <f aca="false">INDEX(Intent_Analysis!$B$5:$B$81,MATCH(B1294,Intent_Analysis!$A$5:$A$81,0))</f>
        <v>Card usage &amp; features</v>
      </c>
      <c r="D1294" s="0" t="n">
        <f aca="false">INDEX(Intent_Analysis!$E$5:$E$81,MATCH(B1294,Intent_Analysis!$A$5:$A$81,0))</f>
        <v>2</v>
      </c>
    </row>
    <row r="1295" customFormat="false" ht="15" hidden="false" customHeight="false" outlineLevel="0" collapsed="false">
      <c r="A1295" s="0" t="s">
        <v>1619</v>
      </c>
      <c r="B1295" s="0" t="s">
        <v>67</v>
      </c>
      <c r="C1295" s="0" t="str">
        <f aca="false">INDEX(Intent_Analysis!$B$5:$B$81,MATCH(B1295,Intent_Analysis!$A$5:$A$81,0))</f>
        <v>Card usage &amp; features</v>
      </c>
      <c r="D1295" s="0" t="n">
        <f aca="false">INDEX(Intent_Analysis!$E$5:$E$81,MATCH(B1295,Intent_Analysis!$A$5:$A$81,0))</f>
        <v>2</v>
      </c>
    </row>
    <row r="1296" customFormat="false" ht="15" hidden="false" customHeight="false" outlineLevel="0" collapsed="false">
      <c r="A1296" s="0" t="s">
        <v>1620</v>
      </c>
      <c r="B1296" s="0" t="s">
        <v>67</v>
      </c>
      <c r="C1296" s="0" t="str">
        <f aca="false">INDEX(Intent_Analysis!$B$5:$B$81,MATCH(B1296,Intent_Analysis!$A$5:$A$81,0))</f>
        <v>Card usage &amp; features</v>
      </c>
      <c r="D1296" s="0" t="n">
        <f aca="false">INDEX(Intent_Analysis!$E$5:$E$81,MATCH(B1296,Intent_Analysis!$A$5:$A$81,0))</f>
        <v>2</v>
      </c>
    </row>
    <row r="1297" customFormat="false" ht="15" hidden="false" customHeight="false" outlineLevel="0" collapsed="false">
      <c r="A1297" s="0" t="s">
        <v>1621</v>
      </c>
      <c r="B1297" s="0" t="s">
        <v>67</v>
      </c>
      <c r="C1297" s="0" t="str">
        <f aca="false">INDEX(Intent_Analysis!$B$5:$B$81,MATCH(B1297,Intent_Analysis!$A$5:$A$81,0))</f>
        <v>Card usage &amp; features</v>
      </c>
      <c r="D1297" s="0" t="n">
        <f aca="false">INDEX(Intent_Analysis!$E$5:$E$81,MATCH(B1297,Intent_Analysis!$A$5:$A$81,0))</f>
        <v>2</v>
      </c>
    </row>
    <row r="1298" customFormat="false" ht="15" hidden="false" customHeight="false" outlineLevel="0" collapsed="false">
      <c r="A1298" s="0" t="s">
        <v>1622</v>
      </c>
      <c r="B1298" s="0" t="s">
        <v>67</v>
      </c>
      <c r="C1298" s="0" t="str">
        <f aca="false">INDEX(Intent_Analysis!$B$5:$B$81,MATCH(B1298,Intent_Analysis!$A$5:$A$81,0))</f>
        <v>Card usage &amp; features</v>
      </c>
      <c r="D1298" s="0" t="n">
        <f aca="false">INDEX(Intent_Analysis!$E$5:$E$81,MATCH(B1298,Intent_Analysis!$A$5:$A$81,0))</f>
        <v>2</v>
      </c>
    </row>
    <row r="1299" customFormat="false" ht="15" hidden="false" customHeight="false" outlineLevel="0" collapsed="false">
      <c r="A1299" s="0" t="s">
        <v>1623</v>
      </c>
      <c r="B1299" s="0" t="s">
        <v>67</v>
      </c>
      <c r="C1299" s="0" t="str">
        <f aca="false">INDEX(Intent_Analysis!$B$5:$B$81,MATCH(B1299,Intent_Analysis!$A$5:$A$81,0))</f>
        <v>Card usage &amp; features</v>
      </c>
      <c r="D1299" s="0" t="n">
        <f aca="false">INDEX(Intent_Analysis!$E$5:$E$81,MATCH(B1299,Intent_Analysis!$A$5:$A$81,0))</f>
        <v>2</v>
      </c>
    </row>
    <row r="1300" customFormat="false" ht="15" hidden="false" customHeight="false" outlineLevel="0" collapsed="false">
      <c r="A1300" s="0" t="s">
        <v>1624</v>
      </c>
      <c r="B1300" s="0" t="s">
        <v>67</v>
      </c>
      <c r="C1300" s="0" t="str">
        <f aca="false">INDEX(Intent_Analysis!$B$5:$B$81,MATCH(B1300,Intent_Analysis!$A$5:$A$81,0))</f>
        <v>Card usage &amp; features</v>
      </c>
      <c r="D1300" s="0" t="n">
        <f aca="false">INDEX(Intent_Analysis!$E$5:$E$81,MATCH(B1300,Intent_Analysis!$A$5:$A$81,0))</f>
        <v>2</v>
      </c>
    </row>
    <row r="1301" customFormat="false" ht="15" hidden="false" customHeight="false" outlineLevel="0" collapsed="false">
      <c r="A1301" s="0" t="s">
        <v>1625</v>
      </c>
      <c r="B1301" s="0" t="s">
        <v>67</v>
      </c>
      <c r="C1301" s="0" t="str">
        <f aca="false">INDEX(Intent_Analysis!$B$5:$B$81,MATCH(B1301,Intent_Analysis!$A$5:$A$81,0))</f>
        <v>Card usage &amp; features</v>
      </c>
      <c r="D1301" s="0" t="n">
        <f aca="false">INDEX(Intent_Analysis!$E$5:$E$81,MATCH(B1301,Intent_Analysis!$A$5:$A$81,0))</f>
        <v>2</v>
      </c>
    </row>
    <row r="1302" customFormat="false" ht="15" hidden="false" customHeight="false" outlineLevel="0" collapsed="false">
      <c r="A1302" s="0" t="s">
        <v>1626</v>
      </c>
      <c r="B1302" s="0" t="s">
        <v>67</v>
      </c>
      <c r="C1302" s="0" t="str">
        <f aca="false">INDEX(Intent_Analysis!$B$5:$B$81,MATCH(B1302,Intent_Analysis!$A$5:$A$81,0))</f>
        <v>Card usage &amp; features</v>
      </c>
      <c r="D1302" s="0" t="n">
        <f aca="false">INDEX(Intent_Analysis!$E$5:$E$81,MATCH(B1302,Intent_Analysis!$A$5:$A$81,0))</f>
        <v>2</v>
      </c>
    </row>
    <row r="1303" customFormat="false" ht="15" hidden="false" customHeight="false" outlineLevel="0" collapsed="false">
      <c r="A1303" s="0" t="s">
        <v>1627</v>
      </c>
      <c r="B1303" s="0" t="s">
        <v>67</v>
      </c>
      <c r="C1303" s="0" t="str">
        <f aca="false">INDEX(Intent_Analysis!$B$5:$B$81,MATCH(B1303,Intent_Analysis!$A$5:$A$81,0))</f>
        <v>Card usage &amp; features</v>
      </c>
      <c r="D1303" s="0" t="n">
        <f aca="false">INDEX(Intent_Analysis!$E$5:$E$81,MATCH(B1303,Intent_Analysis!$A$5:$A$81,0))</f>
        <v>2</v>
      </c>
    </row>
    <row r="1304" customFormat="false" ht="15" hidden="false" customHeight="false" outlineLevel="0" collapsed="false">
      <c r="A1304" s="0" t="s">
        <v>1628</v>
      </c>
      <c r="B1304" s="0" t="s">
        <v>67</v>
      </c>
      <c r="C1304" s="0" t="str">
        <f aca="false">INDEX(Intent_Analysis!$B$5:$B$81,MATCH(B1304,Intent_Analysis!$A$5:$A$81,0))</f>
        <v>Card usage &amp; features</v>
      </c>
      <c r="D1304" s="0" t="n">
        <f aca="false">INDEX(Intent_Analysis!$E$5:$E$81,MATCH(B1304,Intent_Analysis!$A$5:$A$81,0))</f>
        <v>2</v>
      </c>
    </row>
    <row r="1305" customFormat="false" ht="15" hidden="false" customHeight="false" outlineLevel="0" collapsed="false">
      <c r="A1305" s="0" t="s">
        <v>1629</v>
      </c>
      <c r="B1305" s="0" t="s">
        <v>67</v>
      </c>
      <c r="C1305" s="0" t="str">
        <f aca="false">INDEX(Intent_Analysis!$B$5:$B$81,MATCH(B1305,Intent_Analysis!$A$5:$A$81,0))</f>
        <v>Card usage &amp; features</v>
      </c>
      <c r="D1305" s="0" t="n">
        <f aca="false">INDEX(Intent_Analysis!$E$5:$E$81,MATCH(B1305,Intent_Analysis!$A$5:$A$81,0))</f>
        <v>2</v>
      </c>
    </row>
    <row r="1306" customFormat="false" ht="15" hidden="false" customHeight="false" outlineLevel="0" collapsed="false">
      <c r="A1306" s="0" t="s">
        <v>1630</v>
      </c>
      <c r="B1306" s="0" t="s">
        <v>67</v>
      </c>
      <c r="C1306" s="0" t="str">
        <f aca="false">INDEX(Intent_Analysis!$B$5:$B$81,MATCH(B1306,Intent_Analysis!$A$5:$A$81,0))</f>
        <v>Card usage &amp; features</v>
      </c>
      <c r="D1306" s="0" t="n">
        <f aca="false">INDEX(Intent_Analysis!$E$5:$E$81,MATCH(B1306,Intent_Analysis!$A$5:$A$81,0))</f>
        <v>2</v>
      </c>
    </row>
    <row r="1307" customFormat="false" ht="15" hidden="false" customHeight="false" outlineLevel="0" collapsed="false">
      <c r="A1307" s="0" t="s">
        <v>1631</v>
      </c>
      <c r="B1307" s="0" t="s">
        <v>67</v>
      </c>
      <c r="C1307" s="0" t="str">
        <f aca="false">INDEX(Intent_Analysis!$B$5:$B$81,MATCH(B1307,Intent_Analysis!$A$5:$A$81,0))</f>
        <v>Card usage &amp; features</v>
      </c>
      <c r="D1307" s="0" t="n">
        <f aca="false">INDEX(Intent_Analysis!$E$5:$E$81,MATCH(B1307,Intent_Analysis!$A$5:$A$81,0))</f>
        <v>2</v>
      </c>
    </row>
    <row r="1308" customFormat="false" ht="15" hidden="false" customHeight="false" outlineLevel="0" collapsed="false">
      <c r="A1308" s="0" t="s">
        <v>1632</v>
      </c>
      <c r="B1308" s="0" t="s">
        <v>67</v>
      </c>
      <c r="C1308" s="0" t="str">
        <f aca="false">INDEX(Intent_Analysis!$B$5:$B$81,MATCH(B1308,Intent_Analysis!$A$5:$A$81,0))</f>
        <v>Card usage &amp; features</v>
      </c>
      <c r="D1308" s="0" t="n">
        <f aca="false">INDEX(Intent_Analysis!$E$5:$E$81,MATCH(B1308,Intent_Analysis!$A$5:$A$81,0))</f>
        <v>2</v>
      </c>
    </row>
    <row r="1309" customFormat="false" ht="15" hidden="false" customHeight="false" outlineLevel="0" collapsed="false">
      <c r="A1309" s="0" t="s">
        <v>1633</v>
      </c>
      <c r="B1309" s="0" t="s">
        <v>67</v>
      </c>
      <c r="C1309" s="0" t="str">
        <f aca="false">INDEX(Intent_Analysis!$B$5:$B$81,MATCH(B1309,Intent_Analysis!$A$5:$A$81,0))</f>
        <v>Card usage &amp; features</v>
      </c>
      <c r="D1309" s="0" t="n">
        <f aca="false">INDEX(Intent_Analysis!$E$5:$E$81,MATCH(B1309,Intent_Analysis!$A$5:$A$81,0))</f>
        <v>2</v>
      </c>
    </row>
    <row r="1310" customFormat="false" ht="15" hidden="false" customHeight="false" outlineLevel="0" collapsed="false">
      <c r="A1310" s="0" t="s">
        <v>1634</v>
      </c>
      <c r="B1310" s="0" t="s">
        <v>67</v>
      </c>
      <c r="C1310" s="0" t="str">
        <f aca="false">INDEX(Intent_Analysis!$B$5:$B$81,MATCH(B1310,Intent_Analysis!$A$5:$A$81,0))</f>
        <v>Card usage &amp; features</v>
      </c>
      <c r="D1310" s="0" t="n">
        <f aca="false">INDEX(Intent_Analysis!$E$5:$E$81,MATCH(B1310,Intent_Analysis!$A$5:$A$81,0))</f>
        <v>2</v>
      </c>
    </row>
    <row r="1311" customFormat="false" ht="15" hidden="false" customHeight="false" outlineLevel="0" collapsed="false">
      <c r="A1311" s="0" t="s">
        <v>1635</v>
      </c>
      <c r="B1311" s="0" t="s">
        <v>67</v>
      </c>
      <c r="C1311" s="0" t="str">
        <f aca="false">INDEX(Intent_Analysis!$B$5:$B$81,MATCH(B1311,Intent_Analysis!$A$5:$A$81,0))</f>
        <v>Card usage &amp; features</v>
      </c>
      <c r="D1311" s="0" t="n">
        <f aca="false">INDEX(Intent_Analysis!$E$5:$E$81,MATCH(B1311,Intent_Analysis!$A$5:$A$81,0))</f>
        <v>2</v>
      </c>
    </row>
    <row r="1312" customFormat="false" ht="15" hidden="false" customHeight="false" outlineLevel="0" collapsed="false">
      <c r="A1312" s="0" t="s">
        <v>1636</v>
      </c>
      <c r="B1312" s="0" t="s">
        <v>67</v>
      </c>
      <c r="C1312" s="0" t="str">
        <f aca="false">INDEX(Intent_Analysis!$B$5:$B$81,MATCH(B1312,Intent_Analysis!$A$5:$A$81,0))</f>
        <v>Card usage &amp; features</v>
      </c>
      <c r="D1312" s="0" t="n">
        <f aca="false">INDEX(Intent_Analysis!$E$5:$E$81,MATCH(B1312,Intent_Analysis!$A$5:$A$81,0))</f>
        <v>2</v>
      </c>
    </row>
    <row r="1313" customFormat="false" ht="15" hidden="false" customHeight="false" outlineLevel="0" collapsed="false">
      <c r="A1313" s="0" t="s">
        <v>1637</v>
      </c>
      <c r="B1313" s="0" t="s">
        <v>67</v>
      </c>
      <c r="C1313" s="0" t="str">
        <f aca="false">INDEX(Intent_Analysis!$B$5:$B$81,MATCH(B1313,Intent_Analysis!$A$5:$A$81,0))</f>
        <v>Card usage &amp; features</v>
      </c>
      <c r="D1313" s="0" t="n">
        <f aca="false">INDEX(Intent_Analysis!$E$5:$E$81,MATCH(B1313,Intent_Analysis!$A$5:$A$81,0))</f>
        <v>2</v>
      </c>
    </row>
    <row r="1314" customFormat="false" ht="15" hidden="false" customHeight="false" outlineLevel="0" collapsed="false">
      <c r="A1314" s="0" t="s">
        <v>1638</v>
      </c>
      <c r="B1314" s="0" t="s">
        <v>67</v>
      </c>
      <c r="C1314" s="0" t="str">
        <f aca="false">INDEX(Intent_Analysis!$B$5:$B$81,MATCH(B1314,Intent_Analysis!$A$5:$A$81,0))</f>
        <v>Card usage &amp; features</v>
      </c>
      <c r="D1314" s="0" t="n">
        <f aca="false">INDEX(Intent_Analysis!$E$5:$E$81,MATCH(B1314,Intent_Analysis!$A$5:$A$81,0))</f>
        <v>2</v>
      </c>
    </row>
    <row r="1315" customFormat="false" ht="15" hidden="false" customHeight="false" outlineLevel="0" collapsed="false">
      <c r="A1315" s="0" t="s">
        <v>1639</v>
      </c>
      <c r="B1315" s="0" t="s">
        <v>67</v>
      </c>
      <c r="C1315" s="0" t="str">
        <f aca="false">INDEX(Intent_Analysis!$B$5:$B$81,MATCH(B1315,Intent_Analysis!$A$5:$A$81,0))</f>
        <v>Card usage &amp; features</v>
      </c>
      <c r="D1315" s="0" t="n">
        <f aca="false">INDEX(Intent_Analysis!$E$5:$E$81,MATCH(B1315,Intent_Analysis!$A$5:$A$81,0))</f>
        <v>2</v>
      </c>
    </row>
    <row r="1316" customFormat="false" ht="15" hidden="false" customHeight="false" outlineLevel="0" collapsed="false">
      <c r="A1316" s="0" t="s">
        <v>1640</v>
      </c>
      <c r="B1316" s="0" t="s">
        <v>67</v>
      </c>
      <c r="C1316" s="0" t="str">
        <f aca="false">INDEX(Intent_Analysis!$B$5:$B$81,MATCH(B1316,Intent_Analysis!$A$5:$A$81,0))</f>
        <v>Card usage &amp; features</v>
      </c>
      <c r="D1316" s="0" t="n">
        <f aca="false">INDEX(Intent_Analysis!$E$5:$E$81,MATCH(B1316,Intent_Analysis!$A$5:$A$81,0))</f>
        <v>2</v>
      </c>
    </row>
    <row r="1317" customFormat="false" ht="15" hidden="false" customHeight="false" outlineLevel="0" collapsed="false">
      <c r="A1317" s="0" t="s">
        <v>1641</v>
      </c>
      <c r="B1317" s="0" t="s">
        <v>67</v>
      </c>
      <c r="C1317" s="0" t="str">
        <f aca="false">INDEX(Intent_Analysis!$B$5:$B$81,MATCH(B1317,Intent_Analysis!$A$5:$A$81,0))</f>
        <v>Card usage &amp; features</v>
      </c>
      <c r="D1317" s="0" t="n">
        <f aca="false">INDEX(Intent_Analysis!$E$5:$E$81,MATCH(B1317,Intent_Analysis!$A$5:$A$81,0))</f>
        <v>2</v>
      </c>
    </row>
    <row r="1318" customFormat="false" ht="15" hidden="false" customHeight="false" outlineLevel="0" collapsed="false">
      <c r="A1318" s="0" t="s">
        <v>1642</v>
      </c>
      <c r="B1318" s="0" t="s">
        <v>67</v>
      </c>
      <c r="C1318" s="0" t="str">
        <f aca="false">INDEX(Intent_Analysis!$B$5:$B$81,MATCH(B1318,Intent_Analysis!$A$5:$A$81,0))</f>
        <v>Card usage &amp; features</v>
      </c>
      <c r="D1318" s="0" t="n">
        <f aca="false">INDEX(Intent_Analysis!$E$5:$E$81,MATCH(B1318,Intent_Analysis!$A$5:$A$81,0))</f>
        <v>2</v>
      </c>
    </row>
    <row r="1319" customFormat="false" ht="15" hidden="false" customHeight="false" outlineLevel="0" collapsed="false">
      <c r="A1319" s="0" t="s">
        <v>1643</v>
      </c>
      <c r="B1319" s="0" t="s">
        <v>67</v>
      </c>
      <c r="C1319" s="0" t="str">
        <f aca="false">INDEX(Intent_Analysis!$B$5:$B$81,MATCH(B1319,Intent_Analysis!$A$5:$A$81,0))</f>
        <v>Card usage &amp; features</v>
      </c>
      <c r="D1319" s="0" t="n">
        <f aca="false">INDEX(Intent_Analysis!$E$5:$E$81,MATCH(B1319,Intent_Analysis!$A$5:$A$81,0))</f>
        <v>2</v>
      </c>
    </row>
    <row r="1320" customFormat="false" ht="15" hidden="false" customHeight="false" outlineLevel="0" collapsed="false">
      <c r="A1320" s="0" t="s">
        <v>1644</v>
      </c>
      <c r="B1320" s="0" t="s">
        <v>67</v>
      </c>
      <c r="C1320" s="0" t="str">
        <f aca="false">INDEX(Intent_Analysis!$B$5:$B$81,MATCH(B1320,Intent_Analysis!$A$5:$A$81,0))</f>
        <v>Card usage &amp; features</v>
      </c>
      <c r="D1320" s="0" t="n">
        <f aca="false">INDEX(Intent_Analysis!$E$5:$E$81,MATCH(B1320,Intent_Analysis!$A$5:$A$81,0))</f>
        <v>2</v>
      </c>
    </row>
    <row r="1321" customFormat="false" ht="15" hidden="false" customHeight="false" outlineLevel="0" collapsed="false">
      <c r="A1321" s="0" t="s">
        <v>1645</v>
      </c>
      <c r="B1321" s="0" t="s">
        <v>67</v>
      </c>
      <c r="C1321" s="0" t="str">
        <f aca="false">INDEX(Intent_Analysis!$B$5:$B$81,MATCH(B1321,Intent_Analysis!$A$5:$A$81,0))</f>
        <v>Card usage &amp; features</v>
      </c>
      <c r="D1321" s="0" t="n">
        <f aca="false">INDEX(Intent_Analysis!$E$5:$E$81,MATCH(B1321,Intent_Analysis!$A$5:$A$81,0))</f>
        <v>2</v>
      </c>
    </row>
    <row r="1322" customFormat="false" ht="15" hidden="false" customHeight="false" outlineLevel="0" collapsed="false">
      <c r="A1322" s="0" t="s">
        <v>1646</v>
      </c>
      <c r="B1322" s="0" t="s">
        <v>67</v>
      </c>
      <c r="C1322" s="0" t="str">
        <f aca="false">INDEX(Intent_Analysis!$B$5:$B$81,MATCH(B1322,Intent_Analysis!$A$5:$A$81,0))</f>
        <v>Card usage &amp; features</v>
      </c>
      <c r="D1322" s="0" t="n">
        <f aca="false">INDEX(Intent_Analysis!$E$5:$E$81,MATCH(B1322,Intent_Analysis!$A$5:$A$81,0))</f>
        <v>2</v>
      </c>
    </row>
    <row r="1323" customFormat="false" ht="15" hidden="false" customHeight="false" outlineLevel="0" collapsed="false">
      <c r="A1323" s="0" t="s">
        <v>1647</v>
      </c>
      <c r="B1323" s="0" t="s">
        <v>67</v>
      </c>
      <c r="C1323" s="0" t="str">
        <f aca="false">INDEX(Intent_Analysis!$B$5:$B$81,MATCH(B1323,Intent_Analysis!$A$5:$A$81,0))</f>
        <v>Card usage &amp; features</v>
      </c>
      <c r="D1323" s="0" t="n">
        <f aca="false">INDEX(Intent_Analysis!$E$5:$E$81,MATCH(B1323,Intent_Analysis!$A$5:$A$81,0))</f>
        <v>2</v>
      </c>
    </row>
    <row r="1324" customFormat="false" ht="15" hidden="false" customHeight="false" outlineLevel="0" collapsed="false">
      <c r="A1324" s="0" t="s">
        <v>1648</v>
      </c>
      <c r="B1324" s="0" t="s">
        <v>67</v>
      </c>
      <c r="C1324" s="0" t="str">
        <f aca="false">INDEX(Intent_Analysis!$B$5:$B$81,MATCH(B1324,Intent_Analysis!$A$5:$A$81,0))</f>
        <v>Card usage &amp; features</v>
      </c>
      <c r="D1324" s="0" t="n">
        <f aca="false">INDEX(Intent_Analysis!$E$5:$E$81,MATCH(B1324,Intent_Analysis!$A$5:$A$81,0))</f>
        <v>2</v>
      </c>
    </row>
    <row r="1325" customFormat="false" ht="15" hidden="false" customHeight="false" outlineLevel="0" collapsed="false">
      <c r="A1325" s="0" t="s">
        <v>1649</v>
      </c>
      <c r="B1325" s="0" t="s">
        <v>67</v>
      </c>
      <c r="C1325" s="0" t="str">
        <f aca="false">INDEX(Intent_Analysis!$B$5:$B$81,MATCH(B1325,Intent_Analysis!$A$5:$A$81,0))</f>
        <v>Card usage &amp; features</v>
      </c>
      <c r="D1325" s="0" t="n">
        <f aca="false">INDEX(Intent_Analysis!$E$5:$E$81,MATCH(B1325,Intent_Analysis!$A$5:$A$81,0))</f>
        <v>2</v>
      </c>
    </row>
    <row r="1326" customFormat="false" ht="15" hidden="false" customHeight="false" outlineLevel="0" collapsed="false">
      <c r="A1326" s="0" t="s">
        <v>1650</v>
      </c>
      <c r="B1326" s="0" t="s">
        <v>67</v>
      </c>
      <c r="C1326" s="0" t="str">
        <f aca="false">INDEX(Intent_Analysis!$B$5:$B$81,MATCH(B1326,Intent_Analysis!$A$5:$A$81,0))</f>
        <v>Card usage &amp; features</v>
      </c>
      <c r="D1326" s="0" t="n">
        <f aca="false">INDEX(Intent_Analysis!$E$5:$E$81,MATCH(B1326,Intent_Analysis!$A$5:$A$81,0))</f>
        <v>2</v>
      </c>
    </row>
    <row r="1327" customFormat="false" ht="15" hidden="false" customHeight="false" outlineLevel="0" collapsed="false">
      <c r="A1327" s="0" t="s">
        <v>1651</v>
      </c>
      <c r="B1327" s="0" t="s">
        <v>67</v>
      </c>
      <c r="C1327" s="0" t="str">
        <f aca="false">INDEX(Intent_Analysis!$B$5:$B$81,MATCH(B1327,Intent_Analysis!$A$5:$A$81,0))</f>
        <v>Card usage &amp; features</v>
      </c>
      <c r="D1327" s="0" t="n">
        <f aca="false">INDEX(Intent_Analysis!$E$5:$E$81,MATCH(B1327,Intent_Analysis!$A$5:$A$81,0))</f>
        <v>2</v>
      </c>
    </row>
    <row r="1328" customFormat="false" ht="15" hidden="false" customHeight="false" outlineLevel="0" collapsed="false">
      <c r="A1328" s="0" t="s">
        <v>1652</v>
      </c>
      <c r="B1328" s="0" t="s">
        <v>67</v>
      </c>
      <c r="C1328" s="0" t="str">
        <f aca="false">INDEX(Intent_Analysis!$B$5:$B$81,MATCH(B1328,Intent_Analysis!$A$5:$A$81,0))</f>
        <v>Card usage &amp; features</v>
      </c>
      <c r="D1328" s="0" t="n">
        <f aca="false">INDEX(Intent_Analysis!$E$5:$E$81,MATCH(B1328,Intent_Analysis!$A$5:$A$81,0))</f>
        <v>2</v>
      </c>
    </row>
    <row r="1329" customFormat="false" ht="15" hidden="false" customHeight="false" outlineLevel="0" collapsed="false">
      <c r="A1329" s="0" t="s">
        <v>1653</v>
      </c>
      <c r="B1329" s="0" t="s">
        <v>67</v>
      </c>
      <c r="C1329" s="0" t="str">
        <f aca="false">INDEX(Intent_Analysis!$B$5:$B$81,MATCH(B1329,Intent_Analysis!$A$5:$A$81,0))</f>
        <v>Card usage &amp; features</v>
      </c>
      <c r="D1329" s="0" t="n">
        <f aca="false">INDEX(Intent_Analysis!$E$5:$E$81,MATCH(B1329,Intent_Analysis!$A$5:$A$81,0))</f>
        <v>2</v>
      </c>
    </row>
    <row r="1330" customFormat="false" ht="15" hidden="false" customHeight="false" outlineLevel="0" collapsed="false">
      <c r="A1330" s="0" t="s">
        <v>1654</v>
      </c>
      <c r="B1330" s="0" t="s">
        <v>67</v>
      </c>
      <c r="C1330" s="0" t="str">
        <f aca="false">INDEX(Intent_Analysis!$B$5:$B$81,MATCH(B1330,Intent_Analysis!$A$5:$A$81,0))</f>
        <v>Card usage &amp; features</v>
      </c>
      <c r="D1330" s="0" t="n">
        <f aca="false">INDEX(Intent_Analysis!$E$5:$E$81,MATCH(B1330,Intent_Analysis!$A$5:$A$81,0))</f>
        <v>2</v>
      </c>
    </row>
    <row r="1331" customFormat="false" ht="15" hidden="false" customHeight="false" outlineLevel="0" collapsed="false">
      <c r="A1331" s="0" t="s">
        <v>1655</v>
      </c>
      <c r="B1331" s="0" t="s">
        <v>67</v>
      </c>
      <c r="C1331" s="0" t="str">
        <f aca="false">INDEX(Intent_Analysis!$B$5:$B$81,MATCH(B1331,Intent_Analysis!$A$5:$A$81,0))</f>
        <v>Card usage &amp; features</v>
      </c>
      <c r="D1331" s="0" t="n">
        <f aca="false">INDEX(Intent_Analysis!$E$5:$E$81,MATCH(B1331,Intent_Analysis!$A$5:$A$81,0))</f>
        <v>2</v>
      </c>
    </row>
    <row r="1332" customFormat="false" ht="15" hidden="false" customHeight="false" outlineLevel="0" collapsed="false">
      <c r="A1332" s="0" t="s">
        <v>1656</v>
      </c>
      <c r="B1332" s="0" t="s">
        <v>67</v>
      </c>
      <c r="C1332" s="0" t="str">
        <f aca="false">INDEX(Intent_Analysis!$B$5:$B$81,MATCH(B1332,Intent_Analysis!$A$5:$A$81,0))</f>
        <v>Card usage &amp; features</v>
      </c>
      <c r="D1332" s="0" t="n">
        <f aca="false">INDEX(Intent_Analysis!$E$5:$E$81,MATCH(B1332,Intent_Analysis!$A$5:$A$81,0))</f>
        <v>2</v>
      </c>
    </row>
    <row r="1333" customFormat="false" ht="15" hidden="false" customHeight="false" outlineLevel="0" collapsed="false">
      <c r="A1333" s="0" t="s">
        <v>1657</v>
      </c>
      <c r="B1333" s="0" t="s">
        <v>67</v>
      </c>
      <c r="C1333" s="0" t="str">
        <f aca="false">INDEX(Intent_Analysis!$B$5:$B$81,MATCH(B1333,Intent_Analysis!$A$5:$A$81,0))</f>
        <v>Card usage &amp; features</v>
      </c>
      <c r="D1333" s="0" t="n">
        <f aca="false">INDEX(Intent_Analysis!$E$5:$E$81,MATCH(B1333,Intent_Analysis!$A$5:$A$81,0))</f>
        <v>2</v>
      </c>
    </row>
    <row r="1334" customFormat="false" ht="15" hidden="false" customHeight="false" outlineLevel="0" collapsed="false">
      <c r="A1334" s="0" t="s">
        <v>1658</v>
      </c>
      <c r="B1334" s="0" t="s">
        <v>67</v>
      </c>
      <c r="C1334" s="0" t="str">
        <f aca="false">INDEX(Intent_Analysis!$B$5:$B$81,MATCH(B1334,Intent_Analysis!$A$5:$A$81,0))</f>
        <v>Card usage &amp; features</v>
      </c>
      <c r="D1334" s="0" t="n">
        <f aca="false">INDEX(Intent_Analysis!$E$5:$E$81,MATCH(B1334,Intent_Analysis!$A$5:$A$81,0))</f>
        <v>2</v>
      </c>
    </row>
    <row r="1335" customFormat="false" ht="15" hidden="false" customHeight="false" outlineLevel="0" collapsed="false">
      <c r="A1335" s="0" t="s">
        <v>1659</v>
      </c>
      <c r="B1335" s="0" t="s">
        <v>67</v>
      </c>
      <c r="C1335" s="0" t="str">
        <f aca="false">INDEX(Intent_Analysis!$B$5:$B$81,MATCH(B1335,Intent_Analysis!$A$5:$A$81,0))</f>
        <v>Card usage &amp; features</v>
      </c>
      <c r="D1335" s="0" t="n">
        <f aca="false">INDEX(Intent_Analysis!$E$5:$E$81,MATCH(B1335,Intent_Analysis!$A$5:$A$81,0))</f>
        <v>2</v>
      </c>
    </row>
    <row r="1336" customFormat="false" ht="15" hidden="false" customHeight="false" outlineLevel="0" collapsed="false">
      <c r="A1336" s="0" t="s">
        <v>1660</v>
      </c>
      <c r="B1336" s="0" t="s">
        <v>67</v>
      </c>
      <c r="C1336" s="0" t="str">
        <f aca="false">INDEX(Intent_Analysis!$B$5:$B$81,MATCH(B1336,Intent_Analysis!$A$5:$A$81,0))</f>
        <v>Card usage &amp; features</v>
      </c>
      <c r="D1336" s="0" t="n">
        <f aca="false">INDEX(Intent_Analysis!$E$5:$E$81,MATCH(B1336,Intent_Analysis!$A$5:$A$81,0))</f>
        <v>2</v>
      </c>
    </row>
    <row r="1337" customFormat="false" ht="15" hidden="false" customHeight="false" outlineLevel="0" collapsed="false">
      <c r="A1337" s="0" t="s">
        <v>1661</v>
      </c>
      <c r="B1337" s="0" t="s">
        <v>67</v>
      </c>
      <c r="C1337" s="0" t="str">
        <f aca="false">INDEX(Intent_Analysis!$B$5:$B$81,MATCH(B1337,Intent_Analysis!$A$5:$A$81,0))</f>
        <v>Card usage &amp; features</v>
      </c>
      <c r="D1337" s="0" t="n">
        <f aca="false">INDEX(Intent_Analysis!$E$5:$E$81,MATCH(B1337,Intent_Analysis!$A$5:$A$81,0))</f>
        <v>2</v>
      </c>
    </row>
    <row r="1338" customFormat="false" ht="15" hidden="false" customHeight="false" outlineLevel="0" collapsed="false">
      <c r="A1338" s="0" t="s">
        <v>1662</v>
      </c>
      <c r="B1338" s="0" t="s">
        <v>67</v>
      </c>
      <c r="C1338" s="0" t="str">
        <f aca="false">INDEX(Intent_Analysis!$B$5:$B$81,MATCH(B1338,Intent_Analysis!$A$5:$A$81,0))</f>
        <v>Card usage &amp; features</v>
      </c>
      <c r="D1338" s="0" t="n">
        <f aca="false">INDEX(Intent_Analysis!$E$5:$E$81,MATCH(B1338,Intent_Analysis!$A$5:$A$81,0))</f>
        <v>2</v>
      </c>
    </row>
    <row r="1339" customFormat="false" ht="15" hidden="false" customHeight="false" outlineLevel="0" collapsed="false">
      <c r="A1339" s="0" t="s">
        <v>1663</v>
      </c>
      <c r="B1339" s="0" t="s">
        <v>67</v>
      </c>
      <c r="C1339" s="0" t="str">
        <f aca="false">INDEX(Intent_Analysis!$B$5:$B$81,MATCH(B1339,Intent_Analysis!$A$5:$A$81,0))</f>
        <v>Card usage &amp; features</v>
      </c>
      <c r="D1339" s="0" t="n">
        <f aca="false">INDEX(Intent_Analysis!$E$5:$E$81,MATCH(B1339,Intent_Analysis!$A$5:$A$81,0))</f>
        <v>2</v>
      </c>
    </row>
    <row r="1340" customFormat="false" ht="15" hidden="false" customHeight="false" outlineLevel="0" collapsed="false">
      <c r="A1340" s="0" t="s">
        <v>1664</v>
      </c>
      <c r="B1340" s="0" t="s">
        <v>67</v>
      </c>
      <c r="C1340" s="0" t="str">
        <f aca="false">INDEX(Intent_Analysis!$B$5:$B$81,MATCH(B1340,Intent_Analysis!$A$5:$A$81,0))</f>
        <v>Card usage &amp; features</v>
      </c>
      <c r="D1340" s="0" t="n">
        <f aca="false">INDEX(Intent_Analysis!$E$5:$E$81,MATCH(B1340,Intent_Analysis!$A$5:$A$81,0))</f>
        <v>2</v>
      </c>
    </row>
    <row r="1341" customFormat="false" ht="15" hidden="false" customHeight="false" outlineLevel="0" collapsed="false">
      <c r="A1341" s="0" t="s">
        <v>1665</v>
      </c>
      <c r="B1341" s="0" t="s">
        <v>67</v>
      </c>
      <c r="C1341" s="0" t="str">
        <f aca="false">INDEX(Intent_Analysis!$B$5:$B$81,MATCH(B1341,Intent_Analysis!$A$5:$A$81,0))</f>
        <v>Card usage &amp; features</v>
      </c>
      <c r="D1341" s="0" t="n">
        <f aca="false">INDEX(Intent_Analysis!$E$5:$E$81,MATCH(B1341,Intent_Analysis!$A$5:$A$81,0))</f>
        <v>2</v>
      </c>
    </row>
    <row r="1342" customFormat="false" ht="15" hidden="false" customHeight="false" outlineLevel="0" collapsed="false">
      <c r="A1342" s="0" t="s">
        <v>1666</v>
      </c>
      <c r="B1342" s="0" t="s">
        <v>67</v>
      </c>
      <c r="C1342" s="0" t="str">
        <f aca="false">INDEX(Intent_Analysis!$B$5:$B$81,MATCH(B1342,Intent_Analysis!$A$5:$A$81,0))</f>
        <v>Card usage &amp; features</v>
      </c>
      <c r="D1342" s="0" t="n">
        <f aca="false">INDEX(Intent_Analysis!$E$5:$E$81,MATCH(B1342,Intent_Analysis!$A$5:$A$81,0))</f>
        <v>2</v>
      </c>
    </row>
    <row r="1343" customFormat="false" ht="15" hidden="false" customHeight="false" outlineLevel="0" collapsed="false">
      <c r="A1343" s="0" t="s">
        <v>1667</v>
      </c>
      <c r="B1343" s="0" t="s">
        <v>67</v>
      </c>
      <c r="C1343" s="0" t="str">
        <f aca="false">INDEX(Intent_Analysis!$B$5:$B$81,MATCH(B1343,Intent_Analysis!$A$5:$A$81,0))</f>
        <v>Card usage &amp; features</v>
      </c>
      <c r="D1343" s="0" t="n">
        <f aca="false">INDEX(Intent_Analysis!$E$5:$E$81,MATCH(B1343,Intent_Analysis!$A$5:$A$81,0))</f>
        <v>2</v>
      </c>
    </row>
    <row r="1344" customFormat="false" ht="15" hidden="false" customHeight="false" outlineLevel="0" collapsed="false">
      <c r="A1344" s="0" t="s">
        <v>1668</v>
      </c>
      <c r="B1344" s="0" t="s">
        <v>67</v>
      </c>
      <c r="C1344" s="0" t="str">
        <f aca="false">INDEX(Intent_Analysis!$B$5:$B$81,MATCH(B1344,Intent_Analysis!$A$5:$A$81,0))</f>
        <v>Card usage &amp; features</v>
      </c>
      <c r="D1344" s="0" t="n">
        <f aca="false">INDEX(Intent_Analysis!$E$5:$E$81,MATCH(B1344,Intent_Analysis!$A$5:$A$81,0))</f>
        <v>2</v>
      </c>
    </row>
    <row r="1345" customFormat="false" ht="15" hidden="false" customHeight="false" outlineLevel="0" collapsed="false">
      <c r="A1345" s="0" t="s">
        <v>1669</v>
      </c>
      <c r="B1345" s="0" t="s">
        <v>67</v>
      </c>
      <c r="C1345" s="0" t="str">
        <f aca="false">INDEX(Intent_Analysis!$B$5:$B$81,MATCH(B1345,Intent_Analysis!$A$5:$A$81,0))</f>
        <v>Card usage &amp; features</v>
      </c>
      <c r="D1345" s="0" t="n">
        <f aca="false">INDEX(Intent_Analysis!$E$5:$E$81,MATCH(B1345,Intent_Analysis!$A$5:$A$81,0))</f>
        <v>2</v>
      </c>
    </row>
    <row r="1346" customFormat="false" ht="15" hidden="false" customHeight="false" outlineLevel="0" collapsed="false">
      <c r="A1346" s="0" t="s">
        <v>1670</v>
      </c>
      <c r="B1346" s="0" t="s">
        <v>67</v>
      </c>
      <c r="C1346" s="0" t="str">
        <f aca="false">INDEX(Intent_Analysis!$B$5:$B$81,MATCH(B1346,Intent_Analysis!$A$5:$A$81,0))</f>
        <v>Card usage &amp; features</v>
      </c>
      <c r="D1346" s="0" t="n">
        <f aca="false">INDEX(Intent_Analysis!$E$5:$E$81,MATCH(B1346,Intent_Analysis!$A$5:$A$81,0))</f>
        <v>2</v>
      </c>
    </row>
    <row r="1347" customFormat="false" ht="15" hidden="false" customHeight="false" outlineLevel="0" collapsed="false">
      <c r="A1347" s="0" t="s">
        <v>1671</v>
      </c>
      <c r="B1347" s="0" t="s">
        <v>67</v>
      </c>
      <c r="C1347" s="0" t="str">
        <f aca="false">INDEX(Intent_Analysis!$B$5:$B$81,MATCH(B1347,Intent_Analysis!$A$5:$A$81,0))</f>
        <v>Card usage &amp; features</v>
      </c>
      <c r="D1347" s="0" t="n">
        <f aca="false">INDEX(Intent_Analysis!$E$5:$E$81,MATCH(B1347,Intent_Analysis!$A$5:$A$81,0))</f>
        <v>2</v>
      </c>
    </row>
    <row r="1348" customFormat="false" ht="15" hidden="false" customHeight="false" outlineLevel="0" collapsed="false">
      <c r="A1348" s="0" t="s">
        <v>1672</v>
      </c>
      <c r="B1348" s="0" t="s">
        <v>67</v>
      </c>
      <c r="C1348" s="0" t="str">
        <f aca="false">INDEX(Intent_Analysis!$B$5:$B$81,MATCH(B1348,Intent_Analysis!$A$5:$A$81,0))</f>
        <v>Card usage &amp; features</v>
      </c>
      <c r="D1348" s="0" t="n">
        <f aca="false">INDEX(Intent_Analysis!$E$5:$E$81,MATCH(B1348,Intent_Analysis!$A$5:$A$81,0))</f>
        <v>2</v>
      </c>
    </row>
    <row r="1349" customFormat="false" ht="15" hidden="false" customHeight="false" outlineLevel="0" collapsed="false">
      <c r="A1349" s="0" t="s">
        <v>1673</v>
      </c>
      <c r="B1349" s="0" t="s">
        <v>67</v>
      </c>
      <c r="C1349" s="0" t="str">
        <f aca="false">INDEX(Intent_Analysis!$B$5:$B$81,MATCH(B1349,Intent_Analysis!$A$5:$A$81,0))</f>
        <v>Card usage &amp; features</v>
      </c>
      <c r="D1349" s="0" t="n">
        <f aca="false">INDEX(Intent_Analysis!$E$5:$E$81,MATCH(B1349,Intent_Analysis!$A$5:$A$81,0))</f>
        <v>2</v>
      </c>
    </row>
    <row r="1350" customFormat="false" ht="15" hidden="false" customHeight="false" outlineLevel="0" collapsed="false">
      <c r="A1350" s="0" t="s">
        <v>1674</v>
      </c>
      <c r="B1350" s="0" t="s">
        <v>67</v>
      </c>
      <c r="C1350" s="0" t="str">
        <f aca="false">INDEX(Intent_Analysis!$B$5:$B$81,MATCH(B1350,Intent_Analysis!$A$5:$A$81,0))</f>
        <v>Card usage &amp; features</v>
      </c>
      <c r="D1350" s="0" t="n">
        <f aca="false">INDEX(Intent_Analysis!$E$5:$E$81,MATCH(B1350,Intent_Analysis!$A$5:$A$81,0))</f>
        <v>2</v>
      </c>
    </row>
    <row r="1351" customFormat="false" ht="15" hidden="false" customHeight="false" outlineLevel="0" collapsed="false">
      <c r="A1351" s="0" t="s">
        <v>1675</v>
      </c>
      <c r="B1351" s="0" t="s">
        <v>67</v>
      </c>
      <c r="C1351" s="0" t="str">
        <f aca="false">INDEX(Intent_Analysis!$B$5:$B$81,MATCH(B1351,Intent_Analysis!$A$5:$A$81,0))</f>
        <v>Card usage &amp; features</v>
      </c>
      <c r="D1351" s="0" t="n">
        <f aca="false">INDEX(Intent_Analysis!$E$5:$E$81,MATCH(B1351,Intent_Analysis!$A$5:$A$81,0))</f>
        <v>2</v>
      </c>
    </row>
    <row r="1352" customFormat="false" ht="15" hidden="false" customHeight="false" outlineLevel="0" collapsed="false">
      <c r="A1352" s="0" t="s">
        <v>1676</v>
      </c>
      <c r="B1352" s="0" t="s">
        <v>67</v>
      </c>
      <c r="C1352" s="0" t="str">
        <f aca="false">INDEX(Intent_Analysis!$B$5:$B$81,MATCH(B1352,Intent_Analysis!$A$5:$A$81,0))</f>
        <v>Card usage &amp; features</v>
      </c>
      <c r="D1352" s="0" t="n">
        <f aca="false">INDEX(Intent_Analysis!$E$5:$E$81,MATCH(B1352,Intent_Analysis!$A$5:$A$81,0))</f>
        <v>2</v>
      </c>
    </row>
    <row r="1353" customFormat="false" ht="15" hidden="false" customHeight="false" outlineLevel="0" collapsed="false">
      <c r="A1353" s="0" t="s">
        <v>1677</v>
      </c>
      <c r="B1353" s="0" t="s">
        <v>67</v>
      </c>
      <c r="C1353" s="0" t="str">
        <f aca="false">INDEX(Intent_Analysis!$B$5:$B$81,MATCH(B1353,Intent_Analysis!$A$5:$A$81,0))</f>
        <v>Card usage &amp; features</v>
      </c>
      <c r="D1353" s="0" t="n">
        <f aca="false">INDEX(Intent_Analysis!$E$5:$E$81,MATCH(B1353,Intent_Analysis!$A$5:$A$81,0))</f>
        <v>2</v>
      </c>
    </row>
    <row r="1354" customFormat="false" ht="15" hidden="false" customHeight="false" outlineLevel="0" collapsed="false">
      <c r="A1354" s="0" t="s">
        <v>1678</v>
      </c>
      <c r="B1354" s="0" t="s">
        <v>67</v>
      </c>
      <c r="C1354" s="0" t="str">
        <f aca="false">INDEX(Intent_Analysis!$B$5:$B$81,MATCH(B1354,Intent_Analysis!$A$5:$A$81,0))</f>
        <v>Card usage &amp; features</v>
      </c>
      <c r="D1354" s="0" t="n">
        <f aca="false">INDEX(Intent_Analysis!$E$5:$E$81,MATCH(B1354,Intent_Analysis!$A$5:$A$81,0))</f>
        <v>2</v>
      </c>
    </row>
    <row r="1355" customFormat="false" ht="15" hidden="false" customHeight="false" outlineLevel="0" collapsed="false">
      <c r="A1355" s="0" t="s">
        <v>1679</v>
      </c>
      <c r="B1355" s="0" t="s">
        <v>67</v>
      </c>
      <c r="C1355" s="0" t="str">
        <f aca="false">INDEX(Intent_Analysis!$B$5:$B$81,MATCH(B1355,Intent_Analysis!$A$5:$A$81,0))</f>
        <v>Card usage &amp; features</v>
      </c>
      <c r="D1355" s="0" t="n">
        <f aca="false">INDEX(Intent_Analysis!$E$5:$E$81,MATCH(B1355,Intent_Analysis!$A$5:$A$81,0))</f>
        <v>2</v>
      </c>
    </row>
    <row r="1356" customFormat="false" ht="15" hidden="false" customHeight="false" outlineLevel="0" collapsed="false">
      <c r="A1356" s="0" t="s">
        <v>1680</v>
      </c>
      <c r="B1356" s="0" t="s">
        <v>67</v>
      </c>
      <c r="C1356" s="0" t="str">
        <f aca="false">INDEX(Intent_Analysis!$B$5:$B$81,MATCH(B1356,Intent_Analysis!$A$5:$A$81,0))</f>
        <v>Card usage &amp; features</v>
      </c>
      <c r="D1356" s="0" t="n">
        <f aca="false">INDEX(Intent_Analysis!$E$5:$E$81,MATCH(B1356,Intent_Analysis!$A$5:$A$81,0))</f>
        <v>2</v>
      </c>
    </row>
    <row r="1357" customFormat="false" ht="15" hidden="false" customHeight="false" outlineLevel="0" collapsed="false">
      <c r="A1357" s="0" t="s">
        <v>1681</v>
      </c>
      <c r="B1357" s="0" t="s">
        <v>67</v>
      </c>
      <c r="C1357" s="0" t="str">
        <f aca="false">INDEX(Intent_Analysis!$B$5:$B$81,MATCH(B1357,Intent_Analysis!$A$5:$A$81,0))</f>
        <v>Card usage &amp; features</v>
      </c>
      <c r="D1357" s="0" t="n">
        <f aca="false">INDEX(Intent_Analysis!$E$5:$E$81,MATCH(B1357,Intent_Analysis!$A$5:$A$81,0))</f>
        <v>2</v>
      </c>
    </row>
    <row r="1358" customFormat="false" ht="15" hidden="false" customHeight="false" outlineLevel="0" collapsed="false">
      <c r="A1358" s="0" t="s">
        <v>1682</v>
      </c>
      <c r="B1358" s="0" t="s">
        <v>67</v>
      </c>
      <c r="C1358" s="0" t="str">
        <f aca="false">INDEX(Intent_Analysis!$B$5:$B$81,MATCH(B1358,Intent_Analysis!$A$5:$A$81,0))</f>
        <v>Card usage &amp; features</v>
      </c>
      <c r="D1358" s="0" t="n">
        <f aca="false">INDEX(Intent_Analysis!$E$5:$E$81,MATCH(B1358,Intent_Analysis!$A$5:$A$81,0))</f>
        <v>2</v>
      </c>
    </row>
    <row r="1359" customFormat="false" ht="15" hidden="false" customHeight="false" outlineLevel="0" collapsed="false">
      <c r="A1359" s="0" t="s">
        <v>1683</v>
      </c>
      <c r="B1359" s="0" t="s">
        <v>85</v>
      </c>
      <c r="C1359" s="0" t="str">
        <f aca="false">INDEX(Intent_Analysis!$B$5:$B$81,MATCH(B1359,Intent_Analysis!$A$5:$A$81,0))</f>
        <v>Exchange rates &amp; currencies</v>
      </c>
      <c r="D1359" s="0" t="n">
        <f aca="false">INDEX(Intent_Analysis!$E$5:$E$81,MATCH(B1359,Intent_Analysis!$A$5:$A$81,0))</f>
        <v>1</v>
      </c>
    </row>
    <row r="1360" customFormat="false" ht="15" hidden="false" customHeight="false" outlineLevel="0" collapsed="false">
      <c r="A1360" s="0" t="s">
        <v>1684</v>
      </c>
      <c r="B1360" s="0" t="s">
        <v>85</v>
      </c>
      <c r="C1360" s="0" t="str">
        <f aca="false">INDEX(Intent_Analysis!$B$5:$B$81,MATCH(B1360,Intent_Analysis!$A$5:$A$81,0))</f>
        <v>Exchange rates &amp; currencies</v>
      </c>
      <c r="D1360" s="0" t="n">
        <f aca="false">INDEX(Intent_Analysis!$E$5:$E$81,MATCH(B1360,Intent_Analysis!$A$5:$A$81,0))</f>
        <v>1</v>
      </c>
    </row>
    <row r="1361" customFormat="false" ht="15" hidden="false" customHeight="false" outlineLevel="0" collapsed="false">
      <c r="A1361" s="0" t="s">
        <v>1685</v>
      </c>
      <c r="B1361" s="0" t="s">
        <v>85</v>
      </c>
      <c r="C1361" s="0" t="str">
        <f aca="false">INDEX(Intent_Analysis!$B$5:$B$81,MATCH(B1361,Intent_Analysis!$A$5:$A$81,0))</f>
        <v>Exchange rates &amp; currencies</v>
      </c>
      <c r="D1361" s="0" t="n">
        <f aca="false">INDEX(Intent_Analysis!$E$5:$E$81,MATCH(B1361,Intent_Analysis!$A$5:$A$81,0))</f>
        <v>1</v>
      </c>
    </row>
    <row r="1362" customFormat="false" ht="15" hidden="false" customHeight="false" outlineLevel="0" collapsed="false">
      <c r="A1362" s="0" t="s">
        <v>1686</v>
      </c>
      <c r="B1362" s="0" t="s">
        <v>85</v>
      </c>
      <c r="C1362" s="0" t="str">
        <f aca="false">INDEX(Intent_Analysis!$B$5:$B$81,MATCH(B1362,Intent_Analysis!$A$5:$A$81,0))</f>
        <v>Exchange rates &amp; currencies</v>
      </c>
      <c r="D1362" s="0" t="n">
        <f aca="false">INDEX(Intent_Analysis!$E$5:$E$81,MATCH(B1362,Intent_Analysis!$A$5:$A$81,0))</f>
        <v>1</v>
      </c>
    </row>
    <row r="1363" customFormat="false" ht="15" hidden="false" customHeight="false" outlineLevel="0" collapsed="false">
      <c r="A1363" s="0" t="s">
        <v>1687</v>
      </c>
      <c r="B1363" s="0" t="s">
        <v>85</v>
      </c>
      <c r="C1363" s="0" t="str">
        <f aca="false">INDEX(Intent_Analysis!$B$5:$B$81,MATCH(B1363,Intent_Analysis!$A$5:$A$81,0))</f>
        <v>Exchange rates &amp; currencies</v>
      </c>
      <c r="D1363" s="0" t="n">
        <f aca="false">INDEX(Intent_Analysis!$E$5:$E$81,MATCH(B1363,Intent_Analysis!$A$5:$A$81,0))</f>
        <v>1</v>
      </c>
    </row>
    <row r="1364" customFormat="false" ht="15" hidden="false" customHeight="false" outlineLevel="0" collapsed="false">
      <c r="A1364" s="0" t="s">
        <v>1688</v>
      </c>
      <c r="B1364" s="0" t="s">
        <v>85</v>
      </c>
      <c r="C1364" s="0" t="str">
        <f aca="false">INDEX(Intent_Analysis!$B$5:$B$81,MATCH(B1364,Intent_Analysis!$A$5:$A$81,0))</f>
        <v>Exchange rates &amp; currencies</v>
      </c>
      <c r="D1364" s="0" t="n">
        <f aca="false">INDEX(Intent_Analysis!$E$5:$E$81,MATCH(B1364,Intent_Analysis!$A$5:$A$81,0))</f>
        <v>1</v>
      </c>
    </row>
    <row r="1365" customFormat="false" ht="15" hidden="false" customHeight="false" outlineLevel="0" collapsed="false">
      <c r="A1365" s="0" t="s">
        <v>1689</v>
      </c>
      <c r="B1365" s="0" t="s">
        <v>85</v>
      </c>
      <c r="C1365" s="0" t="str">
        <f aca="false">INDEX(Intent_Analysis!$B$5:$B$81,MATCH(B1365,Intent_Analysis!$A$5:$A$81,0))</f>
        <v>Exchange rates &amp; currencies</v>
      </c>
      <c r="D1365" s="0" t="n">
        <f aca="false">INDEX(Intent_Analysis!$E$5:$E$81,MATCH(B1365,Intent_Analysis!$A$5:$A$81,0))</f>
        <v>1</v>
      </c>
    </row>
    <row r="1366" customFormat="false" ht="15" hidden="false" customHeight="false" outlineLevel="0" collapsed="false">
      <c r="A1366" s="0" t="s">
        <v>1690</v>
      </c>
      <c r="B1366" s="0" t="s">
        <v>85</v>
      </c>
      <c r="C1366" s="0" t="str">
        <f aca="false">INDEX(Intent_Analysis!$B$5:$B$81,MATCH(B1366,Intent_Analysis!$A$5:$A$81,0))</f>
        <v>Exchange rates &amp; currencies</v>
      </c>
      <c r="D1366" s="0" t="n">
        <f aca="false">INDEX(Intent_Analysis!$E$5:$E$81,MATCH(B1366,Intent_Analysis!$A$5:$A$81,0))</f>
        <v>1</v>
      </c>
    </row>
    <row r="1367" customFormat="false" ht="15" hidden="false" customHeight="false" outlineLevel="0" collapsed="false">
      <c r="A1367" s="0" t="s">
        <v>1691</v>
      </c>
      <c r="B1367" s="0" t="s">
        <v>85</v>
      </c>
      <c r="C1367" s="0" t="str">
        <f aca="false">INDEX(Intent_Analysis!$B$5:$B$81,MATCH(B1367,Intent_Analysis!$A$5:$A$81,0))</f>
        <v>Exchange rates &amp; currencies</v>
      </c>
      <c r="D1367" s="0" t="n">
        <f aca="false">INDEX(Intent_Analysis!$E$5:$E$81,MATCH(B1367,Intent_Analysis!$A$5:$A$81,0))</f>
        <v>1</v>
      </c>
    </row>
    <row r="1368" customFormat="false" ht="15" hidden="false" customHeight="false" outlineLevel="0" collapsed="false">
      <c r="A1368" s="0" t="s">
        <v>1692</v>
      </c>
      <c r="B1368" s="0" t="s">
        <v>85</v>
      </c>
      <c r="C1368" s="0" t="str">
        <f aca="false">INDEX(Intent_Analysis!$B$5:$B$81,MATCH(B1368,Intent_Analysis!$A$5:$A$81,0))</f>
        <v>Exchange rates &amp; currencies</v>
      </c>
      <c r="D1368" s="0" t="n">
        <f aca="false">INDEX(Intent_Analysis!$E$5:$E$81,MATCH(B1368,Intent_Analysis!$A$5:$A$81,0))</f>
        <v>1</v>
      </c>
    </row>
    <row r="1369" customFormat="false" ht="15" hidden="false" customHeight="false" outlineLevel="0" collapsed="false">
      <c r="A1369" s="0" t="s">
        <v>1693</v>
      </c>
      <c r="B1369" s="0" t="s">
        <v>85</v>
      </c>
      <c r="C1369" s="0" t="str">
        <f aca="false">INDEX(Intent_Analysis!$B$5:$B$81,MATCH(B1369,Intent_Analysis!$A$5:$A$81,0))</f>
        <v>Exchange rates &amp; currencies</v>
      </c>
      <c r="D1369" s="0" t="n">
        <f aca="false">INDEX(Intent_Analysis!$E$5:$E$81,MATCH(B1369,Intent_Analysis!$A$5:$A$81,0))</f>
        <v>1</v>
      </c>
    </row>
    <row r="1370" customFormat="false" ht="15" hidden="false" customHeight="false" outlineLevel="0" collapsed="false">
      <c r="A1370" s="0" t="s">
        <v>1694</v>
      </c>
      <c r="B1370" s="0" t="s">
        <v>85</v>
      </c>
      <c r="C1370" s="0" t="str">
        <f aca="false">INDEX(Intent_Analysis!$B$5:$B$81,MATCH(B1370,Intent_Analysis!$A$5:$A$81,0))</f>
        <v>Exchange rates &amp; currencies</v>
      </c>
      <c r="D1370" s="0" t="n">
        <f aca="false">INDEX(Intent_Analysis!$E$5:$E$81,MATCH(B1370,Intent_Analysis!$A$5:$A$81,0))</f>
        <v>1</v>
      </c>
    </row>
    <row r="1371" customFormat="false" ht="15" hidden="false" customHeight="false" outlineLevel="0" collapsed="false">
      <c r="A1371" s="0" t="s">
        <v>1695</v>
      </c>
      <c r="B1371" s="0" t="s">
        <v>85</v>
      </c>
      <c r="C1371" s="0" t="str">
        <f aca="false">INDEX(Intent_Analysis!$B$5:$B$81,MATCH(B1371,Intent_Analysis!$A$5:$A$81,0))</f>
        <v>Exchange rates &amp; currencies</v>
      </c>
      <c r="D1371" s="0" t="n">
        <f aca="false">INDEX(Intent_Analysis!$E$5:$E$81,MATCH(B1371,Intent_Analysis!$A$5:$A$81,0))</f>
        <v>1</v>
      </c>
    </row>
    <row r="1372" customFormat="false" ht="15" hidden="false" customHeight="false" outlineLevel="0" collapsed="false">
      <c r="A1372" s="0" t="s">
        <v>1696</v>
      </c>
      <c r="B1372" s="0" t="s">
        <v>85</v>
      </c>
      <c r="C1372" s="0" t="str">
        <f aca="false">INDEX(Intent_Analysis!$B$5:$B$81,MATCH(B1372,Intent_Analysis!$A$5:$A$81,0))</f>
        <v>Exchange rates &amp; currencies</v>
      </c>
      <c r="D1372" s="0" t="n">
        <f aca="false">INDEX(Intent_Analysis!$E$5:$E$81,MATCH(B1372,Intent_Analysis!$A$5:$A$81,0))</f>
        <v>1</v>
      </c>
    </row>
    <row r="1373" customFormat="false" ht="15" hidden="false" customHeight="false" outlineLevel="0" collapsed="false">
      <c r="A1373" s="0" t="s">
        <v>1697</v>
      </c>
      <c r="B1373" s="0" t="s">
        <v>85</v>
      </c>
      <c r="C1373" s="0" t="str">
        <f aca="false">INDEX(Intent_Analysis!$B$5:$B$81,MATCH(B1373,Intent_Analysis!$A$5:$A$81,0))</f>
        <v>Exchange rates &amp; currencies</v>
      </c>
      <c r="D1373" s="0" t="n">
        <f aca="false">INDEX(Intent_Analysis!$E$5:$E$81,MATCH(B1373,Intent_Analysis!$A$5:$A$81,0))</f>
        <v>1</v>
      </c>
    </row>
    <row r="1374" customFormat="false" ht="15" hidden="false" customHeight="false" outlineLevel="0" collapsed="false">
      <c r="A1374" s="0" t="s">
        <v>1698</v>
      </c>
      <c r="B1374" s="0" t="s">
        <v>85</v>
      </c>
      <c r="C1374" s="0" t="str">
        <f aca="false">INDEX(Intent_Analysis!$B$5:$B$81,MATCH(B1374,Intent_Analysis!$A$5:$A$81,0))</f>
        <v>Exchange rates &amp; currencies</v>
      </c>
      <c r="D1374" s="0" t="n">
        <f aca="false">INDEX(Intent_Analysis!$E$5:$E$81,MATCH(B1374,Intent_Analysis!$A$5:$A$81,0))</f>
        <v>1</v>
      </c>
    </row>
    <row r="1375" customFormat="false" ht="15" hidden="false" customHeight="false" outlineLevel="0" collapsed="false">
      <c r="A1375" s="0" t="s">
        <v>1699</v>
      </c>
      <c r="B1375" s="0" t="s">
        <v>85</v>
      </c>
      <c r="C1375" s="0" t="str">
        <f aca="false">INDEX(Intent_Analysis!$B$5:$B$81,MATCH(B1375,Intent_Analysis!$A$5:$A$81,0))</f>
        <v>Exchange rates &amp; currencies</v>
      </c>
      <c r="D1375" s="0" t="n">
        <f aca="false">INDEX(Intent_Analysis!$E$5:$E$81,MATCH(B1375,Intent_Analysis!$A$5:$A$81,0))</f>
        <v>1</v>
      </c>
    </row>
    <row r="1376" customFormat="false" ht="15" hidden="false" customHeight="false" outlineLevel="0" collapsed="false">
      <c r="A1376" s="0" t="s">
        <v>1700</v>
      </c>
      <c r="B1376" s="0" t="s">
        <v>85</v>
      </c>
      <c r="C1376" s="0" t="str">
        <f aca="false">INDEX(Intent_Analysis!$B$5:$B$81,MATCH(B1376,Intent_Analysis!$A$5:$A$81,0))</f>
        <v>Exchange rates &amp; currencies</v>
      </c>
      <c r="D1376" s="0" t="n">
        <f aca="false">INDEX(Intent_Analysis!$E$5:$E$81,MATCH(B1376,Intent_Analysis!$A$5:$A$81,0))</f>
        <v>1</v>
      </c>
    </row>
    <row r="1377" customFormat="false" ht="15" hidden="false" customHeight="false" outlineLevel="0" collapsed="false">
      <c r="A1377" s="0" t="s">
        <v>1701</v>
      </c>
      <c r="B1377" s="0" t="s">
        <v>85</v>
      </c>
      <c r="C1377" s="0" t="str">
        <f aca="false">INDEX(Intent_Analysis!$B$5:$B$81,MATCH(B1377,Intent_Analysis!$A$5:$A$81,0))</f>
        <v>Exchange rates &amp; currencies</v>
      </c>
      <c r="D1377" s="0" t="n">
        <f aca="false">INDEX(Intent_Analysis!$E$5:$E$81,MATCH(B1377,Intent_Analysis!$A$5:$A$81,0))</f>
        <v>1</v>
      </c>
    </row>
    <row r="1378" customFormat="false" ht="15" hidden="false" customHeight="false" outlineLevel="0" collapsed="false">
      <c r="A1378" s="0" t="s">
        <v>1702</v>
      </c>
      <c r="B1378" s="0" t="s">
        <v>85</v>
      </c>
      <c r="C1378" s="0" t="str">
        <f aca="false">INDEX(Intent_Analysis!$B$5:$B$81,MATCH(B1378,Intent_Analysis!$A$5:$A$81,0))</f>
        <v>Exchange rates &amp; currencies</v>
      </c>
      <c r="D1378" s="0" t="n">
        <f aca="false">INDEX(Intent_Analysis!$E$5:$E$81,MATCH(B1378,Intent_Analysis!$A$5:$A$81,0))</f>
        <v>1</v>
      </c>
    </row>
    <row r="1379" customFormat="false" ht="15" hidden="false" customHeight="false" outlineLevel="0" collapsed="false">
      <c r="A1379" s="0" t="s">
        <v>1703</v>
      </c>
      <c r="B1379" s="0" t="s">
        <v>85</v>
      </c>
      <c r="C1379" s="0" t="str">
        <f aca="false">INDEX(Intent_Analysis!$B$5:$B$81,MATCH(B1379,Intent_Analysis!$A$5:$A$81,0))</f>
        <v>Exchange rates &amp; currencies</v>
      </c>
      <c r="D1379" s="0" t="n">
        <f aca="false">INDEX(Intent_Analysis!$E$5:$E$81,MATCH(B1379,Intent_Analysis!$A$5:$A$81,0))</f>
        <v>1</v>
      </c>
    </row>
    <row r="1380" customFormat="false" ht="15" hidden="false" customHeight="false" outlineLevel="0" collapsed="false">
      <c r="A1380" s="0" t="s">
        <v>1704</v>
      </c>
      <c r="B1380" s="0" t="s">
        <v>85</v>
      </c>
      <c r="C1380" s="0" t="str">
        <f aca="false">INDEX(Intent_Analysis!$B$5:$B$81,MATCH(B1380,Intent_Analysis!$A$5:$A$81,0))</f>
        <v>Exchange rates &amp; currencies</v>
      </c>
      <c r="D1380" s="0" t="n">
        <f aca="false">INDEX(Intent_Analysis!$E$5:$E$81,MATCH(B1380,Intent_Analysis!$A$5:$A$81,0))</f>
        <v>1</v>
      </c>
    </row>
    <row r="1381" customFormat="false" ht="15" hidden="false" customHeight="false" outlineLevel="0" collapsed="false">
      <c r="A1381" s="0" t="s">
        <v>1705</v>
      </c>
      <c r="B1381" s="0" t="s">
        <v>85</v>
      </c>
      <c r="C1381" s="0" t="str">
        <f aca="false">INDEX(Intent_Analysis!$B$5:$B$81,MATCH(B1381,Intent_Analysis!$A$5:$A$81,0))</f>
        <v>Exchange rates &amp; currencies</v>
      </c>
      <c r="D1381" s="0" t="n">
        <f aca="false">INDEX(Intent_Analysis!$E$5:$E$81,MATCH(B1381,Intent_Analysis!$A$5:$A$81,0))</f>
        <v>1</v>
      </c>
    </row>
    <row r="1382" customFormat="false" ht="15" hidden="false" customHeight="false" outlineLevel="0" collapsed="false">
      <c r="A1382" s="0" t="s">
        <v>1706</v>
      </c>
      <c r="B1382" s="0" t="s">
        <v>85</v>
      </c>
      <c r="C1382" s="0" t="str">
        <f aca="false">INDEX(Intent_Analysis!$B$5:$B$81,MATCH(B1382,Intent_Analysis!$A$5:$A$81,0))</f>
        <v>Exchange rates &amp; currencies</v>
      </c>
      <c r="D1382" s="0" t="n">
        <f aca="false">INDEX(Intent_Analysis!$E$5:$E$81,MATCH(B1382,Intent_Analysis!$A$5:$A$81,0))</f>
        <v>1</v>
      </c>
    </row>
    <row r="1383" customFormat="false" ht="15" hidden="false" customHeight="false" outlineLevel="0" collapsed="false">
      <c r="A1383" s="0" t="s">
        <v>1707</v>
      </c>
      <c r="B1383" s="0" t="s">
        <v>85</v>
      </c>
      <c r="C1383" s="0" t="str">
        <f aca="false">INDEX(Intent_Analysis!$B$5:$B$81,MATCH(B1383,Intent_Analysis!$A$5:$A$81,0))</f>
        <v>Exchange rates &amp; currencies</v>
      </c>
      <c r="D1383" s="0" t="n">
        <f aca="false">INDEX(Intent_Analysis!$E$5:$E$81,MATCH(B1383,Intent_Analysis!$A$5:$A$81,0))</f>
        <v>1</v>
      </c>
    </row>
    <row r="1384" customFormat="false" ht="15" hidden="false" customHeight="false" outlineLevel="0" collapsed="false">
      <c r="A1384" s="0" t="s">
        <v>1708</v>
      </c>
      <c r="B1384" s="0" t="s">
        <v>85</v>
      </c>
      <c r="C1384" s="0" t="str">
        <f aca="false">INDEX(Intent_Analysis!$B$5:$B$81,MATCH(B1384,Intent_Analysis!$A$5:$A$81,0))</f>
        <v>Exchange rates &amp; currencies</v>
      </c>
      <c r="D1384" s="0" t="n">
        <f aca="false">INDEX(Intent_Analysis!$E$5:$E$81,MATCH(B1384,Intent_Analysis!$A$5:$A$81,0))</f>
        <v>1</v>
      </c>
    </row>
    <row r="1385" customFormat="false" ht="15" hidden="false" customHeight="false" outlineLevel="0" collapsed="false">
      <c r="A1385" s="0" t="s">
        <v>1709</v>
      </c>
      <c r="B1385" s="0" t="s">
        <v>85</v>
      </c>
      <c r="C1385" s="0" t="str">
        <f aca="false">INDEX(Intent_Analysis!$B$5:$B$81,MATCH(B1385,Intent_Analysis!$A$5:$A$81,0))</f>
        <v>Exchange rates &amp; currencies</v>
      </c>
      <c r="D1385" s="0" t="n">
        <f aca="false">INDEX(Intent_Analysis!$E$5:$E$81,MATCH(B1385,Intent_Analysis!$A$5:$A$81,0))</f>
        <v>1</v>
      </c>
    </row>
    <row r="1386" customFormat="false" ht="15" hidden="false" customHeight="false" outlineLevel="0" collapsed="false">
      <c r="A1386" s="0" t="s">
        <v>1710</v>
      </c>
      <c r="B1386" s="0" t="s">
        <v>85</v>
      </c>
      <c r="C1386" s="0" t="str">
        <f aca="false">INDEX(Intent_Analysis!$B$5:$B$81,MATCH(B1386,Intent_Analysis!$A$5:$A$81,0))</f>
        <v>Exchange rates &amp; currencies</v>
      </c>
      <c r="D1386" s="0" t="n">
        <f aca="false">INDEX(Intent_Analysis!$E$5:$E$81,MATCH(B1386,Intent_Analysis!$A$5:$A$81,0))</f>
        <v>1</v>
      </c>
    </row>
    <row r="1387" customFormat="false" ht="15" hidden="false" customHeight="false" outlineLevel="0" collapsed="false">
      <c r="A1387" s="0" t="s">
        <v>1711</v>
      </c>
      <c r="B1387" s="0" t="s">
        <v>85</v>
      </c>
      <c r="C1387" s="0" t="str">
        <f aca="false">INDEX(Intent_Analysis!$B$5:$B$81,MATCH(B1387,Intent_Analysis!$A$5:$A$81,0))</f>
        <v>Exchange rates &amp; currencies</v>
      </c>
      <c r="D1387" s="0" t="n">
        <f aca="false">INDEX(Intent_Analysis!$E$5:$E$81,MATCH(B1387,Intent_Analysis!$A$5:$A$81,0))</f>
        <v>1</v>
      </c>
    </row>
    <row r="1388" customFormat="false" ht="15" hidden="false" customHeight="false" outlineLevel="0" collapsed="false">
      <c r="A1388" s="0" t="s">
        <v>1712</v>
      </c>
      <c r="B1388" s="0" t="s">
        <v>85</v>
      </c>
      <c r="C1388" s="0" t="str">
        <f aca="false">INDEX(Intent_Analysis!$B$5:$B$81,MATCH(B1388,Intent_Analysis!$A$5:$A$81,0))</f>
        <v>Exchange rates &amp; currencies</v>
      </c>
      <c r="D1388" s="0" t="n">
        <f aca="false">INDEX(Intent_Analysis!$E$5:$E$81,MATCH(B1388,Intent_Analysis!$A$5:$A$81,0))</f>
        <v>1</v>
      </c>
    </row>
    <row r="1389" customFormat="false" ht="15" hidden="false" customHeight="false" outlineLevel="0" collapsed="false">
      <c r="A1389" s="0" t="s">
        <v>1713</v>
      </c>
      <c r="B1389" s="0" t="s">
        <v>85</v>
      </c>
      <c r="C1389" s="0" t="str">
        <f aca="false">INDEX(Intent_Analysis!$B$5:$B$81,MATCH(B1389,Intent_Analysis!$A$5:$A$81,0))</f>
        <v>Exchange rates &amp; currencies</v>
      </c>
      <c r="D1389" s="0" t="n">
        <f aca="false">INDEX(Intent_Analysis!$E$5:$E$81,MATCH(B1389,Intent_Analysis!$A$5:$A$81,0))</f>
        <v>1</v>
      </c>
    </row>
    <row r="1390" customFormat="false" ht="15" hidden="false" customHeight="false" outlineLevel="0" collapsed="false">
      <c r="A1390" s="0" t="s">
        <v>1714</v>
      </c>
      <c r="B1390" s="0" t="s">
        <v>85</v>
      </c>
      <c r="C1390" s="0" t="str">
        <f aca="false">INDEX(Intent_Analysis!$B$5:$B$81,MATCH(B1390,Intent_Analysis!$A$5:$A$81,0))</f>
        <v>Exchange rates &amp; currencies</v>
      </c>
      <c r="D1390" s="0" t="n">
        <f aca="false">INDEX(Intent_Analysis!$E$5:$E$81,MATCH(B1390,Intent_Analysis!$A$5:$A$81,0))</f>
        <v>1</v>
      </c>
    </row>
    <row r="1391" customFormat="false" ht="15" hidden="false" customHeight="false" outlineLevel="0" collapsed="false">
      <c r="A1391" s="0" t="s">
        <v>1715</v>
      </c>
      <c r="B1391" s="0" t="s">
        <v>85</v>
      </c>
      <c r="C1391" s="0" t="str">
        <f aca="false">INDEX(Intent_Analysis!$B$5:$B$81,MATCH(B1391,Intent_Analysis!$A$5:$A$81,0))</f>
        <v>Exchange rates &amp; currencies</v>
      </c>
      <c r="D1391" s="0" t="n">
        <f aca="false">INDEX(Intent_Analysis!$E$5:$E$81,MATCH(B1391,Intent_Analysis!$A$5:$A$81,0))</f>
        <v>1</v>
      </c>
    </row>
    <row r="1392" customFormat="false" ht="15" hidden="false" customHeight="false" outlineLevel="0" collapsed="false">
      <c r="A1392" s="0" t="s">
        <v>1716</v>
      </c>
      <c r="B1392" s="0" t="s">
        <v>85</v>
      </c>
      <c r="C1392" s="0" t="str">
        <f aca="false">INDEX(Intent_Analysis!$B$5:$B$81,MATCH(B1392,Intent_Analysis!$A$5:$A$81,0))</f>
        <v>Exchange rates &amp; currencies</v>
      </c>
      <c r="D1392" s="0" t="n">
        <f aca="false">INDEX(Intent_Analysis!$E$5:$E$81,MATCH(B1392,Intent_Analysis!$A$5:$A$81,0))</f>
        <v>1</v>
      </c>
    </row>
    <row r="1393" customFormat="false" ht="15" hidden="false" customHeight="false" outlineLevel="0" collapsed="false">
      <c r="A1393" s="0" t="s">
        <v>1717</v>
      </c>
      <c r="B1393" s="0" t="s">
        <v>85</v>
      </c>
      <c r="C1393" s="0" t="str">
        <f aca="false">INDEX(Intent_Analysis!$B$5:$B$81,MATCH(B1393,Intent_Analysis!$A$5:$A$81,0))</f>
        <v>Exchange rates &amp; currencies</v>
      </c>
      <c r="D1393" s="0" t="n">
        <f aca="false">INDEX(Intent_Analysis!$E$5:$E$81,MATCH(B1393,Intent_Analysis!$A$5:$A$81,0))</f>
        <v>1</v>
      </c>
    </row>
    <row r="1394" customFormat="false" ht="15" hidden="false" customHeight="false" outlineLevel="0" collapsed="false">
      <c r="A1394" s="0" t="s">
        <v>1718</v>
      </c>
      <c r="B1394" s="0" t="s">
        <v>85</v>
      </c>
      <c r="C1394" s="0" t="str">
        <f aca="false">INDEX(Intent_Analysis!$B$5:$B$81,MATCH(B1394,Intent_Analysis!$A$5:$A$81,0))</f>
        <v>Exchange rates &amp; currencies</v>
      </c>
      <c r="D1394" s="0" t="n">
        <f aca="false">INDEX(Intent_Analysis!$E$5:$E$81,MATCH(B1394,Intent_Analysis!$A$5:$A$81,0))</f>
        <v>1</v>
      </c>
    </row>
    <row r="1395" customFormat="false" ht="15" hidden="false" customHeight="false" outlineLevel="0" collapsed="false">
      <c r="A1395" s="0" t="s">
        <v>1719</v>
      </c>
      <c r="B1395" s="0" t="s">
        <v>85</v>
      </c>
      <c r="C1395" s="0" t="str">
        <f aca="false">INDEX(Intent_Analysis!$B$5:$B$81,MATCH(B1395,Intent_Analysis!$A$5:$A$81,0))</f>
        <v>Exchange rates &amp; currencies</v>
      </c>
      <c r="D1395" s="0" t="n">
        <f aca="false">INDEX(Intent_Analysis!$E$5:$E$81,MATCH(B1395,Intent_Analysis!$A$5:$A$81,0))</f>
        <v>1</v>
      </c>
    </row>
    <row r="1396" customFormat="false" ht="15" hidden="false" customHeight="false" outlineLevel="0" collapsed="false">
      <c r="A1396" s="0" t="s">
        <v>1720</v>
      </c>
      <c r="B1396" s="0" t="s">
        <v>85</v>
      </c>
      <c r="C1396" s="0" t="str">
        <f aca="false">INDEX(Intent_Analysis!$B$5:$B$81,MATCH(B1396,Intent_Analysis!$A$5:$A$81,0))</f>
        <v>Exchange rates &amp; currencies</v>
      </c>
      <c r="D1396" s="0" t="n">
        <f aca="false">INDEX(Intent_Analysis!$E$5:$E$81,MATCH(B1396,Intent_Analysis!$A$5:$A$81,0))</f>
        <v>1</v>
      </c>
    </row>
    <row r="1397" customFormat="false" ht="15" hidden="false" customHeight="false" outlineLevel="0" collapsed="false">
      <c r="A1397" s="0" t="s">
        <v>1721</v>
      </c>
      <c r="B1397" s="0" t="s">
        <v>85</v>
      </c>
      <c r="C1397" s="0" t="str">
        <f aca="false">INDEX(Intent_Analysis!$B$5:$B$81,MATCH(B1397,Intent_Analysis!$A$5:$A$81,0))</f>
        <v>Exchange rates &amp; currencies</v>
      </c>
      <c r="D1397" s="0" t="n">
        <f aca="false">INDEX(Intent_Analysis!$E$5:$E$81,MATCH(B1397,Intent_Analysis!$A$5:$A$81,0))</f>
        <v>1</v>
      </c>
    </row>
    <row r="1398" customFormat="false" ht="15" hidden="false" customHeight="false" outlineLevel="0" collapsed="false">
      <c r="A1398" s="0" t="s">
        <v>1722</v>
      </c>
      <c r="B1398" s="0" t="s">
        <v>85</v>
      </c>
      <c r="C1398" s="0" t="str">
        <f aca="false">INDEX(Intent_Analysis!$B$5:$B$81,MATCH(B1398,Intent_Analysis!$A$5:$A$81,0))</f>
        <v>Exchange rates &amp; currencies</v>
      </c>
      <c r="D1398" s="0" t="n">
        <f aca="false">INDEX(Intent_Analysis!$E$5:$E$81,MATCH(B1398,Intent_Analysis!$A$5:$A$81,0))</f>
        <v>1</v>
      </c>
    </row>
    <row r="1399" customFormat="false" ht="15" hidden="false" customHeight="false" outlineLevel="0" collapsed="false">
      <c r="A1399" s="0" t="s">
        <v>1723</v>
      </c>
      <c r="B1399" s="0" t="s">
        <v>85</v>
      </c>
      <c r="C1399" s="0" t="str">
        <f aca="false">INDEX(Intent_Analysis!$B$5:$B$81,MATCH(B1399,Intent_Analysis!$A$5:$A$81,0))</f>
        <v>Exchange rates &amp; currencies</v>
      </c>
      <c r="D1399" s="0" t="n">
        <f aca="false">INDEX(Intent_Analysis!$E$5:$E$81,MATCH(B1399,Intent_Analysis!$A$5:$A$81,0))</f>
        <v>1</v>
      </c>
    </row>
    <row r="1400" customFormat="false" ht="15" hidden="false" customHeight="false" outlineLevel="0" collapsed="false">
      <c r="A1400" s="0" t="s">
        <v>1724</v>
      </c>
      <c r="B1400" s="0" t="s">
        <v>85</v>
      </c>
      <c r="C1400" s="0" t="str">
        <f aca="false">INDEX(Intent_Analysis!$B$5:$B$81,MATCH(B1400,Intent_Analysis!$A$5:$A$81,0))</f>
        <v>Exchange rates &amp; currencies</v>
      </c>
      <c r="D1400" s="0" t="n">
        <f aca="false">INDEX(Intent_Analysis!$E$5:$E$81,MATCH(B1400,Intent_Analysis!$A$5:$A$81,0))</f>
        <v>1</v>
      </c>
    </row>
    <row r="1401" customFormat="false" ht="15" hidden="false" customHeight="false" outlineLevel="0" collapsed="false">
      <c r="A1401" s="0" t="s">
        <v>1725</v>
      </c>
      <c r="B1401" s="0" t="s">
        <v>85</v>
      </c>
      <c r="C1401" s="0" t="str">
        <f aca="false">INDEX(Intent_Analysis!$B$5:$B$81,MATCH(B1401,Intent_Analysis!$A$5:$A$81,0))</f>
        <v>Exchange rates &amp; currencies</v>
      </c>
      <c r="D1401" s="0" t="n">
        <f aca="false">INDEX(Intent_Analysis!$E$5:$E$81,MATCH(B1401,Intent_Analysis!$A$5:$A$81,0))</f>
        <v>1</v>
      </c>
    </row>
    <row r="1402" customFormat="false" ht="15" hidden="false" customHeight="false" outlineLevel="0" collapsed="false">
      <c r="A1402" s="0" t="s">
        <v>1726</v>
      </c>
      <c r="B1402" s="0" t="s">
        <v>85</v>
      </c>
      <c r="C1402" s="0" t="str">
        <f aca="false">INDEX(Intent_Analysis!$B$5:$B$81,MATCH(B1402,Intent_Analysis!$A$5:$A$81,0))</f>
        <v>Exchange rates &amp; currencies</v>
      </c>
      <c r="D1402" s="0" t="n">
        <f aca="false">INDEX(Intent_Analysis!$E$5:$E$81,MATCH(B1402,Intent_Analysis!$A$5:$A$81,0))</f>
        <v>1</v>
      </c>
    </row>
    <row r="1403" customFormat="false" ht="15" hidden="false" customHeight="false" outlineLevel="0" collapsed="false">
      <c r="A1403" s="0" t="s">
        <v>1727</v>
      </c>
      <c r="B1403" s="0" t="s">
        <v>85</v>
      </c>
      <c r="C1403" s="0" t="str">
        <f aca="false">INDEX(Intent_Analysis!$B$5:$B$81,MATCH(B1403,Intent_Analysis!$A$5:$A$81,0))</f>
        <v>Exchange rates &amp; currencies</v>
      </c>
      <c r="D1403" s="0" t="n">
        <f aca="false">INDEX(Intent_Analysis!$E$5:$E$81,MATCH(B1403,Intent_Analysis!$A$5:$A$81,0))</f>
        <v>1</v>
      </c>
    </row>
    <row r="1404" customFormat="false" ht="15" hidden="false" customHeight="false" outlineLevel="0" collapsed="false">
      <c r="A1404" s="0" t="s">
        <v>1728</v>
      </c>
      <c r="B1404" s="0" t="s">
        <v>85</v>
      </c>
      <c r="C1404" s="0" t="str">
        <f aca="false">INDEX(Intent_Analysis!$B$5:$B$81,MATCH(B1404,Intent_Analysis!$A$5:$A$81,0))</f>
        <v>Exchange rates &amp; currencies</v>
      </c>
      <c r="D1404" s="0" t="n">
        <f aca="false">INDEX(Intent_Analysis!$E$5:$E$81,MATCH(B1404,Intent_Analysis!$A$5:$A$81,0))</f>
        <v>1</v>
      </c>
    </row>
    <row r="1405" customFormat="false" ht="15" hidden="false" customHeight="false" outlineLevel="0" collapsed="false">
      <c r="A1405" s="0" t="s">
        <v>1729</v>
      </c>
      <c r="B1405" s="0" t="s">
        <v>85</v>
      </c>
      <c r="C1405" s="0" t="str">
        <f aca="false">INDEX(Intent_Analysis!$B$5:$B$81,MATCH(B1405,Intent_Analysis!$A$5:$A$81,0))</f>
        <v>Exchange rates &amp; currencies</v>
      </c>
      <c r="D1405" s="0" t="n">
        <f aca="false">INDEX(Intent_Analysis!$E$5:$E$81,MATCH(B1405,Intent_Analysis!$A$5:$A$81,0))</f>
        <v>1</v>
      </c>
    </row>
    <row r="1406" customFormat="false" ht="15" hidden="false" customHeight="false" outlineLevel="0" collapsed="false">
      <c r="A1406" s="0" t="s">
        <v>1730</v>
      </c>
      <c r="B1406" s="0" t="s">
        <v>85</v>
      </c>
      <c r="C1406" s="0" t="str">
        <f aca="false">INDEX(Intent_Analysis!$B$5:$B$81,MATCH(B1406,Intent_Analysis!$A$5:$A$81,0))</f>
        <v>Exchange rates &amp; currencies</v>
      </c>
      <c r="D1406" s="0" t="n">
        <f aca="false">INDEX(Intent_Analysis!$E$5:$E$81,MATCH(B1406,Intent_Analysis!$A$5:$A$81,0))</f>
        <v>1</v>
      </c>
    </row>
    <row r="1407" customFormat="false" ht="15" hidden="false" customHeight="false" outlineLevel="0" collapsed="false">
      <c r="A1407" s="0" t="s">
        <v>1731</v>
      </c>
      <c r="B1407" s="0" t="s">
        <v>85</v>
      </c>
      <c r="C1407" s="0" t="str">
        <f aca="false">INDEX(Intent_Analysis!$B$5:$B$81,MATCH(B1407,Intent_Analysis!$A$5:$A$81,0))</f>
        <v>Exchange rates &amp; currencies</v>
      </c>
      <c r="D1407" s="0" t="n">
        <f aca="false">INDEX(Intent_Analysis!$E$5:$E$81,MATCH(B1407,Intent_Analysis!$A$5:$A$81,0))</f>
        <v>1</v>
      </c>
    </row>
    <row r="1408" customFormat="false" ht="15" hidden="false" customHeight="false" outlineLevel="0" collapsed="false">
      <c r="A1408" s="0" t="s">
        <v>1732</v>
      </c>
      <c r="B1408" s="0" t="s">
        <v>85</v>
      </c>
      <c r="C1408" s="0" t="str">
        <f aca="false">INDEX(Intent_Analysis!$B$5:$B$81,MATCH(B1408,Intent_Analysis!$A$5:$A$81,0))</f>
        <v>Exchange rates &amp; currencies</v>
      </c>
      <c r="D1408" s="0" t="n">
        <f aca="false">INDEX(Intent_Analysis!$E$5:$E$81,MATCH(B1408,Intent_Analysis!$A$5:$A$81,0))</f>
        <v>1</v>
      </c>
    </row>
    <row r="1409" customFormat="false" ht="15" hidden="false" customHeight="false" outlineLevel="0" collapsed="false">
      <c r="A1409" s="0" t="s">
        <v>1733</v>
      </c>
      <c r="B1409" s="0" t="s">
        <v>85</v>
      </c>
      <c r="C1409" s="0" t="str">
        <f aca="false">INDEX(Intent_Analysis!$B$5:$B$81,MATCH(B1409,Intent_Analysis!$A$5:$A$81,0))</f>
        <v>Exchange rates &amp; currencies</v>
      </c>
      <c r="D1409" s="0" t="n">
        <f aca="false">INDEX(Intent_Analysis!$E$5:$E$81,MATCH(B1409,Intent_Analysis!$A$5:$A$81,0))</f>
        <v>1</v>
      </c>
    </row>
    <row r="1410" customFormat="false" ht="15" hidden="false" customHeight="false" outlineLevel="0" collapsed="false">
      <c r="A1410" s="0" t="s">
        <v>1734</v>
      </c>
      <c r="B1410" s="0" t="s">
        <v>85</v>
      </c>
      <c r="C1410" s="0" t="str">
        <f aca="false">INDEX(Intent_Analysis!$B$5:$B$81,MATCH(B1410,Intent_Analysis!$A$5:$A$81,0))</f>
        <v>Exchange rates &amp; currencies</v>
      </c>
      <c r="D1410" s="0" t="n">
        <f aca="false">INDEX(Intent_Analysis!$E$5:$E$81,MATCH(B1410,Intent_Analysis!$A$5:$A$81,0))</f>
        <v>1</v>
      </c>
    </row>
    <row r="1411" customFormat="false" ht="15" hidden="false" customHeight="false" outlineLevel="0" collapsed="false">
      <c r="A1411" s="0" t="s">
        <v>1735</v>
      </c>
      <c r="B1411" s="0" t="s">
        <v>85</v>
      </c>
      <c r="C1411" s="0" t="str">
        <f aca="false">INDEX(Intent_Analysis!$B$5:$B$81,MATCH(B1411,Intent_Analysis!$A$5:$A$81,0))</f>
        <v>Exchange rates &amp; currencies</v>
      </c>
      <c r="D1411" s="0" t="n">
        <f aca="false">INDEX(Intent_Analysis!$E$5:$E$81,MATCH(B1411,Intent_Analysis!$A$5:$A$81,0))</f>
        <v>1</v>
      </c>
    </row>
    <row r="1412" customFormat="false" ht="15" hidden="false" customHeight="false" outlineLevel="0" collapsed="false">
      <c r="A1412" s="0" t="s">
        <v>1736</v>
      </c>
      <c r="B1412" s="0" t="s">
        <v>85</v>
      </c>
      <c r="C1412" s="0" t="str">
        <f aca="false">INDEX(Intent_Analysis!$B$5:$B$81,MATCH(B1412,Intent_Analysis!$A$5:$A$81,0))</f>
        <v>Exchange rates &amp; currencies</v>
      </c>
      <c r="D1412" s="0" t="n">
        <f aca="false">INDEX(Intent_Analysis!$E$5:$E$81,MATCH(B1412,Intent_Analysis!$A$5:$A$81,0))</f>
        <v>1</v>
      </c>
    </row>
    <row r="1413" customFormat="false" ht="15" hidden="false" customHeight="false" outlineLevel="0" collapsed="false">
      <c r="A1413" s="0" t="s">
        <v>1737</v>
      </c>
      <c r="B1413" s="0" t="s">
        <v>85</v>
      </c>
      <c r="C1413" s="0" t="str">
        <f aca="false">INDEX(Intent_Analysis!$B$5:$B$81,MATCH(B1413,Intent_Analysis!$A$5:$A$81,0))</f>
        <v>Exchange rates &amp; currencies</v>
      </c>
      <c r="D1413" s="0" t="n">
        <f aca="false">INDEX(Intent_Analysis!$E$5:$E$81,MATCH(B1413,Intent_Analysis!$A$5:$A$81,0))</f>
        <v>1</v>
      </c>
    </row>
    <row r="1414" customFormat="false" ht="15" hidden="false" customHeight="false" outlineLevel="0" collapsed="false">
      <c r="A1414" s="0" t="s">
        <v>1738</v>
      </c>
      <c r="B1414" s="0" t="s">
        <v>85</v>
      </c>
      <c r="C1414" s="0" t="str">
        <f aca="false">INDEX(Intent_Analysis!$B$5:$B$81,MATCH(B1414,Intent_Analysis!$A$5:$A$81,0))</f>
        <v>Exchange rates &amp; currencies</v>
      </c>
      <c r="D1414" s="0" t="n">
        <f aca="false">INDEX(Intent_Analysis!$E$5:$E$81,MATCH(B1414,Intent_Analysis!$A$5:$A$81,0))</f>
        <v>1</v>
      </c>
    </row>
    <row r="1415" customFormat="false" ht="15" hidden="false" customHeight="false" outlineLevel="0" collapsed="false">
      <c r="A1415" s="0" t="s">
        <v>1739</v>
      </c>
      <c r="B1415" s="0" t="s">
        <v>85</v>
      </c>
      <c r="C1415" s="0" t="str">
        <f aca="false">INDEX(Intent_Analysis!$B$5:$B$81,MATCH(B1415,Intent_Analysis!$A$5:$A$81,0))</f>
        <v>Exchange rates &amp; currencies</v>
      </c>
      <c r="D1415" s="0" t="n">
        <f aca="false">INDEX(Intent_Analysis!$E$5:$E$81,MATCH(B1415,Intent_Analysis!$A$5:$A$81,0))</f>
        <v>1</v>
      </c>
    </row>
    <row r="1416" customFormat="false" ht="15" hidden="false" customHeight="false" outlineLevel="0" collapsed="false">
      <c r="A1416" s="0" t="s">
        <v>1740</v>
      </c>
      <c r="B1416" s="0" t="s">
        <v>85</v>
      </c>
      <c r="C1416" s="0" t="str">
        <f aca="false">INDEX(Intent_Analysis!$B$5:$B$81,MATCH(B1416,Intent_Analysis!$A$5:$A$81,0))</f>
        <v>Exchange rates &amp; currencies</v>
      </c>
      <c r="D1416" s="0" t="n">
        <f aca="false">INDEX(Intent_Analysis!$E$5:$E$81,MATCH(B1416,Intent_Analysis!$A$5:$A$81,0))</f>
        <v>1</v>
      </c>
    </row>
    <row r="1417" customFormat="false" ht="15" hidden="false" customHeight="false" outlineLevel="0" collapsed="false">
      <c r="A1417" s="0" t="s">
        <v>1741</v>
      </c>
      <c r="B1417" s="0" t="s">
        <v>85</v>
      </c>
      <c r="C1417" s="0" t="str">
        <f aca="false">INDEX(Intent_Analysis!$B$5:$B$81,MATCH(B1417,Intent_Analysis!$A$5:$A$81,0))</f>
        <v>Exchange rates &amp; currencies</v>
      </c>
      <c r="D1417" s="0" t="n">
        <f aca="false">INDEX(Intent_Analysis!$E$5:$E$81,MATCH(B1417,Intent_Analysis!$A$5:$A$81,0))</f>
        <v>1</v>
      </c>
    </row>
    <row r="1418" customFormat="false" ht="15" hidden="false" customHeight="false" outlineLevel="0" collapsed="false">
      <c r="A1418" s="0" t="s">
        <v>1742</v>
      </c>
      <c r="B1418" s="0" t="s">
        <v>85</v>
      </c>
      <c r="C1418" s="0" t="str">
        <f aca="false">INDEX(Intent_Analysis!$B$5:$B$81,MATCH(B1418,Intent_Analysis!$A$5:$A$81,0))</f>
        <v>Exchange rates &amp; currencies</v>
      </c>
      <c r="D1418" s="0" t="n">
        <f aca="false">INDEX(Intent_Analysis!$E$5:$E$81,MATCH(B1418,Intent_Analysis!$A$5:$A$81,0))</f>
        <v>1</v>
      </c>
    </row>
    <row r="1419" customFormat="false" ht="15" hidden="false" customHeight="false" outlineLevel="0" collapsed="false">
      <c r="A1419" s="0" t="s">
        <v>1743</v>
      </c>
      <c r="B1419" s="0" t="s">
        <v>85</v>
      </c>
      <c r="C1419" s="0" t="str">
        <f aca="false">INDEX(Intent_Analysis!$B$5:$B$81,MATCH(B1419,Intent_Analysis!$A$5:$A$81,0))</f>
        <v>Exchange rates &amp; currencies</v>
      </c>
      <c r="D1419" s="0" t="n">
        <f aca="false">INDEX(Intent_Analysis!$E$5:$E$81,MATCH(B1419,Intent_Analysis!$A$5:$A$81,0))</f>
        <v>1</v>
      </c>
    </row>
    <row r="1420" customFormat="false" ht="15" hidden="false" customHeight="false" outlineLevel="0" collapsed="false">
      <c r="A1420" s="0" t="s">
        <v>1744</v>
      </c>
      <c r="B1420" s="0" t="s">
        <v>85</v>
      </c>
      <c r="C1420" s="0" t="str">
        <f aca="false">INDEX(Intent_Analysis!$B$5:$B$81,MATCH(B1420,Intent_Analysis!$A$5:$A$81,0))</f>
        <v>Exchange rates &amp; currencies</v>
      </c>
      <c r="D1420" s="0" t="n">
        <f aca="false">INDEX(Intent_Analysis!$E$5:$E$81,MATCH(B1420,Intent_Analysis!$A$5:$A$81,0))</f>
        <v>1</v>
      </c>
    </row>
    <row r="1421" customFormat="false" ht="15" hidden="false" customHeight="false" outlineLevel="0" collapsed="false">
      <c r="A1421" s="0" t="s">
        <v>1745</v>
      </c>
      <c r="B1421" s="0" t="s">
        <v>85</v>
      </c>
      <c r="C1421" s="0" t="str">
        <f aca="false">INDEX(Intent_Analysis!$B$5:$B$81,MATCH(B1421,Intent_Analysis!$A$5:$A$81,0))</f>
        <v>Exchange rates &amp; currencies</v>
      </c>
      <c r="D1421" s="0" t="n">
        <f aca="false">INDEX(Intent_Analysis!$E$5:$E$81,MATCH(B1421,Intent_Analysis!$A$5:$A$81,0))</f>
        <v>1</v>
      </c>
    </row>
    <row r="1422" customFormat="false" ht="15" hidden="false" customHeight="false" outlineLevel="0" collapsed="false">
      <c r="A1422" s="0" t="s">
        <v>1746</v>
      </c>
      <c r="B1422" s="0" t="s">
        <v>85</v>
      </c>
      <c r="C1422" s="0" t="str">
        <f aca="false">INDEX(Intent_Analysis!$B$5:$B$81,MATCH(B1422,Intent_Analysis!$A$5:$A$81,0))</f>
        <v>Exchange rates &amp; currencies</v>
      </c>
      <c r="D1422" s="0" t="n">
        <f aca="false">INDEX(Intent_Analysis!$E$5:$E$81,MATCH(B1422,Intent_Analysis!$A$5:$A$81,0))</f>
        <v>1</v>
      </c>
    </row>
    <row r="1423" customFormat="false" ht="15" hidden="false" customHeight="false" outlineLevel="0" collapsed="false">
      <c r="A1423" s="0" t="s">
        <v>1747</v>
      </c>
      <c r="B1423" s="0" t="s">
        <v>85</v>
      </c>
      <c r="C1423" s="0" t="str">
        <f aca="false">INDEX(Intent_Analysis!$B$5:$B$81,MATCH(B1423,Intent_Analysis!$A$5:$A$81,0))</f>
        <v>Exchange rates &amp; currencies</v>
      </c>
      <c r="D1423" s="0" t="n">
        <f aca="false">INDEX(Intent_Analysis!$E$5:$E$81,MATCH(B1423,Intent_Analysis!$A$5:$A$81,0))</f>
        <v>1</v>
      </c>
    </row>
    <row r="1424" customFormat="false" ht="15" hidden="false" customHeight="false" outlineLevel="0" collapsed="false">
      <c r="A1424" s="0" t="s">
        <v>1748</v>
      </c>
      <c r="B1424" s="0" t="s">
        <v>85</v>
      </c>
      <c r="C1424" s="0" t="str">
        <f aca="false">INDEX(Intent_Analysis!$B$5:$B$81,MATCH(B1424,Intent_Analysis!$A$5:$A$81,0))</f>
        <v>Exchange rates &amp; currencies</v>
      </c>
      <c r="D1424" s="0" t="n">
        <f aca="false">INDEX(Intent_Analysis!$E$5:$E$81,MATCH(B1424,Intent_Analysis!$A$5:$A$81,0))</f>
        <v>1</v>
      </c>
    </row>
    <row r="1425" customFormat="false" ht="15" hidden="false" customHeight="false" outlineLevel="0" collapsed="false">
      <c r="A1425" s="0" t="s">
        <v>1749</v>
      </c>
      <c r="B1425" s="0" t="s">
        <v>85</v>
      </c>
      <c r="C1425" s="0" t="str">
        <f aca="false">INDEX(Intent_Analysis!$B$5:$B$81,MATCH(B1425,Intent_Analysis!$A$5:$A$81,0))</f>
        <v>Exchange rates &amp; currencies</v>
      </c>
      <c r="D1425" s="0" t="n">
        <f aca="false">INDEX(Intent_Analysis!$E$5:$E$81,MATCH(B1425,Intent_Analysis!$A$5:$A$81,0))</f>
        <v>1</v>
      </c>
    </row>
    <row r="1426" customFormat="false" ht="15" hidden="false" customHeight="false" outlineLevel="0" collapsed="false">
      <c r="A1426" s="0" t="s">
        <v>1750</v>
      </c>
      <c r="B1426" s="0" t="s">
        <v>85</v>
      </c>
      <c r="C1426" s="0" t="str">
        <f aca="false">INDEX(Intent_Analysis!$B$5:$B$81,MATCH(B1426,Intent_Analysis!$A$5:$A$81,0))</f>
        <v>Exchange rates &amp; currencies</v>
      </c>
      <c r="D1426" s="0" t="n">
        <f aca="false">INDEX(Intent_Analysis!$E$5:$E$81,MATCH(B1426,Intent_Analysis!$A$5:$A$81,0))</f>
        <v>1</v>
      </c>
    </row>
    <row r="1427" customFormat="false" ht="15" hidden="false" customHeight="false" outlineLevel="0" collapsed="false">
      <c r="A1427" s="0" t="s">
        <v>1751</v>
      </c>
      <c r="B1427" s="0" t="s">
        <v>85</v>
      </c>
      <c r="C1427" s="0" t="str">
        <f aca="false">INDEX(Intent_Analysis!$B$5:$B$81,MATCH(B1427,Intent_Analysis!$A$5:$A$81,0))</f>
        <v>Exchange rates &amp; currencies</v>
      </c>
      <c r="D1427" s="0" t="n">
        <f aca="false">INDEX(Intent_Analysis!$E$5:$E$81,MATCH(B1427,Intent_Analysis!$A$5:$A$81,0))</f>
        <v>1</v>
      </c>
    </row>
    <row r="1428" customFormat="false" ht="15" hidden="false" customHeight="false" outlineLevel="0" collapsed="false">
      <c r="A1428" s="0" t="s">
        <v>1752</v>
      </c>
      <c r="B1428" s="0" t="s">
        <v>85</v>
      </c>
      <c r="C1428" s="0" t="str">
        <f aca="false">INDEX(Intent_Analysis!$B$5:$B$81,MATCH(B1428,Intent_Analysis!$A$5:$A$81,0))</f>
        <v>Exchange rates &amp; currencies</v>
      </c>
      <c r="D1428" s="0" t="n">
        <f aca="false">INDEX(Intent_Analysis!$E$5:$E$81,MATCH(B1428,Intent_Analysis!$A$5:$A$81,0))</f>
        <v>1</v>
      </c>
    </row>
    <row r="1429" customFormat="false" ht="15" hidden="false" customHeight="false" outlineLevel="0" collapsed="false">
      <c r="A1429" s="0" t="s">
        <v>1753</v>
      </c>
      <c r="B1429" s="0" t="s">
        <v>85</v>
      </c>
      <c r="C1429" s="0" t="str">
        <f aca="false">INDEX(Intent_Analysis!$B$5:$B$81,MATCH(B1429,Intent_Analysis!$A$5:$A$81,0))</f>
        <v>Exchange rates &amp; currencies</v>
      </c>
      <c r="D1429" s="0" t="n">
        <f aca="false">INDEX(Intent_Analysis!$E$5:$E$81,MATCH(B1429,Intent_Analysis!$A$5:$A$81,0))</f>
        <v>1</v>
      </c>
    </row>
    <row r="1430" customFormat="false" ht="15" hidden="false" customHeight="false" outlineLevel="0" collapsed="false">
      <c r="A1430" s="0" t="s">
        <v>1754</v>
      </c>
      <c r="B1430" s="0" t="s">
        <v>85</v>
      </c>
      <c r="C1430" s="0" t="str">
        <f aca="false">INDEX(Intent_Analysis!$B$5:$B$81,MATCH(B1430,Intent_Analysis!$A$5:$A$81,0))</f>
        <v>Exchange rates &amp; currencies</v>
      </c>
      <c r="D1430" s="0" t="n">
        <f aca="false">INDEX(Intent_Analysis!$E$5:$E$81,MATCH(B1430,Intent_Analysis!$A$5:$A$81,0))</f>
        <v>1</v>
      </c>
    </row>
    <row r="1431" customFormat="false" ht="15" hidden="false" customHeight="false" outlineLevel="0" collapsed="false">
      <c r="A1431" s="0" t="s">
        <v>1755</v>
      </c>
      <c r="B1431" s="0" t="s">
        <v>85</v>
      </c>
      <c r="C1431" s="0" t="str">
        <f aca="false">INDEX(Intent_Analysis!$B$5:$B$81,MATCH(B1431,Intent_Analysis!$A$5:$A$81,0))</f>
        <v>Exchange rates &amp; currencies</v>
      </c>
      <c r="D1431" s="0" t="n">
        <f aca="false">INDEX(Intent_Analysis!$E$5:$E$81,MATCH(B1431,Intent_Analysis!$A$5:$A$81,0))</f>
        <v>1</v>
      </c>
    </row>
    <row r="1432" customFormat="false" ht="15" hidden="false" customHeight="false" outlineLevel="0" collapsed="false">
      <c r="A1432" s="0" t="s">
        <v>1756</v>
      </c>
      <c r="B1432" s="0" t="s">
        <v>85</v>
      </c>
      <c r="C1432" s="0" t="str">
        <f aca="false">INDEX(Intent_Analysis!$B$5:$B$81,MATCH(B1432,Intent_Analysis!$A$5:$A$81,0))</f>
        <v>Exchange rates &amp; currencies</v>
      </c>
      <c r="D1432" s="0" t="n">
        <f aca="false">INDEX(Intent_Analysis!$E$5:$E$81,MATCH(B1432,Intent_Analysis!$A$5:$A$81,0))</f>
        <v>1</v>
      </c>
    </row>
    <row r="1433" customFormat="false" ht="15" hidden="false" customHeight="false" outlineLevel="0" collapsed="false">
      <c r="A1433" s="0" t="s">
        <v>1757</v>
      </c>
      <c r="B1433" s="0" t="s">
        <v>85</v>
      </c>
      <c r="C1433" s="0" t="str">
        <f aca="false">INDEX(Intent_Analysis!$B$5:$B$81,MATCH(B1433,Intent_Analysis!$A$5:$A$81,0))</f>
        <v>Exchange rates &amp; currencies</v>
      </c>
      <c r="D1433" s="0" t="n">
        <f aca="false">INDEX(Intent_Analysis!$E$5:$E$81,MATCH(B1433,Intent_Analysis!$A$5:$A$81,0))</f>
        <v>1</v>
      </c>
    </row>
    <row r="1434" customFormat="false" ht="15" hidden="false" customHeight="false" outlineLevel="0" collapsed="false">
      <c r="A1434" s="0" t="s">
        <v>1758</v>
      </c>
      <c r="B1434" s="0" t="s">
        <v>85</v>
      </c>
      <c r="C1434" s="0" t="str">
        <f aca="false">INDEX(Intent_Analysis!$B$5:$B$81,MATCH(B1434,Intent_Analysis!$A$5:$A$81,0))</f>
        <v>Exchange rates &amp; currencies</v>
      </c>
      <c r="D1434" s="0" t="n">
        <f aca="false">INDEX(Intent_Analysis!$E$5:$E$81,MATCH(B1434,Intent_Analysis!$A$5:$A$81,0))</f>
        <v>1</v>
      </c>
    </row>
    <row r="1435" customFormat="false" ht="15" hidden="false" customHeight="false" outlineLevel="0" collapsed="false">
      <c r="A1435" s="0" t="s">
        <v>1759</v>
      </c>
      <c r="B1435" s="0" t="s">
        <v>85</v>
      </c>
      <c r="C1435" s="0" t="str">
        <f aca="false">INDEX(Intent_Analysis!$B$5:$B$81,MATCH(B1435,Intent_Analysis!$A$5:$A$81,0))</f>
        <v>Exchange rates &amp; currencies</v>
      </c>
      <c r="D1435" s="0" t="n">
        <f aca="false">INDEX(Intent_Analysis!$E$5:$E$81,MATCH(B1435,Intent_Analysis!$A$5:$A$81,0))</f>
        <v>1</v>
      </c>
    </row>
    <row r="1436" customFormat="false" ht="15" hidden="false" customHeight="false" outlineLevel="0" collapsed="false">
      <c r="A1436" s="0" t="s">
        <v>1760</v>
      </c>
      <c r="B1436" s="0" t="s">
        <v>85</v>
      </c>
      <c r="C1436" s="0" t="str">
        <f aca="false">INDEX(Intent_Analysis!$B$5:$B$81,MATCH(B1436,Intent_Analysis!$A$5:$A$81,0))</f>
        <v>Exchange rates &amp; currencies</v>
      </c>
      <c r="D1436" s="0" t="n">
        <f aca="false">INDEX(Intent_Analysis!$E$5:$E$81,MATCH(B1436,Intent_Analysis!$A$5:$A$81,0))</f>
        <v>1</v>
      </c>
    </row>
    <row r="1437" customFormat="false" ht="15" hidden="false" customHeight="false" outlineLevel="0" collapsed="false">
      <c r="A1437" s="0" t="s">
        <v>1761</v>
      </c>
      <c r="B1437" s="0" t="s">
        <v>85</v>
      </c>
      <c r="C1437" s="0" t="str">
        <f aca="false">INDEX(Intent_Analysis!$B$5:$B$81,MATCH(B1437,Intent_Analysis!$A$5:$A$81,0))</f>
        <v>Exchange rates &amp; currencies</v>
      </c>
      <c r="D1437" s="0" t="n">
        <f aca="false">INDEX(Intent_Analysis!$E$5:$E$81,MATCH(B1437,Intent_Analysis!$A$5:$A$81,0))</f>
        <v>1</v>
      </c>
    </row>
    <row r="1438" customFormat="false" ht="15" hidden="false" customHeight="false" outlineLevel="0" collapsed="false">
      <c r="A1438" s="0" t="s">
        <v>1762</v>
      </c>
      <c r="B1438" s="0" t="s">
        <v>85</v>
      </c>
      <c r="C1438" s="0" t="str">
        <f aca="false">INDEX(Intent_Analysis!$B$5:$B$81,MATCH(B1438,Intent_Analysis!$A$5:$A$81,0))</f>
        <v>Exchange rates &amp; currencies</v>
      </c>
      <c r="D1438" s="0" t="n">
        <f aca="false">INDEX(Intent_Analysis!$E$5:$E$81,MATCH(B1438,Intent_Analysis!$A$5:$A$81,0))</f>
        <v>1</v>
      </c>
    </row>
    <row r="1439" customFormat="false" ht="15" hidden="false" customHeight="false" outlineLevel="0" collapsed="false">
      <c r="A1439" s="0" t="s">
        <v>1763</v>
      </c>
      <c r="B1439" s="0" t="s">
        <v>85</v>
      </c>
      <c r="C1439" s="0" t="str">
        <f aca="false">INDEX(Intent_Analysis!$B$5:$B$81,MATCH(B1439,Intent_Analysis!$A$5:$A$81,0))</f>
        <v>Exchange rates &amp; currencies</v>
      </c>
      <c r="D1439" s="0" t="n">
        <f aca="false">INDEX(Intent_Analysis!$E$5:$E$81,MATCH(B1439,Intent_Analysis!$A$5:$A$81,0))</f>
        <v>1</v>
      </c>
    </row>
    <row r="1440" customFormat="false" ht="15" hidden="false" customHeight="false" outlineLevel="0" collapsed="false">
      <c r="A1440" s="0" t="s">
        <v>1764</v>
      </c>
      <c r="B1440" s="0" t="s">
        <v>85</v>
      </c>
      <c r="C1440" s="0" t="str">
        <f aca="false">INDEX(Intent_Analysis!$B$5:$B$81,MATCH(B1440,Intent_Analysis!$A$5:$A$81,0))</f>
        <v>Exchange rates &amp; currencies</v>
      </c>
      <c r="D1440" s="0" t="n">
        <f aca="false">INDEX(Intent_Analysis!$E$5:$E$81,MATCH(B1440,Intent_Analysis!$A$5:$A$81,0))</f>
        <v>1</v>
      </c>
    </row>
    <row r="1441" customFormat="false" ht="15" hidden="false" customHeight="false" outlineLevel="0" collapsed="false">
      <c r="A1441" s="0" t="s">
        <v>1765</v>
      </c>
      <c r="B1441" s="0" t="s">
        <v>85</v>
      </c>
      <c r="C1441" s="0" t="str">
        <f aca="false">INDEX(Intent_Analysis!$B$5:$B$81,MATCH(B1441,Intent_Analysis!$A$5:$A$81,0))</f>
        <v>Exchange rates &amp; currencies</v>
      </c>
      <c r="D1441" s="0" t="n">
        <f aca="false">INDEX(Intent_Analysis!$E$5:$E$81,MATCH(B1441,Intent_Analysis!$A$5:$A$81,0))</f>
        <v>1</v>
      </c>
    </row>
    <row r="1442" customFormat="false" ht="15" hidden="false" customHeight="false" outlineLevel="0" collapsed="false">
      <c r="A1442" s="0" t="s">
        <v>1766</v>
      </c>
      <c r="B1442" s="0" t="s">
        <v>85</v>
      </c>
      <c r="C1442" s="0" t="str">
        <f aca="false">INDEX(Intent_Analysis!$B$5:$B$81,MATCH(B1442,Intent_Analysis!$A$5:$A$81,0))</f>
        <v>Exchange rates &amp; currencies</v>
      </c>
      <c r="D1442" s="0" t="n">
        <f aca="false">INDEX(Intent_Analysis!$E$5:$E$81,MATCH(B1442,Intent_Analysis!$A$5:$A$81,0))</f>
        <v>1</v>
      </c>
    </row>
    <row r="1443" customFormat="false" ht="15" hidden="false" customHeight="false" outlineLevel="0" collapsed="false">
      <c r="A1443" s="0" t="s">
        <v>1767</v>
      </c>
      <c r="B1443" s="0" t="s">
        <v>85</v>
      </c>
      <c r="C1443" s="0" t="str">
        <f aca="false">INDEX(Intent_Analysis!$B$5:$B$81,MATCH(B1443,Intent_Analysis!$A$5:$A$81,0))</f>
        <v>Exchange rates &amp; currencies</v>
      </c>
      <c r="D1443" s="0" t="n">
        <f aca="false">INDEX(Intent_Analysis!$E$5:$E$81,MATCH(B1443,Intent_Analysis!$A$5:$A$81,0))</f>
        <v>1</v>
      </c>
    </row>
    <row r="1444" customFormat="false" ht="15" hidden="false" customHeight="false" outlineLevel="0" collapsed="false">
      <c r="A1444" s="0" t="s">
        <v>1768</v>
      </c>
      <c r="B1444" s="0" t="s">
        <v>85</v>
      </c>
      <c r="C1444" s="0" t="str">
        <f aca="false">INDEX(Intent_Analysis!$B$5:$B$81,MATCH(B1444,Intent_Analysis!$A$5:$A$81,0))</f>
        <v>Exchange rates &amp; currencies</v>
      </c>
      <c r="D1444" s="0" t="n">
        <f aca="false">INDEX(Intent_Analysis!$E$5:$E$81,MATCH(B1444,Intent_Analysis!$A$5:$A$81,0))</f>
        <v>1</v>
      </c>
    </row>
    <row r="1445" customFormat="false" ht="15" hidden="false" customHeight="false" outlineLevel="0" collapsed="false">
      <c r="A1445" s="0" t="s">
        <v>1769</v>
      </c>
      <c r="B1445" s="0" t="s">
        <v>85</v>
      </c>
      <c r="C1445" s="0" t="str">
        <f aca="false">INDEX(Intent_Analysis!$B$5:$B$81,MATCH(B1445,Intent_Analysis!$A$5:$A$81,0))</f>
        <v>Exchange rates &amp; currencies</v>
      </c>
      <c r="D1445" s="0" t="n">
        <f aca="false">INDEX(Intent_Analysis!$E$5:$E$81,MATCH(B1445,Intent_Analysis!$A$5:$A$81,0))</f>
        <v>1</v>
      </c>
    </row>
    <row r="1446" customFormat="false" ht="15" hidden="false" customHeight="false" outlineLevel="0" collapsed="false">
      <c r="A1446" s="0" t="s">
        <v>1770</v>
      </c>
      <c r="B1446" s="0" t="s">
        <v>85</v>
      </c>
      <c r="C1446" s="0" t="str">
        <f aca="false">INDEX(Intent_Analysis!$B$5:$B$81,MATCH(B1446,Intent_Analysis!$A$5:$A$81,0))</f>
        <v>Exchange rates &amp; currencies</v>
      </c>
      <c r="D1446" s="0" t="n">
        <f aca="false">INDEX(Intent_Analysis!$E$5:$E$81,MATCH(B1446,Intent_Analysis!$A$5:$A$81,0))</f>
        <v>1</v>
      </c>
    </row>
    <row r="1447" customFormat="false" ht="15" hidden="false" customHeight="false" outlineLevel="0" collapsed="false">
      <c r="A1447" s="0" t="s">
        <v>1771</v>
      </c>
      <c r="B1447" s="0" t="s">
        <v>85</v>
      </c>
      <c r="C1447" s="0" t="str">
        <f aca="false">INDEX(Intent_Analysis!$B$5:$B$81,MATCH(B1447,Intent_Analysis!$A$5:$A$81,0))</f>
        <v>Exchange rates &amp; currencies</v>
      </c>
      <c r="D1447" s="0" t="n">
        <f aca="false">INDEX(Intent_Analysis!$E$5:$E$81,MATCH(B1447,Intent_Analysis!$A$5:$A$81,0))</f>
        <v>1</v>
      </c>
    </row>
    <row r="1448" customFormat="false" ht="15" hidden="false" customHeight="false" outlineLevel="0" collapsed="false">
      <c r="A1448" s="0" t="s">
        <v>1772</v>
      </c>
      <c r="B1448" s="0" t="s">
        <v>85</v>
      </c>
      <c r="C1448" s="0" t="str">
        <f aca="false">INDEX(Intent_Analysis!$B$5:$B$81,MATCH(B1448,Intent_Analysis!$A$5:$A$81,0))</f>
        <v>Exchange rates &amp; currencies</v>
      </c>
      <c r="D1448" s="0" t="n">
        <f aca="false">INDEX(Intent_Analysis!$E$5:$E$81,MATCH(B1448,Intent_Analysis!$A$5:$A$81,0))</f>
        <v>1</v>
      </c>
    </row>
    <row r="1449" customFormat="false" ht="15" hidden="false" customHeight="false" outlineLevel="0" collapsed="false">
      <c r="A1449" s="0" t="s">
        <v>1773</v>
      </c>
      <c r="B1449" s="0" t="s">
        <v>85</v>
      </c>
      <c r="C1449" s="0" t="str">
        <f aca="false">INDEX(Intent_Analysis!$B$5:$B$81,MATCH(B1449,Intent_Analysis!$A$5:$A$81,0))</f>
        <v>Exchange rates &amp; currencies</v>
      </c>
      <c r="D1449" s="0" t="n">
        <f aca="false">INDEX(Intent_Analysis!$E$5:$E$81,MATCH(B1449,Intent_Analysis!$A$5:$A$81,0))</f>
        <v>1</v>
      </c>
    </row>
    <row r="1450" customFormat="false" ht="15" hidden="false" customHeight="false" outlineLevel="0" collapsed="false">
      <c r="A1450" s="0" t="s">
        <v>1774</v>
      </c>
      <c r="B1450" s="0" t="s">
        <v>85</v>
      </c>
      <c r="C1450" s="0" t="str">
        <f aca="false">INDEX(Intent_Analysis!$B$5:$B$81,MATCH(B1450,Intent_Analysis!$A$5:$A$81,0))</f>
        <v>Exchange rates &amp; currencies</v>
      </c>
      <c r="D1450" s="0" t="n">
        <f aca="false">INDEX(Intent_Analysis!$E$5:$E$81,MATCH(B1450,Intent_Analysis!$A$5:$A$81,0))</f>
        <v>1</v>
      </c>
    </row>
    <row r="1451" customFormat="false" ht="15" hidden="false" customHeight="false" outlineLevel="0" collapsed="false">
      <c r="A1451" s="0" t="s">
        <v>1775</v>
      </c>
      <c r="B1451" s="0" t="s">
        <v>85</v>
      </c>
      <c r="C1451" s="0" t="str">
        <f aca="false">INDEX(Intent_Analysis!$B$5:$B$81,MATCH(B1451,Intent_Analysis!$A$5:$A$81,0))</f>
        <v>Exchange rates &amp; currencies</v>
      </c>
      <c r="D1451" s="0" t="n">
        <f aca="false">INDEX(Intent_Analysis!$E$5:$E$81,MATCH(B1451,Intent_Analysis!$A$5:$A$81,0))</f>
        <v>1</v>
      </c>
    </row>
    <row r="1452" customFormat="false" ht="15" hidden="false" customHeight="false" outlineLevel="0" collapsed="false">
      <c r="A1452" s="0" t="s">
        <v>1776</v>
      </c>
      <c r="B1452" s="0" t="s">
        <v>85</v>
      </c>
      <c r="C1452" s="0" t="str">
        <f aca="false">INDEX(Intent_Analysis!$B$5:$B$81,MATCH(B1452,Intent_Analysis!$A$5:$A$81,0))</f>
        <v>Exchange rates &amp; currencies</v>
      </c>
      <c r="D1452" s="0" t="n">
        <f aca="false">INDEX(Intent_Analysis!$E$5:$E$81,MATCH(B1452,Intent_Analysis!$A$5:$A$81,0))</f>
        <v>1</v>
      </c>
    </row>
    <row r="1453" customFormat="false" ht="15" hidden="false" customHeight="false" outlineLevel="0" collapsed="false">
      <c r="A1453" s="0" t="s">
        <v>1777</v>
      </c>
      <c r="B1453" s="0" t="s">
        <v>85</v>
      </c>
      <c r="C1453" s="0" t="str">
        <f aca="false">INDEX(Intent_Analysis!$B$5:$B$81,MATCH(B1453,Intent_Analysis!$A$5:$A$81,0))</f>
        <v>Exchange rates &amp; currencies</v>
      </c>
      <c r="D1453" s="0" t="n">
        <f aca="false">INDEX(Intent_Analysis!$E$5:$E$81,MATCH(B1453,Intent_Analysis!$A$5:$A$81,0))</f>
        <v>1</v>
      </c>
    </row>
    <row r="1454" customFormat="false" ht="15" hidden="false" customHeight="false" outlineLevel="0" collapsed="false">
      <c r="A1454" s="0" t="s">
        <v>1778</v>
      </c>
      <c r="B1454" s="0" t="s">
        <v>85</v>
      </c>
      <c r="C1454" s="0" t="str">
        <f aca="false">INDEX(Intent_Analysis!$B$5:$B$81,MATCH(B1454,Intent_Analysis!$A$5:$A$81,0))</f>
        <v>Exchange rates &amp; currencies</v>
      </c>
      <c r="D1454" s="0" t="n">
        <f aca="false">INDEX(Intent_Analysis!$E$5:$E$81,MATCH(B1454,Intent_Analysis!$A$5:$A$81,0))</f>
        <v>1</v>
      </c>
    </row>
    <row r="1455" customFormat="false" ht="15" hidden="false" customHeight="false" outlineLevel="0" collapsed="false">
      <c r="A1455" s="0" t="s">
        <v>1779</v>
      </c>
      <c r="B1455" s="0" t="s">
        <v>85</v>
      </c>
      <c r="C1455" s="0" t="str">
        <f aca="false">INDEX(Intent_Analysis!$B$5:$B$81,MATCH(B1455,Intent_Analysis!$A$5:$A$81,0))</f>
        <v>Exchange rates &amp; currencies</v>
      </c>
      <c r="D1455" s="0" t="n">
        <f aca="false">INDEX(Intent_Analysis!$E$5:$E$81,MATCH(B1455,Intent_Analysis!$A$5:$A$81,0))</f>
        <v>1</v>
      </c>
    </row>
    <row r="1456" customFormat="false" ht="15" hidden="false" customHeight="false" outlineLevel="0" collapsed="false">
      <c r="A1456" s="0" t="s">
        <v>1780</v>
      </c>
      <c r="B1456" s="0" t="s">
        <v>85</v>
      </c>
      <c r="C1456" s="0" t="str">
        <f aca="false">INDEX(Intent_Analysis!$B$5:$B$81,MATCH(B1456,Intent_Analysis!$A$5:$A$81,0))</f>
        <v>Exchange rates &amp; currencies</v>
      </c>
      <c r="D1456" s="0" t="n">
        <f aca="false">INDEX(Intent_Analysis!$E$5:$E$81,MATCH(B1456,Intent_Analysis!$A$5:$A$81,0))</f>
        <v>1</v>
      </c>
    </row>
    <row r="1457" customFormat="false" ht="15" hidden="false" customHeight="false" outlineLevel="0" collapsed="false">
      <c r="A1457" s="0" t="s">
        <v>1781</v>
      </c>
      <c r="B1457" s="0" t="s">
        <v>85</v>
      </c>
      <c r="C1457" s="0" t="str">
        <f aca="false">INDEX(Intent_Analysis!$B$5:$B$81,MATCH(B1457,Intent_Analysis!$A$5:$A$81,0))</f>
        <v>Exchange rates &amp; currencies</v>
      </c>
      <c r="D1457" s="0" t="n">
        <f aca="false">INDEX(Intent_Analysis!$E$5:$E$81,MATCH(B1457,Intent_Analysis!$A$5:$A$81,0))</f>
        <v>1</v>
      </c>
    </row>
    <row r="1458" customFormat="false" ht="15" hidden="false" customHeight="false" outlineLevel="0" collapsed="false">
      <c r="A1458" s="0" t="s">
        <v>1782</v>
      </c>
      <c r="B1458" s="0" t="s">
        <v>85</v>
      </c>
      <c r="C1458" s="0" t="str">
        <f aca="false">INDEX(Intent_Analysis!$B$5:$B$81,MATCH(B1458,Intent_Analysis!$A$5:$A$81,0))</f>
        <v>Exchange rates &amp; currencies</v>
      </c>
      <c r="D1458" s="0" t="n">
        <f aca="false">INDEX(Intent_Analysis!$E$5:$E$81,MATCH(B1458,Intent_Analysis!$A$5:$A$81,0))</f>
        <v>1</v>
      </c>
    </row>
    <row r="1459" customFormat="false" ht="15" hidden="false" customHeight="false" outlineLevel="0" collapsed="false">
      <c r="A1459" s="0" t="s">
        <v>1783</v>
      </c>
      <c r="B1459" s="0" t="s">
        <v>85</v>
      </c>
      <c r="C1459" s="0" t="str">
        <f aca="false">INDEX(Intent_Analysis!$B$5:$B$81,MATCH(B1459,Intent_Analysis!$A$5:$A$81,0))</f>
        <v>Exchange rates &amp; currencies</v>
      </c>
      <c r="D1459" s="0" t="n">
        <f aca="false">INDEX(Intent_Analysis!$E$5:$E$81,MATCH(B1459,Intent_Analysis!$A$5:$A$81,0))</f>
        <v>1</v>
      </c>
    </row>
    <row r="1460" customFormat="false" ht="15" hidden="false" customHeight="false" outlineLevel="0" collapsed="false">
      <c r="A1460" s="0" t="s">
        <v>1784</v>
      </c>
      <c r="B1460" s="0" t="s">
        <v>85</v>
      </c>
      <c r="C1460" s="0" t="str">
        <f aca="false">INDEX(Intent_Analysis!$B$5:$B$81,MATCH(B1460,Intent_Analysis!$A$5:$A$81,0))</f>
        <v>Exchange rates &amp; currencies</v>
      </c>
      <c r="D1460" s="0" t="n">
        <f aca="false">INDEX(Intent_Analysis!$E$5:$E$81,MATCH(B1460,Intent_Analysis!$A$5:$A$81,0))</f>
        <v>1</v>
      </c>
    </row>
    <row r="1461" customFormat="false" ht="15" hidden="false" customHeight="false" outlineLevel="0" collapsed="false">
      <c r="A1461" s="0" t="s">
        <v>1785</v>
      </c>
      <c r="B1461" s="0" t="s">
        <v>85</v>
      </c>
      <c r="C1461" s="0" t="str">
        <f aca="false">INDEX(Intent_Analysis!$B$5:$B$81,MATCH(B1461,Intent_Analysis!$A$5:$A$81,0))</f>
        <v>Exchange rates &amp; currencies</v>
      </c>
      <c r="D1461" s="0" t="n">
        <f aca="false">INDEX(Intent_Analysis!$E$5:$E$81,MATCH(B1461,Intent_Analysis!$A$5:$A$81,0))</f>
        <v>1</v>
      </c>
    </row>
    <row r="1462" customFormat="false" ht="15" hidden="false" customHeight="false" outlineLevel="0" collapsed="false">
      <c r="A1462" s="0" t="s">
        <v>1786</v>
      </c>
      <c r="B1462" s="0" t="s">
        <v>85</v>
      </c>
      <c r="C1462" s="0" t="str">
        <f aca="false">INDEX(Intent_Analysis!$B$5:$B$81,MATCH(B1462,Intent_Analysis!$A$5:$A$81,0))</f>
        <v>Exchange rates &amp; currencies</v>
      </c>
      <c r="D1462" s="0" t="n">
        <f aca="false">INDEX(Intent_Analysis!$E$5:$E$81,MATCH(B1462,Intent_Analysis!$A$5:$A$81,0))</f>
        <v>1</v>
      </c>
    </row>
    <row r="1463" customFormat="false" ht="15" hidden="false" customHeight="false" outlineLevel="0" collapsed="false">
      <c r="A1463" s="0" t="s">
        <v>1787</v>
      </c>
      <c r="B1463" s="0" t="s">
        <v>85</v>
      </c>
      <c r="C1463" s="0" t="str">
        <f aca="false">INDEX(Intent_Analysis!$B$5:$B$81,MATCH(B1463,Intent_Analysis!$A$5:$A$81,0))</f>
        <v>Exchange rates &amp; currencies</v>
      </c>
      <c r="D1463" s="0" t="n">
        <f aca="false">INDEX(Intent_Analysis!$E$5:$E$81,MATCH(B1463,Intent_Analysis!$A$5:$A$81,0))</f>
        <v>1</v>
      </c>
    </row>
    <row r="1464" customFormat="false" ht="15" hidden="false" customHeight="false" outlineLevel="0" collapsed="false">
      <c r="A1464" s="0" t="s">
        <v>1788</v>
      </c>
      <c r="B1464" s="0" t="s">
        <v>85</v>
      </c>
      <c r="C1464" s="0" t="str">
        <f aca="false">INDEX(Intent_Analysis!$B$5:$B$81,MATCH(B1464,Intent_Analysis!$A$5:$A$81,0))</f>
        <v>Exchange rates &amp; currencies</v>
      </c>
      <c r="D1464" s="0" t="n">
        <f aca="false">INDEX(Intent_Analysis!$E$5:$E$81,MATCH(B1464,Intent_Analysis!$A$5:$A$81,0))</f>
        <v>1</v>
      </c>
    </row>
    <row r="1465" customFormat="false" ht="15" hidden="false" customHeight="false" outlineLevel="0" collapsed="false">
      <c r="A1465" s="0" t="s">
        <v>1789</v>
      </c>
      <c r="B1465" s="0" t="s">
        <v>85</v>
      </c>
      <c r="C1465" s="0" t="str">
        <f aca="false">INDEX(Intent_Analysis!$B$5:$B$81,MATCH(B1465,Intent_Analysis!$A$5:$A$81,0))</f>
        <v>Exchange rates &amp; currencies</v>
      </c>
      <c r="D1465" s="0" t="n">
        <f aca="false">INDEX(Intent_Analysis!$E$5:$E$81,MATCH(B1465,Intent_Analysis!$A$5:$A$81,0))</f>
        <v>1</v>
      </c>
    </row>
    <row r="1466" customFormat="false" ht="15" hidden="false" customHeight="false" outlineLevel="0" collapsed="false">
      <c r="A1466" s="0" t="s">
        <v>1790</v>
      </c>
      <c r="B1466" s="0" t="s">
        <v>85</v>
      </c>
      <c r="C1466" s="0" t="str">
        <f aca="false">INDEX(Intent_Analysis!$B$5:$B$81,MATCH(B1466,Intent_Analysis!$A$5:$A$81,0))</f>
        <v>Exchange rates &amp; currencies</v>
      </c>
      <c r="D1466" s="0" t="n">
        <f aca="false">INDEX(Intent_Analysis!$E$5:$E$81,MATCH(B1466,Intent_Analysis!$A$5:$A$81,0))</f>
        <v>1</v>
      </c>
    </row>
    <row r="1467" customFormat="false" ht="15" hidden="false" customHeight="false" outlineLevel="0" collapsed="false">
      <c r="A1467" s="0" t="s">
        <v>1791</v>
      </c>
      <c r="B1467" s="0" t="s">
        <v>85</v>
      </c>
      <c r="C1467" s="0" t="str">
        <f aca="false">INDEX(Intent_Analysis!$B$5:$B$81,MATCH(B1467,Intent_Analysis!$A$5:$A$81,0))</f>
        <v>Exchange rates &amp; currencies</v>
      </c>
      <c r="D1467" s="0" t="n">
        <f aca="false">INDEX(Intent_Analysis!$E$5:$E$81,MATCH(B1467,Intent_Analysis!$A$5:$A$81,0))</f>
        <v>1</v>
      </c>
    </row>
    <row r="1468" customFormat="false" ht="15" hidden="false" customHeight="false" outlineLevel="0" collapsed="false">
      <c r="A1468" s="0" t="s">
        <v>1792</v>
      </c>
      <c r="B1468" s="0" t="s">
        <v>85</v>
      </c>
      <c r="C1468" s="0" t="str">
        <f aca="false">INDEX(Intent_Analysis!$B$5:$B$81,MATCH(B1468,Intent_Analysis!$A$5:$A$81,0))</f>
        <v>Exchange rates &amp; currencies</v>
      </c>
      <c r="D1468" s="0" t="n">
        <f aca="false">INDEX(Intent_Analysis!$E$5:$E$81,MATCH(B1468,Intent_Analysis!$A$5:$A$81,0))</f>
        <v>1</v>
      </c>
    </row>
    <row r="1469" customFormat="false" ht="15" hidden="false" customHeight="false" outlineLevel="0" collapsed="false">
      <c r="A1469" s="0" t="s">
        <v>1793</v>
      </c>
      <c r="B1469" s="0" t="s">
        <v>85</v>
      </c>
      <c r="C1469" s="0" t="str">
        <f aca="false">INDEX(Intent_Analysis!$B$5:$B$81,MATCH(B1469,Intent_Analysis!$A$5:$A$81,0))</f>
        <v>Exchange rates &amp; currencies</v>
      </c>
      <c r="D1469" s="0" t="n">
        <f aca="false">INDEX(Intent_Analysis!$E$5:$E$81,MATCH(B1469,Intent_Analysis!$A$5:$A$81,0))</f>
        <v>1</v>
      </c>
    </row>
    <row r="1470" customFormat="false" ht="15" hidden="false" customHeight="false" outlineLevel="0" collapsed="false">
      <c r="A1470" s="0" t="s">
        <v>1794</v>
      </c>
      <c r="B1470" s="0" t="s">
        <v>85</v>
      </c>
      <c r="C1470" s="0" t="str">
        <f aca="false">INDEX(Intent_Analysis!$B$5:$B$81,MATCH(B1470,Intent_Analysis!$A$5:$A$81,0))</f>
        <v>Exchange rates &amp; currencies</v>
      </c>
      <c r="D1470" s="0" t="n">
        <f aca="false">INDEX(Intent_Analysis!$E$5:$E$81,MATCH(B1470,Intent_Analysis!$A$5:$A$81,0))</f>
        <v>1</v>
      </c>
    </row>
    <row r="1471" customFormat="false" ht="15" hidden="false" customHeight="false" outlineLevel="0" collapsed="false">
      <c r="A1471" s="0" t="s">
        <v>1795</v>
      </c>
      <c r="B1471" s="0" t="s">
        <v>85</v>
      </c>
      <c r="C1471" s="0" t="str">
        <f aca="false">INDEX(Intent_Analysis!$B$5:$B$81,MATCH(B1471,Intent_Analysis!$A$5:$A$81,0))</f>
        <v>Exchange rates &amp; currencies</v>
      </c>
      <c r="D1471" s="0" t="n">
        <f aca="false">INDEX(Intent_Analysis!$E$5:$E$81,MATCH(B1471,Intent_Analysis!$A$5:$A$81,0))</f>
        <v>1</v>
      </c>
    </row>
    <row r="1472" customFormat="false" ht="15" hidden="false" customHeight="false" outlineLevel="0" collapsed="false">
      <c r="A1472" s="0" t="s">
        <v>1796</v>
      </c>
      <c r="B1472" s="0" t="s">
        <v>85</v>
      </c>
      <c r="C1472" s="0" t="str">
        <f aca="false">INDEX(Intent_Analysis!$B$5:$B$81,MATCH(B1472,Intent_Analysis!$A$5:$A$81,0))</f>
        <v>Exchange rates &amp; currencies</v>
      </c>
      <c r="D1472" s="0" t="n">
        <f aca="false">INDEX(Intent_Analysis!$E$5:$E$81,MATCH(B1472,Intent_Analysis!$A$5:$A$81,0))</f>
        <v>1</v>
      </c>
    </row>
    <row r="1473" customFormat="false" ht="15" hidden="false" customHeight="false" outlineLevel="0" collapsed="false">
      <c r="A1473" s="0" t="s">
        <v>1797</v>
      </c>
      <c r="B1473" s="0" t="s">
        <v>85</v>
      </c>
      <c r="C1473" s="0" t="str">
        <f aca="false">INDEX(Intent_Analysis!$B$5:$B$81,MATCH(B1473,Intent_Analysis!$A$5:$A$81,0))</f>
        <v>Exchange rates &amp; currencies</v>
      </c>
      <c r="D1473" s="0" t="n">
        <f aca="false">INDEX(Intent_Analysis!$E$5:$E$81,MATCH(B1473,Intent_Analysis!$A$5:$A$81,0))</f>
        <v>1</v>
      </c>
    </row>
    <row r="1474" customFormat="false" ht="15" hidden="false" customHeight="false" outlineLevel="0" collapsed="false">
      <c r="A1474" s="0" t="s">
        <v>1798</v>
      </c>
      <c r="B1474" s="0" t="s">
        <v>85</v>
      </c>
      <c r="C1474" s="0" t="str">
        <f aca="false">INDEX(Intent_Analysis!$B$5:$B$81,MATCH(B1474,Intent_Analysis!$A$5:$A$81,0))</f>
        <v>Exchange rates &amp; currencies</v>
      </c>
      <c r="D1474" s="0" t="n">
        <f aca="false">INDEX(Intent_Analysis!$E$5:$E$81,MATCH(B1474,Intent_Analysis!$A$5:$A$81,0))</f>
        <v>1</v>
      </c>
    </row>
    <row r="1475" customFormat="false" ht="15" hidden="false" customHeight="false" outlineLevel="0" collapsed="false">
      <c r="A1475" s="0" t="s">
        <v>1799</v>
      </c>
      <c r="B1475" s="0" t="s">
        <v>85</v>
      </c>
      <c r="C1475" s="0" t="str">
        <f aca="false">INDEX(Intent_Analysis!$B$5:$B$81,MATCH(B1475,Intent_Analysis!$A$5:$A$81,0))</f>
        <v>Exchange rates &amp; currencies</v>
      </c>
      <c r="D1475" s="0" t="n">
        <f aca="false">INDEX(Intent_Analysis!$E$5:$E$81,MATCH(B1475,Intent_Analysis!$A$5:$A$81,0))</f>
        <v>1</v>
      </c>
    </row>
    <row r="1476" customFormat="false" ht="15" hidden="false" customHeight="false" outlineLevel="0" collapsed="false">
      <c r="A1476" s="0" t="s">
        <v>1800</v>
      </c>
      <c r="B1476" s="0" t="s">
        <v>85</v>
      </c>
      <c r="C1476" s="0" t="str">
        <f aca="false">INDEX(Intent_Analysis!$B$5:$B$81,MATCH(B1476,Intent_Analysis!$A$5:$A$81,0))</f>
        <v>Exchange rates &amp; currencies</v>
      </c>
      <c r="D1476" s="0" t="n">
        <f aca="false">INDEX(Intent_Analysis!$E$5:$E$81,MATCH(B1476,Intent_Analysis!$A$5:$A$81,0))</f>
        <v>1</v>
      </c>
    </row>
    <row r="1477" customFormat="false" ht="15" hidden="false" customHeight="false" outlineLevel="0" collapsed="false">
      <c r="A1477" s="0" t="s">
        <v>1801</v>
      </c>
      <c r="B1477" s="0" t="s">
        <v>101</v>
      </c>
      <c r="C1477" s="0" t="str">
        <f aca="false">INDEX(Intent_Analysis!$B$5:$B$81,MATCH(B1477,Intent_Analysis!$A$5:$A$81,0))</f>
        <v>Fraud &amp; security</v>
      </c>
      <c r="D1477" s="0" t="n">
        <f aca="false">INDEX(Intent_Analysis!$E$5:$E$81,MATCH(B1477,Intent_Analysis!$A$5:$A$81,0))</f>
        <v>3</v>
      </c>
    </row>
    <row r="1478" customFormat="false" ht="15" hidden="false" customHeight="false" outlineLevel="0" collapsed="false">
      <c r="A1478" s="0" t="s">
        <v>1802</v>
      </c>
      <c r="B1478" s="0" t="s">
        <v>101</v>
      </c>
      <c r="C1478" s="0" t="str">
        <f aca="false">INDEX(Intent_Analysis!$B$5:$B$81,MATCH(B1478,Intent_Analysis!$A$5:$A$81,0))</f>
        <v>Fraud &amp; security</v>
      </c>
      <c r="D1478" s="0" t="n">
        <f aca="false">INDEX(Intent_Analysis!$E$5:$E$81,MATCH(B1478,Intent_Analysis!$A$5:$A$81,0))</f>
        <v>3</v>
      </c>
    </row>
    <row r="1479" customFormat="false" ht="15" hidden="false" customHeight="false" outlineLevel="0" collapsed="false">
      <c r="A1479" s="0" t="s">
        <v>1803</v>
      </c>
      <c r="B1479" s="0" t="s">
        <v>101</v>
      </c>
      <c r="C1479" s="0" t="str">
        <f aca="false">INDEX(Intent_Analysis!$B$5:$B$81,MATCH(B1479,Intent_Analysis!$A$5:$A$81,0))</f>
        <v>Fraud &amp; security</v>
      </c>
      <c r="D1479" s="0" t="n">
        <f aca="false">INDEX(Intent_Analysis!$E$5:$E$81,MATCH(B1479,Intent_Analysis!$A$5:$A$81,0))</f>
        <v>3</v>
      </c>
    </row>
    <row r="1480" customFormat="false" ht="15" hidden="false" customHeight="false" outlineLevel="0" collapsed="false">
      <c r="A1480" s="0" t="s">
        <v>1804</v>
      </c>
      <c r="B1480" s="0" t="s">
        <v>101</v>
      </c>
      <c r="C1480" s="0" t="str">
        <f aca="false">INDEX(Intent_Analysis!$B$5:$B$81,MATCH(B1480,Intent_Analysis!$A$5:$A$81,0))</f>
        <v>Fraud &amp; security</v>
      </c>
      <c r="D1480" s="0" t="n">
        <f aca="false">INDEX(Intent_Analysis!$E$5:$E$81,MATCH(B1480,Intent_Analysis!$A$5:$A$81,0))</f>
        <v>3</v>
      </c>
    </row>
    <row r="1481" customFormat="false" ht="15" hidden="false" customHeight="false" outlineLevel="0" collapsed="false">
      <c r="A1481" s="0" t="s">
        <v>1805</v>
      </c>
      <c r="B1481" s="0" t="s">
        <v>101</v>
      </c>
      <c r="C1481" s="0" t="str">
        <f aca="false">INDEX(Intent_Analysis!$B$5:$B$81,MATCH(B1481,Intent_Analysis!$A$5:$A$81,0))</f>
        <v>Fraud &amp; security</v>
      </c>
      <c r="D1481" s="0" t="n">
        <f aca="false">INDEX(Intent_Analysis!$E$5:$E$81,MATCH(B1481,Intent_Analysis!$A$5:$A$81,0))</f>
        <v>3</v>
      </c>
    </row>
    <row r="1482" customFormat="false" ht="15" hidden="false" customHeight="false" outlineLevel="0" collapsed="false">
      <c r="A1482" s="0" t="s">
        <v>1806</v>
      </c>
      <c r="B1482" s="0" t="s">
        <v>101</v>
      </c>
      <c r="C1482" s="0" t="str">
        <f aca="false">INDEX(Intent_Analysis!$B$5:$B$81,MATCH(B1482,Intent_Analysis!$A$5:$A$81,0))</f>
        <v>Fraud &amp; security</v>
      </c>
      <c r="D1482" s="0" t="n">
        <f aca="false">INDEX(Intent_Analysis!$E$5:$E$81,MATCH(B1482,Intent_Analysis!$A$5:$A$81,0))</f>
        <v>3</v>
      </c>
    </row>
    <row r="1483" customFormat="false" ht="15" hidden="false" customHeight="false" outlineLevel="0" collapsed="false">
      <c r="A1483" s="0" t="s">
        <v>1807</v>
      </c>
      <c r="B1483" s="0" t="s">
        <v>101</v>
      </c>
      <c r="C1483" s="0" t="str">
        <f aca="false">INDEX(Intent_Analysis!$B$5:$B$81,MATCH(B1483,Intent_Analysis!$A$5:$A$81,0))</f>
        <v>Fraud &amp; security</v>
      </c>
      <c r="D1483" s="0" t="n">
        <f aca="false">INDEX(Intent_Analysis!$E$5:$E$81,MATCH(B1483,Intent_Analysis!$A$5:$A$81,0))</f>
        <v>3</v>
      </c>
    </row>
    <row r="1484" customFormat="false" ht="15" hidden="false" customHeight="false" outlineLevel="0" collapsed="false">
      <c r="A1484" s="0" t="s">
        <v>1808</v>
      </c>
      <c r="B1484" s="0" t="s">
        <v>101</v>
      </c>
      <c r="C1484" s="0" t="str">
        <f aca="false">INDEX(Intent_Analysis!$B$5:$B$81,MATCH(B1484,Intent_Analysis!$A$5:$A$81,0))</f>
        <v>Fraud &amp; security</v>
      </c>
      <c r="D1484" s="0" t="n">
        <f aca="false">INDEX(Intent_Analysis!$E$5:$E$81,MATCH(B1484,Intent_Analysis!$A$5:$A$81,0))</f>
        <v>3</v>
      </c>
    </row>
    <row r="1485" customFormat="false" ht="15" hidden="false" customHeight="false" outlineLevel="0" collapsed="false">
      <c r="A1485" s="0" t="s">
        <v>1809</v>
      </c>
      <c r="B1485" s="0" t="s">
        <v>101</v>
      </c>
      <c r="C1485" s="0" t="str">
        <f aca="false">INDEX(Intent_Analysis!$B$5:$B$81,MATCH(B1485,Intent_Analysis!$A$5:$A$81,0))</f>
        <v>Fraud &amp; security</v>
      </c>
      <c r="D1485" s="0" t="n">
        <f aca="false">INDEX(Intent_Analysis!$E$5:$E$81,MATCH(B1485,Intent_Analysis!$A$5:$A$81,0))</f>
        <v>3</v>
      </c>
    </row>
    <row r="1486" customFormat="false" ht="15" hidden="false" customHeight="false" outlineLevel="0" collapsed="false">
      <c r="A1486" s="0" t="s">
        <v>1810</v>
      </c>
      <c r="B1486" s="0" t="s">
        <v>101</v>
      </c>
      <c r="C1486" s="0" t="str">
        <f aca="false">INDEX(Intent_Analysis!$B$5:$B$81,MATCH(B1486,Intent_Analysis!$A$5:$A$81,0))</f>
        <v>Fraud &amp; security</v>
      </c>
      <c r="D1486" s="0" t="n">
        <f aca="false">INDEX(Intent_Analysis!$E$5:$E$81,MATCH(B1486,Intent_Analysis!$A$5:$A$81,0))</f>
        <v>3</v>
      </c>
    </row>
    <row r="1487" customFormat="false" ht="15" hidden="false" customHeight="false" outlineLevel="0" collapsed="false">
      <c r="A1487" s="0" t="s">
        <v>1811</v>
      </c>
      <c r="B1487" s="0" t="s">
        <v>101</v>
      </c>
      <c r="C1487" s="0" t="str">
        <f aca="false">INDEX(Intent_Analysis!$B$5:$B$81,MATCH(B1487,Intent_Analysis!$A$5:$A$81,0))</f>
        <v>Fraud &amp; security</v>
      </c>
      <c r="D1487" s="0" t="n">
        <f aca="false">INDEX(Intent_Analysis!$E$5:$E$81,MATCH(B1487,Intent_Analysis!$A$5:$A$81,0))</f>
        <v>3</v>
      </c>
    </row>
    <row r="1488" customFormat="false" ht="15" hidden="false" customHeight="false" outlineLevel="0" collapsed="false">
      <c r="A1488" s="0" t="s">
        <v>1812</v>
      </c>
      <c r="B1488" s="0" t="s">
        <v>101</v>
      </c>
      <c r="C1488" s="0" t="str">
        <f aca="false">INDEX(Intent_Analysis!$B$5:$B$81,MATCH(B1488,Intent_Analysis!$A$5:$A$81,0))</f>
        <v>Fraud &amp; security</v>
      </c>
      <c r="D1488" s="0" t="n">
        <f aca="false">INDEX(Intent_Analysis!$E$5:$E$81,MATCH(B1488,Intent_Analysis!$A$5:$A$81,0))</f>
        <v>3</v>
      </c>
    </row>
    <row r="1489" customFormat="false" ht="15" hidden="false" customHeight="false" outlineLevel="0" collapsed="false">
      <c r="A1489" s="0" t="s">
        <v>1813</v>
      </c>
      <c r="B1489" s="0" t="s">
        <v>101</v>
      </c>
      <c r="C1489" s="0" t="str">
        <f aca="false">INDEX(Intent_Analysis!$B$5:$B$81,MATCH(B1489,Intent_Analysis!$A$5:$A$81,0))</f>
        <v>Fraud &amp; security</v>
      </c>
      <c r="D1489" s="0" t="n">
        <f aca="false">INDEX(Intent_Analysis!$E$5:$E$81,MATCH(B1489,Intent_Analysis!$A$5:$A$81,0))</f>
        <v>3</v>
      </c>
    </row>
    <row r="1490" customFormat="false" ht="15" hidden="false" customHeight="false" outlineLevel="0" collapsed="false">
      <c r="A1490" s="0" t="s">
        <v>1814</v>
      </c>
      <c r="B1490" s="0" t="s">
        <v>101</v>
      </c>
      <c r="C1490" s="0" t="str">
        <f aca="false">INDEX(Intent_Analysis!$B$5:$B$81,MATCH(B1490,Intent_Analysis!$A$5:$A$81,0))</f>
        <v>Fraud &amp; security</v>
      </c>
      <c r="D1490" s="0" t="n">
        <f aca="false">INDEX(Intent_Analysis!$E$5:$E$81,MATCH(B1490,Intent_Analysis!$A$5:$A$81,0))</f>
        <v>3</v>
      </c>
    </row>
    <row r="1491" customFormat="false" ht="15" hidden="false" customHeight="false" outlineLevel="0" collapsed="false">
      <c r="A1491" s="0" t="s">
        <v>1815</v>
      </c>
      <c r="B1491" s="0" t="s">
        <v>101</v>
      </c>
      <c r="C1491" s="0" t="str">
        <f aca="false">INDEX(Intent_Analysis!$B$5:$B$81,MATCH(B1491,Intent_Analysis!$A$5:$A$81,0))</f>
        <v>Fraud &amp; security</v>
      </c>
      <c r="D1491" s="0" t="n">
        <f aca="false">INDEX(Intent_Analysis!$E$5:$E$81,MATCH(B1491,Intent_Analysis!$A$5:$A$81,0))</f>
        <v>3</v>
      </c>
    </row>
    <row r="1492" customFormat="false" ht="15" hidden="false" customHeight="false" outlineLevel="0" collapsed="false">
      <c r="A1492" s="0" t="s">
        <v>1816</v>
      </c>
      <c r="B1492" s="0" t="s">
        <v>101</v>
      </c>
      <c r="C1492" s="0" t="str">
        <f aca="false">INDEX(Intent_Analysis!$B$5:$B$81,MATCH(B1492,Intent_Analysis!$A$5:$A$81,0))</f>
        <v>Fraud &amp; security</v>
      </c>
      <c r="D1492" s="0" t="n">
        <f aca="false">INDEX(Intent_Analysis!$E$5:$E$81,MATCH(B1492,Intent_Analysis!$A$5:$A$81,0))</f>
        <v>3</v>
      </c>
    </row>
    <row r="1493" customFormat="false" ht="15" hidden="false" customHeight="false" outlineLevel="0" collapsed="false">
      <c r="A1493" s="0" t="s">
        <v>1817</v>
      </c>
      <c r="B1493" s="0" t="s">
        <v>101</v>
      </c>
      <c r="C1493" s="0" t="str">
        <f aca="false">INDEX(Intent_Analysis!$B$5:$B$81,MATCH(B1493,Intent_Analysis!$A$5:$A$81,0))</f>
        <v>Fraud &amp; security</v>
      </c>
      <c r="D1493" s="0" t="n">
        <f aca="false">INDEX(Intent_Analysis!$E$5:$E$81,MATCH(B1493,Intent_Analysis!$A$5:$A$81,0))</f>
        <v>3</v>
      </c>
    </row>
    <row r="1494" customFormat="false" ht="15" hidden="false" customHeight="false" outlineLevel="0" collapsed="false">
      <c r="A1494" s="0" t="s">
        <v>1818</v>
      </c>
      <c r="B1494" s="0" t="s">
        <v>101</v>
      </c>
      <c r="C1494" s="0" t="str">
        <f aca="false">INDEX(Intent_Analysis!$B$5:$B$81,MATCH(B1494,Intent_Analysis!$A$5:$A$81,0))</f>
        <v>Fraud &amp; security</v>
      </c>
      <c r="D1494" s="0" t="n">
        <f aca="false">INDEX(Intent_Analysis!$E$5:$E$81,MATCH(B1494,Intent_Analysis!$A$5:$A$81,0))</f>
        <v>3</v>
      </c>
    </row>
    <row r="1495" customFormat="false" ht="15" hidden="false" customHeight="false" outlineLevel="0" collapsed="false">
      <c r="A1495" s="0" t="s">
        <v>1819</v>
      </c>
      <c r="B1495" s="0" t="s">
        <v>101</v>
      </c>
      <c r="C1495" s="0" t="str">
        <f aca="false">INDEX(Intent_Analysis!$B$5:$B$81,MATCH(B1495,Intent_Analysis!$A$5:$A$81,0))</f>
        <v>Fraud &amp; security</v>
      </c>
      <c r="D1495" s="0" t="n">
        <f aca="false">INDEX(Intent_Analysis!$E$5:$E$81,MATCH(B1495,Intent_Analysis!$A$5:$A$81,0))</f>
        <v>3</v>
      </c>
    </row>
    <row r="1496" customFormat="false" ht="15" hidden="false" customHeight="false" outlineLevel="0" collapsed="false">
      <c r="A1496" s="0" t="s">
        <v>1820</v>
      </c>
      <c r="B1496" s="0" t="s">
        <v>101</v>
      </c>
      <c r="C1496" s="0" t="str">
        <f aca="false">INDEX(Intent_Analysis!$B$5:$B$81,MATCH(B1496,Intent_Analysis!$A$5:$A$81,0))</f>
        <v>Fraud &amp; security</v>
      </c>
      <c r="D1496" s="0" t="n">
        <f aca="false">INDEX(Intent_Analysis!$E$5:$E$81,MATCH(B1496,Intent_Analysis!$A$5:$A$81,0))</f>
        <v>3</v>
      </c>
    </row>
    <row r="1497" customFormat="false" ht="15" hidden="false" customHeight="false" outlineLevel="0" collapsed="false">
      <c r="A1497" s="0" t="s">
        <v>1821</v>
      </c>
      <c r="B1497" s="0" t="s">
        <v>101</v>
      </c>
      <c r="C1497" s="0" t="str">
        <f aca="false">INDEX(Intent_Analysis!$B$5:$B$81,MATCH(B1497,Intent_Analysis!$A$5:$A$81,0))</f>
        <v>Fraud &amp; security</v>
      </c>
      <c r="D1497" s="0" t="n">
        <f aca="false">INDEX(Intent_Analysis!$E$5:$E$81,MATCH(B1497,Intent_Analysis!$A$5:$A$81,0))</f>
        <v>3</v>
      </c>
    </row>
    <row r="1498" customFormat="false" ht="15" hidden="false" customHeight="false" outlineLevel="0" collapsed="false">
      <c r="A1498" s="0" t="s">
        <v>1822</v>
      </c>
      <c r="B1498" s="0" t="s">
        <v>101</v>
      </c>
      <c r="C1498" s="0" t="str">
        <f aca="false">INDEX(Intent_Analysis!$B$5:$B$81,MATCH(B1498,Intent_Analysis!$A$5:$A$81,0))</f>
        <v>Fraud &amp; security</v>
      </c>
      <c r="D1498" s="0" t="n">
        <f aca="false">INDEX(Intent_Analysis!$E$5:$E$81,MATCH(B1498,Intent_Analysis!$A$5:$A$81,0))</f>
        <v>3</v>
      </c>
    </row>
    <row r="1499" customFormat="false" ht="15" hidden="false" customHeight="false" outlineLevel="0" collapsed="false">
      <c r="A1499" s="0" t="s">
        <v>1823</v>
      </c>
      <c r="B1499" s="0" t="s">
        <v>101</v>
      </c>
      <c r="C1499" s="0" t="str">
        <f aca="false">INDEX(Intent_Analysis!$B$5:$B$81,MATCH(B1499,Intent_Analysis!$A$5:$A$81,0))</f>
        <v>Fraud &amp; security</v>
      </c>
      <c r="D1499" s="0" t="n">
        <f aca="false">INDEX(Intent_Analysis!$E$5:$E$81,MATCH(B1499,Intent_Analysis!$A$5:$A$81,0))</f>
        <v>3</v>
      </c>
    </row>
    <row r="1500" customFormat="false" ht="15" hidden="false" customHeight="false" outlineLevel="0" collapsed="false">
      <c r="A1500" s="0" t="s">
        <v>1824</v>
      </c>
      <c r="B1500" s="0" t="s">
        <v>101</v>
      </c>
      <c r="C1500" s="0" t="str">
        <f aca="false">INDEX(Intent_Analysis!$B$5:$B$81,MATCH(B1500,Intent_Analysis!$A$5:$A$81,0))</f>
        <v>Fraud &amp; security</v>
      </c>
      <c r="D1500" s="0" t="n">
        <f aca="false">INDEX(Intent_Analysis!$E$5:$E$81,MATCH(B1500,Intent_Analysis!$A$5:$A$81,0))</f>
        <v>3</v>
      </c>
    </row>
    <row r="1501" customFormat="false" ht="15" hidden="false" customHeight="false" outlineLevel="0" collapsed="false">
      <c r="A1501" s="0" t="s">
        <v>1825</v>
      </c>
      <c r="B1501" s="0" t="s">
        <v>101</v>
      </c>
      <c r="C1501" s="0" t="str">
        <f aca="false">INDEX(Intent_Analysis!$B$5:$B$81,MATCH(B1501,Intent_Analysis!$A$5:$A$81,0))</f>
        <v>Fraud &amp; security</v>
      </c>
      <c r="D1501" s="0" t="n">
        <f aca="false">INDEX(Intent_Analysis!$E$5:$E$81,MATCH(B1501,Intent_Analysis!$A$5:$A$81,0))</f>
        <v>3</v>
      </c>
    </row>
    <row r="1502" customFormat="false" ht="15" hidden="false" customHeight="false" outlineLevel="0" collapsed="false">
      <c r="A1502" s="0" t="s">
        <v>1826</v>
      </c>
      <c r="B1502" s="0" t="s">
        <v>101</v>
      </c>
      <c r="C1502" s="0" t="str">
        <f aca="false">INDEX(Intent_Analysis!$B$5:$B$81,MATCH(B1502,Intent_Analysis!$A$5:$A$81,0))</f>
        <v>Fraud &amp; security</v>
      </c>
      <c r="D1502" s="0" t="n">
        <f aca="false">INDEX(Intent_Analysis!$E$5:$E$81,MATCH(B1502,Intent_Analysis!$A$5:$A$81,0))</f>
        <v>3</v>
      </c>
    </row>
    <row r="1503" customFormat="false" ht="15" hidden="false" customHeight="false" outlineLevel="0" collapsed="false">
      <c r="A1503" s="0" t="s">
        <v>1827</v>
      </c>
      <c r="B1503" s="0" t="s">
        <v>101</v>
      </c>
      <c r="C1503" s="0" t="str">
        <f aca="false">INDEX(Intent_Analysis!$B$5:$B$81,MATCH(B1503,Intent_Analysis!$A$5:$A$81,0))</f>
        <v>Fraud &amp; security</v>
      </c>
      <c r="D1503" s="0" t="n">
        <f aca="false">INDEX(Intent_Analysis!$E$5:$E$81,MATCH(B1503,Intent_Analysis!$A$5:$A$81,0))</f>
        <v>3</v>
      </c>
    </row>
    <row r="1504" customFormat="false" ht="15" hidden="false" customHeight="false" outlineLevel="0" collapsed="false">
      <c r="A1504" s="0" t="s">
        <v>1828</v>
      </c>
      <c r="B1504" s="0" t="s">
        <v>101</v>
      </c>
      <c r="C1504" s="0" t="str">
        <f aca="false">INDEX(Intent_Analysis!$B$5:$B$81,MATCH(B1504,Intent_Analysis!$A$5:$A$81,0))</f>
        <v>Fraud &amp; security</v>
      </c>
      <c r="D1504" s="0" t="n">
        <f aca="false">INDEX(Intent_Analysis!$E$5:$E$81,MATCH(B1504,Intent_Analysis!$A$5:$A$81,0))</f>
        <v>3</v>
      </c>
    </row>
    <row r="1505" customFormat="false" ht="15" hidden="false" customHeight="false" outlineLevel="0" collapsed="false">
      <c r="A1505" s="0" t="s">
        <v>1829</v>
      </c>
      <c r="B1505" s="0" t="s">
        <v>101</v>
      </c>
      <c r="C1505" s="0" t="str">
        <f aca="false">INDEX(Intent_Analysis!$B$5:$B$81,MATCH(B1505,Intent_Analysis!$A$5:$A$81,0))</f>
        <v>Fraud &amp; security</v>
      </c>
      <c r="D1505" s="0" t="n">
        <f aca="false">INDEX(Intent_Analysis!$E$5:$E$81,MATCH(B1505,Intent_Analysis!$A$5:$A$81,0))</f>
        <v>3</v>
      </c>
    </row>
    <row r="1506" customFormat="false" ht="15" hidden="false" customHeight="false" outlineLevel="0" collapsed="false">
      <c r="A1506" s="0" t="s">
        <v>1830</v>
      </c>
      <c r="B1506" s="0" t="s">
        <v>101</v>
      </c>
      <c r="C1506" s="0" t="str">
        <f aca="false">INDEX(Intent_Analysis!$B$5:$B$81,MATCH(B1506,Intent_Analysis!$A$5:$A$81,0))</f>
        <v>Fraud &amp; security</v>
      </c>
      <c r="D1506" s="0" t="n">
        <f aca="false">INDEX(Intent_Analysis!$E$5:$E$81,MATCH(B1506,Intent_Analysis!$A$5:$A$81,0))</f>
        <v>3</v>
      </c>
    </row>
    <row r="1507" customFormat="false" ht="15" hidden="false" customHeight="false" outlineLevel="0" collapsed="false">
      <c r="A1507" s="0" t="s">
        <v>1831</v>
      </c>
      <c r="B1507" s="0" t="s">
        <v>101</v>
      </c>
      <c r="C1507" s="0" t="str">
        <f aca="false">INDEX(Intent_Analysis!$B$5:$B$81,MATCH(B1507,Intent_Analysis!$A$5:$A$81,0))</f>
        <v>Fraud &amp; security</v>
      </c>
      <c r="D1507" s="0" t="n">
        <f aca="false">INDEX(Intent_Analysis!$E$5:$E$81,MATCH(B1507,Intent_Analysis!$A$5:$A$81,0))</f>
        <v>3</v>
      </c>
    </row>
    <row r="1508" customFormat="false" ht="15" hidden="false" customHeight="false" outlineLevel="0" collapsed="false">
      <c r="A1508" s="0" t="s">
        <v>1832</v>
      </c>
      <c r="B1508" s="0" t="s">
        <v>101</v>
      </c>
      <c r="C1508" s="0" t="str">
        <f aca="false">INDEX(Intent_Analysis!$B$5:$B$81,MATCH(B1508,Intent_Analysis!$A$5:$A$81,0))</f>
        <v>Fraud &amp; security</v>
      </c>
      <c r="D1508" s="0" t="n">
        <f aca="false">INDEX(Intent_Analysis!$E$5:$E$81,MATCH(B1508,Intent_Analysis!$A$5:$A$81,0))</f>
        <v>3</v>
      </c>
    </row>
    <row r="1509" customFormat="false" ht="15" hidden="false" customHeight="false" outlineLevel="0" collapsed="false">
      <c r="A1509" s="0" t="s">
        <v>1833</v>
      </c>
      <c r="B1509" s="0" t="s">
        <v>101</v>
      </c>
      <c r="C1509" s="0" t="str">
        <f aca="false">INDEX(Intent_Analysis!$B$5:$B$81,MATCH(B1509,Intent_Analysis!$A$5:$A$81,0))</f>
        <v>Fraud &amp; security</v>
      </c>
      <c r="D1509" s="0" t="n">
        <f aca="false">INDEX(Intent_Analysis!$E$5:$E$81,MATCH(B1509,Intent_Analysis!$A$5:$A$81,0))</f>
        <v>3</v>
      </c>
    </row>
    <row r="1510" customFormat="false" ht="15" hidden="false" customHeight="false" outlineLevel="0" collapsed="false">
      <c r="A1510" s="0" t="s">
        <v>1834</v>
      </c>
      <c r="B1510" s="0" t="s">
        <v>101</v>
      </c>
      <c r="C1510" s="0" t="str">
        <f aca="false">INDEX(Intent_Analysis!$B$5:$B$81,MATCH(B1510,Intent_Analysis!$A$5:$A$81,0))</f>
        <v>Fraud &amp; security</v>
      </c>
      <c r="D1510" s="0" t="n">
        <f aca="false">INDEX(Intent_Analysis!$E$5:$E$81,MATCH(B1510,Intent_Analysis!$A$5:$A$81,0))</f>
        <v>3</v>
      </c>
    </row>
    <row r="1511" customFormat="false" ht="15" hidden="false" customHeight="false" outlineLevel="0" collapsed="false">
      <c r="A1511" s="0" t="s">
        <v>1835</v>
      </c>
      <c r="B1511" s="0" t="s">
        <v>101</v>
      </c>
      <c r="C1511" s="0" t="str">
        <f aca="false">INDEX(Intent_Analysis!$B$5:$B$81,MATCH(B1511,Intent_Analysis!$A$5:$A$81,0))</f>
        <v>Fraud &amp; security</v>
      </c>
      <c r="D1511" s="0" t="n">
        <f aca="false">INDEX(Intent_Analysis!$E$5:$E$81,MATCH(B1511,Intent_Analysis!$A$5:$A$81,0))</f>
        <v>3</v>
      </c>
    </row>
    <row r="1512" customFormat="false" ht="15" hidden="false" customHeight="false" outlineLevel="0" collapsed="false">
      <c r="A1512" s="0" t="s">
        <v>1836</v>
      </c>
      <c r="B1512" s="0" t="s">
        <v>101</v>
      </c>
      <c r="C1512" s="0" t="str">
        <f aca="false">INDEX(Intent_Analysis!$B$5:$B$81,MATCH(B1512,Intent_Analysis!$A$5:$A$81,0))</f>
        <v>Fraud &amp; security</v>
      </c>
      <c r="D1512" s="0" t="n">
        <f aca="false">INDEX(Intent_Analysis!$E$5:$E$81,MATCH(B1512,Intent_Analysis!$A$5:$A$81,0))</f>
        <v>3</v>
      </c>
    </row>
    <row r="1513" customFormat="false" ht="15" hidden="false" customHeight="false" outlineLevel="0" collapsed="false">
      <c r="A1513" s="0" t="s">
        <v>1837</v>
      </c>
      <c r="B1513" s="0" t="s">
        <v>101</v>
      </c>
      <c r="C1513" s="0" t="str">
        <f aca="false">INDEX(Intent_Analysis!$B$5:$B$81,MATCH(B1513,Intent_Analysis!$A$5:$A$81,0))</f>
        <v>Fraud &amp; security</v>
      </c>
      <c r="D1513" s="0" t="n">
        <f aca="false">INDEX(Intent_Analysis!$E$5:$E$81,MATCH(B1513,Intent_Analysis!$A$5:$A$81,0))</f>
        <v>3</v>
      </c>
    </row>
    <row r="1514" customFormat="false" ht="15" hidden="false" customHeight="false" outlineLevel="0" collapsed="false">
      <c r="A1514" s="0" t="s">
        <v>1838</v>
      </c>
      <c r="B1514" s="0" t="s">
        <v>101</v>
      </c>
      <c r="C1514" s="0" t="str">
        <f aca="false">INDEX(Intent_Analysis!$B$5:$B$81,MATCH(B1514,Intent_Analysis!$A$5:$A$81,0))</f>
        <v>Fraud &amp; security</v>
      </c>
      <c r="D1514" s="0" t="n">
        <f aca="false">INDEX(Intent_Analysis!$E$5:$E$81,MATCH(B1514,Intent_Analysis!$A$5:$A$81,0))</f>
        <v>3</v>
      </c>
    </row>
    <row r="1515" customFormat="false" ht="15" hidden="false" customHeight="false" outlineLevel="0" collapsed="false">
      <c r="A1515" s="0" t="s">
        <v>1839</v>
      </c>
      <c r="B1515" s="0" t="s">
        <v>101</v>
      </c>
      <c r="C1515" s="0" t="str">
        <f aca="false">INDEX(Intent_Analysis!$B$5:$B$81,MATCH(B1515,Intent_Analysis!$A$5:$A$81,0))</f>
        <v>Fraud &amp; security</v>
      </c>
      <c r="D1515" s="0" t="n">
        <f aca="false">INDEX(Intent_Analysis!$E$5:$E$81,MATCH(B1515,Intent_Analysis!$A$5:$A$81,0))</f>
        <v>3</v>
      </c>
    </row>
    <row r="1516" customFormat="false" ht="15" hidden="false" customHeight="false" outlineLevel="0" collapsed="false">
      <c r="A1516" s="0" t="s">
        <v>1840</v>
      </c>
      <c r="B1516" s="0" t="s">
        <v>101</v>
      </c>
      <c r="C1516" s="0" t="str">
        <f aca="false">INDEX(Intent_Analysis!$B$5:$B$81,MATCH(B1516,Intent_Analysis!$A$5:$A$81,0))</f>
        <v>Fraud &amp; security</v>
      </c>
      <c r="D1516" s="0" t="n">
        <f aca="false">INDEX(Intent_Analysis!$E$5:$E$81,MATCH(B1516,Intent_Analysis!$A$5:$A$81,0))</f>
        <v>3</v>
      </c>
    </row>
    <row r="1517" customFormat="false" ht="15" hidden="false" customHeight="false" outlineLevel="0" collapsed="false">
      <c r="A1517" s="0" t="s">
        <v>1841</v>
      </c>
      <c r="B1517" s="0" t="s">
        <v>101</v>
      </c>
      <c r="C1517" s="0" t="str">
        <f aca="false">INDEX(Intent_Analysis!$B$5:$B$81,MATCH(B1517,Intent_Analysis!$A$5:$A$81,0))</f>
        <v>Fraud &amp; security</v>
      </c>
      <c r="D1517" s="0" t="n">
        <f aca="false">INDEX(Intent_Analysis!$E$5:$E$81,MATCH(B1517,Intent_Analysis!$A$5:$A$81,0))</f>
        <v>3</v>
      </c>
    </row>
    <row r="1518" customFormat="false" ht="15" hidden="false" customHeight="false" outlineLevel="0" collapsed="false">
      <c r="A1518" s="0" t="s">
        <v>1842</v>
      </c>
      <c r="B1518" s="0" t="s">
        <v>101</v>
      </c>
      <c r="C1518" s="0" t="str">
        <f aca="false">INDEX(Intent_Analysis!$B$5:$B$81,MATCH(B1518,Intent_Analysis!$A$5:$A$81,0))</f>
        <v>Fraud &amp; security</v>
      </c>
      <c r="D1518" s="0" t="n">
        <f aca="false">INDEX(Intent_Analysis!$E$5:$E$81,MATCH(B1518,Intent_Analysis!$A$5:$A$81,0))</f>
        <v>3</v>
      </c>
    </row>
    <row r="1519" customFormat="false" ht="15" hidden="false" customHeight="false" outlineLevel="0" collapsed="false">
      <c r="A1519" s="0" t="s">
        <v>1843</v>
      </c>
      <c r="B1519" s="0" t="s">
        <v>101</v>
      </c>
      <c r="C1519" s="0" t="str">
        <f aca="false">INDEX(Intent_Analysis!$B$5:$B$81,MATCH(B1519,Intent_Analysis!$A$5:$A$81,0))</f>
        <v>Fraud &amp; security</v>
      </c>
      <c r="D1519" s="0" t="n">
        <f aca="false">INDEX(Intent_Analysis!$E$5:$E$81,MATCH(B1519,Intent_Analysis!$A$5:$A$81,0))</f>
        <v>3</v>
      </c>
    </row>
    <row r="1520" customFormat="false" ht="15" hidden="false" customHeight="false" outlineLevel="0" collapsed="false">
      <c r="A1520" s="0" t="s">
        <v>1844</v>
      </c>
      <c r="B1520" s="0" t="s">
        <v>101</v>
      </c>
      <c r="C1520" s="0" t="str">
        <f aca="false">INDEX(Intent_Analysis!$B$5:$B$81,MATCH(B1520,Intent_Analysis!$A$5:$A$81,0))</f>
        <v>Fraud &amp; security</v>
      </c>
      <c r="D1520" s="0" t="n">
        <f aca="false">INDEX(Intent_Analysis!$E$5:$E$81,MATCH(B1520,Intent_Analysis!$A$5:$A$81,0))</f>
        <v>3</v>
      </c>
    </row>
    <row r="1521" customFormat="false" ht="15" hidden="false" customHeight="false" outlineLevel="0" collapsed="false">
      <c r="A1521" s="0" t="s">
        <v>1845</v>
      </c>
      <c r="B1521" s="0" t="s">
        <v>101</v>
      </c>
      <c r="C1521" s="0" t="str">
        <f aca="false">INDEX(Intent_Analysis!$B$5:$B$81,MATCH(B1521,Intent_Analysis!$A$5:$A$81,0))</f>
        <v>Fraud &amp; security</v>
      </c>
      <c r="D1521" s="0" t="n">
        <f aca="false">INDEX(Intent_Analysis!$E$5:$E$81,MATCH(B1521,Intent_Analysis!$A$5:$A$81,0))</f>
        <v>3</v>
      </c>
    </row>
    <row r="1522" customFormat="false" ht="15" hidden="false" customHeight="false" outlineLevel="0" collapsed="false">
      <c r="A1522" s="0" t="s">
        <v>1846</v>
      </c>
      <c r="B1522" s="0" t="s">
        <v>101</v>
      </c>
      <c r="C1522" s="0" t="str">
        <f aca="false">INDEX(Intent_Analysis!$B$5:$B$81,MATCH(B1522,Intent_Analysis!$A$5:$A$81,0))</f>
        <v>Fraud &amp; security</v>
      </c>
      <c r="D1522" s="0" t="n">
        <f aca="false">INDEX(Intent_Analysis!$E$5:$E$81,MATCH(B1522,Intent_Analysis!$A$5:$A$81,0))</f>
        <v>3</v>
      </c>
    </row>
    <row r="1523" customFormat="false" ht="15" hidden="false" customHeight="false" outlineLevel="0" collapsed="false">
      <c r="A1523" s="0" t="s">
        <v>1847</v>
      </c>
      <c r="B1523" s="0" t="s">
        <v>101</v>
      </c>
      <c r="C1523" s="0" t="str">
        <f aca="false">INDEX(Intent_Analysis!$B$5:$B$81,MATCH(B1523,Intent_Analysis!$A$5:$A$81,0))</f>
        <v>Fraud &amp; security</v>
      </c>
      <c r="D1523" s="0" t="n">
        <f aca="false">INDEX(Intent_Analysis!$E$5:$E$81,MATCH(B1523,Intent_Analysis!$A$5:$A$81,0))</f>
        <v>3</v>
      </c>
    </row>
    <row r="1524" customFormat="false" ht="15" hidden="false" customHeight="false" outlineLevel="0" collapsed="false">
      <c r="A1524" s="0" t="s">
        <v>1848</v>
      </c>
      <c r="B1524" s="0" t="s">
        <v>101</v>
      </c>
      <c r="C1524" s="0" t="str">
        <f aca="false">INDEX(Intent_Analysis!$B$5:$B$81,MATCH(B1524,Intent_Analysis!$A$5:$A$81,0))</f>
        <v>Fraud &amp; security</v>
      </c>
      <c r="D1524" s="0" t="n">
        <f aca="false">INDEX(Intent_Analysis!$E$5:$E$81,MATCH(B1524,Intent_Analysis!$A$5:$A$81,0))</f>
        <v>3</v>
      </c>
    </row>
    <row r="1525" customFormat="false" ht="15" hidden="false" customHeight="false" outlineLevel="0" collapsed="false">
      <c r="A1525" s="0" t="s">
        <v>1849</v>
      </c>
      <c r="B1525" s="0" t="s">
        <v>101</v>
      </c>
      <c r="C1525" s="0" t="str">
        <f aca="false">INDEX(Intent_Analysis!$B$5:$B$81,MATCH(B1525,Intent_Analysis!$A$5:$A$81,0))</f>
        <v>Fraud &amp; security</v>
      </c>
      <c r="D1525" s="0" t="n">
        <f aca="false">INDEX(Intent_Analysis!$E$5:$E$81,MATCH(B1525,Intent_Analysis!$A$5:$A$81,0))</f>
        <v>3</v>
      </c>
    </row>
    <row r="1526" customFormat="false" ht="15" hidden="false" customHeight="false" outlineLevel="0" collapsed="false">
      <c r="A1526" s="0" t="s">
        <v>1850</v>
      </c>
      <c r="B1526" s="0" t="s">
        <v>101</v>
      </c>
      <c r="C1526" s="0" t="str">
        <f aca="false">INDEX(Intent_Analysis!$B$5:$B$81,MATCH(B1526,Intent_Analysis!$A$5:$A$81,0))</f>
        <v>Fraud &amp; security</v>
      </c>
      <c r="D1526" s="0" t="n">
        <f aca="false">INDEX(Intent_Analysis!$E$5:$E$81,MATCH(B1526,Intent_Analysis!$A$5:$A$81,0))</f>
        <v>3</v>
      </c>
    </row>
    <row r="1527" customFormat="false" ht="15" hidden="false" customHeight="false" outlineLevel="0" collapsed="false">
      <c r="A1527" s="0" t="s">
        <v>1851</v>
      </c>
      <c r="B1527" s="0" t="s">
        <v>101</v>
      </c>
      <c r="C1527" s="0" t="str">
        <f aca="false">INDEX(Intent_Analysis!$B$5:$B$81,MATCH(B1527,Intent_Analysis!$A$5:$A$81,0))</f>
        <v>Fraud &amp; security</v>
      </c>
      <c r="D1527" s="0" t="n">
        <f aca="false">INDEX(Intent_Analysis!$E$5:$E$81,MATCH(B1527,Intent_Analysis!$A$5:$A$81,0))</f>
        <v>3</v>
      </c>
    </row>
    <row r="1528" customFormat="false" ht="15" hidden="false" customHeight="false" outlineLevel="0" collapsed="false">
      <c r="A1528" s="0" t="s">
        <v>1852</v>
      </c>
      <c r="B1528" s="0" t="s">
        <v>101</v>
      </c>
      <c r="C1528" s="0" t="str">
        <f aca="false">INDEX(Intent_Analysis!$B$5:$B$81,MATCH(B1528,Intent_Analysis!$A$5:$A$81,0))</f>
        <v>Fraud &amp; security</v>
      </c>
      <c r="D1528" s="0" t="n">
        <f aca="false">INDEX(Intent_Analysis!$E$5:$E$81,MATCH(B1528,Intent_Analysis!$A$5:$A$81,0))</f>
        <v>3</v>
      </c>
    </row>
    <row r="1529" customFormat="false" ht="15" hidden="false" customHeight="false" outlineLevel="0" collapsed="false">
      <c r="A1529" s="0" t="s">
        <v>1853</v>
      </c>
      <c r="B1529" s="0" t="s">
        <v>101</v>
      </c>
      <c r="C1529" s="0" t="str">
        <f aca="false">INDEX(Intent_Analysis!$B$5:$B$81,MATCH(B1529,Intent_Analysis!$A$5:$A$81,0))</f>
        <v>Fraud &amp; security</v>
      </c>
      <c r="D1529" s="0" t="n">
        <f aca="false">INDEX(Intent_Analysis!$E$5:$E$81,MATCH(B1529,Intent_Analysis!$A$5:$A$81,0))</f>
        <v>3</v>
      </c>
    </row>
    <row r="1530" customFormat="false" ht="15" hidden="false" customHeight="false" outlineLevel="0" collapsed="false">
      <c r="A1530" s="0" t="s">
        <v>1854</v>
      </c>
      <c r="B1530" s="0" t="s">
        <v>101</v>
      </c>
      <c r="C1530" s="0" t="str">
        <f aca="false">INDEX(Intent_Analysis!$B$5:$B$81,MATCH(B1530,Intent_Analysis!$A$5:$A$81,0))</f>
        <v>Fraud &amp; security</v>
      </c>
      <c r="D1530" s="0" t="n">
        <f aca="false">INDEX(Intent_Analysis!$E$5:$E$81,MATCH(B1530,Intent_Analysis!$A$5:$A$81,0))</f>
        <v>3</v>
      </c>
    </row>
    <row r="1531" customFormat="false" ht="15" hidden="false" customHeight="false" outlineLevel="0" collapsed="false">
      <c r="A1531" s="0" t="s">
        <v>1855</v>
      </c>
      <c r="B1531" s="0" t="s">
        <v>101</v>
      </c>
      <c r="C1531" s="0" t="str">
        <f aca="false">INDEX(Intent_Analysis!$B$5:$B$81,MATCH(B1531,Intent_Analysis!$A$5:$A$81,0))</f>
        <v>Fraud &amp; security</v>
      </c>
      <c r="D1531" s="0" t="n">
        <f aca="false">INDEX(Intent_Analysis!$E$5:$E$81,MATCH(B1531,Intent_Analysis!$A$5:$A$81,0))</f>
        <v>3</v>
      </c>
    </row>
    <row r="1532" customFormat="false" ht="15" hidden="false" customHeight="false" outlineLevel="0" collapsed="false">
      <c r="A1532" s="0" t="s">
        <v>1856</v>
      </c>
      <c r="B1532" s="0" t="s">
        <v>101</v>
      </c>
      <c r="C1532" s="0" t="str">
        <f aca="false">INDEX(Intent_Analysis!$B$5:$B$81,MATCH(B1532,Intent_Analysis!$A$5:$A$81,0))</f>
        <v>Fraud &amp; security</v>
      </c>
      <c r="D1532" s="0" t="n">
        <f aca="false">INDEX(Intent_Analysis!$E$5:$E$81,MATCH(B1532,Intent_Analysis!$A$5:$A$81,0))</f>
        <v>3</v>
      </c>
    </row>
    <row r="1533" customFormat="false" ht="15" hidden="false" customHeight="false" outlineLevel="0" collapsed="false">
      <c r="A1533" s="0" t="s">
        <v>1857</v>
      </c>
      <c r="B1533" s="0" t="s">
        <v>101</v>
      </c>
      <c r="C1533" s="0" t="str">
        <f aca="false">INDEX(Intent_Analysis!$B$5:$B$81,MATCH(B1533,Intent_Analysis!$A$5:$A$81,0))</f>
        <v>Fraud &amp; security</v>
      </c>
      <c r="D1533" s="0" t="n">
        <f aca="false">INDEX(Intent_Analysis!$E$5:$E$81,MATCH(B1533,Intent_Analysis!$A$5:$A$81,0))</f>
        <v>3</v>
      </c>
    </row>
    <row r="1534" customFormat="false" ht="15" hidden="false" customHeight="false" outlineLevel="0" collapsed="false">
      <c r="A1534" s="0" t="s">
        <v>1858</v>
      </c>
      <c r="B1534" s="0" t="s">
        <v>101</v>
      </c>
      <c r="C1534" s="0" t="str">
        <f aca="false">INDEX(Intent_Analysis!$B$5:$B$81,MATCH(B1534,Intent_Analysis!$A$5:$A$81,0))</f>
        <v>Fraud &amp; security</v>
      </c>
      <c r="D1534" s="0" t="n">
        <f aca="false">INDEX(Intent_Analysis!$E$5:$E$81,MATCH(B1534,Intent_Analysis!$A$5:$A$81,0))</f>
        <v>3</v>
      </c>
    </row>
    <row r="1535" customFormat="false" ht="15" hidden="false" customHeight="false" outlineLevel="0" collapsed="false">
      <c r="A1535" s="0" t="s">
        <v>1859</v>
      </c>
      <c r="B1535" s="0" t="s">
        <v>101</v>
      </c>
      <c r="C1535" s="0" t="str">
        <f aca="false">INDEX(Intent_Analysis!$B$5:$B$81,MATCH(B1535,Intent_Analysis!$A$5:$A$81,0))</f>
        <v>Fraud &amp; security</v>
      </c>
      <c r="D1535" s="0" t="n">
        <f aca="false">INDEX(Intent_Analysis!$E$5:$E$81,MATCH(B1535,Intent_Analysis!$A$5:$A$81,0))</f>
        <v>3</v>
      </c>
    </row>
    <row r="1536" customFormat="false" ht="15" hidden="false" customHeight="false" outlineLevel="0" collapsed="false">
      <c r="A1536" s="0" t="s">
        <v>1860</v>
      </c>
      <c r="B1536" s="0" t="s">
        <v>101</v>
      </c>
      <c r="C1536" s="0" t="str">
        <f aca="false">INDEX(Intent_Analysis!$B$5:$B$81,MATCH(B1536,Intent_Analysis!$A$5:$A$81,0))</f>
        <v>Fraud &amp; security</v>
      </c>
      <c r="D1536" s="0" t="n">
        <f aca="false">INDEX(Intent_Analysis!$E$5:$E$81,MATCH(B1536,Intent_Analysis!$A$5:$A$81,0))</f>
        <v>3</v>
      </c>
    </row>
    <row r="1537" customFormat="false" ht="15" hidden="false" customHeight="false" outlineLevel="0" collapsed="false">
      <c r="A1537" s="0" t="s">
        <v>1861</v>
      </c>
      <c r="B1537" s="0" t="s">
        <v>101</v>
      </c>
      <c r="C1537" s="0" t="str">
        <f aca="false">INDEX(Intent_Analysis!$B$5:$B$81,MATCH(B1537,Intent_Analysis!$A$5:$A$81,0))</f>
        <v>Fraud &amp; security</v>
      </c>
      <c r="D1537" s="0" t="n">
        <f aca="false">INDEX(Intent_Analysis!$E$5:$E$81,MATCH(B1537,Intent_Analysis!$A$5:$A$81,0))</f>
        <v>3</v>
      </c>
    </row>
    <row r="1538" customFormat="false" ht="15" hidden="false" customHeight="false" outlineLevel="0" collapsed="false">
      <c r="A1538" s="0" t="s">
        <v>1862</v>
      </c>
      <c r="B1538" s="0" t="s">
        <v>101</v>
      </c>
      <c r="C1538" s="0" t="str">
        <f aca="false">INDEX(Intent_Analysis!$B$5:$B$81,MATCH(B1538,Intent_Analysis!$A$5:$A$81,0))</f>
        <v>Fraud &amp; security</v>
      </c>
      <c r="D1538" s="0" t="n">
        <f aca="false">INDEX(Intent_Analysis!$E$5:$E$81,MATCH(B1538,Intent_Analysis!$A$5:$A$81,0))</f>
        <v>3</v>
      </c>
    </row>
    <row r="1539" customFormat="false" ht="15" hidden="false" customHeight="false" outlineLevel="0" collapsed="false">
      <c r="A1539" s="0" t="s">
        <v>1863</v>
      </c>
      <c r="B1539" s="0" t="s">
        <v>101</v>
      </c>
      <c r="C1539" s="0" t="str">
        <f aca="false">INDEX(Intent_Analysis!$B$5:$B$81,MATCH(B1539,Intent_Analysis!$A$5:$A$81,0))</f>
        <v>Fraud &amp; security</v>
      </c>
      <c r="D1539" s="0" t="n">
        <f aca="false">INDEX(Intent_Analysis!$E$5:$E$81,MATCH(B1539,Intent_Analysis!$A$5:$A$81,0))</f>
        <v>3</v>
      </c>
    </row>
    <row r="1540" customFormat="false" ht="15" hidden="false" customHeight="false" outlineLevel="0" collapsed="false">
      <c r="A1540" s="0" t="s">
        <v>1864</v>
      </c>
      <c r="B1540" s="0" t="s">
        <v>101</v>
      </c>
      <c r="C1540" s="0" t="str">
        <f aca="false">INDEX(Intent_Analysis!$B$5:$B$81,MATCH(B1540,Intent_Analysis!$A$5:$A$81,0))</f>
        <v>Fraud &amp; security</v>
      </c>
      <c r="D1540" s="0" t="n">
        <f aca="false">INDEX(Intent_Analysis!$E$5:$E$81,MATCH(B1540,Intent_Analysis!$A$5:$A$81,0))</f>
        <v>3</v>
      </c>
    </row>
    <row r="1541" customFormat="false" ht="15" hidden="false" customHeight="false" outlineLevel="0" collapsed="false">
      <c r="A1541" s="0" t="s">
        <v>1865</v>
      </c>
      <c r="B1541" s="0" t="s">
        <v>101</v>
      </c>
      <c r="C1541" s="0" t="str">
        <f aca="false">INDEX(Intent_Analysis!$B$5:$B$81,MATCH(B1541,Intent_Analysis!$A$5:$A$81,0))</f>
        <v>Fraud &amp; security</v>
      </c>
      <c r="D1541" s="0" t="n">
        <f aca="false">INDEX(Intent_Analysis!$E$5:$E$81,MATCH(B1541,Intent_Analysis!$A$5:$A$81,0))</f>
        <v>3</v>
      </c>
    </row>
    <row r="1542" customFormat="false" ht="15" hidden="false" customHeight="false" outlineLevel="0" collapsed="false">
      <c r="A1542" s="0" t="s">
        <v>1866</v>
      </c>
      <c r="B1542" s="0" t="s">
        <v>101</v>
      </c>
      <c r="C1542" s="0" t="str">
        <f aca="false">INDEX(Intent_Analysis!$B$5:$B$81,MATCH(B1542,Intent_Analysis!$A$5:$A$81,0))</f>
        <v>Fraud &amp; security</v>
      </c>
      <c r="D1542" s="0" t="n">
        <f aca="false">INDEX(Intent_Analysis!$E$5:$E$81,MATCH(B1542,Intent_Analysis!$A$5:$A$81,0))</f>
        <v>3</v>
      </c>
    </row>
    <row r="1543" customFormat="false" ht="15" hidden="false" customHeight="false" outlineLevel="0" collapsed="false">
      <c r="A1543" s="0" t="s">
        <v>1867</v>
      </c>
      <c r="B1543" s="0" t="s">
        <v>101</v>
      </c>
      <c r="C1543" s="0" t="str">
        <f aca="false">INDEX(Intent_Analysis!$B$5:$B$81,MATCH(B1543,Intent_Analysis!$A$5:$A$81,0))</f>
        <v>Fraud &amp; security</v>
      </c>
      <c r="D1543" s="0" t="n">
        <f aca="false">INDEX(Intent_Analysis!$E$5:$E$81,MATCH(B1543,Intent_Analysis!$A$5:$A$81,0))</f>
        <v>3</v>
      </c>
    </row>
    <row r="1544" customFormat="false" ht="15" hidden="false" customHeight="false" outlineLevel="0" collapsed="false">
      <c r="A1544" s="0" t="s">
        <v>1868</v>
      </c>
      <c r="B1544" s="0" t="s">
        <v>101</v>
      </c>
      <c r="C1544" s="0" t="str">
        <f aca="false">INDEX(Intent_Analysis!$B$5:$B$81,MATCH(B1544,Intent_Analysis!$A$5:$A$81,0))</f>
        <v>Fraud &amp; security</v>
      </c>
      <c r="D1544" s="0" t="n">
        <f aca="false">INDEX(Intent_Analysis!$E$5:$E$81,MATCH(B1544,Intent_Analysis!$A$5:$A$81,0))</f>
        <v>3</v>
      </c>
    </row>
    <row r="1545" customFormat="false" ht="15" hidden="false" customHeight="false" outlineLevel="0" collapsed="false">
      <c r="A1545" s="0" t="s">
        <v>1869</v>
      </c>
      <c r="B1545" s="0" t="s">
        <v>101</v>
      </c>
      <c r="C1545" s="0" t="str">
        <f aca="false">INDEX(Intent_Analysis!$B$5:$B$81,MATCH(B1545,Intent_Analysis!$A$5:$A$81,0))</f>
        <v>Fraud &amp; security</v>
      </c>
      <c r="D1545" s="0" t="n">
        <f aca="false">INDEX(Intent_Analysis!$E$5:$E$81,MATCH(B1545,Intent_Analysis!$A$5:$A$81,0))</f>
        <v>3</v>
      </c>
    </row>
    <row r="1546" customFormat="false" ht="15" hidden="false" customHeight="false" outlineLevel="0" collapsed="false">
      <c r="A1546" s="0" t="s">
        <v>1870</v>
      </c>
      <c r="B1546" s="0" t="s">
        <v>101</v>
      </c>
      <c r="C1546" s="0" t="str">
        <f aca="false">INDEX(Intent_Analysis!$B$5:$B$81,MATCH(B1546,Intent_Analysis!$A$5:$A$81,0))</f>
        <v>Fraud &amp; security</v>
      </c>
      <c r="D1546" s="0" t="n">
        <f aca="false">INDEX(Intent_Analysis!$E$5:$E$81,MATCH(B1546,Intent_Analysis!$A$5:$A$81,0))</f>
        <v>3</v>
      </c>
    </row>
    <row r="1547" customFormat="false" ht="15" hidden="false" customHeight="false" outlineLevel="0" collapsed="false">
      <c r="A1547" s="0" t="s">
        <v>1871</v>
      </c>
      <c r="B1547" s="0" t="s">
        <v>101</v>
      </c>
      <c r="C1547" s="0" t="str">
        <f aca="false">INDEX(Intent_Analysis!$B$5:$B$81,MATCH(B1547,Intent_Analysis!$A$5:$A$81,0))</f>
        <v>Fraud &amp; security</v>
      </c>
      <c r="D1547" s="0" t="n">
        <f aca="false">INDEX(Intent_Analysis!$E$5:$E$81,MATCH(B1547,Intent_Analysis!$A$5:$A$81,0))</f>
        <v>3</v>
      </c>
    </row>
    <row r="1548" customFormat="false" ht="15" hidden="false" customHeight="false" outlineLevel="0" collapsed="false">
      <c r="A1548" s="0" t="s">
        <v>1872</v>
      </c>
      <c r="B1548" s="0" t="s">
        <v>101</v>
      </c>
      <c r="C1548" s="0" t="str">
        <f aca="false">INDEX(Intent_Analysis!$B$5:$B$81,MATCH(B1548,Intent_Analysis!$A$5:$A$81,0))</f>
        <v>Fraud &amp; security</v>
      </c>
      <c r="D1548" s="0" t="n">
        <f aca="false">INDEX(Intent_Analysis!$E$5:$E$81,MATCH(B1548,Intent_Analysis!$A$5:$A$81,0))</f>
        <v>3</v>
      </c>
    </row>
    <row r="1549" customFormat="false" ht="15" hidden="false" customHeight="false" outlineLevel="0" collapsed="false">
      <c r="A1549" s="0" t="s">
        <v>1873</v>
      </c>
      <c r="B1549" s="0" t="s">
        <v>101</v>
      </c>
      <c r="C1549" s="0" t="str">
        <f aca="false">INDEX(Intent_Analysis!$B$5:$B$81,MATCH(B1549,Intent_Analysis!$A$5:$A$81,0))</f>
        <v>Fraud &amp; security</v>
      </c>
      <c r="D1549" s="0" t="n">
        <f aca="false">INDEX(Intent_Analysis!$E$5:$E$81,MATCH(B1549,Intent_Analysis!$A$5:$A$81,0))</f>
        <v>3</v>
      </c>
    </row>
    <row r="1550" customFormat="false" ht="15" hidden="false" customHeight="false" outlineLevel="0" collapsed="false">
      <c r="A1550" s="0" t="s">
        <v>1874</v>
      </c>
      <c r="B1550" s="0" t="s">
        <v>101</v>
      </c>
      <c r="C1550" s="0" t="str">
        <f aca="false">INDEX(Intent_Analysis!$B$5:$B$81,MATCH(B1550,Intent_Analysis!$A$5:$A$81,0))</f>
        <v>Fraud &amp; security</v>
      </c>
      <c r="D1550" s="0" t="n">
        <f aca="false">INDEX(Intent_Analysis!$E$5:$E$81,MATCH(B1550,Intent_Analysis!$A$5:$A$81,0))</f>
        <v>3</v>
      </c>
    </row>
    <row r="1551" customFormat="false" ht="15" hidden="false" customHeight="false" outlineLevel="0" collapsed="false">
      <c r="A1551" s="0" t="s">
        <v>1875</v>
      </c>
      <c r="B1551" s="0" t="s">
        <v>101</v>
      </c>
      <c r="C1551" s="0" t="str">
        <f aca="false">INDEX(Intent_Analysis!$B$5:$B$81,MATCH(B1551,Intent_Analysis!$A$5:$A$81,0))</f>
        <v>Fraud &amp; security</v>
      </c>
      <c r="D1551" s="0" t="n">
        <f aca="false">INDEX(Intent_Analysis!$E$5:$E$81,MATCH(B1551,Intent_Analysis!$A$5:$A$81,0))</f>
        <v>3</v>
      </c>
    </row>
    <row r="1552" customFormat="false" ht="15" hidden="false" customHeight="false" outlineLevel="0" collapsed="false">
      <c r="A1552" s="0" t="s">
        <v>1876</v>
      </c>
      <c r="B1552" s="0" t="s">
        <v>101</v>
      </c>
      <c r="C1552" s="0" t="str">
        <f aca="false">INDEX(Intent_Analysis!$B$5:$B$81,MATCH(B1552,Intent_Analysis!$A$5:$A$81,0))</f>
        <v>Fraud &amp; security</v>
      </c>
      <c r="D1552" s="0" t="n">
        <f aca="false">INDEX(Intent_Analysis!$E$5:$E$81,MATCH(B1552,Intent_Analysis!$A$5:$A$81,0))</f>
        <v>3</v>
      </c>
    </row>
    <row r="1553" customFormat="false" ht="15" hidden="false" customHeight="false" outlineLevel="0" collapsed="false">
      <c r="A1553" s="0" t="s">
        <v>1877</v>
      </c>
      <c r="B1553" s="0" t="s">
        <v>101</v>
      </c>
      <c r="C1553" s="0" t="str">
        <f aca="false">INDEX(Intent_Analysis!$B$5:$B$81,MATCH(B1553,Intent_Analysis!$A$5:$A$81,0))</f>
        <v>Fraud &amp; security</v>
      </c>
      <c r="D1553" s="0" t="n">
        <f aca="false">INDEX(Intent_Analysis!$E$5:$E$81,MATCH(B1553,Intent_Analysis!$A$5:$A$81,0))</f>
        <v>3</v>
      </c>
    </row>
    <row r="1554" customFormat="false" ht="15" hidden="false" customHeight="false" outlineLevel="0" collapsed="false">
      <c r="A1554" s="0" t="s">
        <v>1878</v>
      </c>
      <c r="B1554" s="0" t="s">
        <v>101</v>
      </c>
      <c r="C1554" s="0" t="str">
        <f aca="false">INDEX(Intent_Analysis!$B$5:$B$81,MATCH(B1554,Intent_Analysis!$A$5:$A$81,0))</f>
        <v>Fraud &amp; security</v>
      </c>
      <c r="D1554" s="0" t="n">
        <f aca="false">INDEX(Intent_Analysis!$E$5:$E$81,MATCH(B1554,Intent_Analysis!$A$5:$A$81,0))</f>
        <v>3</v>
      </c>
    </row>
    <row r="1555" customFormat="false" ht="15" hidden="false" customHeight="false" outlineLevel="0" collapsed="false">
      <c r="A1555" s="0" t="s">
        <v>1879</v>
      </c>
      <c r="B1555" s="0" t="s">
        <v>101</v>
      </c>
      <c r="C1555" s="0" t="str">
        <f aca="false">INDEX(Intent_Analysis!$B$5:$B$81,MATCH(B1555,Intent_Analysis!$A$5:$A$81,0))</f>
        <v>Fraud &amp; security</v>
      </c>
      <c r="D1555" s="0" t="n">
        <f aca="false">INDEX(Intent_Analysis!$E$5:$E$81,MATCH(B1555,Intent_Analysis!$A$5:$A$81,0))</f>
        <v>3</v>
      </c>
    </row>
    <row r="1556" customFormat="false" ht="15" hidden="false" customHeight="false" outlineLevel="0" collapsed="false">
      <c r="A1556" s="0" t="s">
        <v>1880</v>
      </c>
      <c r="B1556" s="0" t="s">
        <v>101</v>
      </c>
      <c r="C1556" s="0" t="str">
        <f aca="false">INDEX(Intent_Analysis!$B$5:$B$81,MATCH(B1556,Intent_Analysis!$A$5:$A$81,0))</f>
        <v>Fraud &amp; security</v>
      </c>
      <c r="D1556" s="0" t="n">
        <f aca="false">INDEX(Intent_Analysis!$E$5:$E$81,MATCH(B1556,Intent_Analysis!$A$5:$A$81,0))</f>
        <v>3</v>
      </c>
    </row>
    <row r="1557" customFormat="false" ht="15" hidden="false" customHeight="false" outlineLevel="0" collapsed="false">
      <c r="A1557" s="0" t="s">
        <v>1881</v>
      </c>
      <c r="B1557" s="0" t="s">
        <v>101</v>
      </c>
      <c r="C1557" s="0" t="str">
        <f aca="false">INDEX(Intent_Analysis!$B$5:$B$81,MATCH(B1557,Intent_Analysis!$A$5:$A$81,0))</f>
        <v>Fraud &amp; security</v>
      </c>
      <c r="D1557" s="0" t="n">
        <f aca="false">INDEX(Intent_Analysis!$E$5:$E$81,MATCH(B1557,Intent_Analysis!$A$5:$A$81,0))</f>
        <v>3</v>
      </c>
    </row>
    <row r="1558" customFormat="false" ht="15" hidden="false" customHeight="false" outlineLevel="0" collapsed="false">
      <c r="A1558" s="0" t="s">
        <v>1882</v>
      </c>
      <c r="B1558" s="0" t="s">
        <v>101</v>
      </c>
      <c r="C1558" s="0" t="str">
        <f aca="false">INDEX(Intent_Analysis!$B$5:$B$81,MATCH(B1558,Intent_Analysis!$A$5:$A$81,0))</f>
        <v>Fraud &amp; security</v>
      </c>
      <c r="D1558" s="0" t="n">
        <f aca="false">INDEX(Intent_Analysis!$E$5:$E$81,MATCH(B1558,Intent_Analysis!$A$5:$A$81,0))</f>
        <v>3</v>
      </c>
    </row>
    <row r="1559" customFormat="false" ht="15" hidden="false" customHeight="false" outlineLevel="0" collapsed="false">
      <c r="A1559" s="0" t="s">
        <v>1883</v>
      </c>
      <c r="B1559" s="0" t="s">
        <v>39</v>
      </c>
      <c r="C1559" s="0" t="str">
        <f aca="false">INDEX(Intent_Analysis!$B$5:$B$81,MATCH(B1559,Intent_Analysis!$A$5:$A$81,0))</f>
        <v>Account &amp; identity</v>
      </c>
      <c r="D1559" s="0" t="n">
        <f aca="false">INDEX(Intent_Analysis!$E$5:$E$81,MATCH(B1559,Intent_Analysis!$A$5:$A$81,0))</f>
        <v>1</v>
      </c>
    </row>
    <row r="1560" customFormat="false" ht="15" hidden="false" customHeight="false" outlineLevel="0" collapsed="false">
      <c r="A1560" s="0" t="s">
        <v>1884</v>
      </c>
      <c r="B1560" s="0" t="s">
        <v>39</v>
      </c>
      <c r="C1560" s="0" t="str">
        <f aca="false">INDEX(Intent_Analysis!$B$5:$B$81,MATCH(B1560,Intent_Analysis!$A$5:$A$81,0))</f>
        <v>Account &amp; identity</v>
      </c>
      <c r="D1560" s="0" t="n">
        <f aca="false">INDEX(Intent_Analysis!$E$5:$E$81,MATCH(B1560,Intent_Analysis!$A$5:$A$81,0))</f>
        <v>1</v>
      </c>
    </row>
    <row r="1561" customFormat="false" ht="15" hidden="false" customHeight="false" outlineLevel="0" collapsed="false">
      <c r="A1561" s="0" t="s">
        <v>1885</v>
      </c>
      <c r="B1561" s="0" t="s">
        <v>39</v>
      </c>
      <c r="C1561" s="0" t="str">
        <f aca="false">INDEX(Intent_Analysis!$B$5:$B$81,MATCH(B1561,Intent_Analysis!$A$5:$A$81,0))</f>
        <v>Account &amp; identity</v>
      </c>
      <c r="D1561" s="0" t="n">
        <f aca="false">INDEX(Intent_Analysis!$E$5:$E$81,MATCH(B1561,Intent_Analysis!$A$5:$A$81,0))</f>
        <v>1</v>
      </c>
    </row>
    <row r="1562" customFormat="false" ht="15" hidden="false" customHeight="false" outlineLevel="0" collapsed="false">
      <c r="A1562" s="0" t="s">
        <v>1886</v>
      </c>
      <c r="B1562" s="0" t="s">
        <v>39</v>
      </c>
      <c r="C1562" s="0" t="str">
        <f aca="false">INDEX(Intent_Analysis!$B$5:$B$81,MATCH(B1562,Intent_Analysis!$A$5:$A$81,0))</f>
        <v>Account &amp; identity</v>
      </c>
      <c r="D1562" s="0" t="n">
        <f aca="false">INDEX(Intent_Analysis!$E$5:$E$81,MATCH(B1562,Intent_Analysis!$A$5:$A$81,0))</f>
        <v>1</v>
      </c>
    </row>
    <row r="1563" customFormat="false" ht="15" hidden="false" customHeight="false" outlineLevel="0" collapsed="false">
      <c r="A1563" s="0" t="s">
        <v>1887</v>
      </c>
      <c r="B1563" s="0" t="s">
        <v>39</v>
      </c>
      <c r="C1563" s="0" t="str">
        <f aca="false">INDEX(Intent_Analysis!$B$5:$B$81,MATCH(B1563,Intent_Analysis!$A$5:$A$81,0))</f>
        <v>Account &amp; identity</v>
      </c>
      <c r="D1563" s="0" t="n">
        <f aca="false">INDEX(Intent_Analysis!$E$5:$E$81,MATCH(B1563,Intent_Analysis!$A$5:$A$81,0))</f>
        <v>1</v>
      </c>
    </row>
    <row r="1564" customFormat="false" ht="15" hidden="false" customHeight="false" outlineLevel="0" collapsed="false">
      <c r="A1564" s="0" t="s">
        <v>1888</v>
      </c>
      <c r="B1564" s="0" t="s">
        <v>39</v>
      </c>
      <c r="C1564" s="0" t="str">
        <f aca="false">INDEX(Intent_Analysis!$B$5:$B$81,MATCH(B1564,Intent_Analysis!$A$5:$A$81,0))</f>
        <v>Account &amp; identity</v>
      </c>
      <c r="D1564" s="0" t="n">
        <f aca="false">INDEX(Intent_Analysis!$E$5:$E$81,MATCH(B1564,Intent_Analysis!$A$5:$A$81,0))</f>
        <v>1</v>
      </c>
    </row>
    <row r="1565" customFormat="false" ht="15" hidden="false" customHeight="false" outlineLevel="0" collapsed="false">
      <c r="A1565" s="0" t="s">
        <v>1889</v>
      </c>
      <c r="B1565" s="0" t="s">
        <v>39</v>
      </c>
      <c r="C1565" s="0" t="str">
        <f aca="false">INDEX(Intent_Analysis!$B$5:$B$81,MATCH(B1565,Intent_Analysis!$A$5:$A$81,0))</f>
        <v>Account &amp; identity</v>
      </c>
      <c r="D1565" s="0" t="n">
        <f aca="false">INDEX(Intent_Analysis!$E$5:$E$81,MATCH(B1565,Intent_Analysis!$A$5:$A$81,0))</f>
        <v>1</v>
      </c>
    </row>
    <row r="1566" customFormat="false" ht="15" hidden="false" customHeight="false" outlineLevel="0" collapsed="false">
      <c r="A1566" s="0" t="s">
        <v>1890</v>
      </c>
      <c r="B1566" s="0" t="s">
        <v>39</v>
      </c>
      <c r="C1566" s="0" t="str">
        <f aca="false">INDEX(Intent_Analysis!$B$5:$B$81,MATCH(B1566,Intent_Analysis!$A$5:$A$81,0))</f>
        <v>Account &amp; identity</v>
      </c>
      <c r="D1566" s="0" t="n">
        <f aca="false">INDEX(Intent_Analysis!$E$5:$E$81,MATCH(B1566,Intent_Analysis!$A$5:$A$81,0))</f>
        <v>1</v>
      </c>
    </row>
    <row r="1567" customFormat="false" ht="15" hidden="false" customHeight="false" outlineLevel="0" collapsed="false">
      <c r="A1567" s="0" t="s">
        <v>1891</v>
      </c>
      <c r="B1567" s="0" t="s">
        <v>39</v>
      </c>
      <c r="C1567" s="0" t="str">
        <f aca="false">INDEX(Intent_Analysis!$B$5:$B$81,MATCH(B1567,Intent_Analysis!$A$5:$A$81,0))</f>
        <v>Account &amp; identity</v>
      </c>
      <c r="D1567" s="0" t="n">
        <f aca="false">INDEX(Intent_Analysis!$E$5:$E$81,MATCH(B1567,Intent_Analysis!$A$5:$A$81,0))</f>
        <v>1</v>
      </c>
    </row>
    <row r="1568" customFormat="false" ht="15" hidden="false" customHeight="false" outlineLevel="0" collapsed="false">
      <c r="A1568" s="0" t="s">
        <v>1892</v>
      </c>
      <c r="B1568" s="0" t="s">
        <v>39</v>
      </c>
      <c r="C1568" s="0" t="str">
        <f aca="false">INDEX(Intent_Analysis!$B$5:$B$81,MATCH(B1568,Intent_Analysis!$A$5:$A$81,0))</f>
        <v>Account &amp; identity</v>
      </c>
      <c r="D1568" s="0" t="n">
        <f aca="false">INDEX(Intent_Analysis!$E$5:$E$81,MATCH(B1568,Intent_Analysis!$A$5:$A$81,0))</f>
        <v>1</v>
      </c>
    </row>
    <row r="1569" customFormat="false" ht="15" hidden="false" customHeight="false" outlineLevel="0" collapsed="false">
      <c r="A1569" s="0" t="s">
        <v>1893</v>
      </c>
      <c r="B1569" s="0" t="s">
        <v>39</v>
      </c>
      <c r="C1569" s="0" t="str">
        <f aca="false">INDEX(Intent_Analysis!$B$5:$B$81,MATCH(B1569,Intent_Analysis!$A$5:$A$81,0))</f>
        <v>Account &amp; identity</v>
      </c>
      <c r="D1569" s="0" t="n">
        <f aca="false">INDEX(Intent_Analysis!$E$5:$E$81,MATCH(B1569,Intent_Analysis!$A$5:$A$81,0))</f>
        <v>1</v>
      </c>
    </row>
    <row r="1570" customFormat="false" ht="15" hidden="false" customHeight="false" outlineLevel="0" collapsed="false">
      <c r="A1570" s="0" t="s">
        <v>1894</v>
      </c>
      <c r="B1570" s="0" t="s">
        <v>39</v>
      </c>
      <c r="C1570" s="0" t="str">
        <f aca="false">INDEX(Intent_Analysis!$B$5:$B$81,MATCH(B1570,Intent_Analysis!$A$5:$A$81,0))</f>
        <v>Account &amp; identity</v>
      </c>
      <c r="D1570" s="0" t="n">
        <f aca="false">INDEX(Intent_Analysis!$E$5:$E$81,MATCH(B1570,Intent_Analysis!$A$5:$A$81,0))</f>
        <v>1</v>
      </c>
    </row>
    <row r="1571" customFormat="false" ht="15" hidden="false" customHeight="false" outlineLevel="0" collapsed="false">
      <c r="A1571" s="0" t="s">
        <v>1895</v>
      </c>
      <c r="B1571" s="0" t="s">
        <v>39</v>
      </c>
      <c r="C1571" s="0" t="str">
        <f aca="false">INDEX(Intent_Analysis!$B$5:$B$81,MATCH(B1571,Intent_Analysis!$A$5:$A$81,0))</f>
        <v>Account &amp; identity</v>
      </c>
      <c r="D1571" s="0" t="n">
        <f aca="false">INDEX(Intent_Analysis!$E$5:$E$81,MATCH(B1571,Intent_Analysis!$A$5:$A$81,0))</f>
        <v>1</v>
      </c>
    </row>
    <row r="1572" customFormat="false" ht="15" hidden="false" customHeight="false" outlineLevel="0" collapsed="false">
      <c r="A1572" s="0" t="s">
        <v>1896</v>
      </c>
      <c r="B1572" s="0" t="s">
        <v>39</v>
      </c>
      <c r="C1572" s="0" t="str">
        <f aca="false">INDEX(Intent_Analysis!$B$5:$B$81,MATCH(B1572,Intent_Analysis!$A$5:$A$81,0))</f>
        <v>Account &amp; identity</v>
      </c>
      <c r="D1572" s="0" t="n">
        <f aca="false">INDEX(Intent_Analysis!$E$5:$E$81,MATCH(B1572,Intent_Analysis!$A$5:$A$81,0))</f>
        <v>1</v>
      </c>
    </row>
    <row r="1573" customFormat="false" ht="15" hidden="false" customHeight="false" outlineLevel="0" collapsed="false">
      <c r="A1573" s="0" t="s">
        <v>1897</v>
      </c>
      <c r="B1573" s="0" t="s">
        <v>39</v>
      </c>
      <c r="C1573" s="0" t="str">
        <f aca="false">INDEX(Intent_Analysis!$B$5:$B$81,MATCH(B1573,Intent_Analysis!$A$5:$A$81,0))</f>
        <v>Account &amp; identity</v>
      </c>
      <c r="D1573" s="0" t="n">
        <f aca="false">INDEX(Intent_Analysis!$E$5:$E$81,MATCH(B1573,Intent_Analysis!$A$5:$A$81,0))</f>
        <v>1</v>
      </c>
    </row>
    <row r="1574" customFormat="false" ht="15" hidden="false" customHeight="false" outlineLevel="0" collapsed="false">
      <c r="A1574" s="0" t="s">
        <v>1898</v>
      </c>
      <c r="B1574" s="0" t="s">
        <v>39</v>
      </c>
      <c r="C1574" s="0" t="str">
        <f aca="false">INDEX(Intent_Analysis!$B$5:$B$81,MATCH(B1574,Intent_Analysis!$A$5:$A$81,0))</f>
        <v>Account &amp; identity</v>
      </c>
      <c r="D1574" s="0" t="n">
        <f aca="false">INDEX(Intent_Analysis!$E$5:$E$81,MATCH(B1574,Intent_Analysis!$A$5:$A$81,0))</f>
        <v>1</v>
      </c>
    </row>
    <row r="1575" customFormat="false" ht="15" hidden="false" customHeight="false" outlineLevel="0" collapsed="false">
      <c r="A1575" s="0" t="s">
        <v>1899</v>
      </c>
      <c r="B1575" s="0" t="s">
        <v>39</v>
      </c>
      <c r="C1575" s="0" t="str">
        <f aca="false">INDEX(Intent_Analysis!$B$5:$B$81,MATCH(B1575,Intent_Analysis!$A$5:$A$81,0))</f>
        <v>Account &amp; identity</v>
      </c>
      <c r="D1575" s="0" t="n">
        <f aca="false">INDEX(Intent_Analysis!$E$5:$E$81,MATCH(B1575,Intent_Analysis!$A$5:$A$81,0))</f>
        <v>1</v>
      </c>
    </row>
    <row r="1576" customFormat="false" ht="15" hidden="false" customHeight="false" outlineLevel="0" collapsed="false">
      <c r="A1576" s="0" t="s">
        <v>1900</v>
      </c>
      <c r="B1576" s="0" t="s">
        <v>39</v>
      </c>
      <c r="C1576" s="0" t="str">
        <f aca="false">INDEX(Intent_Analysis!$B$5:$B$81,MATCH(B1576,Intent_Analysis!$A$5:$A$81,0))</f>
        <v>Account &amp; identity</v>
      </c>
      <c r="D1576" s="0" t="n">
        <f aca="false">INDEX(Intent_Analysis!$E$5:$E$81,MATCH(B1576,Intent_Analysis!$A$5:$A$81,0))</f>
        <v>1</v>
      </c>
    </row>
    <row r="1577" customFormat="false" ht="15" hidden="false" customHeight="false" outlineLevel="0" collapsed="false">
      <c r="A1577" s="0" t="s">
        <v>1901</v>
      </c>
      <c r="B1577" s="0" t="s">
        <v>39</v>
      </c>
      <c r="C1577" s="0" t="str">
        <f aca="false">INDEX(Intent_Analysis!$B$5:$B$81,MATCH(B1577,Intent_Analysis!$A$5:$A$81,0))</f>
        <v>Account &amp; identity</v>
      </c>
      <c r="D1577" s="0" t="n">
        <f aca="false">INDEX(Intent_Analysis!$E$5:$E$81,MATCH(B1577,Intent_Analysis!$A$5:$A$81,0))</f>
        <v>1</v>
      </c>
    </row>
    <row r="1578" customFormat="false" ht="15" hidden="false" customHeight="false" outlineLevel="0" collapsed="false">
      <c r="A1578" s="0" t="s">
        <v>1902</v>
      </c>
      <c r="B1578" s="0" t="s">
        <v>39</v>
      </c>
      <c r="C1578" s="0" t="str">
        <f aca="false">INDEX(Intent_Analysis!$B$5:$B$81,MATCH(B1578,Intent_Analysis!$A$5:$A$81,0))</f>
        <v>Account &amp; identity</v>
      </c>
      <c r="D1578" s="0" t="n">
        <f aca="false">INDEX(Intent_Analysis!$E$5:$E$81,MATCH(B1578,Intent_Analysis!$A$5:$A$81,0))</f>
        <v>1</v>
      </c>
    </row>
    <row r="1579" customFormat="false" ht="15" hidden="false" customHeight="false" outlineLevel="0" collapsed="false">
      <c r="A1579" s="0" t="s">
        <v>1903</v>
      </c>
      <c r="B1579" s="0" t="s">
        <v>39</v>
      </c>
      <c r="C1579" s="0" t="str">
        <f aca="false">INDEX(Intent_Analysis!$B$5:$B$81,MATCH(B1579,Intent_Analysis!$A$5:$A$81,0))</f>
        <v>Account &amp; identity</v>
      </c>
      <c r="D1579" s="0" t="n">
        <f aca="false">INDEX(Intent_Analysis!$E$5:$E$81,MATCH(B1579,Intent_Analysis!$A$5:$A$81,0))</f>
        <v>1</v>
      </c>
    </row>
    <row r="1580" customFormat="false" ht="15" hidden="false" customHeight="false" outlineLevel="0" collapsed="false">
      <c r="A1580" s="0" t="s">
        <v>1904</v>
      </c>
      <c r="B1580" s="0" t="s">
        <v>39</v>
      </c>
      <c r="C1580" s="0" t="str">
        <f aca="false">INDEX(Intent_Analysis!$B$5:$B$81,MATCH(B1580,Intent_Analysis!$A$5:$A$81,0))</f>
        <v>Account &amp; identity</v>
      </c>
      <c r="D1580" s="0" t="n">
        <f aca="false">INDEX(Intent_Analysis!$E$5:$E$81,MATCH(B1580,Intent_Analysis!$A$5:$A$81,0))</f>
        <v>1</v>
      </c>
    </row>
    <row r="1581" customFormat="false" ht="15" hidden="false" customHeight="false" outlineLevel="0" collapsed="false">
      <c r="A1581" s="0" t="s">
        <v>1905</v>
      </c>
      <c r="B1581" s="0" t="s">
        <v>39</v>
      </c>
      <c r="C1581" s="0" t="str">
        <f aca="false">INDEX(Intent_Analysis!$B$5:$B$81,MATCH(B1581,Intent_Analysis!$A$5:$A$81,0))</f>
        <v>Account &amp; identity</v>
      </c>
      <c r="D1581" s="0" t="n">
        <f aca="false">INDEX(Intent_Analysis!$E$5:$E$81,MATCH(B1581,Intent_Analysis!$A$5:$A$81,0))</f>
        <v>1</v>
      </c>
    </row>
    <row r="1582" customFormat="false" ht="15" hidden="false" customHeight="false" outlineLevel="0" collapsed="false">
      <c r="A1582" s="0" t="s">
        <v>1906</v>
      </c>
      <c r="B1582" s="0" t="s">
        <v>39</v>
      </c>
      <c r="C1582" s="0" t="str">
        <f aca="false">INDEX(Intent_Analysis!$B$5:$B$81,MATCH(B1582,Intent_Analysis!$A$5:$A$81,0))</f>
        <v>Account &amp; identity</v>
      </c>
      <c r="D1582" s="0" t="n">
        <f aca="false">INDEX(Intent_Analysis!$E$5:$E$81,MATCH(B1582,Intent_Analysis!$A$5:$A$81,0))</f>
        <v>1</v>
      </c>
    </row>
    <row r="1583" customFormat="false" ht="15" hidden="false" customHeight="false" outlineLevel="0" collapsed="false">
      <c r="A1583" s="0" t="s">
        <v>1907</v>
      </c>
      <c r="B1583" s="0" t="s">
        <v>39</v>
      </c>
      <c r="C1583" s="0" t="str">
        <f aca="false">INDEX(Intent_Analysis!$B$5:$B$81,MATCH(B1583,Intent_Analysis!$A$5:$A$81,0))</f>
        <v>Account &amp; identity</v>
      </c>
      <c r="D1583" s="0" t="n">
        <f aca="false">INDEX(Intent_Analysis!$E$5:$E$81,MATCH(B1583,Intent_Analysis!$A$5:$A$81,0))</f>
        <v>1</v>
      </c>
    </row>
    <row r="1584" customFormat="false" ht="15" hidden="false" customHeight="false" outlineLevel="0" collapsed="false">
      <c r="A1584" s="0" t="s">
        <v>1908</v>
      </c>
      <c r="B1584" s="0" t="s">
        <v>39</v>
      </c>
      <c r="C1584" s="0" t="str">
        <f aca="false">INDEX(Intent_Analysis!$B$5:$B$81,MATCH(B1584,Intent_Analysis!$A$5:$A$81,0))</f>
        <v>Account &amp; identity</v>
      </c>
      <c r="D1584" s="0" t="n">
        <f aca="false">INDEX(Intent_Analysis!$E$5:$E$81,MATCH(B1584,Intent_Analysis!$A$5:$A$81,0))</f>
        <v>1</v>
      </c>
    </row>
    <row r="1585" customFormat="false" ht="15" hidden="false" customHeight="false" outlineLevel="0" collapsed="false">
      <c r="A1585" s="0" t="s">
        <v>1909</v>
      </c>
      <c r="B1585" s="0" t="s">
        <v>39</v>
      </c>
      <c r="C1585" s="0" t="str">
        <f aca="false">INDEX(Intent_Analysis!$B$5:$B$81,MATCH(B1585,Intent_Analysis!$A$5:$A$81,0))</f>
        <v>Account &amp; identity</v>
      </c>
      <c r="D1585" s="0" t="n">
        <f aca="false">INDEX(Intent_Analysis!$E$5:$E$81,MATCH(B1585,Intent_Analysis!$A$5:$A$81,0))</f>
        <v>1</v>
      </c>
    </row>
    <row r="1586" customFormat="false" ht="15" hidden="false" customHeight="false" outlineLevel="0" collapsed="false">
      <c r="A1586" s="0" t="s">
        <v>1910</v>
      </c>
      <c r="B1586" s="0" t="s">
        <v>39</v>
      </c>
      <c r="C1586" s="0" t="str">
        <f aca="false">INDEX(Intent_Analysis!$B$5:$B$81,MATCH(B1586,Intent_Analysis!$A$5:$A$81,0))</f>
        <v>Account &amp; identity</v>
      </c>
      <c r="D1586" s="0" t="n">
        <f aca="false">INDEX(Intent_Analysis!$E$5:$E$81,MATCH(B1586,Intent_Analysis!$A$5:$A$81,0))</f>
        <v>1</v>
      </c>
    </row>
    <row r="1587" customFormat="false" ht="15" hidden="false" customHeight="false" outlineLevel="0" collapsed="false">
      <c r="A1587" s="0" t="s">
        <v>1911</v>
      </c>
      <c r="B1587" s="0" t="s">
        <v>39</v>
      </c>
      <c r="C1587" s="0" t="str">
        <f aca="false">INDEX(Intent_Analysis!$B$5:$B$81,MATCH(B1587,Intent_Analysis!$A$5:$A$81,0))</f>
        <v>Account &amp; identity</v>
      </c>
      <c r="D1587" s="0" t="n">
        <f aca="false">INDEX(Intent_Analysis!$E$5:$E$81,MATCH(B1587,Intent_Analysis!$A$5:$A$81,0))</f>
        <v>1</v>
      </c>
    </row>
    <row r="1588" customFormat="false" ht="15" hidden="false" customHeight="false" outlineLevel="0" collapsed="false">
      <c r="A1588" s="0" t="s">
        <v>1912</v>
      </c>
      <c r="B1588" s="0" t="s">
        <v>39</v>
      </c>
      <c r="C1588" s="0" t="str">
        <f aca="false">INDEX(Intent_Analysis!$B$5:$B$81,MATCH(B1588,Intent_Analysis!$A$5:$A$81,0))</f>
        <v>Account &amp; identity</v>
      </c>
      <c r="D1588" s="0" t="n">
        <f aca="false">INDEX(Intent_Analysis!$E$5:$E$81,MATCH(B1588,Intent_Analysis!$A$5:$A$81,0))</f>
        <v>1</v>
      </c>
    </row>
    <row r="1589" customFormat="false" ht="15" hidden="false" customHeight="false" outlineLevel="0" collapsed="false">
      <c r="A1589" s="0" t="s">
        <v>1913</v>
      </c>
      <c r="B1589" s="0" t="s">
        <v>39</v>
      </c>
      <c r="C1589" s="0" t="str">
        <f aca="false">INDEX(Intent_Analysis!$B$5:$B$81,MATCH(B1589,Intent_Analysis!$A$5:$A$81,0))</f>
        <v>Account &amp; identity</v>
      </c>
      <c r="D1589" s="0" t="n">
        <f aca="false">INDEX(Intent_Analysis!$E$5:$E$81,MATCH(B1589,Intent_Analysis!$A$5:$A$81,0))</f>
        <v>1</v>
      </c>
    </row>
    <row r="1590" customFormat="false" ht="15" hidden="false" customHeight="false" outlineLevel="0" collapsed="false">
      <c r="A1590" s="0" t="s">
        <v>1914</v>
      </c>
      <c r="B1590" s="0" t="s">
        <v>39</v>
      </c>
      <c r="C1590" s="0" t="str">
        <f aca="false">INDEX(Intent_Analysis!$B$5:$B$81,MATCH(B1590,Intent_Analysis!$A$5:$A$81,0))</f>
        <v>Account &amp; identity</v>
      </c>
      <c r="D1590" s="0" t="n">
        <f aca="false">INDEX(Intent_Analysis!$E$5:$E$81,MATCH(B1590,Intent_Analysis!$A$5:$A$81,0))</f>
        <v>1</v>
      </c>
    </row>
    <row r="1591" customFormat="false" ht="15" hidden="false" customHeight="false" outlineLevel="0" collapsed="false">
      <c r="A1591" s="0" t="s">
        <v>1915</v>
      </c>
      <c r="B1591" s="0" t="s">
        <v>39</v>
      </c>
      <c r="C1591" s="0" t="str">
        <f aca="false">INDEX(Intent_Analysis!$B$5:$B$81,MATCH(B1591,Intent_Analysis!$A$5:$A$81,0))</f>
        <v>Account &amp; identity</v>
      </c>
      <c r="D1591" s="0" t="n">
        <f aca="false">INDEX(Intent_Analysis!$E$5:$E$81,MATCH(B1591,Intent_Analysis!$A$5:$A$81,0))</f>
        <v>1</v>
      </c>
    </row>
    <row r="1592" customFormat="false" ht="15" hidden="false" customHeight="false" outlineLevel="0" collapsed="false">
      <c r="A1592" s="0" t="s">
        <v>1916</v>
      </c>
      <c r="B1592" s="0" t="s">
        <v>39</v>
      </c>
      <c r="C1592" s="0" t="str">
        <f aca="false">INDEX(Intent_Analysis!$B$5:$B$81,MATCH(B1592,Intent_Analysis!$A$5:$A$81,0))</f>
        <v>Account &amp; identity</v>
      </c>
      <c r="D1592" s="0" t="n">
        <f aca="false">INDEX(Intent_Analysis!$E$5:$E$81,MATCH(B1592,Intent_Analysis!$A$5:$A$81,0))</f>
        <v>1</v>
      </c>
    </row>
    <row r="1593" customFormat="false" ht="15" hidden="false" customHeight="false" outlineLevel="0" collapsed="false">
      <c r="A1593" s="0" t="s">
        <v>1917</v>
      </c>
      <c r="B1593" s="0" t="s">
        <v>39</v>
      </c>
      <c r="C1593" s="0" t="str">
        <f aca="false">INDEX(Intent_Analysis!$B$5:$B$81,MATCH(B1593,Intent_Analysis!$A$5:$A$81,0))</f>
        <v>Account &amp; identity</v>
      </c>
      <c r="D1593" s="0" t="n">
        <f aca="false">INDEX(Intent_Analysis!$E$5:$E$81,MATCH(B1593,Intent_Analysis!$A$5:$A$81,0))</f>
        <v>1</v>
      </c>
    </row>
    <row r="1594" customFormat="false" ht="15" hidden="false" customHeight="false" outlineLevel="0" collapsed="false">
      <c r="A1594" s="0" t="s">
        <v>1918</v>
      </c>
      <c r="B1594" s="0" t="s">
        <v>39</v>
      </c>
      <c r="C1594" s="0" t="str">
        <f aca="false">INDEX(Intent_Analysis!$B$5:$B$81,MATCH(B1594,Intent_Analysis!$A$5:$A$81,0))</f>
        <v>Account &amp; identity</v>
      </c>
      <c r="D1594" s="0" t="n">
        <f aca="false">INDEX(Intent_Analysis!$E$5:$E$81,MATCH(B1594,Intent_Analysis!$A$5:$A$81,0))</f>
        <v>1</v>
      </c>
    </row>
    <row r="1595" customFormat="false" ht="15" hidden="false" customHeight="false" outlineLevel="0" collapsed="false">
      <c r="A1595" s="0" t="s">
        <v>1919</v>
      </c>
      <c r="B1595" s="0" t="s">
        <v>39</v>
      </c>
      <c r="C1595" s="0" t="str">
        <f aca="false">INDEX(Intent_Analysis!$B$5:$B$81,MATCH(B1595,Intent_Analysis!$A$5:$A$81,0))</f>
        <v>Account &amp; identity</v>
      </c>
      <c r="D1595" s="0" t="n">
        <f aca="false">INDEX(Intent_Analysis!$E$5:$E$81,MATCH(B1595,Intent_Analysis!$A$5:$A$81,0))</f>
        <v>1</v>
      </c>
    </row>
    <row r="1596" customFormat="false" ht="15" hidden="false" customHeight="false" outlineLevel="0" collapsed="false">
      <c r="A1596" s="0" t="s">
        <v>1920</v>
      </c>
      <c r="B1596" s="0" t="s">
        <v>39</v>
      </c>
      <c r="C1596" s="0" t="str">
        <f aca="false">INDEX(Intent_Analysis!$B$5:$B$81,MATCH(B1596,Intent_Analysis!$A$5:$A$81,0))</f>
        <v>Account &amp; identity</v>
      </c>
      <c r="D1596" s="0" t="n">
        <f aca="false">INDEX(Intent_Analysis!$E$5:$E$81,MATCH(B1596,Intent_Analysis!$A$5:$A$81,0))</f>
        <v>1</v>
      </c>
    </row>
    <row r="1597" customFormat="false" ht="15" hidden="false" customHeight="false" outlineLevel="0" collapsed="false">
      <c r="A1597" s="0" t="s">
        <v>1921</v>
      </c>
      <c r="B1597" s="0" t="s">
        <v>39</v>
      </c>
      <c r="C1597" s="0" t="str">
        <f aca="false">INDEX(Intent_Analysis!$B$5:$B$81,MATCH(B1597,Intent_Analysis!$A$5:$A$81,0))</f>
        <v>Account &amp; identity</v>
      </c>
      <c r="D1597" s="0" t="n">
        <f aca="false">INDEX(Intent_Analysis!$E$5:$E$81,MATCH(B1597,Intent_Analysis!$A$5:$A$81,0))</f>
        <v>1</v>
      </c>
    </row>
    <row r="1598" customFormat="false" ht="15" hidden="false" customHeight="false" outlineLevel="0" collapsed="false">
      <c r="A1598" s="0" t="s">
        <v>1922</v>
      </c>
      <c r="B1598" s="0" t="s">
        <v>39</v>
      </c>
      <c r="C1598" s="0" t="str">
        <f aca="false">INDEX(Intent_Analysis!$B$5:$B$81,MATCH(B1598,Intent_Analysis!$A$5:$A$81,0))</f>
        <v>Account &amp; identity</v>
      </c>
      <c r="D1598" s="0" t="n">
        <f aca="false">INDEX(Intent_Analysis!$E$5:$E$81,MATCH(B1598,Intent_Analysis!$A$5:$A$81,0))</f>
        <v>1</v>
      </c>
    </row>
    <row r="1599" customFormat="false" ht="15" hidden="false" customHeight="false" outlineLevel="0" collapsed="false">
      <c r="A1599" s="0" t="s">
        <v>1923</v>
      </c>
      <c r="B1599" s="0" t="s">
        <v>39</v>
      </c>
      <c r="C1599" s="0" t="str">
        <f aca="false">INDEX(Intent_Analysis!$B$5:$B$81,MATCH(B1599,Intent_Analysis!$A$5:$A$81,0))</f>
        <v>Account &amp; identity</v>
      </c>
      <c r="D1599" s="0" t="n">
        <f aca="false">INDEX(Intent_Analysis!$E$5:$E$81,MATCH(B1599,Intent_Analysis!$A$5:$A$81,0))</f>
        <v>1</v>
      </c>
    </row>
    <row r="1600" customFormat="false" ht="15" hidden="false" customHeight="false" outlineLevel="0" collapsed="false">
      <c r="A1600" s="0" t="s">
        <v>1924</v>
      </c>
      <c r="B1600" s="0" t="s">
        <v>39</v>
      </c>
      <c r="C1600" s="0" t="str">
        <f aca="false">INDEX(Intent_Analysis!$B$5:$B$81,MATCH(B1600,Intent_Analysis!$A$5:$A$81,0))</f>
        <v>Account &amp; identity</v>
      </c>
      <c r="D1600" s="0" t="n">
        <f aca="false">INDEX(Intent_Analysis!$E$5:$E$81,MATCH(B1600,Intent_Analysis!$A$5:$A$81,0))</f>
        <v>1</v>
      </c>
    </row>
    <row r="1601" customFormat="false" ht="15" hidden="false" customHeight="false" outlineLevel="0" collapsed="false">
      <c r="A1601" s="0" t="s">
        <v>1925</v>
      </c>
      <c r="B1601" s="0" t="s">
        <v>39</v>
      </c>
      <c r="C1601" s="0" t="str">
        <f aca="false">INDEX(Intent_Analysis!$B$5:$B$81,MATCH(B1601,Intent_Analysis!$A$5:$A$81,0))</f>
        <v>Account &amp; identity</v>
      </c>
      <c r="D1601" s="0" t="n">
        <f aca="false">INDEX(Intent_Analysis!$E$5:$E$81,MATCH(B1601,Intent_Analysis!$A$5:$A$81,0))</f>
        <v>1</v>
      </c>
    </row>
    <row r="1602" customFormat="false" ht="15" hidden="false" customHeight="false" outlineLevel="0" collapsed="false">
      <c r="A1602" s="0" t="s">
        <v>1926</v>
      </c>
      <c r="B1602" s="0" t="s">
        <v>39</v>
      </c>
      <c r="C1602" s="0" t="str">
        <f aca="false">INDEX(Intent_Analysis!$B$5:$B$81,MATCH(B1602,Intent_Analysis!$A$5:$A$81,0))</f>
        <v>Account &amp; identity</v>
      </c>
      <c r="D1602" s="0" t="n">
        <f aca="false">INDEX(Intent_Analysis!$E$5:$E$81,MATCH(B1602,Intent_Analysis!$A$5:$A$81,0))</f>
        <v>1</v>
      </c>
    </row>
    <row r="1603" customFormat="false" ht="15" hidden="false" customHeight="false" outlineLevel="0" collapsed="false">
      <c r="A1603" s="0" t="s">
        <v>1927</v>
      </c>
      <c r="B1603" s="0" t="s">
        <v>39</v>
      </c>
      <c r="C1603" s="0" t="str">
        <f aca="false">INDEX(Intent_Analysis!$B$5:$B$81,MATCH(B1603,Intent_Analysis!$A$5:$A$81,0))</f>
        <v>Account &amp; identity</v>
      </c>
      <c r="D1603" s="0" t="n">
        <f aca="false">INDEX(Intent_Analysis!$E$5:$E$81,MATCH(B1603,Intent_Analysis!$A$5:$A$81,0))</f>
        <v>1</v>
      </c>
    </row>
    <row r="1604" customFormat="false" ht="15" hidden="false" customHeight="false" outlineLevel="0" collapsed="false">
      <c r="A1604" s="0" t="s">
        <v>1928</v>
      </c>
      <c r="B1604" s="0" t="s">
        <v>39</v>
      </c>
      <c r="C1604" s="0" t="str">
        <f aca="false">INDEX(Intent_Analysis!$B$5:$B$81,MATCH(B1604,Intent_Analysis!$A$5:$A$81,0))</f>
        <v>Account &amp; identity</v>
      </c>
      <c r="D1604" s="0" t="n">
        <f aca="false">INDEX(Intent_Analysis!$E$5:$E$81,MATCH(B1604,Intent_Analysis!$A$5:$A$81,0))</f>
        <v>1</v>
      </c>
    </row>
    <row r="1605" customFormat="false" ht="15" hidden="false" customHeight="false" outlineLevel="0" collapsed="false">
      <c r="A1605" s="0" t="s">
        <v>1929</v>
      </c>
      <c r="B1605" s="0" t="s">
        <v>39</v>
      </c>
      <c r="C1605" s="0" t="str">
        <f aca="false">INDEX(Intent_Analysis!$B$5:$B$81,MATCH(B1605,Intent_Analysis!$A$5:$A$81,0))</f>
        <v>Account &amp; identity</v>
      </c>
      <c r="D1605" s="0" t="n">
        <f aca="false">INDEX(Intent_Analysis!$E$5:$E$81,MATCH(B1605,Intent_Analysis!$A$5:$A$81,0))</f>
        <v>1</v>
      </c>
    </row>
    <row r="1606" customFormat="false" ht="15" hidden="false" customHeight="false" outlineLevel="0" collapsed="false">
      <c r="A1606" s="0" t="s">
        <v>1930</v>
      </c>
      <c r="B1606" s="0" t="s">
        <v>39</v>
      </c>
      <c r="C1606" s="0" t="str">
        <f aca="false">INDEX(Intent_Analysis!$B$5:$B$81,MATCH(B1606,Intent_Analysis!$A$5:$A$81,0))</f>
        <v>Account &amp; identity</v>
      </c>
      <c r="D1606" s="0" t="n">
        <f aca="false">INDEX(Intent_Analysis!$E$5:$E$81,MATCH(B1606,Intent_Analysis!$A$5:$A$81,0))</f>
        <v>1</v>
      </c>
    </row>
    <row r="1607" customFormat="false" ht="15" hidden="false" customHeight="false" outlineLevel="0" collapsed="false">
      <c r="A1607" s="0" t="s">
        <v>1931</v>
      </c>
      <c r="B1607" s="0" t="s">
        <v>39</v>
      </c>
      <c r="C1607" s="0" t="str">
        <f aca="false">INDEX(Intent_Analysis!$B$5:$B$81,MATCH(B1607,Intent_Analysis!$A$5:$A$81,0))</f>
        <v>Account &amp; identity</v>
      </c>
      <c r="D1607" s="0" t="n">
        <f aca="false">INDEX(Intent_Analysis!$E$5:$E$81,MATCH(B1607,Intent_Analysis!$A$5:$A$81,0))</f>
        <v>1</v>
      </c>
    </row>
    <row r="1608" customFormat="false" ht="15" hidden="false" customHeight="false" outlineLevel="0" collapsed="false">
      <c r="A1608" s="0" t="s">
        <v>1932</v>
      </c>
      <c r="B1608" s="0" t="s">
        <v>39</v>
      </c>
      <c r="C1608" s="0" t="str">
        <f aca="false">INDEX(Intent_Analysis!$B$5:$B$81,MATCH(B1608,Intent_Analysis!$A$5:$A$81,0))</f>
        <v>Account &amp; identity</v>
      </c>
      <c r="D1608" s="0" t="n">
        <f aca="false">INDEX(Intent_Analysis!$E$5:$E$81,MATCH(B1608,Intent_Analysis!$A$5:$A$81,0))</f>
        <v>1</v>
      </c>
    </row>
    <row r="1609" customFormat="false" ht="15" hidden="false" customHeight="false" outlineLevel="0" collapsed="false">
      <c r="A1609" s="0" t="s">
        <v>1933</v>
      </c>
      <c r="B1609" s="0" t="s">
        <v>39</v>
      </c>
      <c r="C1609" s="0" t="str">
        <f aca="false">INDEX(Intent_Analysis!$B$5:$B$81,MATCH(B1609,Intent_Analysis!$A$5:$A$81,0))</f>
        <v>Account &amp; identity</v>
      </c>
      <c r="D1609" s="0" t="n">
        <f aca="false">INDEX(Intent_Analysis!$E$5:$E$81,MATCH(B1609,Intent_Analysis!$A$5:$A$81,0))</f>
        <v>1</v>
      </c>
    </row>
    <row r="1610" customFormat="false" ht="15" hidden="false" customHeight="false" outlineLevel="0" collapsed="false">
      <c r="A1610" s="0" t="s">
        <v>1934</v>
      </c>
      <c r="B1610" s="0" t="s">
        <v>39</v>
      </c>
      <c r="C1610" s="0" t="str">
        <f aca="false">INDEX(Intent_Analysis!$B$5:$B$81,MATCH(B1610,Intent_Analysis!$A$5:$A$81,0))</f>
        <v>Account &amp; identity</v>
      </c>
      <c r="D1610" s="0" t="n">
        <f aca="false">INDEX(Intent_Analysis!$E$5:$E$81,MATCH(B1610,Intent_Analysis!$A$5:$A$81,0))</f>
        <v>1</v>
      </c>
    </row>
    <row r="1611" customFormat="false" ht="15" hidden="false" customHeight="false" outlineLevel="0" collapsed="false">
      <c r="A1611" s="0" t="s">
        <v>1935</v>
      </c>
      <c r="B1611" s="0" t="s">
        <v>39</v>
      </c>
      <c r="C1611" s="0" t="str">
        <f aca="false">INDEX(Intent_Analysis!$B$5:$B$81,MATCH(B1611,Intent_Analysis!$A$5:$A$81,0))</f>
        <v>Account &amp; identity</v>
      </c>
      <c r="D1611" s="0" t="n">
        <f aca="false">INDEX(Intent_Analysis!$E$5:$E$81,MATCH(B1611,Intent_Analysis!$A$5:$A$81,0))</f>
        <v>1</v>
      </c>
    </row>
    <row r="1612" customFormat="false" ht="15" hidden="false" customHeight="false" outlineLevel="0" collapsed="false">
      <c r="A1612" s="0" t="s">
        <v>1936</v>
      </c>
      <c r="B1612" s="0" t="s">
        <v>39</v>
      </c>
      <c r="C1612" s="0" t="str">
        <f aca="false">INDEX(Intent_Analysis!$B$5:$B$81,MATCH(B1612,Intent_Analysis!$A$5:$A$81,0))</f>
        <v>Account &amp; identity</v>
      </c>
      <c r="D1612" s="0" t="n">
        <f aca="false">INDEX(Intent_Analysis!$E$5:$E$81,MATCH(B1612,Intent_Analysis!$A$5:$A$81,0))</f>
        <v>1</v>
      </c>
    </row>
    <row r="1613" customFormat="false" ht="15" hidden="false" customHeight="false" outlineLevel="0" collapsed="false">
      <c r="A1613" s="0" t="s">
        <v>1937</v>
      </c>
      <c r="B1613" s="0" t="s">
        <v>39</v>
      </c>
      <c r="C1613" s="0" t="str">
        <f aca="false">INDEX(Intent_Analysis!$B$5:$B$81,MATCH(B1613,Intent_Analysis!$A$5:$A$81,0))</f>
        <v>Account &amp; identity</v>
      </c>
      <c r="D1613" s="0" t="n">
        <f aca="false">INDEX(Intent_Analysis!$E$5:$E$81,MATCH(B1613,Intent_Analysis!$A$5:$A$81,0))</f>
        <v>1</v>
      </c>
    </row>
    <row r="1614" customFormat="false" ht="15" hidden="false" customHeight="false" outlineLevel="0" collapsed="false">
      <c r="A1614" s="0" t="s">
        <v>1938</v>
      </c>
      <c r="B1614" s="0" t="s">
        <v>39</v>
      </c>
      <c r="C1614" s="0" t="str">
        <f aca="false">INDEX(Intent_Analysis!$B$5:$B$81,MATCH(B1614,Intent_Analysis!$A$5:$A$81,0))</f>
        <v>Account &amp; identity</v>
      </c>
      <c r="D1614" s="0" t="n">
        <f aca="false">INDEX(Intent_Analysis!$E$5:$E$81,MATCH(B1614,Intent_Analysis!$A$5:$A$81,0))</f>
        <v>1</v>
      </c>
    </row>
    <row r="1615" customFormat="false" ht="15" hidden="false" customHeight="false" outlineLevel="0" collapsed="false">
      <c r="A1615" s="0" t="s">
        <v>1939</v>
      </c>
      <c r="B1615" s="0" t="s">
        <v>39</v>
      </c>
      <c r="C1615" s="0" t="str">
        <f aca="false">INDEX(Intent_Analysis!$B$5:$B$81,MATCH(B1615,Intent_Analysis!$A$5:$A$81,0))</f>
        <v>Account &amp; identity</v>
      </c>
      <c r="D1615" s="0" t="n">
        <f aca="false">INDEX(Intent_Analysis!$E$5:$E$81,MATCH(B1615,Intent_Analysis!$A$5:$A$81,0))</f>
        <v>1</v>
      </c>
    </row>
    <row r="1616" customFormat="false" ht="15" hidden="false" customHeight="false" outlineLevel="0" collapsed="false">
      <c r="A1616" s="0" t="s">
        <v>1940</v>
      </c>
      <c r="B1616" s="0" t="s">
        <v>39</v>
      </c>
      <c r="C1616" s="0" t="str">
        <f aca="false">INDEX(Intent_Analysis!$B$5:$B$81,MATCH(B1616,Intent_Analysis!$A$5:$A$81,0))</f>
        <v>Account &amp; identity</v>
      </c>
      <c r="D1616" s="0" t="n">
        <f aca="false">INDEX(Intent_Analysis!$E$5:$E$81,MATCH(B1616,Intent_Analysis!$A$5:$A$81,0))</f>
        <v>1</v>
      </c>
    </row>
    <row r="1617" customFormat="false" ht="15" hidden="false" customHeight="false" outlineLevel="0" collapsed="false">
      <c r="A1617" s="0" t="s">
        <v>1941</v>
      </c>
      <c r="B1617" s="0" t="s">
        <v>39</v>
      </c>
      <c r="C1617" s="0" t="str">
        <f aca="false">INDEX(Intent_Analysis!$B$5:$B$81,MATCH(B1617,Intent_Analysis!$A$5:$A$81,0))</f>
        <v>Account &amp; identity</v>
      </c>
      <c r="D1617" s="0" t="n">
        <f aca="false">INDEX(Intent_Analysis!$E$5:$E$81,MATCH(B1617,Intent_Analysis!$A$5:$A$81,0))</f>
        <v>1</v>
      </c>
    </row>
    <row r="1618" customFormat="false" ht="15" hidden="false" customHeight="false" outlineLevel="0" collapsed="false">
      <c r="A1618" s="0" t="s">
        <v>1942</v>
      </c>
      <c r="B1618" s="0" t="s">
        <v>39</v>
      </c>
      <c r="C1618" s="0" t="str">
        <f aca="false">INDEX(Intent_Analysis!$B$5:$B$81,MATCH(B1618,Intent_Analysis!$A$5:$A$81,0))</f>
        <v>Account &amp; identity</v>
      </c>
      <c r="D1618" s="0" t="n">
        <f aca="false">INDEX(Intent_Analysis!$E$5:$E$81,MATCH(B1618,Intent_Analysis!$A$5:$A$81,0))</f>
        <v>1</v>
      </c>
    </row>
    <row r="1619" customFormat="false" ht="15" hidden="false" customHeight="false" outlineLevel="0" collapsed="false">
      <c r="A1619" s="0" t="s">
        <v>1943</v>
      </c>
      <c r="B1619" s="0" t="s">
        <v>39</v>
      </c>
      <c r="C1619" s="0" t="str">
        <f aca="false">INDEX(Intent_Analysis!$B$5:$B$81,MATCH(B1619,Intent_Analysis!$A$5:$A$81,0))</f>
        <v>Account &amp; identity</v>
      </c>
      <c r="D1619" s="0" t="n">
        <f aca="false">INDEX(Intent_Analysis!$E$5:$E$81,MATCH(B1619,Intent_Analysis!$A$5:$A$81,0))</f>
        <v>1</v>
      </c>
    </row>
    <row r="1620" customFormat="false" ht="15" hidden="false" customHeight="false" outlineLevel="0" collapsed="false">
      <c r="A1620" s="0" t="s">
        <v>1944</v>
      </c>
      <c r="B1620" s="0" t="s">
        <v>39</v>
      </c>
      <c r="C1620" s="0" t="str">
        <f aca="false">INDEX(Intent_Analysis!$B$5:$B$81,MATCH(B1620,Intent_Analysis!$A$5:$A$81,0))</f>
        <v>Account &amp; identity</v>
      </c>
      <c r="D1620" s="0" t="n">
        <f aca="false">INDEX(Intent_Analysis!$E$5:$E$81,MATCH(B1620,Intent_Analysis!$A$5:$A$81,0))</f>
        <v>1</v>
      </c>
    </row>
    <row r="1621" customFormat="false" ht="15" hidden="false" customHeight="false" outlineLevel="0" collapsed="false">
      <c r="A1621" s="0" t="s">
        <v>1945</v>
      </c>
      <c r="B1621" s="0" t="s">
        <v>39</v>
      </c>
      <c r="C1621" s="0" t="str">
        <f aca="false">INDEX(Intent_Analysis!$B$5:$B$81,MATCH(B1621,Intent_Analysis!$A$5:$A$81,0))</f>
        <v>Account &amp; identity</v>
      </c>
      <c r="D1621" s="0" t="n">
        <f aca="false">INDEX(Intent_Analysis!$E$5:$E$81,MATCH(B1621,Intent_Analysis!$A$5:$A$81,0))</f>
        <v>1</v>
      </c>
    </row>
    <row r="1622" customFormat="false" ht="15" hidden="false" customHeight="false" outlineLevel="0" collapsed="false">
      <c r="A1622" s="0" t="s">
        <v>1946</v>
      </c>
      <c r="B1622" s="0" t="s">
        <v>39</v>
      </c>
      <c r="C1622" s="0" t="str">
        <f aca="false">INDEX(Intent_Analysis!$B$5:$B$81,MATCH(B1622,Intent_Analysis!$A$5:$A$81,0))</f>
        <v>Account &amp; identity</v>
      </c>
      <c r="D1622" s="0" t="n">
        <f aca="false">INDEX(Intent_Analysis!$E$5:$E$81,MATCH(B1622,Intent_Analysis!$A$5:$A$81,0))</f>
        <v>1</v>
      </c>
    </row>
    <row r="1623" customFormat="false" ht="15" hidden="false" customHeight="false" outlineLevel="0" collapsed="false">
      <c r="A1623" s="0" t="s">
        <v>1947</v>
      </c>
      <c r="B1623" s="0" t="s">
        <v>39</v>
      </c>
      <c r="C1623" s="0" t="str">
        <f aca="false">INDEX(Intent_Analysis!$B$5:$B$81,MATCH(B1623,Intent_Analysis!$A$5:$A$81,0))</f>
        <v>Account &amp; identity</v>
      </c>
      <c r="D1623" s="0" t="n">
        <f aca="false">INDEX(Intent_Analysis!$E$5:$E$81,MATCH(B1623,Intent_Analysis!$A$5:$A$81,0))</f>
        <v>1</v>
      </c>
    </row>
    <row r="1624" customFormat="false" ht="15" hidden="false" customHeight="false" outlineLevel="0" collapsed="false">
      <c r="A1624" s="0" t="s">
        <v>1948</v>
      </c>
      <c r="B1624" s="0" t="s">
        <v>39</v>
      </c>
      <c r="C1624" s="0" t="str">
        <f aca="false">INDEX(Intent_Analysis!$B$5:$B$81,MATCH(B1624,Intent_Analysis!$A$5:$A$81,0))</f>
        <v>Account &amp; identity</v>
      </c>
      <c r="D1624" s="0" t="n">
        <f aca="false">INDEX(Intent_Analysis!$E$5:$E$81,MATCH(B1624,Intent_Analysis!$A$5:$A$81,0))</f>
        <v>1</v>
      </c>
    </row>
    <row r="1625" customFormat="false" ht="15" hidden="false" customHeight="false" outlineLevel="0" collapsed="false">
      <c r="A1625" s="0" t="s">
        <v>1949</v>
      </c>
      <c r="B1625" s="0" t="s">
        <v>39</v>
      </c>
      <c r="C1625" s="0" t="str">
        <f aca="false">INDEX(Intent_Analysis!$B$5:$B$81,MATCH(B1625,Intent_Analysis!$A$5:$A$81,0))</f>
        <v>Account &amp; identity</v>
      </c>
      <c r="D1625" s="0" t="n">
        <f aca="false">INDEX(Intent_Analysis!$E$5:$E$81,MATCH(B1625,Intent_Analysis!$A$5:$A$81,0))</f>
        <v>1</v>
      </c>
    </row>
    <row r="1626" customFormat="false" ht="15" hidden="false" customHeight="false" outlineLevel="0" collapsed="false">
      <c r="A1626" s="0" t="s">
        <v>1950</v>
      </c>
      <c r="B1626" s="0" t="s">
        <v>39</v>
      </c>
      <c r="C1626" s="0" t="str">
        <f aca="false">INDEX(Intent_Analysis!$B$5:$B$81,MATCH(B1626,Intent_Analysis!$A$5:$A$81,0))</f>
        <v>Account &amp; identity</v>
      </c>
      <c r="D1626" s="0" t="n">
        <f aca="false">INDEX(Intent_Analysis!$E$5:$E$81,MATCH(B1626,Intent_Analysis!$A$5:$A$81,0))</f>
        <v>1</v>
      </c>
    </row>
    <row r="1627" customFormat="false" ht="15" hidden="false" customHeight="false" outlineLevel="0" collapsed="false">
      <c r="A1627" s="0" t="s">
        <v>1951</v>
      </c>
      <c r="B1627" s="0" t="s">
        <v>39</v>
      </c>
      <c r="C1627" s="0" t="str">
        <f aca="false">INDEX(Intent_Analysis!$B$5:$B$81,MATCH(B1627,Intent_Analysis!$A$5:$A$81,0))</f>
        <v>Account &amp; identity</v>
      </c>
      <c r="D1627" s="0" t="n">
        <f aca="false">INDEX(Intent_Analysis!$E$5:$E$81,MATCH(B1627,Intent_Analysis!$A$5:$A$81,0))</f>
        <v>1</v>
      </c>
    </row>
    <row r="1628" customFormat="false" ht="15" hidden="false" customHeight="false" outlineLevel="0" collapsed="false">
      <c r="A1628" s="0" t="s">
        <v>1952</v>
      </c>
      <c r="B1628" s="0" t="s">
        <v>39</v>
      </c>
      <c r="C1628" s="0" t="str">
        <f aca="false">INDEX(Intent_Analysis!$B$5:$B$81,MATCH(B1628,Intent_Analysis!$A$5:$A$81,0))</f>
        <v>Account &amp; identity</v>
      </c>
      <c r="D1628" s="0" t="n">
        <f aca="false">INDEX(Intent_Analysis!$E$5:$E$81,MATCH(B1628,Intent_Analysis!$A$5:$A$81,0))</f>
        <v>1</v>
      </c>
    </row>
    <row r="1629" customFormat="false" ht="15" hidden="false" customHeight="false" outlineLevel="0" collapsed="false">
      <c r="A1629" s="0" t="s">
        <v>1953</v>
      </c>
      <c r="B1629" s="0" t="s">
        <v>39</v>
      </c>
      <c r="C1629" s="0" t="str">
        <f aca="false">INDEX(Intent_Analysis!$B$5:$B$81,MATCH(B1629,Intent_Analysis!$A$5:$A$81,0))</f>
        <v>Account &amp; identity</v>
      </c>
      <c r="D1629" s="0" t="n">
        <f aca="false">INDEX(Intent_Analysis!$E$5:$E$81,MATCH(B1629,Intent_Analysis!$A$5:$A$81,0))</f>
        <v>1</v>
      </c>
    </row>
    <row r="1630" customFormat="false" ht="15" hidden="false" customHeight="false" outlineLevel="0" collapsed="false">
      <c r="A1630" s="0" t="s">
        <v>1954</v>
      </c>
      <c r="B1630" s="0" t="s">
        <v>39</v>
      </c>
      <c r="C1630" s="0" t="str">
        <f aca="false">INDEX(Intent_Analysis!$B$5:$B$81,MATCH(B1630,Intent_Analysis!$A$5:$A$81,0))</f>
        <v>Account &amp; identity</v>
      </c>
      <c r="D1630" s="0" t="n">
        <f aca="false">INDEX(Intent_Analysis!$E$5:$E$81,MATCH(B1630,Intent_Analysis!$A$5:$A$81,0))</f>
        <v>1</v>
      </c>
    </row>
    <row r="1631" customFormat="false" ht="15" hidden="false" customHeight="false" outlineLevel="0" collapsed="false">
      <c r="A1631" s="0" t="s">
        <v>1955</v>
      </c>
      <c r="B1631" s="0" t="s">
        <v>39</v>
      </c>
      <c r="C1631" s="0" t="str">
        <f aca="false">INDEX(Intent_Analysis!$B$5:$B$81,MATCH(B1631,Intent_Analysis!$A$5:$A$81,0))</f>
        <v>Account &amp; identity</v>
      </c>
      <c r="D1631" s="0" t="n">
        <f aca="false">INDEX(Intent_Analysis!$E$5:$E$81,MATCH(B1631,Intent_Analysis!$A$5:$A$81,0))</f>
        <v>1</v>
      </c>
    </row>
    <row r="1632" customFormat="false" ht="15" hidden="false" customHeight="false" outlineLevel="0" collapsed="false">
      <c r="A1632" s="0" t="s">
        <v>1956</v>
      </c>
      <c r="B1632" s="0" t="s">
        <v>39</v>
      </c>
      <c r="C1632" s="0" t="str">
        <f aca="false">INDEX(Intent_Analysis!$B$5:$B$81,MATCH(B1632,Intent_Analysis!$A$5:$A$81,0))</f>
        <v>Account &amp; identity</v>
      </c>
      <c r="D1632" s="0" t="n">
        <f aca="false">INDEX(Intent_Analysis!$E$5:$E$81,MATCH(B1632,Intent_Analysis!$A$5:$A$81,0))</f>
        <v>1</v>
      </c>
    </row>
    <row r="1633" customFormat="false" ht="15" hidden="false" customHeight="false" outlineLevel="0" collapsed="false">
      <c r="A1633" s="0" t="s">
        <v>1957</v>
      </c>
      <c r="B1633" s="0" t="s">
        <v>39</v>
      </c>
      <c r="C1633" s="0" t="str">
        <f aca="false">INDEX(Intent_Analysis!$B$5:$B$81,MATCH(B1633,Intent_Analysis!$A$5:$A$81,0))</f>
        <v>Account &amp; identity</v>
      </c>
      <c r="D1633" s="0" t="n">
        <f aca="false">INDEX(Intent_Analysis!$E$5:$E$81,MATCH(B1633,Intent_Analysis!$A$5:$A$81,0))</f>
        <v>1</v>
      </c>
    </row>
    <row r="1634" customFormat="false" ht="15" hidden="false" customHeight="false" outlineLevel="0" collapsed="false">
      <c r="A1634" s="0" t="s">
        <v>1958</v>
      </c>
      <c r="B1634" s="0" t="s">
        <v>39</v>
      </c>
      <c r="C1634" s="0" t="str">
        <f aca="false">INDEX(Intent_Analysis!$B$5:$B$81,MATCH(B1634,Intent_Analysis!$A$5:$A$81,0))</f>
        <v>Account &amp; identity</v>
      </c>
      <c r="D1634" s="0" t="n">
        <f aca="false">INDEX(Intent_Analysis!$E$5:$E$81,MATCH(B1634,Intent_Analysis!$A$5:$A$81,0))</f>
        <v>1</v>
      </c>
    </row>
    <row r="1635" customFormat="false" ht="15" hidden="false" customHeight="false" outlineLevel="0" collapsed="false">
      <c r="A1635" s="0" t="s">
        <v>1959</v>
      </c>
      <c r="B1635" s="0" t="s">
        <v>39</v>
      </c>
      <c r="C1635" s="0" t="str">
        <f aca="false">INDEX(Intent_Analysis!$B$5:$B$81,MATCH(B1635,Intent_Analysis!$A$5:$A$81,0))</f>
        <v>Account &amp; identity</v>
      </c>
      <c r="D1635" s="0" t="n">
        <f aca="false">INDEX(Intent_Analysis!$E$5:$E$81,MATCH(B1635,Intent_Analysis!$A$5:$A$81,0))</f>
        <v>1</v>
      </c>
    </row>
    <row r="1636" customFormat="false" ht="15" hidden="false" customHeight="false" outlineLevel="0" collapsed="false">
      <c r="A1636" s="0" t="s">
        <v>1960</v>
      </c>
      <c r="B1636" s="0" t="s">
        <v>39</v>
      </c>
      <c r="C1636" s="0" t="str">
        <f aca="false">INDEX(Intent_Analysis!$B$5:$B$81,MATCH(B1636,Intent_Analysis!$A$5:$A$81,0))</f>
        <v>Account &amp; identity</v>
      </c>
      <c r="D1636" s="0" t="n">
        <f aca="false">INDEX(Intent_Analysis!$E$5:$E$81,MATCH(B1636,Intent_Analysis!$A$5:$A$81,0))</f>
        <v>1</v>
      </c>
    </row>
    <row r="1637" customFormat="false" ht="15" hidden="false" customHeight="false" outlineLevel="0" collapsed="false">
      <c r="A1637" s="0" t="s">
        <v>1961</v>
      </c>
      <c r="B1637" s="0" t="s">
        <v>39</v>
      </c>
      <c r="C1637" s="0" t="str">
        <f aca="false">INDEX(Intent_Analysis!$B$5:$B$81,MATCH(B1637,Intent_Analysis!$A$5:$A$81,0))</f>
        <v>Account &amp; identity</v>
      </c>
      <c r="D1637" s="0" t="n">
        <f aca="false">INDEX(Intent_Analysis!$E$5:$E$81,MATCH(B1637,Intent_Analysis!$A$5:$A$81,0))</f>
        <v>1</v>
      </c>
    </row>
    <row r="1638" customFormat="false" ht="15" hidden="false" customHeight="false" outlineLevel="0" collapsed="false">
      <c r="A1638" s="0" t="s">
        <v>1962</v>
      </c>
      <c r="B1638" s="0" t="s">
        <v>39</v>
      </c>
      <c r="C1638" s="0" t="str">
        <f aca="false">INDEX(Intent_Analysis!$B$5:$B$81,MATCH(B1638,Intent_Analysis!$A$5:$A$81,0))</f>
        <v>Account &amp; identity</v>
      </c>
      <c r="D1638" s="0" t="n">
        <f aca="false">INDEX(Intent_Analysis!$E$5:$E$81,MATCH(B1638,Intent_Analysis!$A$5:$A$81,0))</f>
        <v>1</v>
      </c>
    </row>
    <row r="1639" customFormat="false" ht="15" hidden="false" customHeight="false" outlineLevel="0" collapsed="false">
      <c r="A1639" s="0" t="s">
        <v>1963</v>
      </c>
      <c r="B1639" s="0" t="s">
        <v>39</v>
      </c>
      <c r="C1639" s="0" t="str">
        <f aca="false">INDEX(Intent_Analysis!$B$5:$B$81,MATCH(B1639,Intent_Analysis!$A$5:$A$81,0))</f>
        <v>Account &amp; identity</v>
      </c>
      <c r="D1639" s="0" t="n">
        <f aca="false">INDEX(Intent_Analysis!$E$5:$E$81,MATCH(B1639,Intent_Analysis!$A$5:$A$81,0))</f>
        <v>1</v>
      </c>
    </row>
    <row r="1640" customFormat="false" ht="15" hidden="false" customHeight="false" outlineLevel="0" collapsed="false">
      <c r="A1640" s="0" t="s">
        <v>1964</v>
      </c>
      <c r="B1640" s="0" t="s">
        <v>39</v>
      </c>
      <c r="C1640" s="0" t="str">
        <f aca="false">INDEX(Intent_Analysis!$B$5:$B$81,MATCH(B1640,Intent_Analysis!$A$5:$A$81,0))</f>
        <v>Account &amp; identity</v>
      </c>
      <c r="D1640" s="0" t="n">
        <f aca="false">INDEX(Intent_Analysis!$E$5:$E$81,MATCH(B1640,Intent_Analysis!$A$5:$A$81,0))</f>
        <v>1</v>
      </c>
    </row>
    <row r="1641" customFormat="false" ht="15" hidden="false" customHeight="false" outlineLevel="0" collapsed="false">
      <c r="A1641" s="0" t="s">
        <v>1965</v>
      </c>
      <c r="B1641" s="0" t="s">
        <v>39</v>
      </c>
      <c r="C1641" s="0" t="str">
        <f aca="false">INDEX(Intent_Analysis!$B$5:$B$81,MATCH(B1641,Intent_Analysis!$A$5:$A$81,0))</f>
        <v>Account &amp; identity</v>
      </c>
      <c r="D1641" s="0" t="n">
        <f aca="false">INDEX(Intent_Analysis!$E$5:$E$81,MATCH(B1641,Intent_Analysis!$A$5:$A$81,0))</f>
        <v>1</v>
      </c>
    </row>
    <row r="1642" customFormat="false" ht="15" hidden="false" customHeight="false" outlineLevel="0" collapsed="false">
      <c r="A1642" s="0" t="s">
        <v>1966</v>
      </c>
      <c r="B1642" s="0" t="s">
        <v>39</v>
      </c>
      <c r="C1642" s="0" t="str">
        <f aca="false">INDEX(Intent_Analysis!$B$5:$B$81,MATCH(B1642,Intent_Analysis!$A$5:$A$81,0))</f>
        <v>Account &amp; identity</v>
      </c>
      <c r="D1642" s="0" t="n">
        <f aca="false">INDEX(Intent_Analysis!$E$5:$E$81,MATCH(B1642,Intent_Analysis!$A$5:$A$81,0))</f>
        <v>1</v>
      </c>
    </row>
    <row r="1643" customFormat="false" ht="15" hidden="false" customHeight="false" outlineLevel="0" collapsed="false">
      <c r="A1643" s="0" t="s">
        <v>1967</v>
      </c>
      <c r="B1643" s="0" t="s">
        <v>39</v>
      </c>
      <c r="C1643" s="0" t="str">
        <f aca="false">INDEX(Intent_Analysis!$B$5:$B$81,MATCH(B1643,Intent_Analysis!$A$5:$A$81,0))</f>
        <v>Account &amp; identity</v>
      </c>
      <c r="D1643" s="0" t="n">
        <f aca="false">INDEX(Intent_Analysis!$E$5:$E$81,MATCH(B1643,Intent_Analysis!$A$5:$A$81,0))</f>
        <v>1</v>
      </c>
    </row>
    <row r="1644" customFormat="false" ht="15" hidden="false" customHeight="false" outlineLevel="0" collapsed="false">
      <c r="A1644" s="0" t="s">
        <v>1968</v>
      </c>
      <c r="B1644" s="0" t="s">
        <v>39</v>
      </c>
      <c r="C1644" s="0" t="str">
        <f aca="false">INDEX(Intent_Analysis!$B$5:$B$81,MATCH(B1644,Intent_Analysis!$A$5:$A$81,0))</f>
        <v>Account &amp; identity</v>
      </c>
      <c r="D1644" s="0" t="n">
        <f aca="false">INDEX(Intent_Analysis!$E$5:$E$81,MATCH(B1644,Intent_Analysis!$A$5:$A$81,0))</f>
        <v>1</v>
      </c>
    </row>
    <row r="1645" customFormat="false" ht="15" hidden="false" customHeight="false" outlineLevel="0" collapsed="false">
      <c r="A1645" s="0" t="s">
        <v>1969</v>
      </c>
      <c r="B1645" s="0" t="s">
        <v>39</v>
      </c>
      <c r="C1645" s="0" t="str">
        <f aca="false">INDEX(Intent_Analysis!$B$5:$B$81,MATCH(B1645,Intent_Analysis!$A$5:$A$81,0))</f>
        <v>Account &amp; identity</v>
      </c>
      <c r="D1645" s="0" t="n">
        <f aca="false">INDEX(Intent_Analysis!$E$5:$E$81,MATCH(B1645,Intent_Analysis!$A$5:$A$81,0))</f>
        <v>1</v>
      </c>
    </row>
    <row r="1646" customFormat="false" ht="15" hidden="false" customHeight="false" outlineLevel="0" collapsed="false">
      <c r="A1646" s="0" t="s">
        <v>1970</v>
      </c>
      <c r="B1646" s="0" t="s">
        <v>39</v>
      </c>
      <c r="C1646" s="0" t="str">
        <f aca="false">INDEX(Intent_Analysis!$B$5:$B$81,MATCH(B1646,Intent_Analysis!$A$5:$A$81,0))</f>
        <v>Account &amp; identity</v>
      </c>
      <c r="D1646" s="0" t="n">
        <f aca="false">INDEX(Intent_Analysis!$E$5:$E$81,MATCH(B1646,Intent_Analysis!$A$5:$A$81,0))</f>
        <v>1</v>
      </c>
    </row>
    <row r="1647" customFormat="false" ht="15" hidden="false" customHeight="false" outlineLevel="0" collapsed="false">
      <c r="A1647" s="0" t="s">
        <v>1971</v>
      </c>
      <c r="B1647" s="0" t="s">
        <v>39</v>
      </c>
      <c r="C1647" s="0" t="str">
        <f aca="false">INDEX(Intent_Analysis!$B$5:$B$81,MATCH(B1647,Intent_Analysis!$A$5:$A$81,0))</f>
        <v>Account &amp; identity</v>
      </c>
      <c r="D1647" s="0" t="n">
        <f aca="false">INDEX(Intent_Analysis!$E$5:$E$81,MATCH(B1647,Intent_Analysis!$A$5:$A$81,0))</f>
        <v>1</v>
      </c>
    </row>
    <row r="1648" customFormat="false" ht="15" hidden="false" customHeight="false" outlineLevel="0" collapsed="false">
      <c r="A1648" s="0" t="s">
        <v>1972</v>
      </c>
      <c r="B1648" s="0" t="s">
        <v>39</v>
      </c>
      <c r="C1648" s="0" t="str">
        <f aca="false">INDEX(Intent_Analysis!$B$5:$B$81,MATCH(B1648,Intent_Analysis!$A$5:$A$81,0))</f>
        <v>Account &amp; identity</v>
      </c>
      <c r="D1648" s="0" t="n">
        <f aca="false">INDEX(Intent_Analysis!$E$5:$E$81,MATCH(B1648,Intent_Analysis!$A$5:$A$81,0))</f>
        <v>1</v>
      </c>
    </row>
    <row r="1649" customFormat="false" ht="15" hidden="false" customHeight="false" outlineLevel="0" collapsed="false">
      <c r="A1649" s="0" t="s">
        <v>1973</v>
      </c>
      <c r="B1649" s="0" t="s">
        <v>39</v>
      </c>
      <c r="C1649" s="0" t="str">
        <f aca="false">INDEX(Intent_Analysis!$B$5:$B$81,MATCH(B1649,Intent_Analysis!$A$5:$A$81,0))</f>
        <v>Account &amp; identity</v>
      </c>
      <c r="D1649" s="0" t="n">
        <f aca="false">INDEX(Intent_Analysis!$E$5:$E$81,MATCH(B1649,Intent_Analysis!$A$5:$A$81,0))</f>
        <v>1</v>
      </c>
    </row>
    <row r="1650" customFormat="false" ht="15" hidden="false" customHeight="false" outlineLevel="0" collapsed="false">
      <c r="A1650" s="0" t="s">
        <v>1974</v>
      </c>
      <c r="B1650" s="0" t="s">
        <v>39</v>
      </c>
      <c r="C1650" s="0" t="str">
        <f aca="false">INDEX(Intent_Analysis!$B$5:$B$81,MATCH(B1650,Intent_Analysis!$A$5:$A$81,0))</f>
        <v>Account &amp; identity</v>
      </c>
      <c r="D1650" s="0" t="n">
        <f aca="false">INDEX(Intent_Analysis!$E$5:$E$81,MATCH(B1650,Intent_Analysis!$A$5:$A$81,0))</f>
        <v>1</v>
      </c>
    </row>
    <row r="1651" customFormat="false" ht="15" hidden="false" customHeight="false" outlineLevel="0" collapsed="false">
      <c r="A1651" s="0" t="s">
        <v>1975</v>
      </c>
      <c r="B1651" s="0" t="s">
        <v>39</v>
      </c>
      <c r="C1651" s="0" t="str">
        <f aca="false">INDEX(Intent_Analysis!$B$5:$B$81,MATCH(B1651,Intent_Analysis!$A$5:$A$81,0))</f>
        <v>Account &amp; identity</v>
      </c>
      <c r="D1651" s="0" t="n">
        <f aca="false">INDEX(Intent_Analysis!$E$5:$E$81,MATCH(B1651,Intent_Analysis!$A$5:$A$81,0))</f>
        <v>1</v>
      </c>
    </row>
    <row r="1652" customFormat="false" ht="15" hidden="false" customHeight="false" outlineLevel="0" collapsed="false">
      <c r="A1652" s="0" t="s">
        <v>1976</v>
      </c>
      <c r="B1652" s="0" t="s">
        <v>39</v>
      </c>
      <c r="C1652" s="0" t="str">
        <f aca="false">INDEX(Intent_Analysis!$B$5:$B$81,MATCH(B1652,Intent_Analysis!$A$5:$A$81,0))</f>
        <v>Account &amp; identity</v>
      </c>
      <c r="D1652" s="0" t="n">
        <f aca="false">INDEX(Intent_Analysis!$E$5:$E$81,MATCH(B1652,Intent_Analysis!$A$5:$A$81,0))</f>
        <v>1</v>
      </c>
    </row>
    <row r="1653" customFormat="false" ht="15" hidden="false" customHeight="false" outlineLevel="0" collapsed="false">
      <c r="A1653" s="0" t="s">
        <v>1977</v>
      </c>
      <c r="B1653" s="0" t="s">
        <v>39</v>
      </c>
      <c r="C1653" s="0" t="str">
        <f aca="false">INDEX(Intent_Analysis!$B$5:$B$81,MATCH(B1653,Intent_Analysis!$A$5:$A$81,0))</f>
        <v>Account &amp; identity</v>
      </c>
      <c r="D1653" s="0" t="n">
        <f aca="false">INDEX(Intent_Analysis!$E$5:$E$81,MATCH(B1653,Intent_Analysis!$A$5:$A$81,0))</f>
        <v>1</v>
      </c>
    </row>
    <row r="1654" customFormat="false" ht="15" hidden="false" customHeight="false" outlineLevel="0" collapsed="false">
      <c r="A1654" s="0" t="s">
        <v>1978</v>
      </c>
      <c r="B1654" s="0" t="s">
        <v>39</v>
      </c>
      <c r="C1654" s="0" t="str">
        <f aca="false">INDEX(Intent_Analysis!$B$5:$B$81,MATCH(B1654,Intent_Analysis!$A$5:$A$81,0))</f>
        <v>Account &amp; identity</v>
      </c>
      <c r="D1654" s="0" t="n">
        <f aca="false">INDEX(Intent_Analysis!$E$5:$E$81,MATCH(B1654,Intent_Analysis!$A$5:$A$81,0))</f>
        <v>1</v>
      </c>
    </row>
    <row r="1655" customFormat="false" ht="15" hidden="false" customHeight="false" outlineLevel="0" collapsed="false">
      <c r="A1655" s="0" t="s">
        <v>1979</v>
      </c>
      <c r="B1655" s="0" t="s">
        <v>39</v>
      </c>
      <c r="C1655" s="0" t="str">
        <f aca="false">INDEX(Intent_Analysis!$B$5:$B$81,MATCH(B1655,Intent_Analysis!$A$5:$A$81,0))</f>
        <v>Account &amp; identity</v>
      </c>
      <c r="D1655" s="0" t="n">
        <f aca="false">INDEX(Intent_Analysis!$E$5:$E$81,MATCH(B1655,Intent_Analysis!$A$5:$A$81,0))</f>
        <v>1</v>
      </c>
    </row>
    <row r="1656" customFormat="false" ht="15" hidden="false" customHeight="false" outlineLevel="0" collapsed="false">
      <c r="A1656" s="0" t="s">
        <v>1980</v>
      </c>
      <c r="B1656" s="0" t="s">
        <v>39</v>
      </c>
      <c r="C1656" s="0" t="str">
        <f aca="false">INDEX(Intent_Analysis!$B$5:$B$81,MATCH(B1656,Intent_Analysis!$A$5:$A$81,0))</f>
        <v>Account &amp; identity</v>
      </c>
      <c r="D1656" s="0" t="n">
        <f aca="false">INDEX(Intent_Analysis!$E$5:$E$81,MATCH(B1656,Intent_Analysis!$A$5:$A$81,0))</f>
        <v>1</v>
      </c>
    </row>
    <row r="1657" customFormat="false" ht="15" hidden="false" customHeight="false" outlineLevel="0" collapsed="false">
      <c r="A1657" s="0" t="s">
        <v>1981</v>
      </c>
      <c r="B1657" s="0" t="s">
        <v>39</v>
      </c>
      <c r="C1657" s="0" t="str">
        <f aca="false">INDEX(Intent_Analysis!$B$5:$B$81,MATCH(B1657,Intent_Analysis!$A$5:$A$81,0))</f>
        <v>Account &amp; identity</v>
      </c>
      <c r="D1657" s="0" t="n">
        <f aca="false">INDEX(Intent_Analysis!$E$5:$E$81,MATCH(B1657,Intent_Analysis!$A$5:$A$81,0))</f>
        <v>1</v>
      </c>
    </row>
    <row r="1658" customFormat="false" ht="15" hidden="false" customHeight="false" outlineLevel="0" collapsed="false">
      <c r="A1658" s="0" t="s">
        <v>1982</v>
      </c>
      <c r="B1658" s="0" t="s">
        <v>39</v>
      </c>
      <c r="C1658" s="0" t="str">
        <f aca="false">INDEX(Intent_Analysis!$B$5:$B$81,MATCH(B1658,Intent_Analysis!$A$5:$A$81,0))</f>
        <v>Account &amp; identity</v>
      </c>
      <c r="D1658" s="0" t="n">
        <f aca="false">INDEX(Intent_Analysis!$E$5:$E$81,MATCH(B1658,Intent_Analysis!$A$5:$A$81,0))</f>
        <v>1</v>
      </c>
    </row>
    <row r="1659" customFormat="false" ht="15" hidden="false" customHeight="false" outlineLevel="0" collapsed="false">
      <c r="A1659" s="0" t="s">
        <v>1983</v>
      </c>
      <c r="B1659" s="0" t="s">
        <v>39</v>
      </c>
      <c r="C1659" s="0" t="str">
        <f aca="false">INDEX(Intent_Analysis!$B$5:$B$81,MATCH(B1659,Intent_Analysis!$A$5:$A$81,0))</f>
        <v>Account &amp; identity</v>
      </c>
      <c r="D1659" s="0" t="n">
        <f aca="false">INDEX(Intent_Analysis!$E$5:$E$81,MATCH(B1659,Intent_Analysis!$A$5:$A$81,0))</f>
        <v>1</v>
      </c>
    </row>
    <row r="1660" customFormat="false" ht="15" hidden="false" customHeight="false" outlineLevel="0" collapsed="false">
      <c r="A1660" s="0" t="s">
        <v>1984</v>
      </c>
      <c r="B1660" s="0" t="s">
        <v>39</v>
      </c>
      <c r="C1660" s="0" t="str">
        <f aca="false">INDEX(Intent_Analysis!$B$5:$B$81,MATCH(B1660,Intent_Analysis!$A$5:$A$81,0))</f>
        <v>Account &amp; identity</v>
      </c>
      <c r="D1660" s="0" t="n">
        <f aca="false">INDEX(Intent_Analysis!$E$5:$E$81,MATCH(B1660,Intent_Analysis!$A$5:$A$81,0))</f>
        <v>1</v>
      </c>
    </row>
    <row r="1661" customFormat="false" ht="15" hidden="false" customHeight="false" outlineLevel="0" collapsed="false">
      <c r="A1661" s="0" t="s">
        <v>1985</v>
      </c>
      <c r="B1661" s="0" t="s">
        <v>39</v>
      </c>
      <c r="C1661" s="0" t="str">
        <f aca="false">INDEX(Intent_Analysis!$B$5:$B$81,MATCH(B1661,Intent_Analysis!$A$5:$A$81,0))</f>
        <v>Account &amp; identity</v>
      </c>
      <c r="D1661" s="0" t="n">
        <f aca="false">INDEX(Intent_Analysis!$E$5:$E$81,MATCH(B1661,Intent_Analysis!$A$5:$A$81,0))</f>
        <v>1</v>
      </c>
    </row>
    <row r="1662" customFormat="false" ht="15" hidden="false" customHeight="false" outlineLevel="0" collapsed="false">
      <c r="A1662" s="0" t="s">
        <v>1986</v>
      </c>
      <c r="B1662" s="0" t="s">
        <v>39</v>
      </c>
      <c r="C1662" s="0" t="str">
        <f aca="false">INDEX(Intent_Analysis!$B$5:$B$81,MATCH(B1662,Intent_Analysis!$A$5:$A$81,0))</f>
        <v>Account &amp; identity</v>
      </c>
      <c r="D1662" s="0" t="n">
        <f aca="false">INDEX(Intent_Analysis!$E$5:$E$81,MATCH(B1662,Intent_Analysis!$A$5:$A$81,0))</f>
        <v>1</v>
      </c>
    </row>
    <row r="1663" customFormat="false" ht="15" hidden="false" customHeight="false" outlineLevel="0" collapsed="false">
      <c r="A1663" s="0" t="s">
        <v>1987</v>
      </c>
      <c r="B1663" s="0" t="s">
        <v>39</v>
      </c>
      <c r="C1663" s="0" t="str">
        <f aca="false">INDEX(Intent_Analysis!$B$5:$B$81,MATCH(B1663,Intent_Analysis!$A$5:$A$81,0))</f>
        <v>Account &amp; identity</v>
      </c>
      <c r="D1663" s="0" t="n">
        <f aca="false">INDEX(Intent_Analysis!$E$5:$E$81,MATCH(B1663,Intent_Analysis!$A$5:$A$81,0))</f>
        <v>1</v>
      </c>
    </row>
    <row r="1664" customFormat="false" ht="15" hidden="false" customHeight="false" outlineLevel="0" collapsed="false">
      <c r="A1664" s="0" t="s">
        <v>1988</v>
      </c>
      <c r="B1664" s="0" t="s">
        <v>39</v>
      </c>
      <c r="C1664" s="0" t="str">
        <f aca="false">INDEX(Intent_Analysis!$B$5:$B$81,MATCH(B1664,Intent_Analysis!$A$5:$A$81,0))</f>
        <v>Account &amp; identity</v>
      </c>
      <c r="D1664" s="0" t="n">
        <f aca="false">INDEX(Intent_Analysis!$E$5:$E$81,MATCH(B1664,Intent_Analysis!$A$5:$A$81,0))</f>
        <v>1</v>
      </c>
    </row>
    <row r="1665" customFormat="false" ht="15" hidden="false" customHeight="false" outlineLevel="0" collapsed="false">
      <c r="A1665" s="0" t="s">
        <v>1989</v>
      </c>
      <c r="B1665" s="0" t="s">
        <v>39</v>
      </c>
      <c r="C1665" s="0" t="str">
        <f aca="false">INDEX(Intent_Analysis!$B$5:$B$81,MATCH(B1665,Intent_Analysis!$A$5:$A$81,0))</f>
        <v>Account &amp; identity</v>
      </c>
      <c r="D1665" s="0" t="n">
        <f aca="false">INDEX(Intent_Analysis!$E$5:$E$81,MATCH(B1665,Intent_Analysis!$A$5:$A$81,0))</f>
        <v>1</v>
      </c>
    </row>
    <row r="1666" customFormat="false" ht="15" hidden="false" customHeight="false" outlineLevel="0" collapsed="false">
      <c r="A1666" s="0" t="s">
        <v>1990</v>
      </c>
      <c r="B1666" s="0" t="s">
        <v>39</v>
      </c>
      <c r="C1666" s="0" t="str">
        <f aca="false">INDEX(Intent_Analysis!$B$5:$B$81,MATCH(B1666,Intent_Analysis!$A$5:$A$81,0))</f>
        <v>Account &amp; identity</v>
      </c>
      <c r="D1666" s="0" t="n">
        <f aca="false">INDEX(Intent_Analysis!$E$5:$E$81,MATCH(B1666,Intent_Analysis!$A$5:$A$81,0))</f>
        <v>1</v>
      </c>
    </row>
    <row r="1667" customFormat="false" ht="15" hidden="false" customHeight="false" outlineLevel="0" collapsed="false">
      <c r="A1667" s="0" t="s">
        <v>1991</v>
      </c>
      <c r="B1667" s="0" t="s">
        <v>39</v>
      </c>
      <c r="C1667" s="0" t="str">
        <f aca="false">INDEX(Intent_Analysis!$B$5:$B$81,MATCH(B1667,Intent_Analysis!$A$5:$A$81,0))</f>
        <v>Account &amp; identity</v>
      </c>
      <c r="D1667" s="0" t="n">
        <f aca="false">INDEX(Intent_Analysis!$E$5:$E$81,MATCH(B1667,Intent_Analysis!$A$5:$A$81,0))</f>
        <v>1</v>
      </c>
    </row>
    <row r="1668" customFormat="false" ht="15" hidden="false" customHeight="false" outlineLevel="0" collapsed="false">
      <c r="A1668" s="0" t="s">
        <v>1992</v>
      </c>
      <c r="B1668" s="0" t="s">
        <v>39</v>
      </c>
      <c r="C1668" s="0" t="str">
        <f aca="false">INDEX(Intent_Analysis!$B$5:$B$81,MATCH(B1668,Intent_Analysis!$A$5:$A$81,0))</f>
        <v>Account &amp; identity</v>
      </c>
      <c r="D1668" s="0" t="n">
        <f aca="false">INDEX(Intent_Analysis!$E$5:$E$81,MATCH(B1668,Intent_Analysis!$A$5:$A$81,0))</f>
        <v>1</v>
      </c>
    </row>
    <row r="1669" customFormat="false" ht="15" hidden="false" customHeight="false" outlineLevel="0" collapsed="false">
      <c r="A1669" s="0" t="s">
        <v>1993</v>
      </c>
      <c r="B1669" s="0" t="s">
        <v>66</v>
      </c>
      <c r="C1669" s="0" t="str">
        <f aca="false">INDEX(Intent_Analysis!$B$5:$B$81,MATCH(B1669,Intent_Analysis!$A$5:$A$81,0))</f>
        <v>Card usage &amp; features</v>
      </c>
      <c r="D1669" s="0" t="n">
        <f aca="false">INDEX(Intent_Analysis!$E$5:$E$81,MATCH(B1669,Intent_Analysis!$A$5:$A$81,0))</f>
        <v>1</v>
      </c>
    </row>
    <row r="1670" customFormat="false" ht="15" hidden="false" customHeight="false" outlineLevel="0" collapsed="false">
      <c r="A1670" s="0" t="s">
        <v>1994</v>
      </c>
      <c r="B1670" s="0" t="s">
        <v>66</v>
      </c>
      <c r="C1670" s="0" t="str">
        <f aca="false">INDEX(Intent_Analysis!$B$5:$B$81,MATCH(B1670,Intent_Analysis!$A$5:$A$81,0))</f>
        <v>Card usage &amp; features</v>
      </c>
      <c r="D1670" s="0" t="n">
        <f aca="false">INDEX(Intent_Analysis!$E$5:$E$81,MATCH(B1670,Intent_Analysis!$A$5:$A$81,0))</f>
        <v>1</v>
      </c>
    </row>
    <row r="1671" customFormat="false" ht="15" hidden="false" customHeight="false" outlineLevel="0" collapsed="false">
      <c r="A1671" s="0" t="s">
        <v>1995</v>
      </c>
      <c r="B1671" s="0" t="s">
        <v>66</v>
      </c>
      <c r="C1671" s="0" t="str">
        <f aca="false">INDEX(Intent_Analysis!$B$5:$B$81,MATCH(B1671,Intent_Analysis!$A$5:$A$81,0))</f>
        <v>Card usage &amp; features</v>
      </c>
      <c r="D1671" s="0" t="n">
        <f aca="false">INDEX(Intent_Analysis!$E$5:$E$81,MATCH(B1671,Intent_Analysis!$A$5:$A$81,0))</f>
        <v>1</v>
      </c>
    </row>
    <row r="1672" customFormat="false" ht="15" hidden="false" customHeight="false" outlineLevel="0" collapsed="false">
      <c r="A1672" s="0" t="s">
        <v>1996</v>
      </c>
      <c r="B1672" s="0" t="s">
        <v>66</v>
      </c>
      <c r="C1672" s="0" t="str">
        <f aca="false">INDEX(Intent_Analysis!$B$5:$B$81,MATCH(B1672,Intent_Analysis!$A$5:$A$81,0))</f>
        <v>Card usage &amp; features</v>
      </c>
      <c r="D1672" s="0" t="n">
        <f aca="false">INDEX(Intent_Analysis!$E$5:$E$81,MATCH(B1672,Intent_Analysis!$A$5:$A$81,0))</f>
        <v>1</v>
      </c>
    </row>
    <row r="1673" customFormat="false" ht="15" hidden="false" customHeight="false" outlineLevel="0" collapsed="false">
      <c r="A1673" s="0" t="s">
        <v>1997</v>
      </c>
      <c r="B1673" s="0" t="s">
        <v>66</v>
      </c>
      <c r="C1673" s="0" t="str">
        <f aca="false">INDEX(Intent_Analysis!$B$5:$B$81,MATCH(B1673,Intent_Analysis!$A$5:$A$81,0))</f>
        <v>Card usage &amp; features</v>
      </c>
      <c r="D1673" s="0" t="n">
        <f aca="false">INDEX(Intent_Analysis!$E$5:$E$81,MATCH(B1673,Intent_Analysis!$A$5:$A$81,0))</f>
        <v>1</v>
      </c>
    </row>
    <row r="1674" customFormat="false" ht="15" hidden="false" customHeight="false" outlineLevel="0" collapsed="false">
      <c r="A1674" s="0" t="s">
        <v>1998</v>
      </c>
      <c r="B1674" s="0" t="s">
        <v>66</v>
      </c>
      <c r="C1674" s="0" t="str">
        <f aca="false">INDEX(Intent_Analysis!$B$5:$B$81,MATCH(B1674,Intent_Analysis!$A$5:$A$81,0))</f>
        <v>Card usage &amp; features</v>
      </c>
      <c r="D1674" s="0" t="n">
        <f aca="false">INDEX(Intent_Analysis!$E$5:$E$81,MATCH(B1674,Intent_Analysis!$A$5:$A$81,0))</f>
        <v>1</v>
      </c>
    </row>
    <row r="1675" customFormat="false" ht="15" hidden="false" customHeight="false" outlineLevel="0" collapsed="false">
      <c r="A1675" s="0" t="s">
        <v>1999</v>
      </c>
      <c r="B1675" s="0" t="s">
        <v>66</v>
      </c>
      <c r="C1675" s="0" t="str">
        <f aca="false">INDEX(Intent_Analysis!$B$5:$B$81,MATCH(B1675,Intent_Analysis!$A$5:$A$81,0))</f>
        <v>Card usage &amp; features</v>
      </c>
      <c r="D1675" s="0" t="n">
        <f aca="false">INDEX(Intent_Analysis!$E$5:$E$81,MATCH(B1675,Intent_Analysis!$A$5:$A$81,0))</f>
        <v>1</v>
      </c>
    </row>
    <row r="1676" customFormat="false" ht="15" hidden="false" customHeight="false" outlineLevel="0" collapsed="false">
      <c r="A1676" s="0" t="s">
        <v>2000</v>
      </c>
      <c r="B1676" s="0" t="s">
        <v>66</v>
      </c>
      <c r="C1676" s="0" t="str">
        <f aca="false">INDEX(Intent_Analysis!$B$5:$B$81,MATCH(B1676,Intent_Analysis!$A$5:$A$81,0))</f>
        <v>Card usage &amp; features</v>
      </c>
      <c r="D1676" s="0" t="n">
        <f aca="false">INDEX(Intent_Analysis!$E$5:$E$81,MATCH(B1676,Intent_Analysis!$A$5:$A$81,0))</f>
        <v>1</v>
      </c>
    </row>
    <row r="1677" customFormat="false" ht="15" hidden="false" customHeight="false" outlineLevel="0" collapsed="false">
      <c r="A1677" s="0" t="s">
        <v>2001</v>
      </c>
      <c r="B1677" s="0" t="s">
        <v>66</v>
      </c>
      <c r="C1677" s="0" t="str">
        <f aca="false">INDEX(Intent_Analysis!$B$5:$B$81,MATCH(B1677,Intent_Analysis!$A$5:$A$81,0))</f>
        <v>Card usage &amp; features</v>
      </c>
      <c r="D1677" s="0" t="n">
        <f aca="false">INDEX(Intent_Analysis!$E$5:$E$81,MATCH(B1677,Intent_Analysis!$A$5:$A$81,0))</f>
        <v>1</v>
      </c>
    </row>
    <row r="1678" customFormat="false" ht="15" hidden="false" customHeight="false" outlineLevel="0" collapsed="false">
      <c r="A1678" s="0" t="s">
        <v>2002</v>
      </c>
      <c r="B1678" s="0" t="s">
        <v>66</v>
      </c>
      <c r="C1678" s="0" t="str">
        <f aca="false">INDEX(Intent_Analysis!$B$5:$B$81,MATCH(B1678,Intent_Analysis!$A$5:$A$81,0))</f>
        <v>Card usage &amp; features</v>
      </c>
      <c r="D1678" s="0" t="n">
        <f aca="false">INDEX(Intent_Analysis!$E$5:$E$81,MATCH(B1678,Intent_Analysis!$A$5:$A$81,0))</f>
        <v>1</v>
      </c>
    </row>
    <row r="1679" customFormat="false" ht="15" hidden="false" customHeight="false" outlineLevel="0" collapsed="false">
      <c r="A1679" s="0" t="s">
        <v>2003</v>
      </c>
      <c r="B1679" s="0" t="s">
        <v>66</v>
      </c>
      <c r="C1679" s="0" t="str">
        <f aca="false">INDEX(Intent_Analysis!$B$5:$B$81,MATCH(B1679,Intent_Analysis!$A$5:$A$81,0))</f>
        <v>Card usage &amp; features</v>
      </c>
      <c r="D1679" s="0" t="n">
        <f aca="false">INDEX(Intent_Analysis!$E$5:$E$81,MATCH(B1679,Intent_Analysis!$A$5:$A$81,0))</f>
        <v>1</v>
      </c>
    </row>
    <row r="1680" customFormat="false" ht="15" hidden="false" customHeight="false" outlineLevel="0" collapsed="false">
      <c r="A1680" s="0" t="s">
        <v>2004</v>
      </c>
      <c r="B1680" s="0" t="s">
        <v>66</v>
      </c>
      <c r="C1680" s="0" t="str">
        <f aca="false">INDEX(Intent_Analysis!$B$5:$B$81,MATCH(B1680,Intent_Analysis!$A$5:$A$81,0))</f>
        <v>Card usage &amp; features</v>
      </c>
      <c r="D1680" s="0" t="n">
        <f aca="false">INDEX(Intent_Analysis!$E$5:$E$81,MATCH(B1680,Intent_Analysis!$A$5:$A$81,0))</f>
        <v>1</v>
      </c>
    </row>
    <row r="1681" customFormat="false" ht="15" hidden="false" customHeight="false" outlineLevel="0" collapsed="false">
      <c r="A1681" s="0" t="s">
        <v>2005</v>
      </c>
      <c r="B1681" s="0" t="s">
        <v>66</v>
      </c>
      <c r="C1681" s="0" t="str">
        <f aca="false">INDEX(Intent_Analysis!$B$5:$B$81,MATCH(B1681,Intent_Analysis!$A$5:$A$81,0))</f>
        <v>Card usage &amp; features</v>
      </c>
      <c r="D1681" s="0" t="n">
        <f aca="false">INDEX(Intent_Analysis!$E$5:$E$81,MATCH(B1681,Intent_Analysis!$A$5:$A$81,0))</f>
        <v>1</v>
      </c>
    </row>
    <row r="1682" customFormat="false" ht="15" hidden="false" customHeight="false" outlineLevel="0" collapsed="false">
      <c r="A1682" s="0" t="s">
        <v>2006</v>
      </c>
      <c r="B1682" s="0" t="s">
        <v>66</v>
      </c>
      <c r="C1682" s="0" t="str">
        <f aca="false">INDEX(Intent_Analysis!$B$5:$B$81,MATCH(B1682,Intent_Analysis!$A$5:$A$81,0))</f>
        <v>Card usage &amp; features</v>
      </c>
      <c r="D1682" s="0" t="n">
        <f aca="false">INDEX(Intent_Analysis!$E$5:$E$81,MATCH(B1682,Intent_Analysis!$A$5:$A$81,0))</f>
        <v>1</v>
      </c>
    </row>
    <row r="1683" customFormat="false" ht="15" hidden="false" customHeight="false" outlineLevel="0" collapsed="false">
      <c r="A1683" s="0" t="s">
        <v>2007</v>
      </c>
      <c r="B1683" s="0" t="s">
        <v>66</v>
      </c>
      <c r="C1683" s="0" t="str">
        <f aca="false">INDEX(Intent_Analysis!$B$5:$B$81,MATCH(B1683,Intent_Analysis!$A$5:$A$81,0))</f>
        <v>Card usage &amp; features</v>
      </c>
      <c r="D1683" s="0" t="n">
        <f aca="false">INDEX(Intent_Analysis!$E$5:$E$81,MATCH(B1683,Intent_Analysis!$A$5:$A$81,0))</f>
        <v>1</v>
      </c>
    </row>
    <row r="1684" customFormat="false" ht="15" hidden="false" customHeight="false" outlineLevel="0" collapsed="false">
      <c r="A1684" s="0" t="s">
        <v>2008</v>
      </c>
      <c r="B1684" s="0" t="s">
        <v>66</v>
      </c>
      <c r="C1684" s="0" t="str">
        <f aca="false">INDEX(Intent_Analysis!$B$5:$B$81,MATCH(B1684,Intent_Analysis!$A$5:$A$81,0))</f>
        <v>Card usage &amp; features</v>
      </c>
      <c r="D1684" s="0" t="n">
        <f aca="false">INDEX(Intent_Analysis!$E$5:$E$81,MATCH(B1684,Intent_Analysis!$A$5:$A$81,0))</f>
        <v>1</v>
      </c>
    </row>
    <row r="1685" customFormat="false" ht="15" hidden="false" customHeight="false" outlineLevel="0" collapsed="false">
      <c r="A1685" s="0" t="s">
        <v>2009</v>
      </c>
      <c r="B1685" s="0" t="s">
        <v>66</v>
      </c>
      <c r="C1685" s="0" t="str">
        <f aca="false">INDEX(Intent_Analysis!$B$5:$B$81,MATCH(B1685,Intent_Analysis!$A$5:$A$81,0))</f>
        <v>Card usage &amp; features</v>
      </c>
      <c r="D1685" s="0" t="n">
        <f aca="false">INDEX(Intent_Analysis!$E$5:$E$81,MATCH(B1685,Intent_Analysis!$A$5:$A$81,0))</f>
        <v>1</v>
      </c>
    </row>
    <row r="1686" customFormat="false" ht="15" hidden="false" customHeight="false" outlineLevel="0" collapsed="false">
      <c r="A1686" s="0" t="s">
        <v>2010</v>
      </c>
      <c r="B1686" s="0" t="s">
        <v>66</v>
      </c>
      <c r="C1686" s="0" t="str">
        <f aca="false">INDEX(Intent_Analysis!$B$5:$B$81,MATCH(B1686,Intent_Analysis!$A$5:$A$81,0))</f>
        <v>Card usage &amp; features</v>
      </c>
      <c r="D1686" s="0" t="n">
        <f aca="false">INDEX(Intent_Analysis!$E$5:$E$81,MATCH(B1686,Intent_Analysis!$A$5:$A$81,0))</f>
        <v>1</v>
      </c>
    </row>
    <row r="1687" customFormat="false" ht="15" hidden="false" customHeight="false" outlineLevel="0" collapsed="false">
      <c r="A1687" s="0" t="s">
        <v>2011</v>
      </c>
      <c r="B1687" s="0" t="s">
        <v>66</v>
      </c>
      <c r="C1687" s="0" t="str">
        <f aca="false">INDEX(Intent_Analysis!$B$5:$B$81,MATCH(B1687,Intent_Analysis!$A$5:$A$81,0))</f>
        <v>Card usage &amp; features</v>
      </c>
      <c r="D1687" s="0" t="n">
        <f aca="false">INDEX(Intent_Analysis!$E$5:$E$81,MATCH(B1687,Intent_Analysis!$A$5:$A$81,0))</f>
        <v>1</v>
      </c>
    </row>
    <row r="1688" customFormat="false" ht="15" hidden="false" customHeight="false" outlineLevel="0" collapsed="false">
      <c r="A1688" s="0" t="s">
        <v>2012</v>
      </c>
      <c r="B1688" s="0" t="s">
        <v>66</v>
      </c>
      <c r="C1688" s="0" t="str">
        <f aca="false">INDEX(Intent_Analysis!$B$5:$B$81,MATCH(B1688,Intent_Analysis!$A$5:$A$81,0))</f>
        <v>Card usage &amp; features</v>
      </c>
      <c r="D1688" s="0" t="n">
        <f aca="false">INDEX(Intent_Analysis!$E$5:$E$81,MATCH(B1688,Intent_Analysis!$A$5:$A$81,0))</f>
        <v>1</v>
      </c>
    </row>
    <row r="1689" customFormat="false" ht="15" hidden="false" customHeight="false" outlineLevel="0" collapsed="false">
      <c r="A1689" s="0" t="s">
        <v>2013</v>
      </c>
      <c r="B1689" s="0" t="s">
        <v>66</v>
      </c>
      <c r="C1689" s="0" t="str">
        <f aca="false">INDEX(Intent_Analysis!$B$5:$B$81,MATCH(B1689,Intent_Analysis!$A$5:$A$81,0))</f>
        <v>Card usage &amp; features</v>
      </c>
      <c r="D1689" s="0" t="n">
        <f aca="false">INDEX(Intent_Analysis!$E$5:$E$81,MATCH(B1689,Intent_Analysis!$A$5:$A$81,0))</f>
        <v>1</v>
      </c>
    </row>
    <row r="1690" customFormat="false" ht="15" hidden="false" customHeight="false" outlineLevel="0" collapsed="false">
      <c r="A1690" s="0" t="s">
        <v>2014</v>
      </c>
      <c r="B1690" s="0" t="s">
        <v>66</v>
      </c>
      <c r="C1690" s="0" t="str">
        <f aca="false">INDEX(Intent_Analysis!$B$5:$B$81,MATCH(B1690,Intent_Analysis!$A$5:$A$81,0))</f>
        <v>Card usage &amp; features</v>
      </c>
      <c r="D1690" s="0" t="n">
        <f aca="false">INDEX(Intent_Analysis!$E$5:$E$81,MATCH(B1690,Intent_Analysis!$A$5:$A$81,0))</f>
        <v>1</v>
      </c>
    </row>
    <row r="1691" customFormat="false" ht="15" hidden="false" customHeight="false" outlineLevel="0" collapsed="false">
      <c r="A1691" s="0" t="s">
        <v>2015</v>
      </c>
      <c r="B1691" s="0" t="s">
        <v>66</v>
      </c>
      <c r="C1691" s="0" t="str">
        <f aca="false">INDEX(Intent_Analysis!$B$5:$B$81,MATCH(B1691,Intent_Analysis!$A$5:$A$81,0))</f>
        <v>Card usage &amp; features</v>
      </c>
      <c r="D1691" s="0" t="n">
        <f aca="false">INDEX(Intent_Analysis!$E$5:$E$81,MATCH(B1691,Intent_Analysis!$A$5:$A$81,0))</f>
        <v>1</v>
      </c>
    </row>
    <row r="1692" customFormat="false" ht="15" hidden="false" customHeight="false" outlineLevel="0" collapsed="false">
      <c r="A1692" s="0" t="s">
        <v>2016</v>
      </c>
      <c r="B1692" s="0" t="s">
        <v>66</v>
      </c>
      <c r="C1692" s="0" t="str">
        <f aca="false">INDEX(Intent_Analysis!$B$5:$B$81,MATCH(B1692,Intent_Analysis!$A$5:$A$81,0))</f>
        <v>Card usage &amp; features</v>
      </c>
      <c r="D1692" s="0" t="n">
        <f aca="false">INDEX(Intent_Analysis!$E$5:$E$81,MATCH(B1692,Intent_Analysis!$A$5:$A$81,0))</f>
        <v>1</v>
      </c>
    </row>
    <row r="1693" customFormat="false" ht="15" hidden="false" customHeight="false" outlineLevel="0" collapsed="false">
      <c r="A1693" s="0" t="s">
        <v>2017</v>
      </c>
      <c r="B1693" s="0" t="s">
        <v>66</v>
      </c>
      <c r="C1693" s="0" t="str">
        <f aca="false">INDEX(Intent_Analysis!$B$5:$B$81,MATCH(B1693,Intent_Analysis!$A$5:$A$81,0))</f>
        <v>Card usage &amp; features</v>
      </c>
      <c r="D1693" s="0" t="n">
        <f aca="false">INDEX(Intent_Analysis!$E$5:$E$81,MATCH(B1693,Intent_Analysis!$A$5:$A$81,0))</f>
        <v>1</v>
      </c>
    </row>
    <row r="1694" customFormat="false" ht="15" hidden="false" customHeight="false" outlineLevel="0" collapsed="false">
      <c r="A1694" s="0" t="s">
        <v>2018</v>
      </c>
      <c r="B1694" s="0" t="s">
        <v>66</v>
      </c>
      <c r="C1694" s="0" t="str">
        <f aca="false">INDEX(Intent_Analysis!$B$5:$B$81,MATCH(B1694,Intent_Analysis!$A$5:$A$81,0))</f>
        <v>Card usage &amp; features</v>
      </c>
      <c r="D1694" s="0" t="n">
        <f aca="false">INDEX(Intent_Analysis!$E$5:$E$81,MATCH(B1694,Intent_Analysis!$A$5:$A$81,0))</f>
        <v>1</v>
      </c>
    </row>
    <row r="1695" customFormat="false" ht="15" hidden="false" customHeight="false" outlineLevel="0" collapsed="false">
      <c r="A1695" s="0" t="s">
        <v>2019</v>
      </c>
      <c r="B1695" s="0" t="s">
        <v>66</v>
      </c>
      <c r="C1695" s="0" t="str">
        <f aca="false">INDEX(Intent_Analysis!$B$5:$B$81,MATCH(B1695,Intent_Analysis!$A$5:$A$81,0))</f>
        <v>Card usage &amp; features</v>
      </c>
      <c r="D1695" s="0" t="n">
        <f aca="false">INDEX(Intent_Analysis!$E$5:$E$81,MATCH(B1695,Intent_Analysis!$A$5:$A$81,0))</f>
        <v>1</v>
      </c>
    </row>
    <row r="1696" customFormat="false" ht="15" hidden="false" customHeight="false" outlineLevel="0" collapsed="false">
      <c r="A1696" s="0" t="s">
        <v>2020</v>
      </c>
      <c r="B1696" s="0" t="s">
        <v>66</v>
      </c>
      <c r="C1696" s="0" t="str">
        <f aca="false">INDEX(Intent_Analysis!$B$5:$B$81,MATCH(B1696,Intent_Analysis!$A$5:$A$81,0))</f>
        <v>Card usage &amp; features</v>
      </c>
      <c r="D1696" s="0" t="n">
        <f aca="false">INDEX(Intent_Analysis!$E$5:$E$81,MATCH(B1696,Intent_Analysis!$A$5:$A$81,0))</f>
        <v>1</v>
      </c>
    </row>
    <row r="1697" customFormat="false" ht="15" hidden="false" customHeight="false" outlineLevel="0" collapsed="false">
      <c r="A1697" s="0" t="s">
        <v>2021</v>
      </c>
      <c r="B1697" s="0" t="s">
        <v>66</v>
      </c>
      <c r="C1697" s="0" t="str">
        <f aca="false">INDEX(Intent_Analysis!$B$5:$B$81,MATCH(B1697,Intent_Analysis!$A$5:$A$81,0))</f>
        <v>Card usage &amp; features</v>
      </c>
      <c r="D1697" s="0" t="n">
        <f aca="false">INDEX(Intent_Analysis!$E$5:$E$81,MATCH(B1697,Intent_Analysis!$A$5:$A$81,0))</f>
        <v>1</v>
      </c>
    </row>
    <row r="1698" customFormat="false" ht="15" hidden="false" customHeight="false" outlineLevel="0" collapsed="false">
      <c r="A1698" s="0" t="s">
        <v>2022</v>
      </c>
      <c r="B1698" s="0" t="s">
        <v>66</v>
      </c>
      <c r="C1698" s="0" t="str">
        <f aca="false">INDEX(Intent_Analysis!$B$5:$B$81,MATCH(B1698,Intent_Analysis!$A$5:$A$81,0))</f>
        <v>Card usage &amp; features</v>
      </c>
      <c r="D1698" s="0" t="n">
        <f aca="false">INDEX(Intent_Analysis!$E$5:$E$81,MATCH(B1698,Intent_Analysis!$A$5:$A$81,0))</f>
        <v>1</v>
      </c>
    </row>
    <row r="1699" customFormat="false" ht="15" hidden="false" customHeight="false" outlineLevel="0" collapsed="false">
      <c r="A1699" s="0" t="s">
        <v>2023</v>
      </c>
      <c r="B1699" s="0" t="s">
        <v>66</v>
      </c>
      <c r="C1699" s="0" t="str">
        <f aca="false">INDEX(Intent_Analysis!$B$5:$B$81,MATCH(B1699,Intent_Analysis!$A$5:$A$81,0))</f>
        <v>Card usage &amp; features</v>
      </c>
      <c r="D1699" s="0" t="n">
        <f aca="false">INDEX(Intent_Analysis!$E$5:$E$81,MATCH(B1699,Intent_Analysis!$A$5:$A$81,0))</f>
        <v>1</v>
      </c>
    </row>
    <row r="1700" customFormat="false" ht="15" hidden="false" customHeight="false" outlineLevel="0" collapsed="false">
      <c r="A1700" s="0" t="s">
        <v>2024</v>
      </c>
      <c r="B1700" s="0" t="s">
        <v>66</v>
      </c>
      <c r="C1700" s="0" t="str">
        <f aca="false">INDEX(Intent_Analysis!$B$5:$B$81,MATCH(B1700,Intent_Analysis!$A$5:$A$81,0))</f>
        <v>Card usage &amp; features</v>
      </c>
      <c r="D1700" s="0" t="n">
        <f aca="false">INDEX(Intent_Analysis!$E$5:$E$81,MATCH(B1700,Intent_Analysis!$A$5:$A$81,0))</f>
        <v>1</v>
      </c>
    </row>
    <row r="1701" customFormat="false" ht="15" hidden="false" customHeight="false" outlineLevel="0" collapsed="false">
      <c r="A1701" s="0" t="s">
        <v>2025</v>
      </c>
      <c r="B1701" s="0" t="s">
        <v>66</v>
      </c>
      <c r="C1701" s="0" t="str">
        <f aca="false">INDEX(Intent_Analysis!$B$5:$B$81,MATCH(B1701,Intent_Analysis!$A$5:$A$81,0))</f>
        <v>Card usage &amp; features</v>
      </c>
      <c r="D1701" s="0" t="n">
        <f aca="false">INDEX(Intent_Analysis!$E$5:$E$81,MATCH(B1701,Intent_Analysis!$A$5:$A$81,0))</f>
        <v>1</v>
      </c>
    </row>
    <row r="1702" customFormat="false" ht="15" hidden="false" customHeight="false" outlineLevel="0" collapsed="false">
      <c r="A1702" s="0" t="s">
        <v>2026</v>
      </c>
      <c r="B1702" s="0" t="s">
        <v>66</v>
      </c>
      <c r="C1702" s="0" t="str">
        <f aca="false">INDEX(Intent_Analysis!$B$5:$B$81,MATCH(B1702,Intent_Analysis!$A$5:$A$81,0))</f>
        <v>Card usage &amp; features</v>
      </c>
      <c r="D1702" s="0" t="n">
        <f aca="false">INDEX(Intent_Analysis!$E$5:$E$81,MATCH(B1702,Intent_Analysis!$A$5:$A$81,0))</f>
        <v>1</v>
      </c>
    </row>
    <row r="1703" customFormat="false" ht="15" hidden="false" customHeight="false" outlineLevel="0" collapsed="false">
      <c r="A1703" s="0" t="s">
        <v>2027</v>
      </c>
      <c r="B1703" s="0" t="s">
        <v>66</v>
      </c>
      <c r="C1703" s="0" t="str">
        <f aca="false">INDEX(Intent_Analysis!$B$5:$B$81,MATCH(B1703,Intent_Analysis!$A$5:$A$81,0))</f>
        <v>Card usage &amp; features</v>
      </c>
      <c r="D1703" s="0" t="n">
        <f aca="false">INDEX(Intent_Analysis!$E$5:$E$81,MATCH(B1703,Intent_Analysis!$A$5:$A$81,0))</f>
        <v>1</v>
      </c>
    </row>
    <row r="1704" customFormat="false" ht="15" hidden="false" customHeight="false" outlineLevel="0" collapsed="false">
      <c r="A1704" s="0" t="s">
        <v>2028</v>
      </c>
      <c r="B1704" s="0" t="s">
        <v>66</v>
      </c>
      <c r="C1704" s="0" t="str">
        <f aca="false">INDEX(Intent_Analysis!$B$5:$B$81,MATCH(B1704,Intent_Analysis!$A$5:$A$81,0))</f>
        <v>Card usage &amp; features</v>
      </c>
      <c r="D1704" s="0" t="n">
        <f aca="false">INDEX(Intent_Analysis!$E$5:$E$81,MATCH(B1704,Intent_Analysis!$A$5:$A$81,0))</f>
        <v>1</v>
      </c>
    </row>
    <row r="1705" customFormat="false" ht="15" hidden="false" customHeight="false" outlineLevel="0" collapsed="false">
      <c r="A1705" s="0" t="s">
        <v>2029</v>
      </c>
      <c r="B1705" s="0" t="s">
        <v>66</v>
      </c>
      <c r="C1705" s="0" t="str">
        <f aca="false">INDEX(Intent_Analysis!$B$5:$B$81,MATCH(B1705,Intent_Analysis!$A$5:$A$81,0))</f>
        <v>Card usage &amp; features</v>
      </c>
      <c r="D1705" s="0" t="n">
        <f aca="false">INDEX(Intent_Analysis!$E$5:$E$81,MATCH(B1705,Intent_Analysis!$A$5:$A$81,0))</f>
        <v>1</v>
      </c>
    </row>
    <row r="1706" customFormat="false" ht="15" hidden="false" customHeight="false" outlineLevel="0" collapsed="false">
      <c r="A1706" s="0" t="s">
        <v>2030</v>
      </c>
      <c r="B1706" s="0" t="s">
        <v>66</v>
      </c>
      <c r="C1706" s="0" t="str">
        <f aca="false">INDEX(Intent_Analysis!$B$5:$B$81,MATCH(B1706,Intent_Analysis!$A$5:$A$81,0))</f>
        <v>Card usage &amp; features</v>
      </c>
      <c r="D1706" s="0" t="n">
        <f aca="false">INDEX(Intent_Analysis!$E$5:$E$81,MATCH(B1706,Intent_Analysis!$A$5:$A$81,0))</f>
        <v>1</v>
      </c>
    </row>
    <row r="1707" customFormat="false" ht="15" hidden="false" customHeight="false" outlineLevel="0" collapsed="false">
      <c r="A1707" s="0" t="s">
        <v>2031</v>
      </c>
      <c r="B1707" s="0" t="s">
        <v>66</v>
      </c>
      <c r="C1707" s="0" t="str">
        <f aca="false">INDEX(Intent_Analysis!$B$5:$B$81,MATCH(B1707,Intent_Analysis!$A$5:$A$81,0))</f>
        <v>Card usage &amp; features</v>
      </c>
      <c r="D1707" s="0" t="n">
        <f aca="false">INDEX(Intent_Analysis!$E$5:$E$81,MATCH(B1707,Intent_Analysis!$A$5:$A$81,0))</f>
        <v>1</v>
      </c>
    </row>
    <row r="1708" customFormat="false" ht="15" hidden="false" customHeight="false" outlineLevel="0" collapsed="false">
      <c r="A1708" s="0" t="s">
        <v>2032</v>
      </c>
      <c r="B1708" s="0" t="s">
        <v>66</v>
      </c>
      <c r="C1708" s="0" t="str">
        <f aca="false">INDEX(Intent_Analysis!$B$5:$B$81,MATCH(B1708,Intent_Analysis!$A$5:$A$81,0))</f>
        <v>Card usage &amp; features</v>
      </c>
      <c r="D1708" s="0" t="n">
        <f aca="false">INDEX(Intent_Analysis!$E$5:$E$81,MATCH(B1708,Intent_Analysis!$A$5:$A$81,0))</f>
        <v>1</v>
      </c>
    </row>
    <row r="1709" customFormat="false" ht="15" hidden="false" customHeight="false" outlineLevel="0" collapsed="false">
      <c r="A1709" s="0" t="s">
        <v>2033</v>
      </c>
      <c r="B1709" s="0" t="s">
        <v>66</v>
      </c>
      <c r="C1709" s="0" t="str">
        <f aca="false">INDEX(Intent_Analysis!$B$5:$B$81,MATCH(B1709,Intent_Analysis!$A$5:$A$81,0))</f>
        <v>Card usage &amp; features</v>
      </c>
      <c r="D1709" s="0" t="n">
        <f aca="false">INDEX(Intent_Analysis!$E$5:$E$81,MATCH(B1709,Intent_Analysis!$A$5:$A$81,0))</f>
        <v>1</v>
      </c>
    </row>
    <row r="1710" customFormat="false" ht="15" hidden="false" customHeight="false" outlineLevel="0" collapsed="false">
      <c r="A1710" s="0" t="s">
        <v>2034</v>
      </c>
      <c r="B1710" s="0" t="s">
        <v>66</v>
      </c>
      <c r="C1710" s="0" t="str">
        <f aca="false">INDEX(Intent_Analysis!$B$5:$B$81,MATCH(B1710,Intent_Analysis!$A$5:$A$81,0))</f>
        <v>Card usage &amp; features</v>
      </c>
      <c r="D1710" s="0" t="n">
        <f aca="false">INDEX(Intent_Analysis!$E$5:$E$81,MATCH(B1710,Intent_Analysis!$A$5:$A$81,0))</f>
        <v>1</v>
      </c>
    </row>
    <row r="1711" customFormat="false" ht="15" hidden="false" customHeight="false" outlineLevel="0" collapsed="false">
      <c r="A1711" s="0" t="s">
        <v>2035</v>
      </c>
      <c r="B1711" s="0" t="s">
        <v>66</v>
      </c>
      <c r="C1711" s="0" t="str">
        <f aca="false">INDEX(Intent_Analysis!$B$5:$B$81,MATCH(B1711,Intent_Analysis!$A$5:$A$81,0))</f>
        <v>Card usage &amp; features</v>
      </c>
      <c r="D1711" s="0" t="n">
        <f aca="false">INDEX(Intent_Analysis!$E$5:$E$81,MATCH(B1711,Intent_Analysis!$A$5:$A$81,0))</f>
        <v>1</v>
      </c>
    </row>
    <row r="1712" customFormat="false" ht="28.35" hidden="false" customHeight="false" outlineLevel="0" collapsed="false">
      <c r="A1712" s="25" t="s">
        <v>2036</v>
      </c>
      <c r="B1712" s="0" t="s">
        <v>66</v>
      </c>
      <c r="C1712" s="0" t="str">
        <f aca="false">INDEX(Intent_Analysis!$B$5:$B$81,MATCH(B1712,Intent_Analysis!$A$5:$A$81,0))</f>
        <v>Card usage &amp; features</v>
      </c>
      <c r="D1712" s="0" t="n">
        <f aca="false">INDEX(Intent_Analysis!$E$5:$E$81,MATCH(B1712,Intent_Analysis!$A$5:$A$81,0))</f>
        <v>1</v>
      </c>
    </row>
    <row r="1713" customFormat="false" ht="15" hidden="false" customHeight="false" outlineLevel="0" collapsed="false">
      <c r="A1713" s="0" t="s">
        <v>2037</v>
      </c>
      <c r="B1713" s="0" t="s">
        <v>66</v>
      </c>
      <c r="C1713" s="0" t="str">
        <f aca="false">INDEX(Intent_Analysis!$B$5:$B$81,MATCH(B1713,Intent_Analysis!$A$5:$A$81,0))</f>
        <v>Card usage &amp; features</v>
      </c>
      <c r="D1713" s="0" t="n">
        <f aca="false">INDEX(Intent_Analysis!$E$5:$E$81,MATCH(B1713,Intent_Analysis!$A$5:$A$81,0))</f>
        <v>1</v>
      </c>
    </row>
    <row r="1714" customFormat="false" ht="15" hidden="false" customHeight="false" outlineLevel="0" collapsed="false">
      <c r="A1714" s="0" t="s">
        <v>2038</v>
      </c>
      <c r="B1714" s="0" t="s">
        <v>66</v>
      </c>
      <c r="C1714" s="0" t="str">
        <f aca="false">INDEX(Intent_Analysis!$B$5:$B$81,MATCH(B1714,Intent_Analysis!$A$5:$A$81,0))</f>
        <v>Card usage &amp; features</v>
      </c>
      <c r="D1714" s="0" t="n">
        <f aca="false">INDEX(Intent_Analysis!$E$5:$E$81,MATCH(B1714,Intent_Analysis!$A$5:$A$81,0))</f>
        <v>1</v>
      </c>
    </row>
    <row r="1715" customFormat="false" ht="15" hidden="false" customHeight="false" outlineLevel="0" collapsed="false">
      <c r="A1715" s="0" t="s">
        <v>2039</v>
      </c>
      <c r="B1715" s="0" t="s">
        <v>66</v>
      </c>
      <c r="C1715" s="0" t="str">
        <f aca="false">INDEX(Intent_Analysis!$B$5:$B$81,MATCH(B1715,Intent_Analysis!$A$5:$A$81,0))</f>
        <v>Card usage &amp; features</v>
      </c>
      <c r="D1715" s="0" t="n">
        <f aca="false">INDEX(Intent_Analysis!$E$5:$E$81,MATCH(B1715,Intent_Analysis!$A$5:$A$81,0))</f>
        <v>1</v>
      </c>
    </row>
    <row r="1716" customFormat="false" ht="15" hidden="false" customHeight="false" outlineLevel="0" collapsed="false">
      <c r="A1716" s="0" t="s">
        <v>2040</v>
      </c>
      <c r="B1716" s="0" t="s">
        <v>66</v>
      </c>
      <c r="C1716" s="0" t="str">
        <f aca="false">INDEX(Intent_Analysis!$B$5:$B$81,MATCH(B1716,Intent_Analysis!$A$5:$A$81,0))</f>
        <v>Card usage &amp; features</v>
      </c>
      <c r="D1716" s="0" t="n">
        <f aca="false">INDEX(Intent_Analysis!$E$5:$E$81,MATCH(B1716,Intent_Analysis!$A$5:$A$81,0))</f>
        <v>1</v>
      </c>
    </row>
    <row r="1717" customFormat="false" ht="15" hidden="false" customHeight="false" outlineLevel="0" collapsed="false">
      <c r="A1717" s="0" t="s">
        <v>2041</v>
      </c>
      <c r="B1717" s="0" t="s">
        <v>66</v>
      </c>
      <c r="C1717" s="0" t="str">
        <f aca="false">INDEX(Intent_Analysis!$B$5:$B$81,MATCH(B1717,Intent_Analysis!$A$5:$A$81,0))</f>
        <v>Card usage &amp; features</v>
      </c>
      <c r="D1717" s="0" t="n">
        <f aca="false">INDEX(Intent_Analysis!$E$5:$E$81,MATCH(B1717,Intent_Analysis!$A$5:$A$81,0))</f>
        <v>1</v>
      </c>
    </row>
    <row r="1718" customFormat="false" ht="15" hidden="false" customHeight="false" outlineLevel="0" collapsed="false">
      <c r="A1718" s="0" t="s">
        <v>2042</v>
      </c>
      <c r="B1718" s="0" t="s">
        <v>66</v>
      </c>
      <c r="C1718" s="0" t="str">
        <f aca="false">INDEX(Intent_Analysis!$B$5:$B$81,MATCH(B1718,Intent_Analysis!$A$5:$A$81,0))</f>
        <v>Card usage &amp; features</v>
      </c>
      <c r="D1718" s="0" t="n">
        <f aca="false">INDEX(Intent_Analysis!$E$5:$E$81,MATCH(B1718,Intent_Analysis!$A$5:$A$81,0))</f>
        <v>1</v>
      </c>
    </row>
    <row r="1719" customFormat="false" ht="15" hidden="false" customHeight="false" outlineLevel="0" collapsed="false">
      <c r="A1719" s="0" t="s">
        <v>2043</v>
      </c>
      <c r="B1719" s="0" t="s">
        <v>66</v>
      </c>
      <c r="C1719" s="0" t="str">
        <f aca="false">INDEX(Intent_Analysis!$B$5:$B$81,MATCH(B1719,Intent_Analysis!$A$5:$A$81,0))</f>
        <v>Card usage &amp; features</v>
      </c>
      <c r="D1719" s="0" t="n">
        <f aca="false">INDEX(Intent_Analysis!$E$5:$E$81,MATCH(B1719,Intent_Analysis!$A$5:$A$81,0))</f>
        <v>1</v>
      </c>
    </row>
    <row r="1720" customFormat="false" ht="15" hidden="false" customHeight="false" outlineLevel="0" collapsed="false">
      <c r="A1720" s="0" t="s">
        <v>2044</v>
      </c>
      <c r="B1720" s="0" t="s">
        <v>66</v>
      </c>
      <c r="C1720" s="0" t="str">
        <f aca="false">INDEX(Intent_Analysis!$B$5:$B$81,MATCH(B1720,Intent_Analysis!$A$5:$A$81,0))</f>
        <v>Card usage &amp; features</v>
      </c>
      <c r="D1720" s="0" t="n">
        <f aca="false">INDEX(Intent_Analysis!$E$5:$E$81,MATCH(B1720,Intent_Analysis!$A$5:$A$81,0))</f>
        <v>1</v>
      </c>
    </row>
    <row r="1721" customFormat="false" ht="15" hidden="false" customHeight="false" outlineLevel="0" collapsed="false">
      <c r="A1721" s="0" t="s">
        <v>2045</v>
      </c>
      <c r="B1721" s="0" t="s">
        <v>66</v>
      </c>
      <c r="C1721" s="0" t="str">
        <f aca="false">INDEX(Intent_Analysis!$B$5:$B$81,MATCH(B1721,Intent_Analysis!$A$5:$A$81,0))</f>
        <v>Card usage &amp; features</v>
      </c>
      <c r="D1721" s="0" t="n">
        <f aca="false">INDEX(Intent_Analysis!$E$5:$E$81,MATCH(B1721,Intent_Analysis!$A$5:$A$81,0))</f>
        <v>1</v>
      </c>
    </row>
    <row r="1722" customFormat="false" ht="15" hidden="false" customHeight="false" outlineLevel="0" collapsed="false">
      <c r="A1722" s="0" t="s">
        <v>2046</v>
      </c>
      <c r="B1722" s="0" t="s">
        <v>66</v>
      </c>
      <c r="C1722" s="0" t="str">
        <f aca="false">INDEX(Intent_Analysis!$B$5:$B$81,MATCH(B1722,Intent_Analysis!$A$5:$A$81,0))</f>
        <v>Card usage &amp; features</v>
      </c>
      <c r="D1722" s="0" t="n">
        <f aca="false">INDEX(Intent_Analysis!$E$5:$E$81,MATCH(B1722,Intent_Analysis!$A$5:$A$81,0))</f>
        <v>1</v>
      </c>
    </row>
    <row r="1723" customFormat="false" ht="15" hidden="false" customHeight="false" outlineLevel="0" collapsed="false">
      <c r="A1723" s="0" t="s">
        <v>2047</v>
      </c>
      <c r="B1723" s="0" t="s">
        <v>66</v>
      </c>
      <c r="C1723" s="0" t="str">
        <f aca="false">INDEX(Intent_Analysis!$B$5:$B$81,MATCH(B1723,Intent_Analysis!$A$5:$A$81,0))</f>
        <v>Card usage &amp; features</v>
      </c>
      <c r="D1723" s="0" t="n">
        <f aca="false">INDEX(Intent_Analysis!$E$5:$E$81,MATCH(B1723,Intent_Analysis!$A$5:$A$81,0))</f>
        <v>1</v>
      </c>
    </row>
    <row r="1724" customFormat="false" ht="28.35" hidden="false" customHeight="false" outlineLevel="0" collapsed="false">
      <c r="A1724" s="25" t="s">
        <v>2048</v>
      </c>
      <c r="B1724" s="0" t="s">
        <v>66</v>
      </c>
      <c r="C1724" s="0" t="str">
        <f aca="false">INDEX(Intent_Analysis!$B$5:$B$81,MATCH(B1724,Intent_Analysis!$A$5:$A$81,0))</f>
        <v>Card usage &amp; features</v>
      </c>
      <c r="D1724" s="0" t="n">
        <f aca="false">INDEX(Intent_Analysis!$E$5:$E$81,MATCH(B1724,Intent_Analysis!$A$5:$A$81,0))</f>
        <v>1</v>
      </c>
    </row>
    <row r="1725" customFormat="false" ht="15" hidden="false" customHeight="false" outlineLevel="0" collapsed="false">
      <c r="A1725" s="0" t="s">
        <v>2049</v>
      </c>
      <c r="B1725" s="0" t="s">
        <v>66</v>
      </c>
      <c r="C1725" s="0" t="str">
        <f aca="false">INDEX(Intent_Analysis!$B$5:$B$81,MATCH(B1725,Intent_Analysis!$A$5:$A$81,0))</f>
        <v>Card usage &amp; features</v>
      </c>
      <c r="D1725" s="0" t="n">
        <f aca="false">INDEX(Intent_Analysis!$E$5:$E$81,MATCH(B1725,Intent_Analysis!$A$5:$A$81,0))</f>
        <v>1</v>
      </c>
    </row>
    <row r="1726" customFormat="false" ht="15" hidden="false" customHeight="false" outlineLevel="0" collapsed="false">
      <c r="A1726" s="0" t="s">
        <v>2050</v>
      </c>
      <c r="B1726" s="0" t="s">
        <v>66</v>
      </c>
      <c r="C1726" s="0" t="str">
        <f aca="false">INDEX(Intent_Analysis!$B$5:$B$81,MATCH(B1726,Intent_Analysis!$A$5:$A$81,0))</f>
        <v>Card usage &amp; features</v>
      </c>
      <c r="D1726" s="0" t="n">
        <f aca="false">INDEX(Intent_Analysis!$E$5:$E$81,MATCH(B1726,Intent_Analysis!$A$5:$A$81,0))</f>
        <v>1</v>
      </c>
    </row>
    <row r="1727" customFormat="false" ht="15" hidden="false" customHeight="false" outlineLevel="0" collapsed="false">
      <c r="A1727" s="0" t="s">
        <v>2051</v>
      </c>
      <c r="B1727" s="0" t="s">
        <v>66</v>
      </c>
      <c r="C1727" s="0" t="str">
        <f aca="false">INDEX(Intent_Analysis!$B$5:$B$81,MATCH(B1727,Intent_Analysis!$A$5:$A$81,0))</f>
        <v>Card usage &amp; features</v>
      </c>
      <c r="D1727" s="0" t="n">
        <f aca="false">INDEX(Intent_Analysis!$E$5:$E$81,MATCH(B1727,Intent_Analysis!$A$5:$A$81,0))</f>
        <v>1</v>
      </c>
    </row>
    <row r="1728" customFormat="false" ht="15" hidden="false" customHeight="false" outlineLevel="0" collapsed="false">
      <c r="A1728" s="0" t="s">
        <v>2052</v>
      </c>
      <c r="B1728" s="0" t="s">
        <v>66</v>
      </c>
      <c r="C1728" s="0" t="str">
        <f aca="false">INDEX(Intent_Analysis!$B$5:$B$81,MATCH(B1728,Intent_Analysis!$A$5:$A$81,0))</f>
        <v>Card usage &amp; features</v>
      </c>
      <c r="D1728" s="0" t="n">
        <f aca="false">INDEX(Intent_Analysis!$E$5:$E$81,MATCH(B1728,Intent_Analysis!$A$5:$A$81,0))</f>
        <v>1</v>
      </c>
    </row>
    <row r="1729" customFormat="false" ht="15" hidden="false" customHeight="false" outlineLevel="0" collapsed="false">
      <c r="A1729" s="0" t="s">
        <v>2053</v>
      </c>
      <c r="B1729" s="0" t="s">
        <v>66</v>
      </c>
      <c r="C1729" s="0" t="str">
        <f aca="false">INDEX(Intent_Analysis!$B$5:$B$81,MATCH(B1729,Intent_Analysis!$A$5:$A$81,0))</f>
        <v>Card usage &amp; features</v>
      </c>
      <c r="D1729" s="0" t="n">
        <f aca="false">INDEX(Intent_Analysis!$E$5:$E$81,MATCH(B1729,Intent_Analysis!$A$5:$A$81,0))</f>
        <v>1</v>
      </c>
    </row>
    <row r="1730" customFormat="false" ht="15" hidden="false" customHeight="false" outlineLevel="0" collapsed="false">
      <c r="A1730" s="0" t="s">
        <v>2054</v>
      </c>
      <c r="B1730" s="0" t="s">
        <v>66</v>
      </c>
      <c r="C1730" s="0" t="str">
        <f aca="false">INDEX(Intent_Analysis!$B$5:$B$81,MATCH(B1730,Intent_Analysis!$A$5:$A$81,0))</f>
        <v>Card usage &amp; features</v>
      </c>
      <c r="D1730" s="0" t="n">
        <f aca="false">INDEX(Intent_Analysis!$E$5:$E$81,MATCH(B1730,Intent_Analysis!$A$5:$A$81,0))</f>
        <v>1</v>
      </c>
    </row>
    <row r="1731" customFormat="false" ht="15" hidden="false" customHeight="false" outlineLevel="0" collapsed="false">
      <c r="A1731" s="0" t="s">
        <v>2055</v>
      </c>
      <c r="B1731" s="0" t="s">
        <v>66</v>
      </c>
      <c r="C1731" s="0" t="str">
        <f aca="false">INDEX(Intent_Analysis!$B$5:$B$81,MATCH(B1731,Intent_Analysis!$A$5:$A$81,0))</f>
        <v>Card usage &amp; features</v>
      </c>
      <c r="D1731" s="0" t="n">
        <f aca="false">INDEX(Intent_Analysis!$E$5:$E$81,MATCH(B1731,Intent_Analysis!$A$5:$A$81,0))</f>
        <v>1</v>
      </c>
    </row>
    <row r="1732" customFormat="false" ht="15" hidden="false" customHeight="false" outlineLevel="0" collapsed="false">
      <c r="A1732" s="0" t="s">
        <v>2056</v>
      </c>
      <c r="B1732" s="0" t="s">
        <v>66</v>
      </c>
      <c r="C1732" s="0" t="str">
        <f aca="false">INDEX(Intent_Analysis!$B$5:$B$81,MATCH(B1732,Intent_Analysis!$A$5:$A$81,0))</f>
        <v>Card usage &amp; features</v>
      </c>
      <c r="D1732" s="0" t="n">
        <f aca="false">INDEX(Intent_Analysis!$E$5:$E$81,MATCH(B1732,Intent_Analysis!$A$5:$A$81,0))</f>
        <v>1</v>
      </c>
    </row>
    <row r="1733" customFormat="false" ht="15" hidden="false" customHeight="false" outlineLevel="0" collapsed="false">
      <c r="A1733" s="0" t="s">
        <v>2057</v>
      </c>
      <c r="B1733" s="0" t="s">
        <v>66</v>
      </c>
      <c r="C1733" s="0" t="str">
        <f aca="false">INDEX(Intent_Analysis!$B$5:$B$81,MATCH(B1733,Intent_Analysis!$A$5:$A$81,0))</f>
        <v>Card usage &amp; features</v>
      </c>
      <c r="D1733" s="0" t="n">
        <f aca="false">INDEX(Intent_Analysis!$E$5:$E$81,MATCH(B1733,Intent_Analysis!$A$5:$A$81,0))</f>
        <v>1</v>
      </c>
    </row>
    <row r="1734" customFormat="false" ht="15" hidden="false" customHeight="false" outlineLevel="0" collapsed="false">
      <c r="A1734" s="0" t="s">
        <v>2058</v>
      </c>
      <c r="B1734" s="0" t="s">
        <v>66</v>
      </c>
      <c r="C1734" s="0" t="str">
        <f aca="false">INDEX(Intent_Analysis!$B$5:$B$81,MATCH(B1734,Intent_Analysis!$A$5:$A$81,0))</f>
        <v>Card usage &amp; features</v>
      </c>
      <c r="D1734" s="0" t="n">
        <f aca="false">INDEX(Intent_Analysis!$E$5:$E$81,MATCH(B1734,Intent_Analysis!$A$5:$A$81,0))</f>
        <v>1</v>
      </c>
    </row>
    <row r="1735" customFormat="false" ht="15" hidden="false" customHeight="false" outlineLevel="0" collapsed="false">
      <c r="A1735" s="0" t="s">
        <v>2059</v>
      </c>
      <c r="B1735" s="0" t="s">
        <v>66</v>
      </c>
      <c r="C1735" s="0" t="str">
        <f aca="false">INDEX(Intent_Analysis!$B$5:$B$81,MATCH(B1735,Intent_Analysis!$A$5:$A$81,0))</f>
        <v>Card usage &amp; features</v>
      </c>
      <c r="D1735" s="0" t="n">
        <f aca="false">INDEX(Intent_Analysis!$E$5:$E$81,MATCH(B1735,Intent_Analysis!$A$5:$A$81,0))</f>
        <v>1</v>
      </c>
    </row>
    <row r="1736" customFormat="false" ht="15" hidden="false" customHeight="false" outlineLevel="0" collapsed="false">
      <c r="A1736" s="0" t="s">
        <v>2060</v>
      </c>
      <c r="B1736" s="0" t="s">
        <v>66</v>
      </c>
      <c r="C1736" s="0" t="str">
        <f aca="false">INDEX(Intent_Analysis!$B$5:$B$81,MATCH(B1736,Intent_Analysis!$A$5:$A$81,0))</f>
        <v>Card usage &amp; features</v>
      </c>
      <c r="D1736" s="0" t="n">
        <f aca="false">INDEX(Intent_Analysis!$E$5:$E$81,MATCH(B1736,Intent_Analysis!$A$5:$A$81,0))</f>
        <v>1</v>
      </c>
    </row>
    <row r="1737" customFormat="false" ht="15" hidden="false" customHeight="false" outlineLevel="0" collapsed="false">
      <c r="A1737" s="0" t="s">
        <v>2061</v>
      </c>
      <c r="B1737" s="0" t="s">
        <v>66</v>
      </c>
      <c r="C1737" s="0" t="str">
        <f aca="false">INDEX(Intent_Analysis!$B$5:$B$81,MATCH(B1737,Intent_Analysis!$A$5:$A$81,0))</f>
        <v>Card usage &amp; features</v>
      </c>
      <c r="D1737" s="0" t="n">
        <f aca="false">INDEX(Intent_Analysis!$E$5:$E$81,MATCH(B1737,Intent_Analysis!$A$5:$A$81,0))</f>
        <v>1</v>
      </c>
    </row>
    <row r="1738" customFormat="false" ht="15" hidden="false" customHeight="false" outlineLevel="0" collapsed="false">
      <c r="A1738" s="0" t="s">
        <v>2062</v>
      </c>
      <c r="B1738" s="0" t="s">
        <v>66</v>
      </c>
      <c r="C1738" s="0" t="str">
        <f aca="false">INDEX(Intent_Analysis!$B$5:$B$81,MATCH(B1738,Intent_Analysis!$A$5:$A$81,0))</f>
        <v>Card usage &amp; features</v>
      </c>
      <c r="D1738" s="0" t="n">
        <f aca="false">INDEX(Intent_Analysis!$E$5:$E$81,MATCH(B1738,Intent_Analysis!$A$5:$A$81,0))</f>
        <v>1</v>
      </c>
    </row>
    <row r="1739" customFormat="false" ht="15" hidden="false" customHeight="false" outlineLevel="0" collapsed="false">
      <c r="A1739" s="0" t="s">
        <v>2063</v>
      </c>
      <c r="B1739" s="0" t="s">
        <v>66</v>
      </c>
      <c r="C1739" s="0" t="str">
        <f aca="false">INDEX(Intent_Analysis!$B$5:$B$81,MATCH(B1739,Intent_Analysis!$A$5:$A$81,0))</f>
        <v>Card usage &amp; features</v>
      </c>
      <c r="D1739" s="0" t="n">
        <f aca="false">INDEX(Intent_Analysis!$E$5:$E$81,MATCH(B1739,Intent_Analysis!$A$5:$A$81,0))</f>
        <v>1</v>
      </c>
    </row>
    <row r="1740" customFormat="false" ht="15" hidden="false" customHeight="false" outlineLevel="0" collapsed="false">
      <c r="A1740" s="0" t="s">
        <v>2064</v>
      </c>
      <c r="B1740" s="0" t="s">
        <v>66</v>
      </c>
      <c r="C1740" s="0" t="str">
        <f aca="false">INDEX(Intent_Analysis!$B$5:$B$81,MATCH(B1740,Intent_Analysis!$A$5:$A$81,0))</f>
        <v>Card usage &amp; features</v>
      </c>
      <c r="D1740" s="0" t="n">
        <f aca="false">INDEX(Intent_Analysis!$E$5:$E$81,MATCH(B1740,Intent_Analysis!$A$5:$A$81,0))</f>
        <v>1</v>
      </c>
    </row>
    <row r="1741" customFormat="false" ht="15" hidden="false" customHeight="false" outlineLevel="0" collapsed="false">
      <c r="A1741" s="0" t="s">
        <v>2065</v>
      </c>
      <c r="B1741" s="0" t="s">
        <v>66</v>
      </c>
      <c r="C1741" s="0" t="str">
        <f aca="false">INDEX(Intent_Analysis!$B$5:$B$81,MATCH(B1741,Intent_Analysis!$A$5:$A$81,0))</f>
        <v>Card usage &amp; features</v>
      </c>
      <c r="D1741" s="0" t="n">
        <f aca="false">INDEX(Intent_Analysis!$E$5:$E$81,MATCH(B1741,Intent_Analysis!$A$5:$A$81,0))</f>
        <v>1</v>
      </c>
    </row>
    <row r="1742" customFormat="false" ht="15" hidden="false" customHeight="false" outlineLevel="0" collapsed="false">
      <c r="A1742" s="0" t="s">
        <v>2066</v>
      </c>
      <c r="B1742" s="0" t="s">
        <v>66</v>
      </c>
      <c r="C1742" s="0" t="str">
        <f aca="false">INDEX(Intent_Analysis!$B$5:$B$81,MATCH(B1742,Intent_Analysis!$A$5:$A$81,0))</f>
        <v>Card usage &amp; features</v>
      </c>
      <c r="D1742" s="0" t="n">
        <f aca="false">INDEX(Intent_Analysis!$E$5:$E$81,MATCH(B1742,Intent_Analysis!$A$5:$A$81,0))</f>
        <v>1</v>
      </c>
    </row>
    <row r="1743" customFormat="false" ht="15" hidden="false" customHeight="false" outlineLevel="0" collapsed="false">
      <c r="A1743" s="0" t="s">
        <v>2067</v>
      </c>
      <c r="B1743" s="0" t="s">
        <v>66</v>
      </c>
      <c r="C1743" s="0" t="str">
        <f aca="false">INDEX(Intent_Analysis!$B$5:$B$81,MATCH(B1743,Intent_Analysis!$A$5:$A$81,0))</f>
        <v>Card usage &amp; features</v>
      </c>
      <c r="D1743" s="0" t="n">
        <f aca="false">INDEX(Intent_Analysis!$E$5:$E$81,MATCH(B1743,Intent_Analysis!$A$5:$A$81,0))</f>
        <v>1</v>
      </c>
    </row>
    <row r="1744" customFormat="false" ht="15" hidden="false" customHeight="false" outlineLevel="0" collapsed="false">
      <c r="A1744" s="0" t="s">
        <v>2068</v>
      </c>
      <c r="B1744" s="0" t="s">
        <v>66</v>
      </c>
      <c r="C1744" s="0" t="str">
        <f aca="false">INDEX(Intent_Analysis!$B$5:$B$81,MATCH(B1744,Intent_Analysis!$A$5:$A$81,0))</f>
        <v>Card usage &amp; features</v>
      </c>
      <c r="D1744" s="0" t="n">
        <f aca="false">INDEX(Intent_Analysis!$E$5:$E$81,MATCH(B1744,Intent_Analysis!$A$5:$A$81,0))</f>
        <v>1</v>
      </c>
    </row>
    <row r="1745" customFormat="false" ht="15" hidden="false" customHeight="false" outlineLevel="0" collapsed="false">
      <c r="A1745" s="0" t="s">
        <v>2069</v>
      </c>
      <c r="B1745" s="0" t="s">
        <v>66</v>
      </c>
      <c r="C1745" s="0" t="str">
        <f aca="false">INDEX(Intent_Analysis!$B$5:$B$81,MATCH(B1745,Intent_Analysis!$A$5:$A$81,0))</f>
        <v>Card usage &amp; features</v>
      </c>
      <c r="D1745" s="0" t="n">
        <f aca="false">INDEX(Intent_Analysis!$E$5:$E$81,MATCH(B1745,Intent_Analysis!$A$5:$A$81,0))</f>
        <v>1</v>
      </c>
    </row>
    <row r="1746" customFormat="false" ht="15" hidden="false" customHeight="false" outlineLevel="0" collapsed="false">
      <c r="A1746" s="0" t="s">
        <v>2070</v>
      </c>
      <c r="B1746" s="0" t="s">
        <v>66</v>
      </c>
      <c r="C1746" s="0" t="str">
        <f aca="false">INDEX(Intent_Analysis!$B$5:$B$81,MATCH(B1746,Intent_Analysis!$A$5:$A$81,0))</f>
        <v>Card usage &amp; features</v>
      </c>
      <c r="D1746" s="0" t="n">
        <f aca="false">INDEX(Intent_Analysis!$E$5:$E$81,MATCH(B1746,Intent_Analysis!$A$5:$A$81,0))</f>
        <v>1</v>
      </c>
    </row>
    <row r="1747" customFormat="false" ht="15" hidden="false" customHeight="false" outlineLevel="0" collapsed="false">
      <c r="A1747" s="0" t="s">
        <v>2071</v>
      </c>
      <c r="B1747" s="0" t="s">
        <v>66</v>
      </c>
      <c r="C1747" s="0" t="str">
        <f aca="false">INDEX(Intent_Analysis!$B$5:$B$81,MATCH(B1747,Intent_Analysis!$A$5:$A$81,0))</f>
        <v>Card usage &amp; features</v>
      </c>
      <c r="D1747" s="0" t="n">
        <f aca="false">INDEX(Intent_Analysis!$E$5:$E$81,MATCH(B1747,Intent_Analysis!$A$5:$A$81,0))</f>
        <v>1</v>
      </c>
    </row>
    <row r="1748" customFormat="false" ht="15" hidden="false" customHeight="false" outlineLevel="0" collapsed="false">
      <c r="A1748" s="0" t="s">
        <v>2072</v>
      </c>
      <c r="B1748" s="0" t="s">
        <v>66</v>
      </c>
      <c r="C1748" s="0" t="str">
        <f aca="false">INDEX(Intent_Analysis!$B$5:$B$81,MATCH(B1748,Intent_Analysis!$A$5:$A$81,0))</f>
        <v>Card usage &amp; features</v>
      </c>
      <c r="D1748" s="0" t="n">
        <f aca="false">INDEX(Intent_Analysis!$E$5:$E$81,MATCH(B1748,Intent_Analysis!$A$5:$A$81,0))</f>
        <v>1</v>
      </c>
    </row>
    <row r="1749" customFormat="false" ht="15" hidden="false" customHeight="false" outlineLevel="0" collapsed="false">
      <c r="A1749" s="0" t="s">
        <v>2073</v>
      </c>
      <c r="B1749" s="0" t="s">
        <v>66</v>
      </c>
      <c r="C1749" s="0" t="str">
        <f aca="false">INDEX(Intent_Analysis!$B$5:$B$81,MATCH(B1749,Intent_Analysis!$A$5:$A$81,0))</f>
        <v>Card usage &amp; features</v>
      </c>
      <c r="D1749" s="0" t="n">
        <f aca="false">INDEX(Intent_Analysis!$E$5:$E$81,MATCH(B1749,Intent_Analysis!$A$5:$A$81,0))</f>
        <v>1</v>
      </c>
    </row>
    <row r="1750" customFormat="false" ht="15" hidden="false" customHeight="false" outlineLevel="0" collapsed="false">
      <c r="A1750" s="0" t="s">
        <v>2074</v>
      </c>
      <c r="B1750" s="0" t="s">
        <v>66</v>
      </c>
      <c r="C1750" s="0" t="str">
        <f aca="false">INDEX(Intent_Analysis!$B$5:$B$81,MATCH(B1750,Intent_Analysis!$A$5:$A$81,0))</f>
        <v>Card usage &amp; features</v>
      </c>
      <c r="D1750" s="0" t="n">
        <f aca="false">INDEX(Intent_Analysis!$E$5:$E$81,MATCH(B1750,Intent_Analysis!$A$5:$A$81,0))</f>
        <v>1</v>
      </c>
    </row>
    <row r="1751" customFormat="false" ht="15" hidden="false" customHeight="false" outlineLevel="0" collapsed="false">
      <c r="A1751" s="0" t="s">
        <v>2075</v>
      </c>
      <c r="B1751" s="0" t="s">
        <v>66</v>
      </c>
      <c r="C1751" s="0" t="str">
        <f aca="false">INDEX(Intent_Analysis!$B$5:$B$81,MATCH(B1751,Intent_Analysis!$A$5:$A$81,0))</f>
        <v>Card usage &amp; features</v>
      </c>
      <c r="D1751" s="0" t="n">
        <f aca="false">INDEX(Intent_Analysis!$E$5:$E$81,MATCH(B1751,Intent_Analysis!$A$5:$A$81,0))</f>
        <v>1</v>
      </c>
    </row>
    <row r="1752" customFormat="false" ht="15" hidden="false" customHeight="false" outlineLevel="0" collapsed="false">
      <c r="A1752" s="0" t="s">
        <v>2076</v>
      </c>
      <c r="B1752" s="0" t="s">
        <v>66</v>
      </c>
      <c r="C1752" s="0" t="str">
        <f aca="false">INDEX(Intent_Analysis!$B$5:$B$81,MATCH(B1752,Intent_Analysis!$A$5:$A$81,0))</f>
        <v>Card usage &amp; features</v>
      </c>
      <c r="D1752" s="0" t="n">
        <f aca="false">INDEX(Intent_Analysis!$E$5:$E$81,MATCH(B1752,Intent_Analysis!$A$5:$A$81,0))</f>
        <v>1</v>
      </c>
    </row>
    <row r="1753" customFormat="false" ht="15" hidden="false" customHeight="false" outlineLevel="0" collapsed="false">
      <c r="A1753" s="0" t="s">
        <v>2077</v>
      </c>
      <c r="B1753" s="0" t="s">
        <v>66</v>
      </c>
      <c r="C1753" s="0" t="str">
        <f aca="false">INDEX(Intent_Analysis!$B$5:$B$81,MATCH(B1753,Intent_Analysis!$A$5:$A$81,0))</f>
        <v>Card usage &amp; features</v>
      </c>
      <c r="D1753" s="0" t="n">
        <f aca="false">INDEX(Intent_Analysis!$E$5:$E$81,MATCH(B1753,Intent_Analysis!$A$5:$A$81,0))</f>
        <v>1</v>
      </c>
    </row>
    <row r="1754" customFormat="false" ht="15" hidden="false" customHeight="false" outlineLevel="0" collapsed="false">
      <c r="A1754" s="0" t="s">
        <v>2078</v>
      </c>
      <c r="B1754" s="0" t="s">
        <v>66</v>
      </c>
      <c r="C1754" s="0" t="str">
        <f aca="false">INDEX(Intent_Analysis!$B$5:$B$81,MATCH(B1754,Intent_Analysis!$A$5:$A$81,0))</f>
        <v>Card usage &amp; features</v>
      </c>
      <c r="D1754" s="0" t="n">
        <f aca="false">INDEX(Intent_Analysis!$E$5:$E$81,MATCH(B1754,Intent_Analysis!$A$5:$A$81,0))</f>
        <v>1</v>
      </c>
    </row>
    <row r="1755" customFormat="false" ht="15" hidden="false" customHeight="false" outlineLevel="0" collapsed="false">
      <c r="A1755" s="0" t="s">
        <v>2079</v>
      </c>
      <c r="B1755" s="0" t="s">
        <v>66</v>
      </c>
      <c r="C1755" s="0" t="str">
        <f aca="false">INDEX(Intent_Analysis!$B$5:$B$81,MATCH(B1755,Intent_Analysis!$A$5:$A$81,0))</f>
        <v>Card usage &amp; features</v>
      </c>
      <c r="D1755" s="0" t="n">
        <f aca="false">INDEX(Intent_Analysis!$E$5:$E$81,MATCH(B1755,Intent_Analysis!$A$5:$A$81,0))</f>
        <v>1</v>
      </c>
    </row>
    <row r="1756" customFormat="false" ht="15" hidden="false" customHeight="false" outlineLevel="0" collapsed="false">
      <c r="A1756" s="0" t="s">
        <v>2080</v>
      </c>
      <c r="B1756" s="0" t="s">
        <v>66</v>
      </c>
      <c r="C1756" s="0" t="str">
        <f aca="false">INDEX(Intent_Analysis!$B$5:$B$81,MATCH(B1756,Intent_Analysis!$A$5:$A$81,0))</f>
        <v>Card usage &amp; features</v>
      </c>
      <c r="D1756" s="0" t="n">
        <f aca="false">INDEX(Intent_Analysis!$E$5:$E$81,MATCH(B1756,Intent_Analysis!$A$5:$A$81,0))</f>
        <v>1</v>
      </c>
    </row>
    <row r="1757" customFormat="false" ht="15" hidden="false" customHeight="false" outlineLevel="0" collapsed="false">
      <c r="A1757" s="0" t="s">
        <v>2081</v>
      </c>
      <c r="B1757" s="0" t="s">
        <v>66</v>
      </c>
      <c r="C1757" s="0" t="str">
        <f aca="false">INDEX(Intent_Analysis!$B$5:$B$81,MATCH(B1757,Intent_Analysis!$A$5:$A$81,0))</f>
        <v>Card usage &amp; features</v>
      </c>
      <c r="D1757" s="0" t="n">
        <f aca="false">INDEX(Intent_Analysis!$E$5:$E$81,MATCH(B1757,Intent_Analysis!$A$5:$A$81,0))</f>
        <v>1</v>
      </c>
    </row>
    <row r="1758" customFormat="false" ht="15" hidden="false" customHeight="false" outlineLevel="0" collapsed="false">
      <c r="A1758" s="0" t="s">
        <v>2082</v>
      </c>
      <c r="B1758" s="0" t="s">
        <v>66</v>
      </c>
      <c r="C1758" s="0" t="str">
        <f aca="false">INDEX(Intent_Analysis!$B$5:$B$81,MATCH(B1758,Intent_Analysis!$A$5:$A$81,0))</f>
        <v>Card usage &amp; features</v>
      </c>
      <c r="D1758" s="0" t="n">
        <f aca="false">INDEX(Intent_Analysis!$E$5:$E$81,MATCH(B1758,Intent_Analysis!$A$5:$A$81,0))</f>
        <v>1</v>
      </c>
    </row>
    <row r="1759" customFormat="false" ht="15" hidden="false" customHeight="false" outlineLevel="0" collapsed="false">
      <c r="A1759" s="0" t="s">
        <v>2083</v>
      </c>
      <c r="B1759" s="0" t="s">
        <v>66</v>
      </c>
      <c r="C1759" s="0" t="str">
        <f aca="false">INDEX(Intent_Analysis!$B$5:$B$81,MATCH(B1759,Intent_Analysis!$A$5:$A$81,0))</f>
        <v>Card usage &amp; features</v>
      </c>
      <c r="D1759" s="0" t="n">
        <f aca="false">INDEX(Intent_Analysis!$E$5:$E$81,MATCH(B1759,Intent_Analysis!$A$5:$A$81,0))</f>
        <v>1</v>
      </c>
    </row>
    <row r="1760" customFormat="false" ht="15" hidden="false" customHeight="false" outlineLevel="0" collapsed="false">
      <c r="A1760" s="0" t="s">
        <v>2084</v>
      </c>
      <c r="B1760" s="0" t="s">
        <v>66</v>
      </c>
      <c r="C1760" s="0" t="str">
        <f aca="false">INDEX(Intent_Analysis!$B$5:$B$81,MATCH(B1760,Intent_Analysis!$A$5:$A$81,0))</f>
        <v>Card usage &amp; features</v>
      </c>
      <c r="D1760" s="0" t="n">
        <f aca="false">INDEX(Intent_Analysis!$E$5:$E$81,MATCH(B1760,Intent_Analysis!$A$5:$A$81,0))</f>
        <v>1</v>
      </c>
    </row>
    <row r="1761" customFormat="false" ht="15" hidden="false" customHeight="false" outlineLevel="0" collapsed="false">
      <c r="A1761" s="0" t="s">
        <v>2085</v>
      </c>
      <c r="B1761" s="0" t="s">
        <v>66</v>
      </c>
      <c r="C1761" s="0" t="str">
        <f aca="false">INDEX(Intent_Analysis!$B$5:$B$81,MATCH(B1761,Intent_Analysis!$A$5:$A$81,0))</f>
        <v>Card usage &amp; features</v>
      </c>
      <c r="D1761" s="0" t="n">
        <f aca="false">INDEX(Intent_Analysis!$E$5:$E$81,MATCH(B1761,Intent_Analysis!$A$5:$A$81,0))</f>
        <v>1</v>
      </c>
    </row>
    <row r="1762" customFormat="false" ht="15" hidden="false" customHeight="false" outlineLevel="0" collapsed="false">
      <c r="A1762" s="0" t="s">
        <v>2086</v>
      </c>
      <c r="B1762" s="0" t="s">
        <v>66</v>
      </c>
      <c r="C1762" s="0" t="str">
        <f aca="false">INDEX(Intent_Analysis!$B$5:$B$81,MATCH(B1762,Intent_Analysis!$A$5:$A$81,0))</f>
        <v>Card usage &amp; features</v>
      </c>
      <c r="D1762" s="0" t="n">
        <f aca="false">INDEX(Intent_Analysis!$E$5:$E$81,MATCH(B1762,Intent_Analysis!$A$5:$A$81,0))</f>
        <v>1</v>
      </c>
    </row>
    <row r="1763" customFormat="false" ht="15" hidden="false" customHeight="false" outlineLevel="0" collapsed="false">
      <c r="A1763" s="0" t="s">
        <v>2087</v>
      </c>
      <c r="B1763" s="0" t="s">
        <v>66</v>
      </c>
      <c r="C1763" s="0" t="str">
        <f aca="false">INDEX(Intent_Analysis!$B$5:$B$81,MATCH(B1763,Intent_Analysis!$A$5:$A$81,0))</f>
        <v>Card usage &amp; features</v>
      </c>
      <c r="D1763" s="0" t="n">
        <f aca="false">INDEX(Intent_Analysis!$E$5:$E$81,MATCH(B1763,Intent_Analysis!$A$5:$A$81,0))</f>
        <v>1</v>
      </c>
    </row>
    <row r="1764" customFormat="false" ht="15" hidden="false" customHeight="false" outlineLevel="0" collapsed="false">
      <c r="A1764" s="0" t="s">
        <v>2088</v>
      </c>
      <c r="B1764" s="0" t="s">
        <v>66</v>
      </c>
      <c r="C1764" s="0" t="str">
        <f aca="false">INDEX(Intent_Analysis!$B$5:$B$81,MATCH(B1764,Intent_Analysis!$A$5:$A$81,0))</f>
        <v>Card usage &amp; features</v>
      </c>
      <c r="D1764" s="0" t="n">
        <f aca="false">INDEX(Intent_Analysis!$E$5:$E$81,MATCH(B1764,Intent_Analysis!$A$5:$A$81,0))</f>
        <v>1</v>
      </c>
    </row>
    <row r="1765" customFormat="false" ht="15" hidden="false" customHeight="false" outlineLevel="0" collapsed="false">
      <c r="A1765" s="0" t="s">
        <v>2089</v>
      </c>
      <c r="B1765" s="0" t="s">
        <v>66</v>
      </c>
      <c r="C1765" s="0" t="str">
        <f aca="false">INDEX(Intent_Analysis!$B$5:$B$81,MATCH(B1765,Intent_Analysis!$A$5:$A$81,0))</f>
        <v>Card usage &amp; features</v>
      </c>
      <c r="D1765" s="0" t="n">
        <f aca="false">INDEX(Intent_Analysis!$E$5:$E$81,MATCH(B1765,Intent_Analysis!$A$5:$A$81,0))</f>
        <v>1</v>
      </c>
    </row>
    <row r="1766" customFormat="false" ht="15" hidden="false" customHeight="false" outlineLevel="0" collapsed="false">
      <c r="A1766" s="0" t="s">
        <v>2090</v>
      </c>
      <c r="B1766" s="0" t="s">
        <v>66</v>
      </c>
      <c r="C1766" s="0" t="str">
        <f aca="false">INDEX(Intent_Analysis!$B$5:$B$81,MATCH(B1766,Intent_Analysis!$A$5:$A$81,0))</f>
        <v>Card usage &amp; features</v>
      </c>
      <c r="D1766" s="0" t="n">
        <f aca="false">INDEX(Intent_Analysis!$E$5:$E$81,MATCH(B1766,Intent_Analysis!$A$5:$A$81,0))</f>
        <v>1</v>
      </c>
    </row>
    <row r="1767" customFormat="false" ht="15" hidden="false" customHeight="false" outlineLevel="0" collapsed="false">
      <c r="A1767" s="0" t="s">
        <v>2091</v>
      </c>
      <c r="B1767" s="0" t="s">
        <v>66</v>
      </c>
      <c r="C1767" s="0" t="str">
        <f aca="false">INDEX(Intent_Analysis!$B$5:$B$81,MATCH(B1767,Intent_Analysis!$A$5:$A$81,0))</f>
        <v>Card usage &amp; features</v>
      </c>
      <c r="D1767" s="0" t="n">
        <f aca="false">INDEX(Intent_Analysis!$E$5:$E$81,MATCH(B1767,Intent_Analysis!$A$5:$A$81,0))</f>
        <v>1</v>
      </c>
    </row>
    <row r="1768" customFormat="false" ht="15" hidden="false" customHeight="false" outlineLevel="0" collapsed="false">
      <c r="A1768" s="0" t="s">
        <v>2092</v>
      </c>
      <c r="B1768" s="0" t="s">
        <v>66</v>
      </c>
      <c r="C1768" s="0" t="str">
        <f aca="false">INDEX(Intent_Analysis!$B$5:$B$81,MATCH(B1768,Intent_Analysis!$A$5:$A$81,0))</f>
        <v>Card usage &amp; features</v>
      </c>
      <c r="D1768" s="0" t="n">
        <f aca="false">INDEX(Intent_Analysis!$E$5:$E$81,MATCH(B1768,Intent_Analysis!$A$5:$A$81,0))</f>
        <v>1</v>
      </c>
    </row>
    <row r="1769" customFormat="false" ht="15" hidden="false" customHeight="false" outlineLevel="0" collapsed="false">
      <c r="A1769" s="0" t="s">
        <v>2093</v>
      </c>
      <c r="B1769" s="0" t="s">
        <v>66</v>
      </c>
      <c r="C1769" s="0" t="str">
        <f aca="false">INDEX(Intent_Analysis!$B$5:$B$81,MATCH(B1769,Intent_Analysis!$A$5:$A$81,0))</f>
        <v>Card usage &amp; features</v>
      </c>
      <c r="D1769" s="0" t="n">
        <f aca="false">INDEX(Intent_Analysis!$E$5:$E$81,MATCH(B1769,Intent_Analysis!$A$5:$A$81,0))</f>
        <v>1</v>
      </c>
    </row>
    <row r="1770" customFormat="false" ht="15" hidden="false" customHeight="false" outlineLevel="0" collapsed="false">
      <c r="A1770" s="0" t="s">
        <v>2094</v>
      </c>
      <c r="B1770" s="0" t="s">
        <v>66</v>
      </c>
      <c r="C1770" s="0" t="str">
        <f aca="false">INDEX(Intent_Analysis!$B$5:$B$81,MATCH(B1770,Intent_Analysis!$A$5:$A$81,0))</f>
        <v>Card usage &amp; features</v>
      </c>
      <c r="D1770" s="0" t="n">
        <f aca="false">INDEX(Intent_Analysis!$E$5:$E$81,MATCH(B1770,Intent_Analysis!$A$5:$A$81,0))</f>
        <v>1</v>
      </c>
    </row>
    <row r="1771" customFormat="false" ht="15" hidden="false" customHeight="false" outlineLevel="0" collapsed="false">
      <c r="A1771" s="0" t="s">
        <v>2095</v>
      </c>
      <c r="B1771" s="0" t="s">
        <v>66</v>
      </c>
      <c r="C1771" s="0" t="str">
        <f aca="false">INDEX(Intent_Analysis!$B$5:$B$81,MATCH(B1771,Intent_Analysis!$A$5:$A$81,0))</f>
        <v>Card usage &amp; features</v>
      </c>
      <c r="D1771" s="0" t="n">
        <f aca="false">INDEX(Intent_Analysis!$E$5:$E$81,MATCH(B1771,Intent_Analysis!$A$5:$A$81,0))</f>
        <v>1</v>
      </c>
    </row>
    <row r="1772" customFormat="false" ht="15" hidden="false" customHeight="false" outlineLevel="0" collapsed="false">
      <c r="A1772" s="0" t="s">
        <v>2096</v>
      </c>
      <c r="B1772" s="0" t="s">
        <v>66</v>
      </c>
      <c r="C1772" s="0" t="str">
        <f aca="false">INDEX(Intent_Analysis!$B$5:$B$81,MATCH(B1772,Intent_Analysis!$A$5:$A$81,0))</f>
        <v>Card usage &amp; features</v>
      </c>
      <c r="D1772" s="0" t="n">
        <f aca="false">INDEX(Intent_Analysis!$E$5:$E$81,MATCH(B1772,Intent_Analysis!$A$5:$A$81,0))</f>
        <v>1</v>
      </c>
    </row>
    <row r="1773" customFormat="false" ht="15" hidden="false" customHeight="false" outlineLevel="0" collapsed="false">
      <c r="A1773" s="0" t="s">
        <v>2097</v>
      </c>
      <c r="B1773" s="0" t="s">
        <v>66</v>
      </c>
      <c r="C1773" s="0" t="str">
        <f aca="false">INDEX(Intent_Analysis!$B$5:$B$81,MATCH(B1773,Intent_Analysis!$A$5:$A$81,0))</f>
        <v>Card usage &amp; features</v>
      </c>
      <c r="D1773" s="0" t="n">
        <f aca="false">INDEX(Intent_Analysis!$E$5:$E$81,MATCH(B1773,Intent_Analysis!$A$5:$A$81,0))</f>
        <v>1</v>
      </c>
    </row>
    <row r="1774" customFormat="false" ht="15" hidden="false" customHeight="false" outlineLevel="0" collapsed="false">
      <c r="A1774" s="0" t="s">
        <v>2098</v>
      </c>
      <c r="B1774" s="0" t="s">
        <v>66</v>
      </c>
      <c r="C1774" s="0" t="str">
        <f aca="false">INDEX(Intent_Analysis!$B$5:$B$81,MATCH(B1774,Intent_Analysis!$A$5:$A$81,0))</f>
        <v>Card usage &amp; features</v>
      </c>
      <c r="D1774" s="0" t="n">
        <f aca="false">INDEX(Intent_Analysis!$E$5:$E$81,MATCH(B1774,Intent_Analysis!$A$5:$A$81,0))</f>
        <v>1</v>
      </c>
    </row>
    <row r="1775" customFormat="false" ht="15" hidden="false" customHeight="false" outlineLevel="0" collapsed="false">
      <c r="A1775" s="0" t="s">
        <v>2099</v>
      </c>
      <c r="B1775" s="0" t="s">
        <v>66</v>
      </c>
      <c r="C1775" s="0" t="str">
        <f aca="false">INDEX(Intent_Analysis!$B$5:$B$81,MATCH(B1775,Intent_Analysis!$A$5:$A$81,0))</f>
        <v>Card usage &amp; features</v>
      </c>
      <c r="D1775" s="0" t="n">
        <f aca="false">INDEX(Intent_Analysis!$E$5:$E$81,MATCH(B1775,Intent_Analysis!$A$5:$A$81,0))</f>
        <v>1</v>
      </c>
    </row>
    <row r="1776" customFormat="false" ht="15" hidden="false" customHeight="false" outlineLevel="0" collapsed="false">
      <c r="A1776" s="0" t="s">
        <v>2100</v>
      </c>
      <c r="B1776" s="0" t="s">
        <v>66</v>
      </c>
      <c r="C1776" s="0" t="str">
        <f aca="false">INDEX(Intent_Analysis!$B$5:$B$81,MATCH(B1776,Intent_Analysis!$A$5:$A$81,0))</f>
        <v>Card usage &amp; features</v>
      </c>
      <c r="D1776" s="0" t="n">
        <f aca="false">INDEX(Intent_Analysis!$E$5:$E$81,MATCH(B1776,Intent_Analysis!$A$5:$A$81,0))</f>
        <v>1</v>
      </c>
    </row>
    <row r="1777" customFormat="false" ht="15" hidden="false" customHeight="false" outlineLevel="0" collapsed="false">
      <c r="A1777" s="0" t="s">
        <v>2101</v>
      </c>
      <c r="B1777" s="0" t="s">
        <v>66</v>
      </c>
      <c r="C1777" s="0" t="str">
        <f aca="false">INDEX(Intent_Analysis!$B$5:$B$81,MATCH(B1777,Intent_Analysis!$A$5:$A$81,0))</f>
        <v>Card usage &amp; features</v>
      </c>
      <c r="D1777" s="0" t="n">
        <f aca="false">INDEX(Intent_Analysis!$E$5:$E$81,MATCH(B1777,Intent_Analysis!$A$5:$A$81,0))</f>
        <v>1</v>
      </c>
    </row>
    <row r="1778" customFormat="false" ht="15" hidden="false" customHeight="false" outlineLevel="0" collapsed="false">
      <c r="A1778" s="0" t="s">
        <v>2102</v>
      </c>
      <c r="B1778" s="0" t="s">
        <v>66</v>
      </c>
      <c r="C1778" s="0" t="str">
        <f aca="false">INDEX(Intent_Analysis!$B$5:$B$81,MATCH(B1778,Intent_Analysis!$A$5:$A$81,0))</f>
        <v>Card usage &amp; features</v>
      </c>
      <c r="D1778" s="0" t="n">
        <f aca="false">INDEX(Intent_Analysis!$E$5:$E$81,MATCH(B1778,Intent_Analysis!$A$5:$A$81,0))</f>
        <v>1</v>
      </c>
    </row>
    <row r="1779" customFormat="false" ht="15" hidden="false" customHeight="false" outlineLevel="0" collapsed="false">
      <c r="A1779" s="0" t="s">
        <v>2103</v>
      </c>
      <c r="B1779" s="0" t="s">
        <v>66</v>
      </c>
      <c r="C1779" s="0" t="str">
        <f aca="false">INDEX(Intent_Analysis!$B$5:$B$81,MATCH(B1779,Intent_Analysis!$A$5:$A$81,0))</f>
        <v>Card usage &amp; features</v>
      </c>
      <c r="D1779" s="0" t="n">
        <f aca="false">INDEX(Intent_Analysis!$E$5:$E$81,MATCH(B1779,Intent_Analysis!$A$5:$A$81,0))</f>
        <v>1</v>
      </c>
    </row>
    <row r="1780" customFormat="false" ht="15" hidden="false" customHeight="false" outlineLevel="0" collapsed="false">
      <c r="A1780" s="0" t="s">
        <v>2104</v>
      </c>
      <c r="B1780" s="0" t="s">
        <v>66</v>
      </c>
      <c r="C1780" s="0" t="str">
        <f aca="false">INDEX(Intent_Analysis!$B$5:$B$81,MATCH(B1780,Intent_Analysis!$A$5:$A$81,0))</f>
        <v>Card usage &amp; features</v>
      </c>
      <c r="D1780" s="0" t="n">
        <f aca="false">INDEX(Intent_Analysis!$E$5:$E$81,MATCH(B1780,Intent_Analysis!$A$5:$A$81,0))</f>
        <v>1</v>
      </c>
    </row>
    <row r="1781" customFormat="false" ht="15" hidden="false" customHeight="false" outlineLevel="0" collapsed="false">
      <c r="A1781" s="0" t="s">
        <v>2105</v>
      </c>
      <c r="B1781" s="0" t="s">
        <v>66</v>
      </c>
      <c r="C1781" s="0" t="str">
        <f aca="false">INDEX(Intent_Analysis!$B$5:$B$81,MATCH(B1781,Intent_Analysis!$A$5:$A$81,0))</f>
        <v>Card usage &amp; features</v>
      </c>
      <c r="D1781" s="0" t="n">
        <f aca="false">INDEX(Intent_Analysis!$E$5:$E$81,MATCH(B1781,Intent_Analysis!$A$5:$A$81,0))</f>
        <v>1</v>
      </c>
    </row>
    <row r="1782" customFormat="false" ht="15" hidden="false" customHeight="false" outlineLevel="0" collapsed="false">
      <c r="A1782" s="0" t="s">
        <v>2106</v>
      </c>
      <c r="B1782" s="0" t="s">
        <v>66</v>
      </c>
      <c r="C1782" s="0" t="str">
        <f aca="false">INDEX(Intent_Analysis!$B$5:$B$81,MATCH(B1782,Intent_Analysis!$A$5:$A$81,0))</f>
        <v>Card usage &amp; features</v>
      </c>
      <c r="D1782" s="0" t="n">
        <f aca="false">INDEX(Intent_Analysis!$E$5:$E$81,MATCH(B1782,Intent_Analysis!$A$5:$A$81,0))</f>
        <v>1</v>
      </c>
    </row>
    <row r="1783" customFormat="false" ht="15" hidden="false" customHeight="false" outlineLevel="0" collapsed="false">
      <c r="A1783" s="0" t="s">
        <v>2107</v>
      </c>
      <c r="B1783" s="0" t="s">
        <v>66</v>
      </c>
      <c r="C1783" s="0" t="str">
        <f aca="false">INDEX(Intent_Analysis!$B$5:$B$81,MATCH(B1783,Intent_Analysis!$A$5:$A$81,0))</f>
        <v>Card usage &amp; features</v>
      </c>
      <c r="D1783" s="0" t="n">
        <f aca="false">INDEX(Intent_Analysis!$E$5:$E$81,MATCH(B1783,Intent_Analysis!$A$5:$A$81,0))</f>
        <v>1</v>
      </c>
    </row>
    <row r="1784" customFormat="false" ht="15" hidden="false" customHeight="false" outlineLevel="0" collapsed="false">
      <c r="A1784" s="0" t="s">
        <v>2108</v>
      </c>
      <c r="B1784" s="0" t="s">
        <v>74</v>
      </c>
      <c r="C1784" s="0" t="str">
        <f aca="false">INDEX(Intent_Analysis!$B$5:$B$81,MATCH(B1784,Intent_Analysis!$A$5:$A$81,0))</f>
        <v>Card usage &amp; features</v>
      </c>
      <c r="D1784" s="0" t="n">
        <f aca="false">INDEX(Intent_Analysis!$E$5:$E$81,MATCH(B1784,Intent_Analysis!$A$5:$A$81,0))</f>
        <v>1</v>
      </c>
    </row>
    <row r="1785" customFormat="false" ht="15" hidden="false" customHeight="false" outlineLevel="0" collapsed="false">
      <c r="A1785" s="0" t="s">
        <v>2109</v>
      </c>
      <c r="B1785" s="0" t="s">
        <v>74</v>
      </c>
      <c r="C1785" s="0" t="str">
        <f aca="false">INDEX(Intent_Analysis!$B$5:$B$81,MATCH(B1785,Intent_Analysis!$A$5:$A$81,0))</f>
        <v>Card usage &amp; features</v>
      </c>
      <c r="D1785" s="0" t="n">
        <f aca="false">INDEX(Intent_Analysis!$E$5:$E$81,MATCH(B1785,Intent_Analysis!$A$5:$A$81,0))</f>
        <v>1</v>
      </c>
    </row>
    <row r="1786" customFormat="false" ht="15" hidden="false" customHeight="false" outlineLevel="0" collapsed="false">
      <c r="A1786" s="0" t="s">
        <v>2110</v>
      </c>
      <c r="B1786" s="0" t="s">
        <v>74</v>
      </c>
      <c r="C1786" s="0" t="str">
        <f aca="false">INDEX(Intent_Analysis!$B$5:$B$81,MATCH(B1786,Intent_Analysis!$A$5:$A$81,0))</f>
        <v>Card usage &amp; features</v>
      </c>
      <c r="D1786" s="0" t="n">
        <f aca="false">INDEX(Intent_Analysis!$E$5:$E$81,MATCH(B1786,Intent_Analysis!$A$5:$A$81,0))</f>
        <v>1</v>
      </c>
    </row>
    <row r="1787" customFormat="false" ht="15" hidden="false" customHeight="false" outlineLevel="0" collapsed="false">
      <c r="A1787" s="0" t="s">
        <v>2111</v>
      </c>
      <c r="B1787" s="0" t="s">
        <v>74</v>
      </c>
      <c r="C1787" s="0" t="str">
        <f aca="false">INDEX(Intent_Analysis!$B$5:$B$81,MATCH(B1787,Intent_Analysis!$A$5:$A$81,0))</f>
        <v>Card usage &amp; features</v>
      </c>
      <c r="D1787" s="0" t="n">
        <f aca="false">INDEX(Intent_Analysis!$E$5:$E$81,MATCH(B1787,Intent_Analysis!$A$5:$A$81,0))</f>
        <v>1</v>
      </c>
    </row>
    <row r="1788" customFormat="false" ht="15" hidden="false" customHeight="false" outlineLevel="0" collapsed="false">
      <c r="A1788" s="0" t="s">
        <v>2112</v>
      </c>
      <c r="B1788" s="0" t="s">
        <v>74</v>
      </c>
      <c r="C1788" s="0" t="str">
        <f aca="false">INDEX(Intent_Analysis!$B$5:$B$81,MATCH(B1788,Intent_Analysis!$A$5:$A$81,0))</f>
        <v>Card usage &amp; features</v>
      </c>
      <c r="D1788" s="0" t="n">
        <f aca="false">INDEX(Intent_Analysis!$E$5:$E$81,MATCH(B1788,Intent_Analysis!$A$5:$A$81,0))</f>
        <v>1</v>
      </c>
    </row>
    <row r="1789" customFormat="false" ht="15" hidden="false" customHeight="false" outlineLevel="0" collapsed="false">
      <c r="A1789" s="0" t="s">
        <v>2113</v>
      </c>
      <c r="B1789" s="0" t="s">
        <v>74</v>
      </c>
      <c r="C1789" s="0" t="str">
        <f aca="false">INDEX(Intent_Analysis!$B$5:$B$81,MATCH(B1789,Intent_Analysis!$A$5:$A$81,0))</f>
        <v>Card usage &amp; features</v>
      </c>
      <c r="D1789" s="0" t="n">
        <f aca="false">INDEX(Intent_Analysis!$E$5:$E$81,MATCH(B1789,Intent_Analysis!$A$5:$A$81,0))</f>
        <v>1</v>
      </c>
    </row>
    <row r="1790" customFormat="false" ht="15" hidden="false" customHeight="false" outlineLevel="0" collapsed="false">
      <c r="A1790" s="0" t="s">
        <v>2114</v>
      </c>
      <c r="B1790" s="0" t="s">
        <v>74</v>
      </c>
      <c r="C1790" s="0" t="str">
        <f aca="false">INDEX(Intent_Analysis!$B$5:$B$81,MATCH(B1790,Intent_Analysis!$A$5:$A$81,0))</f>
        <v>Card usage &amp; features</v>
      </c>
      <c r="D1790" s="0" t="n">
        <f aca="false">INDEX(Intent_Analysis!$E$5:$E$81,MATCH(B1790,Intent_Analysis!$A$5:$A$81,0))</f>
        <v>1</v>
      </c>
    </row>
    <row r="1791" customFormat="false" ht="15" hidden="false" customHeight="false" outlineLevel="0" collapsed="false">
      <c r="A1791" s="0" t="s">
        <v>2115</v>
      </c>
      <c r="B1791" s="0" t="s">
        <v>74</v>
      </c>
      <c r="C1791" s="0" t="str">
        <f aca="false">INDEX(Intent_Analysis!$B$5:$B$81,MATCH(B1791,Intent_Analysis!$A$5:$A$81,0))</f>
        <v>Card usage &amp; features</v>
      </c>
      <c r="D1791" s="0" t="n">
        <f aca="false">INDEX(Intent_Analysis!$E$5:$E$81,MATCH(B1791,Intent_Analysis!$A$5:$A$81,0))</f>
        <v>1</v>
      </c>
    </row>
    <row r="1792" customFormat="false" ht="15" hidden="false" customHeight="false" outlineLevel="0" collapsed="false">
      <c r="A1792" s="0" t="s">
        <v>2116</v>
      </c>
      <c r="B1792" s="0" t="s">
        <v>74</v>
      </c>
      <c r="C1792" s="0" t="str">
        <f aca="false">INDEX(Intent_Analysis!$B$5:$B$81,MATCH(B1792,Intent_Analysis!$A$5:$A$81,0))</f>
        <v>Card usage &amp; features</v>
      </c>
      <c r="D1792" s="0" t="n">
        <f aca="false">INDEX(Intent_Analysis!$E$5:$E$81,MATCH(B1792,Intent_Analysis!$A$5:$A$81,0))</f>
        <v>1</v>
      </c>
    </row>
    <row r="1793" customFormat="false" ht="15" hidden="false" customHeight="false" outlineLevel="0" collapsed="false">
      <c r="A1793" s="0" t="s">
        <v>2117</v>
      </c>
      <c r="B1793" s="0" t="s">
        <v>74</v>
      </c>
      <c r="C1793" s="0" t="str">
        <f aca="false">INDEX(Intent_Analysis!$B$5:$B$81,MATCH(B1793,Intent_Analysis!$A$5:$A$81,0))</f>
        <v>Card usage &amp; features</v>
      </c>
      <c r="D1793" s="0" t="n">
        <f aca="false">INDEX(Intent_Analysis!$E$5:$E$81,MATCH(B1793,Intent_Analysis!$A$5:$A$81,0))</f>
        <v>1</v>
      </c>
    </row>
    <row r="1794" customFormat="false" ht="15" hidden="false" customHeight="false" outlineLevel="0" collapsed="false">
      <c r="A1794" s="0" t="s">
        <v>2118</v>
      </c>
      <c r="B1794" s="0" t="s">
        <v>74</v>
      </c>
      <c r="C1794" s="0" t="str">
        <f aca="false">INDEX(Intent_Analysis!$B$5:$B$81,MATCH(B1794,Intent_Analysis!$A$5:$A$81,0))</f>
        <v>Card usage &amp; features</v>
      </c>
      <c r="D1794" s="0" t="n">
        <f aca="false">INDEX(Intent_Analysis!$E$5:$E$81,MATCH(B1794,Intent_Analysis!$A$5:$A$81,0))</f>
        <v>1</v>
      </c>
    </row>
    <row r="1795" customFormat="false" ht="15" hidden="false" customHeight="false" outlineLevel="0" collapsed="false">
      <c r="A1795" s="0" t="s">
        <v>2119</v>
      </c>
      <c r="B1795" s="0" t="s">
        <v>74</v>
      </c>
      <c r="C1795" s="0" t="str">
        <f aca="false">INDEX(Intent_Analysis!$B$5:$B$81,MATCH(B1795,Intent_Analysis!$A$5:$A$81,0))</f>
        <v>Card usage &amp; features</v>
      </c>
      <c r="D1795" s="0" t="n">
        <f aca="false">INDEX(Intent_Analysis!$E$5:$E$81,MATCH(B1795,Intent_Analysis!$A$5:$A$81,0))</f>
        <v>1</v>
      </c>
    </row>
    <row r="1796" customFormat="false" ht="15" hidden="false" customHeight="false" outlineLevel="0" collapsed="false">
      <c r="A1796" s="0" t="s">
        <v>2120</v>
      </c>
      <c r="B1796" s="0" t="s">
        <v>74</v>
      </c>
      <c r="C1796" s="0" t="str">
        <f aca="false">INDEX(Intent_Analysis!$B$5:$B$81,MATCH(B1796,Intent_Analysis!$A$5:$A$81,0))</f>
        <v>Card usage &amp; features</v>
      </c>
      <c r="D1796" s="0" t="n">
        <f aca="false">INDEX(Intent_Analysis!$E$5:$E$81,MATCH(B1796,Intent_Analysis!$A$5:$A$81,0))</f>
        <v>1</v>
      </c>
    </row>
    <row r="1797" customFormat="false" ht="15" hidden="false" customHeight="false" outlineLevel="0" collapsed="false">
      <c r="A1797" s="0" t="s">
        <v>2121</v>
      </c>
      <c r="B1797" s="0" t="s">
        <v>74</v>
      </c>
      <c r="C1797" s="0" t="str">
        <f aca="false">INDEX(Intent_Analysis!$B$5:$B$81,MATCH(B1797,Intent_Analysis!$A$5:$A$81,0))</f>
        <v>Card usage &amp; features</v>
      </c>
      <c r="D1797" s="0" t="n">
        <f aca="false">INDEX(Intent_Analysis!$E$5:$E$81,MATCH(B1797,Intent_Analysis!$A$5:$A$81,0))</f>
        <v>1</v>
      </c>
    </row>
    <row r="1798" customFormat="false" ht="15" hidden="false" customHeight="false" outlineLevel="0" collapsed="false">
      <c r="A1798" s="0" t="s">
        <v>2122</v>
      </c>
      <c r="B1798" s="0" t="s">
        <v>74</v>
      </c>
      <c r="C1798" s="0" t="str">
        <f aca="false">INDEX(Intent_Analysis!$B$5:$B$81,MATCH(B1798,Intent_Analysis!$A$5:$A$81,0))</f>
        <v>Card usage &amp; features</v>
      </c>
      <c r="D1798" s="0" t="n">
        <f aca="false">INDEX(Intent_Analysis!$E$5:$E$81,MATCH(B1798,Intent_Analysis!$A$5:$A$81,0))</f>
        <v>1</v>
      </c>
    </row>
    <row r="1799" customFormat="false" ht="15" hidden="false" customHeight="false" outlineLevel="0" collapsed="false">
      <c r="A1799" s="0" t="s">
        <v>2123</v>
      </c>
      <c r="B1799" s="0" t="s">
        <v>74</v>
      </c>
      <c r="C1799" s="0" t="str">
        <f aca="false">INDEX(Intent_Analysis!$B$5:$B$81,MATCH(B1799,Intent_Analysis!$A$5:$A$81,0))</f>
        <v>Card usage &amp; features</v>
      </c>
      <c r="D1799" s="0" t="n">
        <f aca="false">INDEX(Intent_Analysis!$E$5:$E$81,MATCH(B1799,Intent_Analysis!$A$5:$A$81,0))</f>
        <v>1</v>
      </c>
    </row>
    <row r="1800" customFormat="false" ht="15" hidden="false" customHeight="false" outlineLevel="0" collapsed="false">
      <c r="A1800" s="0" t="s">
        <v>2124</v>
      </c>
      <c r="B1800" s="0" t="s">
        <v>74</v>
      </c>
      <c r="C1800" s="0" t="str">
        <f aca="false">INDEX(Intent_Analysis!$B$5:$B$81,MATCH(B1800,Intent_Analysis!$A$5:$A$81,0))</f>
        <v>Card usage &amp; features</v>
      </c>
      <c r="D1800" s="0" t="n">
        <f aca="false">INDEX(Intent_Analysis!$E$5:$E$81,MATCH(B1800,Intent_Analysis!$A$5:$A$81,0))</f>
        <v>1</v>
      </c>
    </row>
    <row r="1801" customFormat="false" ht="15" hidden="false" customHeight="false" outlineLevel="0" collapsed="false">
      <c r="A1801" s="0" t="s">
        <v>2125</v>
      </c>
      <c r="B1801" s="0" t="s">
        <v>74</v>
      </c>
      <c r="C1801" s="0" t="str">
        <f aca="false">INDEX(Intent_Analysis!$B$5:$B$81,MATCH(B1801,Intent_Analysis!$A$5:$A$81,0))</f>
        <v>Card usage &amp; features</v>
      </c>
      <c r="D1801" s="0" t="n">
        <f aca="false">INDEX(Intent_Analysis!$E$5:$E$81,MATCH(B1801,Intent_Analysis!$A$5:$A$81,0))</f>
        <v>1</v>
      </c>
    </row>
    <row r="1802" customFormat="false" ht="15" hidden="false" customHeight="false" outlineLevel="0" collapsed="false">
      <c r="A1802" s="0" t="s">
        <v>2126</v>
      </c>
      <c r="B1802" s="0" t="s">
        <v>74</v>
      </c>
      <c r="C1802" s="0" t="str">
        <f aca="false">INDEX(Intent_Analysis!$B$5:$B$81,MATCH(B1802,Intent_Analysis!$A$5:$A$81,0))</f>
        <v>Card usage &amp; features</v>
      </c>
      <c r="D1802" s="0" t="n">
        <f aca="false">INDEX(Intent_Analysis!$E$5:$E$81,MATCH(B1802,Intent_Analysis!$A$5:$A$81,0))</f>
        <v>1</v>
      </c>
    </row>
    <row r="1803" customFormat="false" ht="15" hidden="false" customHeight="false" outlineLevel="0" collapsed="false">
      <c r="A1803" s="0" t="s">
        <v>2127</v>
      </c>
      <c r="B1803" s="0" t="s">
        <v>74</v>
      </c>
      <c r="C1803" s="0" t="str">
        <f aca="false">INDEX(Intent_Analysis!$B$5:$B$81,MATCH(B1803,Intent_Analysis!$A$5:$A$81,0))</f>
        <v>Card usage &amp; features</v>
      </c>
      <c r="D1803" s="0" t="n">
        <f aca="false">INDEX(Intent_Analysis!$E$5:$E$81,MATCH(B1803,Intent_Analysis!$A$5:$A$81,0))</f>
        <v>1</v>
      </c>
    </row>
    <row r="1804" customFormat="false" ht="15" hidden="false" customHeight="false" outlineLevel="0" collapsed="false">
      <c r="A1804" s="0" t="s">
        <v>2128</v>
      </c>
      <c r="B1804" s="0" t="s">
        <v>74</v>
      </c>
      <c r="C1804" s="0" t="str">
        <f aca="false">INDEX(Intent_Analysis!$B$5:$B$81,MATCH(B1804,Intent_Analysis!$A$5:$A$81,0))</f>
        <v>Card usage &amp; features</v>
      </c>
      <c r="D1804" s="0" t="n">
        <f aca="false">INDEX(Intent_Analysis!$E$5:$E$81,MATCH(B1804,Intent_Analysis!$A$5:$A$81,0))</f>
        <v>1</v>
      </c>
    </row>
    <row r="1805" customFormat="false" ht="15" hidden="false" customHeight="false" outlineLevel="0" collapsed="false">
      <c r="A1805" s="0" t="s">
        <v>2129</v>
      </c>
      <c r="B1805" s="0" t="s">
        <v>74</v>
      </c>
      <c r="C1805" s="0" t="str">
        <f aca="false">INDEX(Intent_Analysis!$B$5:$B$81,MATCH(B1805,Intent_Analysis!$A$5:$A$81,0))</f>
        <v>Card usage &amp; features</v>
      </c>
      <c r="D1805" s="0" t="n">
        <f aca="false">INDEX(Intent_Analysis!$E$5:$E$81,MATCH(B1805,Intent_Analysis!$A$5:$A$81,0))</f>
        <v>1</v>
      </c>
    </row>
    <row r="1806" customFormat="false" ht="15" hidden="false" customHeight="false" outlineLevel="0" collapsed="false">
      <c r="A1806" s="0" t="s">
        <v>2130</v>
      </c>
      <c r="B1806" s="0" t="s">
        <v>74</v>
      </c>
      <c r="C1806" s="0" t="str">
        <f aca="false">INDEX(Intent_Analysis!$B$5:$B$81,MATCH(B1806,Intent_Analysis!$A$5:$A$81,0))</f>
        <v>Card usage &amp; features</v>
      </c>
      <c r="D1806" s="0" t="n">
        <f aca="false">INDEX(Intent_Analysis!$E$5:$E$81,MATCH(B1806,Intent_Analysis!$A$5:$A$81,0))</f>
        <v>1</v>
      </c>
    </row>
    <row r="1807" customFormat="false" ht="15" hidden="false" customHeight="false" outlineLevel="0" collapsed="false">
      <c r="A1807" s="0" t="s">
        <v>2131</v>
      </c>
      <c r="B1807" s="0" t="s">
        <v>74</v>
      </c>
      <c r="C1807" s="0" t="str">
        <f aca="false">INDEX(Intent_Analysis!$B$5:$B$81,MATCH(B1807,Intent_Analysis!$A$5:$A$81,0))</f>
        <v>Card usage &amp; features</v>
      </c>
      <c r="D1807" s="0" t="n">
        <f aca="false">INDEX(Intent_Analysis!$E$5:$E$81,MATCH(B1807,Intent_Analysis!$A$5:$A$81,0))</f>
        <v>1</v>
      </c>
    </row>
    <row r="1808" customFormat="false" ht="15" hidden="false" customHeight="false" outlineLevel="0" collapsed="false">
      <c r="A1808" s="0" t="s">
        <v>2132</v>
      </c>
      <c r="B1808" s="0" t="s">
        <v>74</v>
      </c>
      <c r="C1808" s="0" t="str">
        <f aca="false">INDEX(Intent_Analysis!$B$5:$B$81,MATCH(B1808,Intent_Analysis!$A$5:$A$81,0))</f>
        <v>Card usage &amp; features</v>
      </c>
      <c r="D1808" s="0" t="n">
        <f aca="false">INDEX(Intent_Analysis!$E$5:$E$81,MATCH(B1808,Intent_Analysis!$A$5:$A$81,0))</f>
        <v>1</v>
      </c>
    </row>
    <row r="1809" customFormat="false" ht="15" hidden="false" customHeight="false" outlineLevel="0" collapsed="false">
      <c r="A1809" s="0" t="s">
        <v>2133</v>
      </c>
      <c r="B1809" s="0" t="s">
        <v>74</v>
      </c>
      <c r="C1809" s="0" t="str">
        <f aca="false">INDEX(Intent_Analysis!$B$5:$B$81,MATCH(B1809,Intent_Analysis!$A$5:$A$81,0))</f>
        <v>Card usage &amp; features</v>
      </c>
      <c r="D1809" s="0" t="n">
        <f aca="false">INDEX(Intent_Analysis!$E$5:$E$81,MATCH(B1809,Intent_Analysis!$A$5:$A$81,0))</f>
        <v>1</v>
      </c>
    </row>
    <row r="1810" customFormat="false" ht="15" hidden="false" customHeight="false" outlineLevel="0" collapsed="false">
      <c r="A1810" s="0" t="s">
        <v>2134</v>
      </c>
      <c r="B1810" s="0" t="s">
        <v>74</v>
      </c>
      <c r="C1810" s="0" t="str">
        <f aca="false">INDEX(Intent_Analysis!$B$5:$B$81,MATCH(B1810,Intent_Analysis!$A$5:$A$81,0))</f>
        <v>Card usage &amp; features</v>
      </c>
      <c r="D1810" s="0" t="n">
        <f aca="false">INDEX(Intent_Analysis!$E$5:$E$81,MATCH(B1810,Intent_Analysis!$A$5:$A$81,0))</f>
        <v>1</v>
      </c>
    </row>
    <row r="1811" customFormat="false" ht="15" hidden="false" customHeight="false" outlineLevel="0" collapsed="false">
      <c r="A1811" s="0" t="s">
        <v>2135</v>
      </c>
      <c r="B1811" s="0" t="s">
        <v>74</v>
      </c>
      <c r="C1811" s="0" t="str">
        <f aca="false">INDEX(Intent_Analysis!$B$5:$B$81,MATCH(B1811,Intent_Analysis!$A$5:$A$81,0))</f>
        <v>Card usage &amp; features</v>
      </c>
      <c r="D1811" s="0" t="n">
        <f aca="false">INDEX(Intent_Analysis!$E$5:$E$81,MATCH(B1811,Intent_Analysis!$A$5:$A$81,0))</f>
        <v>1</v>
      </c>
    </row>
    <row r="1812" customFormat="false" ht="15" hidden="false" customHeight="false" outlineLevel="0" collapsed="false">
      <c r="A1812" s="0" t="s">
        <v>2136</v>
      </c>
      <c r="B1812" s="0" t="s">
        <v>74</v>
      </c>
      <c r="C1812" s="0" t="str">
        <f aca="false">INDEX(Intent_Analysis!$B$5:$B$81,MATCH(B1812,Intent_Analysis!$A$5:$A$81,0))</f>
        <v>Card usage &amp; features</v>
      </c>
      <c r="D1812" s="0" t="n">
        <f aca="false">INDEX(Intent_Analysis!$E$5:$E$81,MATCH(B1812,Intent_Analysis!$A$5:$A$81,0))</f>
        <v>1</v>
      </c>
    </row>
    <row r="1813" customFormat="false" ht="15" hidden="false" customHeight="false" outlineLevel="0" collapsed="false">
      <c r="A1813" s="0" t="s">
        <v>2137</v>
      </c>
      <c r="B1813" s="0" t="s">
        <v>74</v>
      </c>
      <c r="C1813" s="0" t="str">
        <f aca="false">INDEX(Intent_Analysis!$B$5:$B$81,MATCH(B1813,Intent_Analysis!$A$5:$A$81,0))</f>
        <v>Card usage &amp; features</v>
      </c>
      <c r="D1813" s="0" t="n">
        <f aca="false">INDEX(Intent_Analysis!$E$5:$E$81,MATCH(B1813,Intent_Analysis!$A$5:$A$81,0))</f>
        <v>1</v>
      </c>
    </row>
    <row r="1814" customFormat="false" ht="15" hidden="false" customHeight="false" outlineLevel="0" collapsed="false">
      <c r="A1814" s="0" t="s">
        <v>2138</v>
      </c>
      <c r="B1814" s="0" t="s">
        <v>74</v>
      </c>
      <c r="C1814" s="0" t="str">
        <f aca="false">INDEX(Intent_Analysis!$B$5:$B$81,MATCH(B1814,Intent_Analysis!$A$5:$A$81,0))</f>
        <v>Card usage &amp; features</v>
      </c>
      <c r="D1814" s="0" t="n">
        <f aca="false">INDEX(Intent_Analysis!$E$5:$E$81,MATCH(B1814,Intent_Analysis!$A$5:$A$81,0))</f>
        <v>1</v>
      </c>
    </row>
    <row r="1815" customFormat="false" ht="15" hidden="false" customHeight="false" outlineLevel="0" collapsed="false">
      <c r="A1815" s="0" t="s">
        <v>2139</v>
      </c>
      <c r="B1815" s="0" t="s">
        <v>74</v>
      </c>
      <c r="C1815" s="0" t="str">
        <f aca="false">INDEX(Intent_Analysis!$B$5:$B$81,MATCH(B1815,Intent_Analysis!$A$5:$A$81,0))</f>
        <v>Card usage &amp; features</v>
      </c>
      <c r="D1815" s="0" t="n">
        <f aca="false">INDEX(Intent_Analysis!$E$5:$E$81,MATCH(B1815,Intent_Analysis!$A$5:$A$81,0))</f>
        <v>1</v>
      </c>
    </row>
    <row r="1816" customFormat="false" ht="15" hidden="false" customHeight="false" outlineLevel="0" collapsed="false">
      <c r="A1816" s="0" t="s">
        <v>2140</v>
      </c>
      <c r="B1816" s="0" t="s">
        <v>74</v>
      </c>
      <c r="C1816" s="0" t="str">
        <f aca="false">INDEX(Intent_Analysis!$B$5:$B$81,MATCH(B1816,Intent_Analysis!$A$5:$A$81,0))</f>
        <v>Card usage &amp; features</v>
      </c>
      <c r="D1816" s="0" t="n">
        <f aca="false">INDEX(Intent_Analysis!$E$5:$E$81,MATCH(B1816,Intent_Analysis!$A$5:$A$81,0))</f>
        <v>1</v>
      </c>
    </row>
    <row r="1817" customFormat="false" ht="15" hidden="false" customHeight="false" outlineLevel="0" collapsed="false">
      <c r="A1817" s="0" t="s">
        <v>2141</v>
      </c>
      <c r="B1817" s="0" t="s">
        <v>74</v>
      </c>
      <c r="C1817" s="0" t="str">
        <f aca="false">INDEX(Intent_Analysis!$B$5:$B$81,MATCH(B1817,Intent_Analysis!$A$5:$A$81,0))</f>
        <v>Card usage &amp; features</v>
      </c>
      <c r="D1817" s="0" t="n">
        <f aca="false">INDEX(Intent_Analysis!$E$5:$E$81,MATCH(B1817,Intent_Analysis!$A$5:$A$81,0))</f>
        <v>1</v>
      </c>
    </row>
    <row r="1818" customFormat="false" ht="15" hidden="false" customHeight="false" outlineLevel="0" collapsed="false">
      <c r="A1818" s="0" t="s">
        <v>2142</v>
      </c>
      <c r="B1818" s="0" t="s">
        <v>74</v>
      </c>
      <c r="C1818" s="0" t="str">
        <f aca="false">INDEX(Intent_Analysis!$B$5:$B$81,MATCH(B1818,Intent_Analysis!$A$5:$A$81,0))</f>
        <v>Card usage &amp; features</v>
      </c>
      <c r="D1818" s="0" t="n">
        <f aca="false">INDEX(Intent_Analysis!$E$5:$E$81,MATCH(B1818,Intent_Analysis!$A$5:$A$81,0))</f>
        <v>1</v>
      </c>
    </row>
    <row r="1819" customFormat="false" ht="15" hidden="false" customHeight="false" outlineLevel="0" collapsed="false">
      <c r="A1819" s="0" t="s">
        <v>2143</v>
      </c>
      <c r="B1819" s="0" t="s">
        <v>94</v>
      </c>
      <c r="C1819" s="0" t="str">
        <f aca="false">INDEX(Intent_Analysis!$B$5:$B$81,MATCH(B1819,Intent_Analysis!$A$5:$A$81,0))</f>
        <v>Fees &amp; charges</v>
      </c>
      <c r="D1819" s="0" t="n">
        <f aca="false">INDEX(Intent_Analysis!$E$5:$E$81,MATCH(B1819,Intent_Analysis!$A$5:$A$81,0))</f>
        <v>1</v>
      </c>
    </row>
    <row r="1820" customFormat="false" ht="15" hidden="false" customHeight="false" outlineLevel="0" collapsed="false">
      <c r="A1820" s="0" t="s">
        <v>2144</v>
      </c>
      <c r="B1820" s="0" t="s">
        <v>94</v>
      </c>
      <c r="C1820" s="0" t="str">
        <f aca="false">INDEX(Intent_Analysis!$B$5:$B$81,MATCH(B1820,Intent_Analysis!$A$5:$A$81,0))</f>
        <v>Fees &amp; charges</v>
      </c>
      <c r="D1820" s="0" t="n">
        <f aca="false">INDEX(Intent_Analysis!$E$5:$E$81,MATCH(B1820,Intent_Analysis!$A$5:$A$81,0))</f>
        <v>1</v>
      </c>
    </row>
    <row r="1821" customFormat="false" ht="15" hidden="false" customHeight="false" outlineLevel="0" collapsed="false">
      <c r="A1821" s="0" t="s">
        <v>2145</v>
      </c>
      <c r="B1821" s="0" t="s">
        <v>94</v>
      </c>
      <c r="C1821" s="0" t="str">
        <f aca="false">INDEX(Intent_Analysis!$B$5:$B$81,MATCH(B1821,Intent_Analysis!$A$5:$A$81,0))</f>
        <v>Fees &amp; charges</v>
      </c>
      <c r="D1821" s="0" t="n">
        <f aca="false">INDEX(Intent_Analysis!$E$5:$E$81,MATCH(B1821,Intent_Analysis!$A$5:$A$81,0))</f>
        <v>1</v>
      </c>
    </row>
    <row r="1822" customFormat="false" ht="15" hidden="false" customHeight="false" outlineLevel="0" collapsed="false">
      <c r="A1822" s="0" t="s">
        <v>2146</v>
      </c>
      <c r="B1822" s="0" t="s">
        <v>94</v>
      </c>
      <c r="C1822" s="0" t="str">
        <f aca="false">INDEX(Intent_Analysis!$B$5:$B$81,MATCH(B1822,Intent_Analysis!$A$5:$A$81,0))</f>
        <v>Fees &amp; charges</v>
      </c>
      <c r="D1822" s="0" t="n">
        <f aca="false">INDEX(Intent_Analysis!$E$5:$E$81,MATCH(B1822,Intent_Analysis!$A$5:$A$81,0))</f>
        <v>1</v>
      </c>
    </row>
    <row r="1823" customFormat="false" ht="15" hidden="false" customHeight="false" outlineLevel="0" collapsed="false">
      <c r="A1823" s="0" t="s">
        <v>2147</v>
      </c>
      <c r="B1823" s="0" t="s">
        <v>94</v>
      </c>
      <c r="C1823" s="0" t="str">
        <f aca="false">INDEX(Intent_Analysis!$B$5:$B$81,MATCH(B1823,Intent_Analysis!$A$5:$A$81,0))</f>
        <v>Fees &amp; charges</v>
      </c>
      <c r="D1823" s="0" t="n">
        <f aca="false">INDEX(Intent_Analysis!$E$5:$E$81,MATCH(B1823,Intent_Analysis!$A$5:$A$81,0))</f>
        <v>1</v>
      </c>
    </row>
    <row r="1824" customFormat="false" ht="15" hidden="false" customHeight="false" outlineLevel="0" collapsed="false">
      <c r="A1824" s="0" t="s">
        <v>2148</v>
      </c>
      <c r="B1824" s="0" t="s">
        <v>94</v>
      </c>
      <c r="C1824" s="0" t="str">
        <f aca="false">INDEX(Intent_Analysis!$B$5:$B$81,MATCH(B1824,Intent_Analysis!$A$5:$A$81,0))</f>
        <v>Fees &amp; charges</v>
      </c>
      <c r="D1824" s="0" t="n">
        <f aca="false">INDEX(Intent_Analysis!$E$5:$E$81,MATCH(B1824,Intent_Analysis!$A$5:$A$81,0))</f>
        <v>1</v>
      </c>
    </row>
    <row r="1825" customFormat="false" ht="15" hidden="false" customHeight="false" outlineLevel="0" collapsed="false">
      <c r="A1825" s="0" t="s">
        <v>2149</v>
      </c>
      <c r="B1825" s="0" t="s">
        <v>94</v>
      </c>
      <c r="C1825" s="0" t="str">
        <f aca="false">INDEX(Intent_Analysis!$B$5:$B$81,MATCH(B1825,Intent_Analysis!$A$5:$A$81,0))</f>
        <v>Fees &amp; charges</v>
      </c>
      <c r="D1825" s="0" t="n">
        <f aca="false">INDEX(Intent_Analysis!$E$5:$E$81,MATCH(B1825,Intent_Analysis!$A$5:$A$81,0))</f>
        <v>1</v>
      </c>
    </row>
    <row r="1826" customFormat="false" ht="15" hidden="false" customHeight="false" outlineLevel="0" collapsed="false">
      <c r="A1826" s="0" t="s">
        <v>2150</v>
      </c>
      <c r="B1826" s="0" t="s">
        <v>94</v>
      </c>
      <c r="C1826" s="0" t="str">
        <f aca="false">INDEX(Intent_Analysis!$B$5:$B$81,MATCH(B1826,Intent_Analysis!$A$5:$A$81,0))</f>
        <v>Fees &amp; charges</v>
      </c>
      <c r="D1826" s="0" t="n">
        <f aca="false">INDEX(Intent_Analysis!$E$5:$E$81,MATCH(B1826,Intent_Analysis!$A$5:$A$81,0))</f>
        <v>1</v>
      </c>
    </row>
    <row r="1827" customFormat="false" ht="15" hidden="false" customHeight="false" outlineLevel="0" collapsed="false">
      <c r="A1827" s="0" t="s">
        <v>2151</v>
      </c>
      <c r="B1827" s="0" t="s">
        <v>94</v>
      </c>
      <c r="C1827" s="0" t="str">
        <f aca="false">INDEX(Intent_Analysis!$B$5:$B$81,MATCH(B1827,Intent_Analysis!$A$5:$A$81,0))</f>
        <v>Fees &amp; charges</v>
      </c>
      <c r="D1827" s="0" t="n">
        <f aca="false">INDEX(Intent_Analysis!$E$5:$E$81,MATCH(B1827,Intent_Analysis!$A$5:$A$81,0))</f>
        <v>1</v>
      </c>
    </row>
    <row r="1828" customFormat="false" ht="15" hidden="false" customHeight="false" outlineLevel="0" collapsed="false">
      <c r="A1828" s="0" t="s">
        <v>2152</v>
      </c>
      <c r="B1828" s="0" t="s">
        <v>94</v>
      </c>
      <c r="C1828" s="0" t="str">
        <f aca="false">INDEX(Intent_Analysis!$B$5:$B$81,MATCH(B1828,Intent_Analysis!$A$5:$A$81,0))</f>
        <v>Fees &amp; charges</v>
      </c>
      <c r="D1828" s="0" t="n">
        <f aca="false">INDEX(Intent_Analysis!$E$5:$E$81,MATCH(B1828,Intent_Analysis!$A$5:$A$81,0))</f>
        <v>1</v>
      </c>
    </row>
    <row r="1829" customFormat="false" ht="15" hidden="false" customHeight="false" outlineLevel="0" collapsed="false">
      <c r="A1829" s="0" t="s">
        <v>2153</v>
      </c>
      <c r="B1829" s="0" t="s">
        <v>94</v>
      </c>
      <c r="C1829" s="0" t="str">
        <f aca="false">INDEX(Intent_Analysis!$B$5:$B$81,MATCH(B1829,Intent_Analysis!$A$5:$A$81,0))</f>
        <v>Fees &amp; charges</v>
      </c>
      <c r="D1829" s="0" t="n">
        <f aca="false">INDEX(Intent_Analysis!$E$5:$E$81,MATCH(B1829,Intent_Analysis!$A$5:$A$81,0))</f>
        <v>1</v>
      </c>
    </row>
    <row r="1830" customFormat="false" ht="15" hidden="false" customHeight="false" outlineLevel="0" collapsed="false">
      <c r="A1830" s="0" t="s">
        <v>2154</v>
      </c>
      <c r="B1830" s="0" t="s">
        <v>94</v>
      </c>
      <c r="C1830" s="0" t="str">
        <f aca="false">INDEX(Intent_Analysis!$B$5:$B$81,MATCH(B1830,Intent_Analysis!$A$5:$A$81,0))</f>
        <v>Fees &amp; charges</v>
      </c>
      <c r="D1830" s="0" t="n">
        <f aca="false">INDEX(Intent_Analysis!$E$5:$E$81,MATCH(B1830,Intent_Analysis!$A$5:$A$81,0))</f>
        <v>1</v>
      </c>
    </row>
    <row r="1831" customFormat="false" ht="15" hidden="false" customHeight="false" outlineLevel="0" collapsed="false">
      <c r="A1831" s="0" t="s">
        <v>2155</v>
      </c>
      <c r="B1831" s="0" t="s">
        <v>94</v>
      </c>
      <c r="C1831" s="0" t="str">
        <f aca="false">INDEX(Intent_Analysis!$B$5:$B$81,MATCH(B1831,Intent_Analysis!$A$5:$A$81,0))</f>
        <v>Fees &amp; charges</v>
      </c>
      <c r="D1831" s="0" t="n">
        <f aca="false">INDEX(Intent_Analysis!$E$5:$E$81,MATCH(B1831,Intent_Analysis!$A$5:$A$81,0))</f>
        <v>1</v>
      </c>
    </row>
    <row r="1832" customFormat="false" ht="15" hidden="false" customHeight="false" outlineLevel="0" collapsed="false">
      <c r="A1832" s="0" t="s">
        <v>2156</v>
      </c>
      <c r="B1832" s="0" t="s">
        <v>94</v>
      </c>
      <c r="C1832" s="0" t="str">
        <f aca="false">INDEX(Intent_Analysis!$B$5:$B$81,MATCH(B1832,Intent_Analysis!$A$5:$A$81,0))</f>
        <v>Fees &amp; charges</v>
      </c>
      <c r="D1832" s="0" t="n">
        <f aca="false">INDEX(Intent_Analysis!$E$5:$E$81,MATCH(B1832,Intent_Analysis!$A$5:$A$81,0))</f>
        <v>1</v>
      </c>
    </row>
    <row r="1833" customFormat="false" ht="15" hidden="false" customHeight="false" outlineLevel="0" collapsed="false">
      <c r="A1833" s="0" t="s">
        <v>2157</v>
      </c>
      <c r="B1833" s="0" t="s">
        <v>94</v>
      </c>
      <c r="C1833" s="0" t="str">
        <f aca="false">INDEX(Intent_Analysis!$B$5:$B$81,MATCH(B1833,Intent_Analysis!$A$5:$A$81,0))</f>
        <v>Fees &amp; charges</v>
      </c>
      <c r="D1833" s="0" t="n">
        <f aca="false">INDEX(Intent_Analysis!$E$5:$E$81,MATCH(B1833,Intent_Analysis!$A$5:$A$81,0))</f>
        <v>1</v>
      </c>
    </row>
    <row r="1834" customFormat="false" ht="15" hidden="false" customHeight="false" outlineLevel="0" collapsed="false">
      <c r="A1834" s="0" t="s">
        <v>2158</v>
      </c>
      <c r="B1834" s="0" t="s">
        <v>94</v>
      </c>
      <c r="C1834" s="0" t="str">
        <f aca="false">INDEX(Intent_Analysis!$B$5:$B$81,MATCH(B1834,Intent_Analysis!$A$5:$A$81,0))</f>
        <v>Fees &amp; charges</v>
      </c>
      <c r="D1834" s="0" t="n">
        <f aca="false">INDEX(Intent_Analysis!$E$5:$E$81,MATCH(B1834,Intent_Analysis!$A$5:$A$81,0))</f>
        <v>1</v>
      </c>
    </row>
    <row r="1835" customFormat="false" ht="15" hidden="false" customHeight="false" outlineLevel="0" collapsed="false">
      <c r="A1835" s="0" t="s">
        <v>2159</v>
      </c>
      <c r="B1835" s="0" t="s">
        <v>94</v>
      </c>
      <c r="C1835" s="0" t="str">
        <f aca="false">INDEX(Intent_Analysis!$B$5:$B$81,MATCH(B1835,Intent_Analysis!$A$5:$A$81,0))</f>
        <v>Fees &amp; charges</v>
      </c>
      <c r="D1835" s="0" t="n">
        <f aca="false">INDEX(Intent_Analysis!$E$5:$E$81,MATCH(B1835,Intent_Analysis!$A$5:$A$81,0))</f>
        <v>1</v>
      </c>
    </row>
    <row r="1836" customFormat="false" ht="15" hidden="false" customHeight="false" outlineLevel="0" collapsed="false">
      <c r="A1836" s="0" t="s">
        <v>2160</v>
      </c>
      <c r="B1836" s="0" t="s">
        <v>94</v>
      </c>
      <c r="C1836" s="0" t="str">
        <f aca="false">INDEX(Intent_Analysis!$B$5:$B$81,MATCH(B1836,Intent_Analysis!$A$5:$A$81,0))</f>
        <v>Fees &amp; charges</v>
      </c>
      <c r="D1836" s="0" t="n">
        <f aca="false">INDEX(Intent_Analysis!$E$5:$E$81,MATCH(B1836,Intent_Analysis!$A$5:$A$81,0))</f>
        <v>1</v>
      </c>
    </row>
    <row r="1837" customFormat="false" ht="15" hidden="false" customHeight="false" outlineLevel="0" collapsed="false">
      <c r="A1837" s="0" t="s">
        <v>2161</v>
      </c>
      <c r="B1837" s="0" t="s">
        <v>94</v>
      </c>
      <c r="C1837" s="0" t="str">
        <f aca="false">INDEX(Intent_Analysis!$B$5:$B$81,MATCH(B1837,Intent_Analysis!$A$5:$A$81,0))</f>
        <v>Fees &amp; charges</v>
      </c>
      <c r="D1837" s="0" t="n">
        <f aca="false">INDEX(Intent_Analysis!$E$5:$E$81,MATCH(B1837,Intent_Analysis!$A$5:$A$81,0))</f>
        <v>1</v>
      </c>
    </row>
    <row r="1838" customFormat="false" ht="15" hidden="false" customHeight="false" outlineLevel="0" collapsed="false">
      <c r="A1838" s="0" t="s">
        <v>2162</v>
      </c>
      <c r="B1838" s="0" t="s">
        <v>94</v>
      </c>
      <c r="C1838" s="0" t="str">
        <f aca="false">INDEX(Intent_Analysis!$B$5:$B$81,MATCH(B1838,Intent_Analysis!$A$5:$A$81,0))</f>
        <v>Fees &amp; charges</v>
      </c>
      <c r="D1838" s="0" t="n">
        <f aca="false">INDEX(Intent_Analysis!$E$5:$E$81,MATCH(B1838,Intent_Analysis!$A$5:$A$81,0))</f>
        <v>1</v>
      </c>
    </row>
    <row r="1839" customFormat="false" ht="15" hidden="false" customHeight="false" outlineLevel="0" collapsed="false">
      <c r="A1839" s="0" t="s">
        <v>2163</v>
      </c>
      <c r="B1839" s="0" t="s">
        <v>94</v>
      </c>
      <c r="C1839" s="0" t="str">
        <f aca="false">INDEX(Intent_Analysis!$B$5:$B$81,MATCH(B1839,Intent_Analysis!$A$5:$A$81,0))</f>
        <v>Fees &amp; charges</v>
      </c>
      <c r="D1839" s="0" t="n">
        <f aca="false">INDEX(Intent_Analysis!$E$5:$E$81,MATCH(B1839,Intent_Analysis!$A$5:$A$81,0))</f>
        <v>1</v>
      </c>
    </row>
    <row r="1840" customFormat="false" ht="15" hidden="false" customHeight="false" outlineLevel="0" collapsed="false">
      <c r="A1840" s="0" t="s">
        <v>2164</v>
      </c>
      <c r="B1840" s="0" t="s">
        <v>94</v>
      </c>
      <c r="C1840" s="0" t="str">
        <f aca="false">INDEX(Intent_Analysis!$B$5:$B$81,MATCH(B1840,Intent_Analysis!$A$5:$A$81,0))</f>
        <v>Fees &amp; charges</v>
      </c>
      <c r="D1840" s="0" t="n">
        <f aca="false">INDEX(Intent_Analysis!$E$5:$E$81,MATCH(B1840,Intent_Analysis!$A$5:$A$81,0))</f>
        <v>1</v>
      </c>
    </row>
    <row r="1841" customFormat="false" ht="15" hidden="false" customHeight="false" outlineLevel="0" collapsed="false">
      <c r="A1841" s="0" t="s">
        <v>2165</v>
      </c>
      <c r="B1841" s="0" t="s">
        <v>94</v>
      </c>
      <c r="C1841" s="0" t="str">
        <f aca="false">INDEX(Intent_Analysis!$B$5:$B$81,MATCH(B1841,Intent_Analysis!$A$5:$A$81,0))</f>
        <v>Fees &amp; charges</v>
      </c>
      <c r="D1841" s="0" t="n">
        <f aca="false">INDEX(Intent_Analysis!$E$5:$E$81,MATCH(B1841,Intent_Analysis!$A$5:$A$81,0))</f>
        <v>1</v>
      </c>
    </row>
    <row r="1842" customFormat="false" ht="15" hidden="false" customHeight="false" outlineLevel="0" collapsed="false">
      <c r="A1842" s="0" t="s">
        <v>2166</v>
      </c>
      <c r="B1842" s="0" t="s">
        <v>94</v>
      </c>
      <c r="C1842" s="0" t="str">
        <f aca="false">INDEX(Intent_Analysis!$B$5:$B$81,MATCH(B1842,Intent_Analysis!$A$5:$A$81,0))</f>
        <v>Fees &amp; charges</v>
      </c>
      <c r="D1842" s="0" t="n">
        <f aca="false">INDEX(Intent_Analysis!$E$5:$E$81,MATCH(B1842,Intent_Analysis!$A$5:$A$81,0))</f>
        <v>1</v>
      </c>
    </row>
    <row r="1843" customFormat="false" ht="15" hidden="false" customHeight="false" outlineLevel="0" collapsed="false">
      <c r="A1843" s="0" t="s">
        <v>2167</v>
      </c>
      <c r="B1843" s="0" t="s">
        <v>94</v>
      </c>
      <c r="C1843" s="0" t="str">
        <f aca="false">INDEX(Intent_Analysis!$B$5:$B$81,MATCH(B1843,Intent_Analysis!$A$5:$A$81,0))</f>
        <v>Fees &amp; charges</v>
      </c>
      <c r="D1843" s="0" t="n">
        <f aca="false">INDEX(Intent_Analysis!$E$5:$E$81,MATCH(B1843,Intent_Analysis!$A$5:$A$81,0))</f>
        <v>1</v>
      </c>
    </row>
    <row r="1844" customFormat="false" ht="15" hidden="false" customHeight="false" outlineLevel="0" collapsed="false">
      <c r="A1844" s="0" t="s">
        <v>2168</v>
      </c>
      <c r="B1844" s="0" t="s">
        <v>94</v>
      </c>
      <c r="C1844" s="0" t="str">
        <f aca="false">INDEX(Intent_Analysis!$B$5:$B$81,MATCH(B1844,Intent_Analysis!$A$5:$A$81,0))</f>
        <v>Fees &amp; charges</v>
      </c>
      <c r="D1844" s="0" t="n">
        <f aca="false">INDEX(Intent_Analysis!$E$5:$E$81,MATCH(B1844,Intent_Analysis!$A$5:$A$81,0))</f>
        <v>1</v>
      </c>
    </row>
    <row r="1845" customFormat="false" ht="15" hidden="false" customHeight="false" outlineLevel="0" collapsed="false">
      <c r="A1845" s="0" t="s">
        <v>2169</v>
      </c>
      <c r="B1845" s="0" t="s">
        <v>94</v>
      </c>
      <c r="C1845" s="0" t="str">
        <f aca="false">INDEX(Intent_Analysis!$B$5:$B$81,MATCH(B1845,Intent_Analysis!$A$5:$A$81,0))</f>
        <v>Fees &amp; charges</v>
      </c>
      <c r="D1845" s="0" t="n">
        <f aca="false">INDEX(Intent_Analysis!$E$5:$E$81,MATCH(B1845,Intent_Analysis!$A$5:$A$81,0))</f>
        <v>1</v>
      </c>
    </row>
    <row r="1846" customFormat="false" ht="15" hidden="false" customHeight="false" outlineLevel="0" collapsed="false">
      <c r="A1846" s="0" t="s">
        <v>2170</v>
      </c>
      <c r="B1846" s="0" t="s">
        <v>94</v>
      </c>
      <c r="C1846" s="0" t="str">
        <f aca="false">INDEX(Intent_Analysis!$B$5:$B$81,MATCH(B1846,Intent_Analysis!$A$5:$A$81,0))</f>
        <v>Fees &amp; charges</v>
      </c>
      <c r="D1846" s="0" t="n">
        <f aca="false">INDEX(Intent_Analysis!$E$5:$E$81,MATCH(B1846,Intent_Analysis!$A$5:$A$81,0))</f>
        <v>1</v>
      </c>
    </row>
    <row r="1847" customFormat="false" ht="15" hidden="false" customHeight="false" outlineLevel="0" collapsed="false">
      <c r="A1847" s="0" t="s">
        <v>2171</v>
      </c>
      <c r="B1847" s="0" t="s">
        <v>94</v>
      </c>
      <c r="C1847" s="0" t="str">
        <f aca="false">INDEX(Intent_Analysis!$B$5:$B$81,MATCH(B1847,Intent_Analysis!$A$5:$A$81,0))</f>
        <v>Fees &amp; charges</v>
      </c>
      <c r="D1847" s="0" t="n">
        <f aca="false">INDEX(Intent_Analysis!$E$5:$E$81,MATCH(B1847,Intent_Analysis!$A$5:$A$81,0))</f>
        <v>1</v>
      </c>
    </row>
    <row r="1848" customFormat="false" ht="15" hidden="false" customHeight="false" outlineLevel="0" collapsed="false">
      <c r="A1848" s="0" t="s">
        <v>2172</v>
      </c>
      <c r="B1848" s="0" t="s">
        <v>94</v>
      </c>
      <c r="C1848" s="0" t="str">
        <f aca="false">INDEX(Intent_Analysis!$B$5:$B$81,MATCH(B1848,Intent_Analysis!$A$5:$A$81,0))</f>
        <v>Fees &amp; charges</v>
      </c>
      <c r="D1848" s="0" t="n">
        <f aca="false">INDEX(Intent_Analysis!$E$5:$E$81,MATCH(B1848,Intent_Analysis!$A$5:$A$81,0))</f>
        <v>1</v>
      </c>
    </row>
    <row r="1849" customFormat="false" ht="15" hidden="false" customHeight="false" outlineLevel="0" collapsed="false">
      <c r="A1849" s="0" t="s">
        <v>2173</v>
      </c>
      <c r="B1849" s="0" t="s">
        <v>94</v>
      </c>
      <c r="C1849" s="0" t="str">
        <f aca="false">INDEX(Intent_Analysis!$B$5:$B$81,MATCH(B1849,Intent_Analysis!$A$5:$A$81,0))</f>
        <v>Fees &amp; charges</v>
      </c>
      <c r="D1849" s="0" t="n">
        <f aca="false">INDEX(Intent_Analysis!$E$5:$E$81,MATCH(B1849,Intent_Analysis!$A$5:$A$81,0))</f>
        <v>1</v>
      </c>
    </row>
    <row r="1850" customFormat="false" ht="15" hidden="false" customHeight="false" outlineLevel="0" collapsed="false">
      <c r="A1850" s="0" t="s">
        <v>2174</v>
      </c>
      <c r="B1850" s="0" t="s">
        <v>94</v>
      </c>
      <c r="C1850" s="0" t="str">
        <f aca="false">INDEX(Intent_Analysis!$B$5:$B$81,MATCH(B1850,Intent_Analysis!$A$5:$A$81,0))</f>
        <v>Fees &amp; charges</v>
      </c>
      <c r="D1850" s="0" t="n">
        <f aca="false">INDEX(Intent_Analysis!$E$5:$E$81,MATCH(B1850,Intent_Analysis!$A$5:$A$81,0))</f>
        <v>1</v>
      </c>
    </row>
    <row r="1851" customFormat="false" ht="15" hidden="false" customHeight="false" outlineLevel="0" collapsed="false">
      <c r="A1851" s="0" t="s">
        <v>2175</v>
      </c>
      <c r="B1851" s="0" t="s">
        <v>94</v>
      </c>
      <c r="C1851" s="0" t="str">
        <f aca="false">INDEX(Intent_Analysis!$B$5:$B$81,MATCH(B1851,Intent_Analysis!$A$5:$A$81,0))</f>
        <v>Fees &amp; charges</v>
      </c>
      <c r="D1851" s="0" t="n">
        <f aca="false">INDEX(Intent_Analysis!$E$5:$E$81,MATCH(B1851,Intent_Analysis!$A$5:$A$81,0))</f>
        <v>1</v>
      </c>
    </row>
    <row r="1852" customFormat="false" ht="15" hidden="false" customHeight="false" outlineLevel="0" collapsed="false">
      <c r="A1852" s="0" t="s">
        <v>2176</v>
      </c>
      <c r="B1852" s="0" t="s">
        <v>94</v>
      </c>
      <c r="C1852" s="0" t="str">
        <f aca="false">INDEX(Intent_Analysis!$B$5:$B$81,MATCH(B1852,Intent_Analysis!$A$5:$A$81,0))</f>
        <v>Fees &amp; charges</v>
      </c>
      <c r="D1852" s="0" t="n">
        <f aca="false">INDEX(Intent_Analysis!$E$5:$E$81,MATCH(B1852,Intent_Analysis!$A$5:$A$81,0))</f>
        <v>1</v>
      </c>
    </row>
    <row r="1853" customFormat="false" ht="15" hidden="false" customHeight="false" outlineLevel="0" collapsed="false">
      <c r="A1853" s="0" t="s">
        <v>2177</v>
      </c>
      <c r="B1853" s="0" t="s">
        <v>94</v>
      </c>
      <c r="C1853" s="0" t="str">
        <f aca="false">INDEX(Intent_Analysis!$B$5:$B$81,MATCH(B1853,Intent_Analysis!$A$5:$A$81,0))</f>
        <v>Fees &amp; charges</v>
      </c>
      <c r="D1853" s="0" t="n">
        <f aca="false">INDEX(Intent_Analysis!$E$5:$E$81,MATCH(B1853,Intent_Analysis!$A$5:$A$81,0))</f>
        <v>1</v>
      </c>
    </row>
    <row r="1854" customFormat="false" ht="15" hidden="false" customHeight="false" outlineLevel="0" collapsed="false">
      <c r="A1854" s="0" t="s">
        <v>2178</v>
      </c>
      <c r="B1854" s="0" t="s">
        <v>94</v>
      </c>
      <c r="C1854" s="0" t="str">
        <f aca="false">INDEX(Intent_Analysis!$B$5:$B$81,MATCH(B1854,Intent_Analysis!$A$5:$A$81,0))</f>
        <v>Fees &amp; charges</v>
      </c>
      <c r="D1854" s="0" t="n">
        <f aca="false">INDEX(Intent_Analysis!$E$5:$E$81,MATCH(B1854,Intent_Analysis!$A$5:$A$81,0))</f>
        <v>1</v>
      </c>
    </row>
    <row r="1855" customFormat="false" ht="15" hidden="false" customHeight="false" outlineLevel="0" collapsed="false">
      <c r="A1855" s="0" t="s">
        <v>2179</v>
      </c>
      <c r="B1855" s="0" t="s">
        <v>94</v>
      </c>
      <c r="C1855" s="0" t="str">
        <f aca="false">INDEX(Intent_Analysis!$B$5:$B$81,MATCH(B1855,Intent_Analysis!$A$5:$A$81,0))</f>
        <v>Fees &amp; charges</v>
      </c>
      <c r="D1855" s="0" t="n">
        <f aca="false">INDEX(Intent_Analysis!$E$5:$E$81,MATCH(B1855,Intent_Analysis!$A$5:$A$81,0))</f>
        <v>1</v>
      </c>
    </row>
    <row r="1856" customFormat="false" ht="15" hidden="false" customHeight="false" outlineLevel="0" collapsed="false">
      <c r="A1856" s="0" t="s">
        <v>2180</v>
      </c>
      <c r="B1856" s="0" t="s">
        <v>94</v>
      </c>
      <c r="C1856" s="0" t="str">
        <f aca="false">INDEX(Intent_Analysis!$B$5:$B$81,MATCH(B1856,Intent_Analysis!$A$5:$A$81,0))</f>
        <v>Fees &amp; charges</v>
      </c>
      <c r="D1856" s="0" t="n">
        <f aca="false">INDEX(Intent_Analysis!$E$5:$E$81,MATCH(B1856,Intent_Analysis!$A$5:$A$81,0))</f>
        <v>1</v>
      </c>
    </row>
    <row r="1857" customFormat="false" ht="15" hidden="false" customHeight="false" outlineLevel="0" collapsed="false">
      <c r="A1857" s="0" t="s">
        <v>2181</v>
      </c>
      <c r="B1857" s="0" t="s">
        <v>94</v>
      </c>
      <c r="C1857" s="0" t="str">
        <f aca="false">INDEX(Intent_Analysis!$B$5:$B$81,MATCH(B1857,Intent_Analysis!$A$5:$A$81,0))</f>
        <v>Fees &amp; charges</v>
      </c>
      <c r="D1857" s="0" t="n">
        <f aca="false">INDEX(Intent_Analysis!$E$5:$E$81,MATCH(B1857,Intent_Analysis!$A$5:$A$81,0))</f>
        <v>1</v>
      </c>
    </row>
    <row r="1858" customFormat="false" ht="15" hidden="false" customHeight="false" outlineLevel="0" collapsed="false">
      <c r="A1858" s="0" t="s">
        <v>2182</v>
      </c>
      <c r="B1858" s="0" t="s">
        <v>94</v>
      </c>
      <c r="C1858" s="0" t="str">
        <f aca="false">INDEX(Intent_Analysis!$B$5:$B$81,MATCH(B1858,Intent_Analysis!$A$5:$A$81,0))</f>
        <v>Fees &amp; charges</v>
      </c>
      <c r="D1858" s="0" t="n">
        <f aca="false">INDEX(Intent_Analysis!$E$5:$E$81,MATCH(B1858,Intent_Analysis!$A$5:$A$81,0))</f>
        <v>1</v>
      </c>
    </row>
    <row r="1859" customFormat="false" ht="15" hidden="false" customHeight="false" outlineLevel="0" collapsed="false">
      <c r="A1859" s="0" t="s">
        <v>2183</v>
      </c>
      <c r="B1859" s="0" t="s">
        <v>94</v>
      </c>
      <c r="C1859" s="0" t="str">
        <f aca="false">INDEX(Intent_Analysis!$B$5:$B$81,MATCH(B1859,Intent_Analysis!$A$5:$A$81,0))</f>
        <v>Fees &amp; charges</v>
      </c>
      <c r="D1859" s="0" t="n">
        <f aca="false">INDEX(Intent_Analysis!$E$5:$E$81,MATCH(B1859,Intent_Analysis!$A$5:$A$81,0))</f>
        <v>1</v>
      </c>
    </row>
    <row r="1860" customFormat="false" ht="15" hidden="false" customHeight="false" outlineLevel="0" collapsed="false">
      <c r="A1860" s="0" t="s">
        <v>2184</v>
      </c>
      <c r="B1860" s="0" t="s">
        <v>94</v>
      </c>
      <c r="C1860" s="0" t="str">
        <f aca="false">INDEX(Intent_Analysis!$B$5:$B$81,MATCH(B1860,Intent_Analysis!$A$5:$A$81,0))</f>
        <v>Fees &amp; charges</v>
      </c>
      <c r="D1860" s="0" t="n">
        <f aca="false">INDEX(Intent_Analysis!$E$5:$E$81,MATCH(B1860,Intent_Analysis!$A$5:$A$81,0))</f>
        <v>1</v>
      </c>
    </row>
    <row r="1861" customFormat="false" ht="15" hidden="false" customHeight="false" outlineLevel="0" collapsed="false">
      <c r="A1861" s="0" t="s">
        <v>2185</v>
      </c>
      <c r="B1861" s="0" t="s">
        <v>94</v>
      </c>
      <c r="C1861" s="0" t="str">
        <f aca="false">INDEX(Intent_Analysis!$B$5:$B$81,MATCH(B1861,Intent_Analysis!$A$5:$A$81,0))</f>
        <v>Fees &amp; charges</v>
      </c>
      <c r="D1861" s="0" t="n">
        <f aca="false">INDEX(Intent_Analysis!$E$5:$E$81,MATCH(B1861,Intent_Analysis!$A$5:$A$81,0))</f>
        <v>1</v>
      </c>
    </row>
    <row r="1862" customFormat="false" ht="15" hidden="false" customHeight="false" outlineLevel="0" collapsed="false">
      <c r="A1862" s="0" t="s">
        <v>2186</v>
      </c>
      <c r="B1862" s="0" t="s">
        <v>94</v>
      </c>
      <c r="C1862" s="0" t="str">
        <f aca="false">INDEX(Intent_Analysis!$B$5:$B$81,MATCH(B1862,Intent_Analysis!$A$5:$A$81,0))</f>
        <v>Fees &amp; charges</v>
      </c>
      <c r="D1862" s="0" t="n">
        <f aca="false">INDEX(Intent_Analysis!$E$5:$E$81,MATCH(B1862,Intent_Analysis!$A$5:$A$81,0))</f>
        <v>1</v>
      </c>
    </row>
    <row r="1863" customFormat="false" ht="15" hidden="false" customHeight="false" outlineLevel="0" collapsed="false">
      <c r="A1863" s="0" t="s">
        <v>2187</v>
      </c>
      <c r="B1863" s="0" t="s">
        <v>94</v>
      </c>
      <c r="C1863" s="0" t="str">
        <f aca="false">INDEX(Intent_Analysis!$B$5:$B$81,MATCH(B1863,Intent_Analysis!$A$5:$A$81,0))</f>
        <v>Fees &amp; charges</v>
      </c>
      <c r="D1863" s="0" t="n">
        <f aca="false">INDEX(Intent_Analysis!$E$5:$E$81,MATCH(B1863,Intent_Analysis!$A$5:$A$81,0))</f>
        <v>1</v>
      </c>
    </row>
    <row r="1864" customFormat="false" ht="15" hidden="false" customHeight="false" outlineLevel="0" collapsed="false">
      <c r="A1864" s="0" t="s">
        <v>2188</v>
      </c>
      <c r="B1864" s="0" t="s">
        <v>94</v>
      </c>
      <c r="C1864" s="0" t="str">
        <f aca="false">INDEX(Intent_Analysis!$B$5:$B$81,MATCH(B1864,Intent_Analysis!$A$5:$A$81,0))</f>
        <v>Fees &amp; charges</v>
      </c>
      <c r="D1864" s="0" t="n">
        <f aca="false">INDEX(Intent_Analysis!$E$5:$E$81,MATCH(B1864,Intent_Analysis!$A$5:$A$81,0))</f>
        <v>1</v>
      </c>
    </row>
    <row r="1865" customFormat="false" ht="15" hidden="false" customHeight="false" outlineLevel="0" collapsed="false">
      <c r="A1865" s="0" t="s">
        <v>2189</v>
      </c>
      <c r="B1865" s="0" t="s">
        <v>94</v>
      </c>
      <c r="C1865" s="0" t="str">
        <f aca="false">INDEX(Intent_Analysis!$B$5:$B$81,MATCH(B1865,Intent_Analysis!$A$5:$A$81,0))</f>
        <v>Fees &amp; charges</v>
      </c>
      <c r="D1865" s="0" t="n">
        <f aca="false">INDEX(Intent_Analysis!$E$5:$E$81,MATCH(B1865,Intent_Analysis!$A$5:$A$81,0))</f>
        <v>1</v>
      </c>
    </row>
    <row r="1866" customFormat="false" ht="15" hidden="false" customHeight="false" outlineLevel="0" collapsed="false">
      <c r="A1866" s="0" t="s">
        <v>2190</v>
      </c>
      <c r="B1866" s="0" t="s">
        <v>94</v>
      </c>
      <c r="C1866" s="0" t="str">
        <f aca="false">INDEX(Intent_Analysis!$B$5:$B$81,MATCH(B1866,Intent_Analysis!$A$5:$A$81,0))</f>
        <v>Fees &amp; charges</v>
      </c>
      <c r="D1866" s="0" t="n">
        <f aca="false">INDEX(Intent_Analysis!$E$5:$E$81,MATCH(B1866,Intent_Analysis!$A$5:$A$81,0))</f>
        <v>1</v>
      </c>
    </row>
    <row r="1867" customFormat="false" ht="15" hidden="false" customHeight="false" outlineLevel="0" collapsed="false">
      <c r="A1867" s="0" t="s">
        <v>2191</v>
      </c>
      <c r="B1867" s="0" t="s">
        <v>94</v>
      </c>
      <c r="C1867" s="0" t="str">
        <f aca="false">INDEX(Intent_Analysis!$B$5:$B$81,MATCH(B1867,Intent_Analysis!$A$5:$A$81,0))</f>
        <v>Fees &amp; charges</v>
      </c>
      <c r="D1867" s="0" t="n">
        <f aca="false">INDEX(Intent_Analysis!$E$5:$E$81,MATCH(B1867,Intent_Analysis!$A$5:$A$81,0))</f>
        <v>1</v>
      </c>
    </row>
    <row r="1868" customFormat="false" ht="15" hidden="false" customHeight="false" outlineLevel="0" collapsed="false">
      <c r="A1868" s="0" t="s">
        <v>2192</v>
      </c>
      <c r="B1868" s="0" t="s">
        <v>94</v>
      </c>
      <c r="C1868" s="0" t="str">
        <f aca="false">INDEX(Intent_Analysis!$B$5:$B$81,MATCH(B1868,Intent_Analysis!$A$5:$A$81,0))</f>
        <v>Fees &amp; charges</v>
      </c>
      <c r="D1868" s="0" t="n">
        <f aca="false">INDEX(Intent_Analysis!$E$5:$E$81,MATCH(B1868,Intent_Analysis!$A$5:$A$81,0))</f>
        <v>1</v>
      </c>
    </row>
    <row r="1869" customFormat="false" ht="15" hidden="false" customHeight="false" outlineLevel="0" collapsed="false">
      <c r="A1869" s="0" t="s">
        <v>2193</v>
      </c>
      <c r="B1869" s="0" t="s">
        <v>94</v>
      </c>
      <c r="C1869" s="0" t="str">
        <f aca="false">INDEX(Intent_Analysis!$B$5:$B$81,MATCH(B1869,Intent_Analysis!$A$5:$A$81,0))</f>
        <v>Fees &amp; charges</v>
      </c>
      <c r="D1869" s="0" t="n">
        <f aca="false">INDEX(Intent_Analysis!$E$5:$E$81,MATCH(B1869,Intent_Analysis!$A$5:$A$81,0))</f>
        <v>1</v>
      </c>
    </row>
    <row r="1870" customFormat="false" ht="15" hidden="false" customHeight="false" outlineLevel="0" collapsed="false">
      <c r="A1870" s="0" t="s">
        <v>2194</v>
      </c>
      <c r="B1870" s="0" t="s">
        <v>94</v>
      </c>
      <c r="C1870" s="0" t="str">
        <f aca="false">INDEX(Intent_Analysis!$B$5:$B$81,MATCH(B1870,Intent_Analysis!$A$5:$A$81,0))</f>
        <v>Fees &amp; charges</v>
      </c>
      <c r="D1870" s="0" t="n">
        <f aca="false">INDEX(Intent_Analysis!$E$5:$E$81,MATCH(B1870,Intent_Analysis!$A$5:$A$81,0))</f>
        <v>1</v>
      </c>
    </row>
    <row r="1871" customFormat="false" ht="15" hidden="false" customHeight="false" outlineLevel="0" collapsed="false">
      <c r="A1871" s="0" t="s">
        <v>2195</v>
      </c>
      <c r="B1871" s="0" t="s">
        <v>94</v>
      </c>
      <c r="C1871" s="0" t="str">
        <f aca="false">INDEX(Intent_Analysis!$B$5:$B$81,MATCH(B1871,Intent_Analysis!$A$5:$A$81,0))</f>
        <v>Fees &amp; charges</v>
      </c>
      <c r="D1871" s="0" t="n">
        <f aca="false">INDEX(Intent_Analysis!$E$5:$E$81,MATCH(B1871,Intent_Analysis!$A$5:$A$81,0))</f>
        <v>1</v>
      </c>
    </row>
    <row r="1872" customFormat="false" ht="15" hidden="false" customHeight="false" outlineLevel="0" collapsed="false">
      <c r="A1872" s="0" t="s">
        <v>2196</v>
      </c>
      <c r="B1872" s="0" t="s">
        <v>94</v>
      </c>
      <c r="C1872" s="0" t="str">
        <f aca="false">INDEX(Intent_Analysis!$B$5:$B$81,MATCH(B1872,Intent_Analysis!$A$5:$A$81,0))</f>
        <v>Fees &amp; charges</v>
      </c>
      <c r="D1872" s="0" t="n">
        <f aca="false">INDEX(Intent_Analysis!$E$5:$E$81,MATCH(B1872,Intent_Analysis!$A$5:$A$81,0))</f>
        <v>1</v>
      </c>
    </row>
    <row r="1873" customFormat="false" ht="15" hidden="false" customHeight="false" outlineLevel="0" collapsed="false">
      <c r="A1873" s="0" t="s">
        <v>2197</v>
      </c>
      <c r="B1873" s="0" t="s">
        <v>94</v>
      </c>
      <c r="C1873" s="0" t="str">
        <f aca="false">INDEX(Intent_Analysis!$B$5:$B$81,MATCH(B1873,Intent_Analysis!$A$5:$A$81,0))</f>
        <v>Fees &amp; charges</v>
      </c>
      <c r="D1873" s="0" t="n">
        <f aca="false">INDEX(Intent_Analysis!$E$5:$E$81,MATCH(B1873,Intent_Analysis!$A$5:$A$81,0))</f>
        <v>1</v>
      </c>
    </row>
    <row r="1874" customFormat="false" ht="15" hidden="false" customHeight="false" outlineLevel="0" collapsed="false">
      <c r="A1874" s="0" t="s">
        <v>2198</v>
      </c>
      <c r="B1874" s="0" t="s">
        <v>94</v>
      </c>
      <c r="C1874" s="0" t="str">
        <f aca="false">INDEX(Intent_Analysis!$B$5:$B$81,MATCH(B1874,Intent_Analysis!$A$5:$A$81,0))</f>
        <v>Fees &amp; charges</v>
      </c>
      <c r="D1874" s="0" t="n">
        <f aca="false">INDEX(Intent_Analysis!$E$5:$E$81,MATCH(B1874,Intent_Analysis!$A$5:$A$81,0))</f>
        <v>1</v>
      </c>
    </row>
    <row r="1875" customFormat="false" ht="15" hidden="false" customHeight="false" outlineLevel="0" collapsed="false">
      <c r="A1875" s="0" t="s">
        <v>2199</v>
      </c>
      <c r="B1875" s="0" t="s">
        <v>94</v>
      </c>
      <c r="C1875" s="0" t="str">
        <f aca="false">INDEX(Intent_Analysis!$B$5:$B$81,MATCH(B1875,Intent_Analysis!$A$5:$A$81,0))</f>
        <v>Fees &amp; charges</v>
      </c>
      <c r="D1875" s="0" t="n">
        <f aca="false">INDEX(Intent_Analysis!$E$5:$E$81,MATCH(B1875,Intent_Analysis!$A$5:$A$81,0))</f>
        <v>1</v>
      </c>
    </row>
    <row r="1876" customFormat="false" ht="15" hidden="false" customHeight="false" outlineLevel="0" collapsed="false">
      <c r="A1876" s="0" t="s">
        <v>2200</v>
      </c>
      <c r="B1876" s="0" t="s">
        <v>94</v>
      </c>
      <c r="C1876" s="0" t="str">
        <f aca="false">INDEX(Intent_Analysis!$B$5:$B$81,MATCH(B1876,Intent_Analysis!$A$5:$A$81,0))</f>
        <v>Fees &amp; charges</v>
      </c>
      <c r="D1876" s="0" t="n">
        <f aca="false">INDEX(Intent_Analysis!$E$5:$E$81,MATCH(B1876,Intent_Analysis!$A$5:$A$81,0))</f>
        <v>1</v>
      </c>
    </row>
    <row r="1877" customFormat="false" ht="15" hidden="false" customHeight="false" outlineLevel="0" collapsed="false">
      <c r="A1877" s="0" t="s">
        <v>2201</v>
      </c>
      <c r="B1877" s="0" t="s">
        <v>94</v>
      </c>
      <c r="C1877" s="0" t="str">
        <f aca="false">INDEX(Intent_Analysis!$B$5:$B$81,MATCH(B1877,Intent_Analysis!$A$5:$A$81,0))</f>
        <v>Fees &amp; charges</v>
      </c>
      <c r="D1877" s="0" t="n">
        <f aca="false">INDEX(Intent_Analysis!$E$5:$E$81,MATCH(B1877,Intent_Analysis!$A$5:$A$81,0))</f>
        <v>1</v>
      </c>
    </row>
    <row r="1878" customFormat="false" ht="15" hidden="false" customHeight="false" outlineLevel="0" collapsed="false">
      <c r="A1878" s="0" t="s">
        <v>2202</v>
      </c>
      <c r="B1878" s="0" t="s">
        <v>94</v>
      </c>
      <c r="C1878" s="0" t="str">
        <f aca="false">INDEX(Intent_Analysis!$B$5:$B$81,MATCH(B1878,Intent_Analysis!$A$5:$A$81,0))</f>
        <v>Fees &amp; charges</v>
      </c>
      <c r="D1878" s="0" t="n">
        <f aca="false">INDEX(Intent_Analysis!$E$5:$E$81,MATCH(B1878,Intent_Analysis!$A$5:$A$81,0))</f>
        <v>1</v>
      </c>
    </row>
    <row r="1879" customFormat="false" ht="15" hidden="false" customHeight="false" outlineLevel="0" collapsed="false">
      <c r="A1879" s="0" t="s">
        <v>2203</v>
      </c>
      <c r="B1879" s="0" t="s">
        <v>94</v>
      </c>
      <c r="C1879" s="0" t="str">
        <f aca="false">INDEX(Intent_Analysis!$B$5:$B$81,MATCH(B1879,Intent_Analysis!$A$5:$A$81,0))</f>
        <v>Fees &amp; charges</v>
      </c>
      <c r="D1879" s="0" t="n">
        <f aca="false">INDEX(Intent_Analysis!$E$5:$E$81,MATCH(B1879,Intent_Analysis!$A$5:$A$81,0))</f>
        <v>1</v>
      </c>
    </row>
    <row r="1880" customFormat="false" ht="15" hidden="false" customHeight="false" outlineLevel="0" collapsed="false">
      <c r="A1880" s="0" t="s">
        <v>2204</v>
      </c>
      <c r="B1880" s="0" t="s">
        <v>94</v>
      </c>
      <c r="C1880" s="0" t="str">
        <f aca="false">INDEX(Intent_Analysis!$B$5:$B$81,MATCH(B1880,Intent_Analysis!$A$5:$A$81,0))</f>
        <v>Fees &amp; charges</v>
      </c>
      <c r="D1880" s="0" t="n">
        <f aca="false">INDEX(Intent_Analysis!$E$5:$E$81,MATCH(B1880,Intent_Analysis!$A$5:$A$81,0))</f>
        <v>1</v>
      </c>
    </row>
    <row r="1881" customFormat="false" ht="15" hidden="false" customHeight="false" outlineLevel="0" collapsed="false">
      <c r="A1881" s="0" t="s">
        <v>2205</v>
      </c>
      <c r="B1881" s="0" t="s">
        <v>94</v>
      </c>
      <c r="C1881" s="0" t="str">
        <f aca="false">INDEX(Intent_Analysis!$B$5:$B$81,MATCH(B1881,Intent_Analysis!$A$5:$A$81,0))</f>
        <v>Fees &amp; charges</v>
      </c>
      <c r="D1881" s="0" t="n">
        <f aca="false">INDEX(Intent_Analysis!$E$5:$E$81,MATCH(B1881,Intent_Analysis!$A$5:$A$81,0))</f>
        <v>1</v>
      </c>
    </row>
    <row r="1882" customFormat="false" ht="15" hidden="false" customHeight="false" outlineLevel="0" collapsed="false">
      <c r="A1882" s="0" t="s">
        <v>2206</v>
      </c>
      <c r="B1882" s="0" t="s">
        <v>94</v>
      </c>
      <c r="C1882" s="0" t="str">
        <f aca="false">INDEX(Intent_Analysis!$B$5:$B$81,MATCH(B1882,Intent_Analysis!$A$5:$A$81,0))</f>
        <v>Fees &amp; charges</v>
      </c>
      <c r="D1882" s="0" t="n">
        <f aca="false">INDEX(Intent_Analysis!$E$5:$E$81,MATCH(B1882,Intent_Analysis!$A$5:$A$81,0))</f>
        <v>1</v>
      </c>
    </row>
    <row r="1883" customFormat="false" ht="15" hidden="false" customHeight="false" outlineLevel="0" collapsed="false">
      <c r="A1883" s="0" t="s">
        <v>2207</v>
      </c>
      <c r="B1883" s="0" t="s">
        <v>94</v>
      </c>
      <c r="C1883" s="0" t="str">
        <f aca="false">INDEX(Intent_Analysis!$B$5:$B$81,MATCH(B1883,Intent_Analysis!$A$5:$A$81,0))</f>
        <v>Fees &amp; charges</v>
      </c>
      <c r="D1883" s="0" t="n">
        <f aca="false">INDEX(Intent_Analysis!$E$5:$E$81,MATCH(B1883,Intent_Analysis!$A$5:$A$81,0))</f>
        <v>1</v>
      </c>
    </row>
    <row r="1884" customFormat="false" ht="15" hidden="false" customHeight="false" outlineLevel="0" collapsed="false">
      <c r="A1884" s="0" t="s">
        <v>2208</v>
      </c>
      <c r="B1884" s="0" t="s">
        <v>94</v>
      </c>
      <c r="C1884" s="0" t="str">
        <f aca="false">INDEX(Intent_Analysis!$B$5:$B$81,MATCH(B1884,Intent_Analysis!$A$5:$A$81,0))</f>
        <v>Fees &amp; charges</v>
      </c>
      <c r="D1884" s="0" t="n">
        <f aca="false">INDEX(Intent_Analysis!$E$5:$E$81,MATCH(B1884,Intent_Analysis!$A$5:$A$81,0))</f>
        <v>1</v>
      </c>
    </row>
    <row r="1885" customFormat="false" ht="15" hidden="false" customHeight="false" outlineLevel="0" collapsed="false">
      <c r="A1885" s="0" t="s">
        <v>2209</v>
      </c>
      <c r="B1885" s="0" t="s">
        <v>94</v>
      </c>
      <c r="C1885" s="0" t="str">
        <f aca="false">INDEX(Intent_Analysis!$B$5:$B$81,MATCH(B1885,Intent_Analysis!$A$5:$A$81,0))</f>
        <v>Fees &amp; charges</v>
      </c>
      <c r="D1885" s="0" t="n">
        <f aca="false">INDEX(Intent_Analysis!$E$5:$E$81,MATCH(B1885,Intent_Analysis!$A$5:$A$81,0))</f>
        <v>1</v>
      </c>
    </row>
    <row r="1886" customFormat="false" ht="15" hidden="false" customHeight="false" outlineLevel="0" collapsed="false">
      <c r="A1886" s="0" t="s">
        <v>2210</v>
      </c>
      <c r="B1886" s="0" t="s">
        <v>94</v>
      </c>
      <c r="C1886" s="0" t="str">
        <f aca="false">INDEX(Intent_Analysis!$B$5:$B$81,MATCH(B1886,Intent_Analysis!$A$5:$A$81,0))</f>
        <v>Fees &amp; charges</v>
      </c>
      <c r="D1886" s="0" t="n">
        <f aca="false">INDEX(Intent_Analysis!$E$5:$E$81,MATCH(B1886,Intent_Analysis!$A$5:$A$81,0))</f>
        <v>1</v>
      </c>
    </row>
    <row r="1887" customFormat="false" ht="15" hidden="false" customHeight="false" outlineLevel="0" collapsed="false">
      <c r="A1887" s="0" t="s">
        <v>2211</v>
      </c>
      <c r="B1887" s="0" t="s">
        <v>94</v>
      </c>
      <c r="C1887" s="0" t="str">
        <f aca="false">INDEX(Intent_Analysis!$B$5:$B$81,MATCH(B1887,Intent_Analysis!$A$5:$A$81,0))</f>
        <v>Fees &amp; charges</v>
      </c>
      <c r="D1887" s="0" t="n">
        <f aca="false">INDEX(Intent_Analysis!$E$5:$E$81,MATCH(B1887,Intent_Analysis!$A$5:$A$81,0))</f>
        <v>1</v>
      </c>
    </row>
    <row r="1888" customFormat="false" ht="15" hidden="false" customHeight="false" outlineLevel="0" collapsed="false">
      <c r="A1888" s="0" t="s">
        <v>2212</v>
      </c>
      <c r="B1888" s="0" t="s">
        <v>94</v>
      </c>
      <c r="C1888" s="0" t="str">
        <f aca="false">INDEX(Intent_Analysis!$B$5:$B$81,MATCH(B1888,Intent_Analysis!$A$5:$A$81,0))</f>
        <v>Fees &amp; charges</v>
      </c>
      <c r="D1888" s="0" t="n">
        <f aca="false">INDEX(Intent_Analysis!$E$5:$E$81,MATCH(B1888,Intent_Analysis!$A$5:$A$81,0))</f>
        <v>1</v>
      </c>
    </row>
    <row r="1889" customFormat="false" ht="15" hidden="false" customHeight="false" outlineLevel="0" collapsed="false">
      <c r="A1889" s="0" t="s">
        <v>2213</v>
      </c>
      <c r="B1889" s="0" t="s">
        <v>94</v>
      </c>
      <c r="C1889" s="0" t="str">
        <f aca="false">INDEX(Intent_Analysis!$B$5:$B$81,MATCH(B1889,Intent_Analysis!$A$5:$A$81,0))</f>
        <v>Fees &amp; charges</v>
      </c>
      <c r="D1889" s="0" t="n">
        <f aca="false">INDEX(Intent_Analysis!$E$5:$E$81,MATCH(B1889,Intent_Analysis!$A$5:$A$81,0))</f>
        <v>1</v>
      </c>
    </row>
    <row r="1890" customFormat="false" ht="15" hidden="false" customHeight="false" outlineLevel="0" collapsed="false">
      <c r="A1890" s="0" t="s">
        <v>2214</v>
      </c>
      <c r="B1890" s="0" t="s">
        <v>94</v>
      </c>
      <c r="C1890" s="0" t="str">
        <f aca="false">INDEX(Intent_Analysis!$B$5:$B$81,MATCH(B1890,Intent_Analysis!$A$5:$A$81,0))</f>
        <v>Fees &amp; charges</v>
      </c>
      <c r="D1890" s="0" t="n">
        <f aca="false">INDEX(Intent_Analysis!$E$5:$E$81,MATCH(B1890,Intent_Analysis!$A$5:$A$81,0))</f>
        <v>1</v>
      </c>
    </row>
    <row r="1891" customFormat="false" ht="15" hidden="false" customHeight="false" outlineLevel="0" collapsed="false">
      <c r="A1891" s="0" t="s">
        <v>2215</v>
      </c>
      <c r="B1891" s="0" t="s">
        <v>94</v>
      </c>
      <c r="C1891" s="0" t="str">
        <f aca="false">INDEX(Intent_Analysis!$B$5:$B$81,MATCH(B1891,Intent_Analysis!$A$5:$A$81,0))</f>
        <v>Fees &amp; charges</v>
      </c>
      <c r="D1891" s="0" t="n">
        <f aca="false">INDEX(Intent_Analysis!$E$5:$E$81,MATCH(B1891,Intent_Analysis!$A$5:$A$81,0))</f>
        <v>1</v>
      </c>
    </row>
    <row r="1892" customFormat="false" ht="15" hidden="false" customHeight="false" outlineLevel="0" collapsed="false">
      <c r="A1892" s="0" t="s">
        <v>2216</v>
      </c>
      <c r="B1892" s="0" t="s">
        <v>94</v>
      </c>
      <c r="C1892" s="0" t="str">
        <f aca="false">INDEX(Intent_Analysis!$B$5:$B$81,MATCH(B1892,Intent_Analysis!$A$5:$A$81,0))</f>
        <v>Fees &amp; charges</v>
      </c>
      <c r="D1892" s="0" t="n">
        <f aca="false">INDEX(Intent_Analysis!$E$5:$E$81,MATCH(B1892,Intent_Analysis!$A$5:$A$81,0))</f>
        <v>1</v>
      </c>
    </row>
    <row r="1893" customFormat="false" ht="15" hidden="false" customHeight="false" outlineLevel="0" collapsed="false">
      <c r="A1893" s="0" t="s">
        <v>2217</v>
      </c>
      <c r="B1893" s="0" t="s">
        <v>94</v>
      </c>
      <c r="C1893" s="0" t="str">
        <f aca="false">INDEX(Intent_Analysis!$B$5:$B$81,MATCH(B1893,Intent_Analysis!$A$5:$A$81,0))</f>
        <v>Fees &amp; charges</v>
      </c>
      <c r="D1893" s="0" t="n">
        <f aca="false">INDEX(Intent_Analysis!$E$5:$E$81,MATCH(B1893,Intent_Analysis!$A$5:$A$81,0))</f>
        <v>1</v>
      </c>
    </row>
    <row r="1894" customFormat="false" ht="15" hidden="false" customHeight="false" outlineLevel="0" collapsed="false">
      <c r="A1894" s="0" t="s">
        <v>2218</v>
      </c>
      <c r="B1894" s="0" t="s">
        <v>94</v>
      </c>
      <c r="C1894" s="0" t="str">
        <f aca="false">INDEX(Intent_Analysis!$B$5:$B$81,MATCH(B1894,Intent_Analysis!$A$5:$A$81,0))</f>
        <v>Fees &amp; charges</v>
      </c>
      <c r="D1894" s="0" t="n">
        <f aca="false">INDEX(Intent_Analysis!$E$5:$E$81,MATCH(B1894,Intent_Analysis!$A$5:$A$81,0))</f>
        <v>1</v>
      </c>
    </row>
    <row r="1895" customFormat="false" ht="15" hidden="false" customHeight="false" outlineLevel="0" collapsed="false">
      <c r="A1895" s="0" t="s">
        <v>2219</v>
      </c>
      <c r="B1895" s="0" t="s">
        <v>94</v>
      </c>
      <c r="C1895" s="0" t="str">
        <f aca="false">INDEX(Intent_Analysis!$B$5:$B$81,MATCH(B1895,Intent_Analysis!$A$5:$A$81,0))</f>
        <v>Fees &amp; charges</v>
      </c>
      <c r="D1895" s="0" t="n">
        <f aca="false">INDEX(Intent_Analysis!$E$5:$E$81,MATCH(B1895,Intent_Analysis!$A$5:$A$81,0))</f>
        <v>1</v>
      </c>
    </row>
    <row r="1896" customFormat="false" ht="15" hidden="false" customHeight="false" outlineLevel="0" collapsed="false">
      <c r="A1896" s="0" t="s">
        <v>2220</v>
      </c>
      <c r="B1896" s="0" t="s">
        <v>94</v>
      </c>
      <c r="C1896" s="0" t="str">
        <f aca="false">INDEX(Intent_Analysis!$B$5:$B$81,MATCH(B1896,Intent_Analysis!$A$5:$A$81,0))</f>
        <v>Fees &amp; charges</v>
      </c>
      <c r="D1896" s="0" t="n">
        <f aca="false">INDEX(Intent_Analysis!$E$5:$E$81,MATCH(B1896,Intent_Analysis!$A$5:$A$81,0))</f>
        <v>1</v>
      </c>
    </row>
    <row r="1897" customFormat="false" ht="15" hidden="false" customHeight="false" outlineLevel="0" collapsed="false">
      <c r="A1897" s="0" t="s">
        <v>2221</v>
      </c>
      <c r="B1897" s="0" t="s">
        <v>94</v>
      </c>
      <c r="C1897" s="0" t="str">
        <f aca="false">INDEX(Intent_Analysis!$B$5:$B$81,MATCH(B1897,Intent_Analysis!$A$5:$A$81,0))</f>
        <v>Fees &amp; charges</v>
      </c>
      <c r="D1897" s="0" t="n">
        <f aca="false">INDEX(Intent_Analysis!$E$5:$E$81,MATCH(B1897,Intent_Analysis!$A$5:$A$81,0))</f>
        <v>1</v>
      </c>
    </row>
    <row r="1898" customFormat="false" ht="15" hidden="false" customHeight="false" outlineLevel="0" collapsed="false">
      <c r="A1898" s="0" t="s">
        <v>2222</v>
      </c>
      <c r="B1898" s="0" t="s">
        <v>94</v>
      </c>
      <c r="C1898" s="0" t="str">
        <f aca="false">INDEX(Intent_Analysis!$B$5:$B$81,MATCH(B1898,Intent_Analysis!$A$5:$A$81,0))</f>
        <v>Fees &amp; charges</v>
      </c>
      <c r="D1898" s="0" t="n">
        <f aca="false">INDEX(Intent_Analysis!$E$5:$E$81,MATCH(B1898,Intent_Analysis!$A$5:$A$81,0))</f>
        <v>1</v>
      </c>
    </row>
    <row r="1899" customFormat="false" ht="15" hidden="false" customHeight="false" outlineLevel="0" collapsed="false">
      <c r="A1899" s="0" t="s">
        <v>2223</v>
      </c>
      <c r="B1899" s="0" t="s">
        <v>94</v>
      </c>
      <c r="C1899" s="0" t="str">
        <f aca="false">INDEX(Intent_Analysis!$B$5:$B$81,MATCH(B1899,Intent_Analysis!$A$5:$A$81,0))</f>
        <v>Fees &amp; charges</v>
      </c>
      <c r="D1899" s="0" t="n">
        <f aca="false">INDEX(Intent_Analysis!$E$5:$E$81,MATCH(B1899,Intent_Analysis!$A$5:$A$81,0))</f>
        <v>1</v>
      </c>
    </row>
    <row r="1900" customFormat="false" ht="15" hidden="false" customHeight="false" outlineLevel="0" collapsed="false">
      <c r="A1900" s="0" t="s">
        <v>2224</v>
      </c>
      <c r="B1900" s="0" t="s">
        <v>94</v>
      </c>
      <c r="C1900" s="0" t="str">
        <f aca="false">INDEX(Intent_Analysis!$B$5:$B$81,MATCH(B1900,Intent_Analysis!$A$5:$A$81,0))</f>
        <v>Fees &amp; charges</v>
      </c>
      <c r="D1900" s="0" t="n">
        <f aca="false">INDEX(Intent_Analysis!$E$5:$E$81,MATCH(B1900,Intent_Analysis!$A$5:$A$81,0))</f>
        <v>1</v>
      </c>
    </row>
    <row r="1901" customFormat="false" ht="15" hidden="false" customHeight="false" outlineLevel="0" collapsed="false">
      <c r="A1901" s="0" t="s">
        <v>2225</v>
      </c>
      <c r="B1901" s="0" t="s">
        <v>94</v>
      </c>
      <c r="C1901" s="0" t="str">
        <f aca="false">INDEX(Intent_Analysis!$B$5:$B$81,MATCH(B1901,Intent_Analysis!$A$5:$A$81,0))</f>
        <v>Fees &amp; charges</v>
      </c>
      <c r="D1901" s="0" t="n">
        <f aca="false">INDEX(Intent_Analysis!$E$5:$E$81,MATCH(B1901,Intent_Analysis!$A$5:$A$81,0))</f>
        <v>1</v>
      </c>
    </row>
    <row r="1902" customFormat="false" ht="15" hidden="false" customHeight="false" outlineLevel="0" collapsed="false">
      <c r="A1902" s="0" t="s">
        <v>2226</v>
      </c>
      <c r="B1902" s="0" t="s">
        <v>94</v>
      </c>
      <c r="C1902" s="0" t="str">
        <f aca="false">INDEX(Intent_Analysis!$B$5:$B$81,MATCH(B1902,Intent_Analysis!$A$5:$A$81,0))</f>
        <v>Fees &amp; charges</v>
      </c>
      <c r="D1902" s="0" t="n">
        <f aca="false">INDEX(Intent_Analysis!$E$5:$E$81,MATCH(B1902,Intent_Analysis!$A$5:$A$81,0))</f>
        <v>1</v>
      </c>
    </row>
    <row r="1903" customFormat="false" ht="15" hidden="false" customHeight="false" outlineLevel="0" collapsed="false">
      <c r="A1903" s="0" t="s">
        <v>2227</v>
      </c>
      <c r="B1903" s="0" t="s">
        <v>94</v>
      </c>
      <c r="C1903" s="0" t="str">
        <f aca="false">INDEX(Intent_Analysis!$B$5:$B$81,MATCH(B1903,Intent_Analysis!$A$5:$A$81,0))</f>
        <v>Fees &amp; charges</v>
      </c>
      <c r="D1903" s="0" t="n">
        <f aca="false">INDEX(Intent_Analysis!$E$5:$E$81,MATCH(B1903,Intent_Analysis!$A$5:$A$81,0))</f>
        <v>1</v>
      </c>
    </row>
    <row r="1904" customFormat="false" ht="15" hidden="false" customHeight="false" outlineLevel="0" collapsed="false">
      <c r="A1904" s="0" t="s">
        <v>2228</v>
      </c>
      <c r="B1904" s="0" t="s">
        <v>94</v>
      </c>
      <c r="C1904" s="0" t="str">
        <f aca="false">INDEX(Intent_Analysis!$B$5:$B$81,MATCH(B1904,Intent_Analysis!$A$5:$A$81,0))</f>
        <v>Fees &amp; charges</v>
      </c>
      <c r="D1904" s="0" t="n">
        <f aca="false">INDEX(Intent_Analysis!$E$5:$E$81,MATCH(B1904,Intent_Analysis!$A$5:$A$81,0))</f>
        <v>1</v>
      </c>
    </row>
    <row r="1905" customFormat="false" ht="15" hidden="false" customHeight="false" outlineLevel="0" collapsed="false">
      <c r="A1905" s="0" t="s">
        <v>2229</v>
      </c>
      <c r="B1905" s="0" t="s">
        <v>94</v>
      </c>
      <c r="C1905" s="0" t="str">
        <f aca="false">INDEX(Intent_Analysis!$B$5:$B$81,MATCH(B1905,Intent_Analysis!$A$5:$A$81,0))</f>
        <v>Fees &amp; charges</v>
      </c>
      <c r="D1905" s="0" t="n">
        <f aca="false">INDEX(Intent_Analysis!$E$5:$E$81,MATCH(B1905,Intent_Analysis!$A$5:$A$81,0))</f>
        <v>1</v>
      </c>
    </row>
    <row r="1906" customFormat="false" ht="15" hidden="false" customHeight="false" outlineLevel="0" collapsed="false">
      <c r="A1906" s="0" t="s">
        <v>2230</v>
      </c>
      <c r="B1906" s="0" t="s">
        <v>94</v>
      </c>
      <c r="C1906" s="0" t="str">
        <f aca="false">INDEX(Intent_Analysis!$B$5:$B$81,MATCH(B1906,Intent_Analysis!$A$5:$A$81,0))</f>
        <v>Fees &amp; charges</v>
      </c>
      <c r="D1906" s="0" t="n">
        <f aca="false">INDEX(Intent_Analysis!$E$5:$E$81,MATCH(B1906,Intent_Analysis!$A$5:$A$81,0))</f>
        <v>1</v>
      </c>
    </row>
    <row r="1907" customFormat="false" ht="15" hidden="false" customHeight="false" outlineLevel="0" collapsed="false">
      <c r="A1907" s="0" t="s">
        <v>2231</v>
      </c>
      <c r="B1907" s="0" t="s">
        <v>94</v>
      </c>
      <c r="C1907" s="0" t="str">
        <f aca="false">INDEX(Intent_Analysis!$B$5:$B$81,MATCH(B1907,Intent_Analysis!$A$5:$A$81,0))</f>
        <v>Fees &amp; charges</v>
      </c>
      <c r="D1907" s="0" t="n">
        <f aca="false">INDEX(Intent_Analysis!$E$5:$E$81,MATCH(B1907,Intent_Analysis!$A$5:$A$81,0))</f>
        <v>1</v>
      </c>
    </row>
    <row r="1908" customFormat="false" ht="15" hidden="false" customHeight="false" outlineLevel="0" collapsed="false">
      <c r="A1908" s="0" t="s">
        <v>2232</v>
      </c>
      <c r="B1908" s="0" t="s">
        <v>94</v>
      </c>
      <c r="C1908" s="0" t="str">
        <f aca="false">INDEX(Intent_Analysis!$B$5:$B$81,MATCH(B1908,Intent_Analysis!$A$5:$A$81,0))</f>
        <v>Fees &amp; charges</v>
      </c>
      <c r="D1908" s="0" t="n">
        <f aca="false">INDEX(Intent_Analysis!$E$5:$E$81,MATCH(B1908,Intent_Analysis!$A$5:$A$81,0))</f>
        <v>1</v>
      </c>
    </row>
    <row r="1909" customFormat="false" ht="15" hidden="false" customHeight="false" outlineLevel="0" collapsed="false">
      <c r="A1909" s="0" t="s">
        <v>2233</v>
      </c>
      <c r="B1909" s="0" t="s">
        <v>94</v>
      </c>
      <c r="C1909" s="0" t="str">
        <f aca="false">INDEX(Intent_Analysis!$B$5:$B$81,MATCH(B1909,Intent_Analysis!$A$5:$A$81,0))</f>
        <v>Fees &amp; charges</v>
      </c>
      <c r="D1909" s="0" t="n">
        <f aca="false">INDEX(Intent_Analysis!$E$5:$E$81,MATCH(B1909,Intent_Analysis!$A$5:$A$81,0))</f>
        <v>1</v>
      </c>
    </row>
    <row r="1910" customFormat="false" ht="15" hidden="false" customHeight="false" outlineLevel="0" collapsed="false">
      <c r="A1910" s="0" t="s">
        <v>2234</v>
      </c>
      <c r="B1910" s="0" t="s">
        <v>94</v>
      </c>
      <c r="C1910" s="0" t="str">
        <f aca="false">INDEX(Intent_Analysis!$B$5:$B$81,MATCH(B1910,Intent_Analysis!$A$5:$A$81,0))</f>
        <v>Fees &amp; charges</v>
      </c>
      <c r="D1910" s="0" t="n">
        <f aca="false">INDEX(Intent_Analysis!$E$5:$E$81,MATCH(B1910,Intent_Analysis!$A$5:$A$81,0))</f>
        <v>1</v>
      </c>
    </row>
    <row r="1911" customFormat="false" ht="15" hidden="false" customHeight="false" outlineLevel="0" collapsed="false">
      <c r="A1911" s="0" t="s">
        <v>2235</v>
      </c>
      <c r="B1911" s="0" t="s">
        <v>94</v>
      </c>
      <c r="C1911" s="0" t="str">
        <f aca="false">INDEX(Intent_Analysis!$B$5:$B$81,MATCH(B1911,Intent_Analysis!$A$5:$A$81,0))</f>
        <v>Fees &amp; charges</v>
      </c>
      <c r="D1911" s="0" t="n">
        <f aca="false">INDEX(Intent_Analysis!$E$5:$E$81,MATCH(B1911,Intent_Analysis!$A$5:$A$81,0))</f>
        <v>1</v>
      </c>
    </row>
    <row r="1912" customFormat="false" ht="15" hidden="false" customHeight="false" outlineLevel="0" collapsed="false">
      <c r="A1912" s="0" t="s">
        <v>2236</v>
      </c>
      <c r="B1912" s="0" t="s">
        <v>94</v>
      </c>
      <c r="C1912" s="0" t="str">
        <f aca="false">INDEX(Intent_Analysis!$B$5:$B$81,MATCH(B1912,Intent_Analysis!$A$5:$A$81,0))</f>
        <v>Fees &amp; charges</v>
      </c>
      <c r="D1912" s="0" t="n">
        <f aca="false">INDEX(Intent_Analysis!$E$5:$E$81,MATCH(B1912,Intent_Analysis!$A$5:$A$81,0))</f>
        <v>1</v>
      </c>
    </row>
    <row r="1913" customFormat="false" ht="15" hidden="false" customHeight="false" outlineLevel="0" collapsed="false">
      <c r="A1913" s="0" t="s">
        <v>2237</v>
      </c>
      <c r="B1913" s="0" t="s">
        <v>94</v>
      </c>
      <c r="C1913" s="0" t="str">
        <f aca="false">INDEX(Intent_Analysis!$B$5:$B$81,MATCH(B1913,Intent_Analysis!$A$5:$A$81,0))</f>
        <v>Fees &amp; charges</v>
      </c>
      <c r="D1913" s="0" t="n">
        <f aca="false">INDEX(Intent_Analysis!$E$5:$E$81,MATCH(B1913,Intent_Analysis!$A$5:$A$81,0))</f>
        <v>1</v>
      </c>
    </row>
    <row r="1914" customFormat="false" ht="15" hidden="false" customHeight="false" outlineLevel="0" collapsed="false">
      <c r="A1914" s="0" t="s">
        <v>2238</v>
      </c>
      <c r="B1914" s="0" t="s">
        <v>94</v>
      </c>
      <c r="C1914" s="0" t="str">
        <f aca="false">INDEX(Intent_Analysis!$B$5:$B$81,MATCH(B1914,Intent_Analysis!$A$5:$A$81,0))</f>
        <v>Fees &amp; charges</v>
      </c>
      <c r="D1914" s="0" t="n">
        <f aca="false">INDEX(Intent_Analysis!$E$5:$E$81,MATCH(B1914,Intent_Analysis!$A$5:$A$81,0))</f>
        <v>1</v>
      </c>
    </row>
    <row r="1915" customFormat="false" ht="15" hidden="false" customHeight="false" outlineLevel="0" collapsed="false">
      <c r="A1915" s="0" t="s">
        <v>2239</v>
      </c>
      <c r="B1915" s="0" t="s">
        <v>94</v>
      </c>
      <c r="C1915" s="0" t="str">
        <f aca="false">INDEX(Intent_Analysis!$B$5:$B$81,MATCH(B1915,Intent_Analysis!$A$5:$A$81,0))</f>
        <v>Fees &amp; charges</v>
      </c>
      <c r="D1915" s="0" t="n">
        <f aca="false">INDEX(Intent_Analysis!$E$5:$E$81,MATCH(B1915,Intent_Analysis!$A$5:$A$81,0))</f>
        <v>1</v>
      </c>
    </row>
    <row r="1916" customFormat="false" ht="15" hidden="false" customHeight="false" outlineLevel="0" collapsed="false">
      <c r="A1916" s="0" t="s">
        <v>2240</v>
      </c>
      <c r="B1916" s="0" t="s">
        <v>94</v>
      </c>
      <c r="C1916" s="0" t="str">
        <f aca="false">INDEX(Intent_Analysis!$B$5:$B$81,MATCH(B1916,Intent_Analysis!$A$5:$A$81,0))</f>
        <v>Fees &amp; charges</v>
      </c>
      <c r="D1916" s="0" t="n">
        <f aca="false">INDEX(Intent_Analysis!$E$5:$E$81,MATCH(B1916,Intent_Analysis!$A$5:$A$81,0))</f>
        <v>1</v>
      </c>
    </row>
    <row r="1917" customFormat="false" ht="15" hidden="false" customHeight="false" outlineLevel="0" collapsed="false">
      <c r="A1917" s="0" t="s">
        <v>2241</v>
      </c>
      <c r="B1917" s="0" t="s">
        <v>94</v>
      </c>
      <c r="C1917" s="0" t="str">
        <f aca="false">INDEX(Intent_Analysis!$B$5:$B$81,MATCH(B1917,Intent_Analysis!$A$5:$A$81,0))</f>
        <v>Fees &amp; charges</v>
      </c>
      <c r="D1917" s="0" t="n">
        <f aca="false">INDEX(Intent_Analysis!$E$5:$E$81,MATCH(B1917,Intent_Analysis!$A$5:$A$81,0))</f>
        <v>1</v>
      </c>
    </row>
    <row r="1918" customFormat="false" ht="15" hidden="false" customHeight="false" outlineLevel="0" collapsed="false">
      <c r="A1918" s="0" t="s">
        <v>2242</v>
      </c>
      <c r="B1918" s="0" t="s">
        <v>94</v>
      </c>
      <c r="C1918" s="0" t="str">
        <f aca="false">INDEX(Intent_Analysis!$B$5:$B$81,MATCH(B1918,Intent_Analysis!$A$5:$A$81,0))</f>
        <v>Fees &amp; charges</v>
      </c>
      <c r="D1918" s="0" t="n">
        <f aca="false">INDEX(Intent_Analysis!$E$5:$E$81,MATCH(B1918,Intent_Analysis!$A$5:$A$81,0))</f>
        <v>1</v>
      </c>
    </row>
    <row r="1919" customFormat="false" ht="15" hidden="false" customHeight="false" outlineLevel="0" collapsed="false">
      <c r="A1919" s="0" t="s">
        <v>2243</v>
      </c>
      <c r="B1919" s="0" t="s">
        <v>94</v>
      </c>
      <c r="C1919" s="0" t="str">
        <f aca="false">INDEX(Intent_Analysis!$B$5:$B$81,MATCH(B1919,Intent_Analysis!$A$5:$A$81,0))</f>
        <v>Fees &amp; charges</v>
      </c>
      <c r="D1919" s="0" t="n">
        <f aca="false">INDEX(Intent_Analysis!$E$5:$E$81,MATCH(B1919,Intent_Analysis!$A$5:$A$81,0))</f>
        <v>1</v>
      </c>
    </row>
    <row r="1920" customFormat="false" ht="15" hidden="false" customHeight="false" outlineLevel="0" collapsed="false">
      <c r="A1920" s="0" t="s">
        <v>2244</v>
      </c>
      <c r="B1920" s="0" t="s">
        <v>94</v>
      </c>
      <c r="C1920" s="0" t="str">
        <f aca="false">INDEX(Intent_Analysis!$B$5:$B$81,MATCH(B1920,Intent_Analysis!$A$5:$A$81,0))</f>
        <v>Fees &amp; charges</v>
      </c>
      <c r="D1920" s="0" t="n">
        <f aca="false">INDEX(Intent_Analysis!$E$5:$E$81,MATCH(B1920,Intent_Analysis!$A$5:$A$81,0))</f>
        <v>1</v>
      </c>
    </row>
    <row r="1921" customFormat="false" ht="15" hidden="false" customHeight="false" outlineLevel="0" collapsed="false">
      <c r="A1921" s="0" t="s">
        <v>2245</v>
      </c>
      <c r="B1921" s="0" t="s">
        <v>94</v>
      </c>
      <c r="C1921" s="0" t="str">
        <f aca="false">INDEX(Intent_Analysis!$B$5:$B$81,MATCH(B1921,Intent_Analysis!$A$5:$A$81,0))</f>
        <v>Fees &amp; charges</v>
      </c>
      <c r="D1921" s="0" t="n">
        <f aca="false">INDEX(Intent_Analysis!$E$5:$E$81,MATCH(B1921,Intent_Analysis!$A$5:$A$81,0))</f>
        <v>1</v>
      </c>
    </row>
    <row r="1922" customFormat="false" ht="15" hidden="false" customHeight="false" outlineLevel="0" collapsed="false">
      <c r="A1922" s="0" t="s">
        <v>2246</v>
      </c>
      <c r="B1922" s="0" t="s">
        <v>94</v>
      </c>
      <c r="C1922" s="0" t="str">
        <f aca="false">INDEX(Intent_Analysis!$B$5:$B$81,MATCH(B1922,Intent_Analysis!$A$5:$A$81,0))</f>
        <v>Fees &amp; charges</v>
      </c>
      <c r="D1922" s="0" t="n">
        <f aca="false">INDEX(Intent_Analysis!$E$5:$E$81,MATCH(B1922,Intent_Analysis!$A$5:$A$81,0))</f>
        <v>1</v>
      </c>
    </row>
    <row r="1923" customFormat="false" ht="15" hidden="false" customHeight="false" outlineLevel="0" collapsed="false">
      <c r="A1923" s="0" t="s">
        <v>2247</v>
      </c>
      <c r="B1923" s="0" t="s">
        <v>94</v>
      </c>
      <c r="C1923" s="0" t="str">
        <f aca="false">INDEX(Intent_Analysis!$B$5:$B$81,MATCH(B1923,Intent_Analysis!$A$5:$A$81,0))</f>
        <v>Fees &amp; charges</v>
      </c>
      <c r="D1923" s="0" t="n">
        <f aca="false">INDEX(Intent_Analysis!$E$5:$E$81,MATCH(B1923,Intent_Analysis!$A$5:$A$81,0))</f>
        <v>1</v>
      </c>
    </row>
    <row r="1924" customFormat="false" ht="15" hidden="false" customHeight="false" outlineLevel="0" collapsed="false">
      <c r="A1924" s="0" t="s">
        <v>2248</v>
      </c>
      <c r="B1924" s="0" t="s">
        <v>94</v>
      </c>
      <c r="C1924" s="0" t="str">
        <f aca="false">INDEX(Intent_Analysis!$B$5:$B$81,MATCH(B1924,Intent_Analysis!$A$5:$A$81,0))</f>
        <v>Fees &amp; charges</v>
      </c>
      <c r="D1924" s="0" t="n">
        <f aca="false">INDEX(Intent_Analysis!$E$5:$E$81,MATCH(B1924,Intent_Analysis!$A$5:$A$81,0))</f>
        <v>1</v>
      </c>
    </row>
    <row r="1925" customFormat="false" ht="15" hidden="false" customHeight="false" outlineLevel="0" collapsed="false">
      <c r="A1925" s="0" t="s">
        <v>2249</v>
      </c>
      <c r="B1925" s="0" t="s">
        <v>94</v>
      </c>
      <c r="C1925" s="0" t="str">
        <f aca="false">INDEX(Intent_Analysis!$B$5:$B$81,MATCH(B1925,Intent_Analysis!$A$5:$A$81,0))</f>
        <v>Fees &amp; charges</v>
      </c>
      <c r="D1925" s="0" t="n">
        <f aca="false">INDEX(Intent_Analysis!$E$5:$E$81,MATCH(B1925,Intent_Analysis!$A$5:$A$81,0))</f>
        <v>1</v>
      </c>
    </row>
    <row r="1926" customFormat="false" ht="15" hidden="false" customHeight="false" outlineLevel="0" collapsed="false">
      <c r="A1926" s="0" t="s">
        <v>2250</v>
      </c>
      <c r="B1926" s="0" t="s">
        <v>94</v>
      </c>
      <c r="C1926" s="0" t="str">
        <f aca="false">INDEX(Intent_Analysis!$B$5:$B$81,MATCH(B1926,Intent_Analysis!$A$5:$A$81,0))</f>
        <v>Fees &amp; charges</v>
      </c>
      <c r="D1926" s="0" t="n">
        <f aca="false">INDEX(Intent_Analysis!$E$5:$E$81,MATCH(B1926,Intent_Analysis!$A$5:$A$81,0))</f>
        <v>1</v>
      </c>
    </row>
    <row r="1927" customFormat="false" ht="15" hidden="false" customHeight="false" outlineLevel="0" collapsed="false">
      <c r="A1927" s="0" t="s">
        <v>2251</v>
      </c>
      <c r="B1927" s="0" t="s">
        <v>94</v>
      </c>
      <c r="C1927" s="0" t="str">
        <f aca="false">INDEX(Intent_Analysis!$B$5:$B$81,MATCH(B1927,Intent_Analysis!$A$5:$A$81,0))</f>
        <v>Fees &amp; charges</v>
      </c>
      <c r="D1927" s="0" t="n">
        <f aca="false">INDEX(Intent_Analysis!$E$5:$E$81,MATCH(B1927,Intent_Analysis!$A$5:$A$81,0))</f>
        <v>1</v>
      </c>
    </row>
    <row r="1928" customFormat="false" ht="15" hidden="false" customHeight="false" outlineLevel="0" collapsed="false">
      <c r="A1928" s="0" t="s">
        <v>2252</v>
      </c>
      <c r="B1928" s="0" t="s">
        <v>94</v>
      </c>
      <c r="C1928" s="0" t="str">
        <f aca="false">INDEX(Intent_Analysis!$B$5:$B$81,MATCH(B1928,Intent_Analysis!$A$5:$A$81,0))</f>
        <v>Fees &amp; charges</v>
      </c>
      <c r="D1928" s="0" t="n">
        <f aca="false">INDEX(Intent_Analysis!$E$5:$E$81,MATCH(B1928,Intent_Analysis!$A$5:$A$81,0))</f>
        <v>1</v>
      </c>
    </row>
    <row r="1929" customFormat="false" ht="15" hidden="false" customHeight="false" outlineLevel="0" collapsed="false">
      <c r="A1929" s="0" t="s">
        <v>2253</v>
      </c>
      <c r="B1929" s="0" t="s">
        <v>94</v>
      </c>
      <c r="C1929" s="0" t="str">
        <f aca="false">INDEX(Intent_Analysis!$B$5:$B$81,MATCH(B1929,Intent_Analysis!$A$5:$A$81,0))</f>
        <v>Fees &amp; charges</v>
      </c>
      <c r="D1929" s="0" t="n">
        <f aca="false">INDEX(Intent_Analysis!$E$5:$E$81,MATCH(B1929,Intent_Analysis!$A$5:$A$81,0))</f>
        <v>1</v>
      </c>
    </row>
    <row r="1930" customFormat="false" ht="15" hidden="false" customHeight="false" outlineLevel="0" collapsed="false">
      <c r="A1930" s="0" t="s">
        <v>2254</v>
      </c>
      <c r="B1930" s="0" t="s">
        <v>102</v>
      </c>
      <c r="C1930" s="0" t="str">
        <f aca="false">INDEX(Intent_Analysis!$B$5:$B$81,MATCH(B1930,Intent_Analysis!$A$5:$A$81,0))</f>
        <v>Top-ups</v>
      </c>
      <c r="D1930" s="0" t="n">
        <f aca="false">INDEX(Intent_Analysis!$E$5:$E$81,MATCH(B1930,Intent_Analysis!$A$5:$A$81,0))</f>
        <v>2</v>
      </c>
    </row>
    <row r="1931" customFormat="false" ht="15" hidden="false" customHeight="false" outlineLevel="0" collapsed="false">
      <c r="A1931" s="0" t="s">
        <v>2255</v>
      </c>
      <c r="B1931" s="0" t="s">
        <v>102</v>
      </c>
      <c r="C1931" s="0" t="str">
        <f aca="false">INDEX(Intent_Analysis!$B$5:$B$81,MATCH(B1931,Intent_Analysis!$A$5:$A$81,0))</f>
        <v>Top-ups</v>
      </c>
      <c r="D1931" s="0" t="n">
        <f aca="false">INDEX(Intent_Analysis!$E$5:$E$81,MATCH(B1931,Intent_Analysis!$A$5:$A$81,0))</f>
        <v>2</v>
      </c>
    </row>
    <row r="1932" customFormat="false" ht="15" hidden="false" customHeight="false" outlineLevel="0" collapsed="false">
      <c r="A1932" s="0" t="s">
        <v>2256</v>
      </c>
      <c r="B1932" s="0" t="s">
        <v>102</v>
      </c>
      <c r="C1932" s="0" t="str">
        <f aca="false">INDEX(Intent_Analysis!$B$5:$B$81,MATCH(B1932,Intent_Analysis!$A$5:$A$81,0))</f>
        <v>Top-ups</v>
      </c>
      <c r="D1932" s="0" t="n">
        <f aca="false">INDEX(Intent_Analysis!$E$5:$E$81,MATCH(B1932,Intent_Analysis!$A$5:$A$81,0))</f>
        <v>2</v>
      </c>
    </row>
    <row r="1933" customFormat="false" ht="15" hidden="false" customHeight="false" outlineLevel="0" collapsed="false">
      <c r="A1933" s="0" t="s">
        <v>2257</v>
      </c>
      <c r="B1933" s="0" t="s">
        <v>102</v>
      </c>
      <c r="C1933" s="0" t="str">
        <f aca="false">INDEX(Intent_Analysis!$B$5:$B$81,MATCH(B1933,Intent_Analysis!$A$5:$A$81,0))</f>
        <v>Top-ups</v>
      </c>
      <c r="D1933" s="0" t="n">
        <f aca="false">INDEX(Intent_Analysis!$E$5:$E$81,MATCH(B1933,Intent_Analysis!$A$5:$A$81,0))</f>
        <v>2</v>
      </c>
    </row>
    <row r="1934" customFormat="false" ht="15" hidden="false" customHeight="false" outlineLevel="0" collapsed="false">
      <c r="A1934" s="0" t="s">
        <v>2258</v>
      </c>
      <c r="B1934" s="0" t="s">
        <v>102</v>
      </c>
      <c r="C1934" s="0" t="str">
        <f aca="false">INDEX(Intent_Analysis!$B$5:$B$81,MATCH(B1934,Intent_Analysis!$A$5:$A$81,0))</f>
        <v>Top-ups</v>
      </c>
      <c r="D1934" s="0" t="n">
        <f aca="false">INDEX(Intent_Analysis!$E$5:$E$81,MATCH(B1934,Intent_Analysis!$A$5:$A$81,0))</f>
        <v>2</v>
      </c>
    </row>
    <row r="1935" customFormat="false" ht="15" hidden="false" customHeight="false" outlineLevel="0" collapsed="false">
      <c r="A1935" s="0" t="s">
        <v>2259</v>
      </c>
      <c r="B1935" s="0" t="s">
        <v>102</v>
      </c>
      <c r="C1935" s="0" t="str">
        <f aca="false">INDEX(Intent_Analysis!$B$5:$B$81,MATCH(B1935,Intent_Analysis!$A$5:$A$81,0))</f>
        <v>Top-ups</v>
      </c>
      <c r="D1935" s="0" t="n">
        <f aca="false">INDEX(Intent_Analysis!$E$5:$E$81,MATCH(B1935,Intent_Analysis!$A$5:$A$81,0))</f>
        <v>2</v>
      </c>
    </row>
    <row r="1936" customFormat="false" ht="15" hidden="false" customHeight="false" outlineLevel="0" collapsed="false">
      <c r="A1936" s="0" t="s">
        <v>2260</v>
      </c>
      <c r="B1936" s="0" t="s">
        <v>102</v>
      </c>
      <c r="C1936" s="0" t="str">
        <f aca="false">INDEX(Intent_Analysis!$B$5:$B$81,MATCH(B1936,Intent_Analysis!$A$5:$A$81,0))</f>
        <v>Top-ups</v>
      </c>
      <c r="D1936" s="0" t="n">
        <f aca="false">INDEX(Intent_Analysis!$E$5:$E$81,MATCH(B1936,Intent_Analysis!$A$5:$A$81,0))</f>
        <v>2</v>
      </c>
    </row>
    <row r="1937" customFormat="false" ht="15" hidden="false" customHeight="false" outlineLevel="0" collapsed="false">
      <c r="A1937" s="0" t="s">
        <v>2261</v>
      </c>
      <c r="B1937" s="0" t="s">
        <v>102</v>
      </c>
      <c r="C1937" s="0" t="str">
        <f aca="false">INDEX(Intent_Analysis!$B$5:$B$81,MATCH(B1937,Intent_Analysis!$A$5:$A$81,0))</f>
        <v>Top-ups</v>
      </c>
      <c r="D1937" s="0" t="n">
        <f aca="false">INDEX(Intent_Analysis!$E$5:$E$81,MATCH(B1937,Intent_Analysis!$A$5:$A$81,0))</f>
        <v>2</v>
      </c>
    </row>
    <row r="1938" customFormat="false" ht="15" hidden="false" customHeight="false" outlineLevel="0" collapsed="false">
      <c r="A1938" s="0" t="s">
        <v>2262</v>
      </c>
      <c r="B1938" s="0" t="s">
        <v>102</v>
      </c>
      <c r="C1938" s="0" t="str">
        <f aca="false">INDEX(Intent_Analysis!$B$5:$B$81,MATCH(B1938,Intent_Analysis!$A$5:$A$81,0))</f>
        <v>Top-ups</v>
      </c>
      <c r="D1938" s="0" t="n">
        <f aca="false">INDEX(Intent_Analysis!$E$5:$E$81,MATCH(B1938,Intent_Analysis!$A$5:$A$81,0))</f>
        <v>2</v>
      </c>
    </row>
    <row r="1939" customFormat="false" ht="15" hidden="false" customHeight="false" outlineLevel="0" collapsed="false">
      <c r="A1939" s="0" t="s">
        <v>2263</v>
      </c>
      <c r="B1939" s="0" t="s">
        <v>102</v>
      </c>
      <c r="C1939" s="0" t="str">
        <f aca="false">INDEX(Intent_Analysis!$B$5:$B$81,MATCH(B1939,Intent_Analysis!$A$5:$A$81,0))</f>
        <v>Top-ups</v>
      </c>
      <c r="D1939" s="0" t="n">
        <f aca="false">INDEX(Intent_Analysis!$E$5:$E$81,MATCH(B1939,Intent_Analysis!$A$5:$A$81,0))</f>
        <v>2</v>
      </c>
    </row>
    <row r="1940" customFormat="false" ht="15" hidden="false" customHeight="false" outlineLevel="0" collapsed="false">
      <c r="A1940" s="0" t="s">
        <v>2264</v>
      </c>
      <c r="B1940" s="0" t="s">
        <v>102</v>
      </c>
      <c r="C1940" s="0" t="str">
        <f aca="false">INDEX(Intent_Analysis!$B$5:$B$81,MATCH(B1940,Intent_Analysis!$A$5:$A$81,0))</f>
        <v>Top-ups</v>
      </c>
      <c r="D1940" s="0" t="n">
        <f aca="false">INDEX(Intent_Analysis!$E$5:$E$81,MATCH(B1940,Intent_Analysis!$A$5:$A$81,0))</f>
        <v>2</v>
      </c>
    </row>
    <row r="1941" customFormat="false" ht="15" hidden="false" customHeight="false" outlineLevel="0" collapsed="false">
      <c r="A1941" s="0" t="s">
        <v>2265</v>
      </c>
      <c r="B1941" s="0" t="s">
        <v>102</v>
      </c>
      <c r="C1941" s="0" t="str">
        <f aca="false">INDEX(Intent_Analysis!$B$5:$B$81,MATCH(B1941,Intent_Analysis!$A$5:$A$81,0))</f>
        <v>Top-ups</v>
      </c>
      <c r="D1941" s="0" t="n">
        <f aca="false">INDEX(Intent_Analysis!$E$5:$E$81,MATCH(B1941,Intent_Analysis!$A$5:$A$81,0))</f>
        <v>2</v>
      </c>
    </row>
    <row r="1942" customFormat="false" ht="15" hidden="false" customHeight="false" outlineLevel="0" collapsed="false">
      <c r="A1942" s="0" t="s">
        <v>2266</v>
      </c>
      <c r="B1942" s="0" t="s">
        <v>102</v>
      </c>
      <c r="C1942" s="0" t="str">
        <f aca="false">INDEX(Intent_Analysis!$B$5:$B$81,MATCH(B1942,Intent_Analysis!$A$5:$A$81,0))</f>
        <v>Top-ups</v>
      </c>
      <c r="D1942" s="0" t="n">
        <f aca="false">INDEX(Intent_Analysis!$E$5:$E$81,MATCH(B1942,Intent_Analysis!$A$5:$A$81,0))</f>
        <v>2</v>
      </c>
    </row>
    <row r="1943" customFormat="false" ht="15" hidden="false" customHeight="false" outlineLevel="0" collapsed="false">
      <c r="A1943" s="0" t="s">
        <v>2267</v>
      </c>
      <c r="B1943" s="0" t="s">
        <v>102</v>
      </c>
      <c r="C1943" s="0" t="str">
        <f aca="false">INDEX(Intent_Analysis!$B$5:$B$81,MATCH(B1943,Intent_Analysis!$A$5:$A$81,0))</f>
        <v>Top-ups</v>
      </c>
      <c r="D1943" s="0" t="n">
        <f aca="false">INDEX(Intent_Analysis!$E$5:$E$81,MATCH(B1943,Intent_Analysis!$A$5:$A$81,0))</f>
        <v>2</v>
      </c>
    </row>
    <row r="1944" customFormat="false" ht="15" hidden="false" customHeight="false" outlineLevel="0" collapsed="false">
      <c r="A1944" s="0" t="s">
        <v>2268</v>
      </c>
      <c r="B1944" s="0" t="s">
        <v>102</v>
      </c>
      <c r="C1944" s="0" t="str">
        <f aca="false">INDEX(Intent_Analysis!$B$5:$B$81,MATCH(B1944,Intent_Analysis!$A$5:$A$81,0))</f>
        <v>Top-ups</v>
      </c>
      <c r="D1944" s="0" t="n">
        <f aca="false">INDEX(Intent_Analysis!$E$5:$E$81,MATCH(B1944,Intent_Analysis!$A$5:$A$81,0))</f>
        <v>2</v>
      </c>
    </row>
    <row r="1945" customFormat="false" ht="15" hidden="false" customHeight="false" outlineLevel="0" collapsed="false">
      <c r="A1945" s="0" t="s">
        <v>2269</v>
      </c>
      <c r="B1945" s="0" t="s">
        <v>102</v>
      </c>
      <c r="C1945" s="0" t="str">
        <f aca="false">INDEX(Intent_Analysis!$B$5:$B$81,MATCH(B1945,Intent_Analysis!$A$5:$A$81,0))</f>
        <v>Top-ups</v>
      </c>
      <c r="D1945" s="0" t="n">
        <f aca="false">INDEX(Intent_Analysis!$E$5:$E$81,MATCH(B1945,Intent_Analysis!$A$5:$A$81,0))</f>
        <v>2</v>
      </c>
    </row>
    <row r="1946" customFormat="false" ht="15" hidden="false" customHeight="false" outlineLevel="0" collapsed="false">
      <c r="A1946" s="0" t="s">
        <v>2270</v>
      </c>
      <c r="B1946" s="0" t="s">
        <v>102</v>
      </c>
      <c r="C1946" s="0" t="str">
        <f aca="false">INDEX(Intent_Analysis!$B$5:$B$81,MATCH(B1946,Intent_Analysis!$A$5:$A$81,0))</f>
        <v>Top-ups</v>
      </c>
      <c r="D1946" s="0" t="n">
        <f aca="false">INDEX(Intent_Analysis!$E$5:$E$81,MATCH(B1946,Intent_Analysis!$A$5:$A$81,0))</f>
        <v>2</v>
      </c>
    </row>
    <row r="1947" customFormat="false" ht="15" hidden="false" customHeight="false" outlineLevel="0" collapsed="false">
      <c r="A1947" s="0" t="s">
        <v>2271</v>
      </c>
      <c r="B1947" s="0" t="s">
        <v>102</v>
      </c>
      <c r="C1947" s="0" t="str">
        <f aca="false">INDEX(Intent_Analysis!$B$5:$B$81,MATCH(B1947,Intent_Analysis!$A$5:$A$81,0))</f>
        <v>Top-ups</v>
      </c>
      <c r="D1947" s="0" t="n">
        <f aca="false">INDEX(Intent_Analysis!$E$5:$E$81,MATCH(B1947,Intent_Analysis!$A$5:$A$81,0))</f>
        <v>2</v>
      </c>
    </row>
    <row r="1948" customFormat="false" ht="15" hidden="false" customHeight="false" outlineLevel="0" collapsed="false">
      <c r="A1948" s="0" t="s">
        <v>2272</v>
      </c>
      <c r="B1948" s="0" t="s">
        <v>102</v>
      </c>
      <c r="C1948" s="0" t="str">
        <f aca="false">INDEX(Intent_Analysis!$B$5:$B$81,MATCH(B1948,Intent_Analysis!$A$5:$A$81,0))</f>
        <v>Top-ups</v>
      </c>
      <c r="D1948" s="0" t="n">
        <f aca="false">INDEX(Intent_Analysis!$E$5:$E$81,MATCH(B1948,Intent_Analysis!$A$5:$A$81,0))</f>
        <v>2</v>
      </c>
    </row>
    <row r="1949" customFormat="false" ht="15" hidden="false" customHeight="false" outlineLevel="0" collapsed="false">
      <c r="A1949" s="0" t="s">
        <v>2273</v>
      </c>
      <c r="B1949" s="0" t="s">
        <v>102</v>
      </c>
      <c r="C1949" s="0" t="str">
        <f aca="false">INDEX(Intent_Analysis!$B$5:$B$81,MATCH(B1949,Intent_Analysis!$A$5:$A$81,0))</f>
        <v>Top-ups</v>
      </c>
      <c r="D1949" s="0" t="n">
        <f aca="false">INDEX(Intent_Analysis!$E$5:$E$81,MATCH(B1949,Intent_Analysis!$A$5:$A$81,0))</f>
        <v>2</v>
      </c>
    </row>
    <row r="1950" customFormat="false" ht="15" hidden="false" customHeight="false" outlineLevel="0" collapsed="false">
      <c r="A1950" s="0" t="s">
        <v>2274</v>
      </c>
      <c r="B1950" s="0" t="s">
        <v>102</v>
      </c>
      <c r="C1950" s="0" t="str">
        <f aca="false">INDEX(Intent_Analysis!$B$5:$B$81,MATCH(B1950,Intent_Analysis!$A$5:$A$81,0))</f>
        <v>Top-ups</v>
      </c>
      <c r="D1950" s="0" t="n">
        <f aca="false">INDEX(Intent_Analysis!$E$5:$E$81,MATCH(B1950,Intent_Analysis!$A$5:$A$81,0))</f>
        <v>2</v>
      </c>
    </row>
    <row r="1951" customFormat="false" ht="15" hidden="false" customHeight="false" outlineLevel="0" collapsed="false">
      <c r="A1951" s="0" t="s">
        <v>2275</v>
      </c>
      <c r="B1951" s="0" t="s">
        <v>102</v>
      </c>
      <c r="C1951" s="0" t="str">
        <f aca="false">INDEX(Intent_Analysis!$B$5:$B$81,MATCH(B1951,Intent_Analysis!$A$5:$A$81,0))</f>
        <v>Top-ups</v>
      </c>
      <c r="D1951" s="0" t="n">
        <f aca="false">INDEX(Intent_Analysis!$E$5:$E$81,MATCH(B1951,Intent_Analysis!$A$5:$A$81,0))</f>
        <v>2</v>
      </c>
    </row>
    <row r="1952" customFormat="false" ht="15" hidden="false" customHeight="false" outlineLevel="0" collapsed="false">
      <c r="A1952" s="0" t="s">
        <v>2276</v>
      </c>
      <c r="B1952" s="0" t="s">
        <v>102</v>
      </c>
      <c r="C1952" s="0" t="str">
        <f aca="false">INDEX(Intent_Analysis!$B$5:$B$81,MATCH(B1952,Intent_Analysis!$A$5:$A$81,0))</f>
        <v>Top-ups</v>
      </c>
      <c r="D1952" s="0" t="n">
        <f aca="false">INDEX(Intent_Analysis!$E$5:$E$81,MATCH(B1952,Intent_Analysis!$A$5:$A$81,0))</f>
        <v>2</v>
      </c>
    </row>
    <row r="1953" customFormat="false" ht="15" hidden="false" customHeight="false" outlineLevel="0" collapsed="false">
      <c r="A1953" s="0" t="s">
        <v>2277</v>
      </c>
      <c r="B1953" s="0" t="s">
        <v>102</v>
      </c>
      <c r="C1953" s="0" t="str">
        <f aca="false">INDEX(Intent_Analysis!$B$5:$B$81,MATCH(B1953,Intent_Analysis!$A$5:$A$81,0))</f>
        <v>Top-ups</v>
      </c>
      <c r="D1953" s="0" t="n">
        <f aca="false">INDEX(Intent_Analysis!$E$5:$E$81,MATCH(B1953,Intent_Analysis!$A$5:$A$81,0))</f>
        <v>2</v>
      </c>
    </row>
    <row r="1954" customFormat="false" ht="15" hidden="false" customHeight="false" outlineLevel="0" collapsed="false">
      <c r="A1954" s="0" t="s">
        <v>2278</v>
      </c>
      <c r="B1954" s="0" t="s">
        <v>102</v>
      </c>
      <c r="C1954" s="0" t="str">
        <f aca="false">INDEX(Intent_Analysis!$B$5:$B$81,MATCH(B1954,Intent_Analysis!$A$5:$A$81,0))</f>
        <v>Top-ups</v>
      </c>
      <c r="D1954" s="0" t="n">
        <f aca="false">INDEX(Intent_Analysis!$E$5:$E$81,MATCH(B1954,Intent_Analysis!$A$5:$A$81,0))</f>
        <v>2</v>
      </c>
    </row>
    <row r="1955" customFormat="false" ht="15" hidden="false" customHeight="false" outlineLevel="0" collapsed="false">
      <c r="A1955" s="0" t="s">
        <v>2279</v>
      </c>
      <c r="B1955" s="0" t="s">
        <v>102</v>
      </c>
      <c r="C1955" s="0" t="str">
        <f aca="false">INDEX(Intent_Analysis!$B$5:$B$81,MATCH(B1955,Intent_Analysis!$A$5:$A$81,0))</f>
        <v>Top-ups</v>
      </c>
      <c r="D1955" s="0" t="n">
        <f aca="false">INDEX(Intent_Analysis!$E$5:$E$81,MATCH(B1955,Intent_Analysis!$A$5:$A$81,0))</f>
        <v>2</v>
      </c>
    </row>
    <row r="1956" customFormat="false" ht="15" hidden="false" customHeight="false" outlineLevel="0" collapsed="false">
      <c r="A1956" s="0" t="s">
        <v>2280</v>
      </c>
      <c r="B1956" s="0" t="s">
        <v>102</v>
      </c>
      <c r="C1956" s="0" t="str">
        <f aca="false">INDEX(Intent_Analysis!$B$5:$B$81,MATCH(B1956,Intent_Analysis!$A$5:$A$81,0))</f>
        <v>Top-ups</v>
      </c>
      <c r="D1956" s="0" t="n">
        <f aca="false">INDEX(Intent_Analysis!$E$5:$E$81,MATCH(B1956,Intent_Analysis!$A$5:$A$81,0))</f>
        <v>2</v>
      </c>
    </row>
    <row r="1957" customFormat="false" ht="15" hidden="false" customHeight="false" outlineLevel="0" collapsed="false">
      <c r="A1957" s="0" t="s">
        <v>2281</v>
      </c>
      <c r="B1957" s="0" t="s">
        <v>102</v>
      </c>
      <c r="C1957" s="0" t="str">
        <f aca="false">INDEX(Intent_Analysis!$B$5:$B$81,MATCH(B1957,Intent_Analysis!$A$5:$A$81,0))</f>
        <v>Top-ups</v>
      </c>
      <c r="D1957" s="0" t="n">
        <f aca="false">INDEX(Intent_Analysis!$E$5:$E$81,MATCH(B1957,Intent_Analysis!$A$5:$A$81,0))</f>
        <v>2</v>
      </c>
    </row>
    <row r="1958" customFormat="false" ht="15" hidden="false" customHeight="false" outlineLevel="0" collapsed="false">
      <c r="A1958" s="0" t="s">
        <v>2282</v>
      </c>
      <c r="B1958" s="0" t="s">
        <v>102</v>
      </c>
      <c r="C1958" s="0" t="str">
        <f aca="false">INDEX(Intent_Analysis!$B$5:$B$81,MATCH(B1958,Intent_Analysis!$A$5:$A$81,0))</f>
        <v>Top-ups</v>
      </c>
      <c r="D1958" s="0" t="n">
        <f aca="false">INDEX(Intent_Analysis!$E$5:$E$81,MATCH(B1958,Intent_Analysis!$A$5:$A$81,0))</f>
        <v>2</v>
      </c>
    </row>
    <row r="1959" customFormat="false" ht="15" hidden="false" customHeight="false" outlineLevel="0" collapsed="false">
      <c r="A1959" s="0" t="s">
        <v>2283</v>
      </c>
      <c r="B1959" s="0" t="s">
        <v>102</v>
      </c>
      <c r="C1959" s="0" t="str">
        <f aca="false">INDEX(Intent_Analysis!$B$5:$B$81,MATCH(B1959,Intent_Analysis!$A$5:$A$81,0))</f>
        <v>Top-ups</v>
      </c>
      <c r="D1959" s="0" t="n">
        <f aca="false">INDEX(Intent_Analysis!$E$5:$E$81,MATCH(B1959,Intent_Analysis!$A$5:$A$81,0))</f>
        <v>2</v>
      </c>
    </row>
    <row r="1960" customFormat="false" ht="15" hidden="false" customHeight="false" outlineLevel="0" collapsed="false">
      <c r="A1960" s="0" t="s">
        <v>2284</v>
      </c>
      <c r="B1960" s="0" t="s">
        <v>102</v>
      </c>
      <c r="C1960" s="0" t="str">
        <f aca="false">INDEX(Intent_Analysis!$B$5:$B$81,MATCH(B1960,Intent_Analysis!$A$5:$A$81,0))</f>
        <v>Top-ups</v>
      </c>
      <c r="D1960" s="0" t="n">
        <f aca="false">INDEX(Intent_Analysis!$E$5:$E$81,MATCH(B1960,Intent_Analysis!$A$5:$A$81,0))</f>
        <v>2</v>
      </c>
    </row>
    <row r="1961" customFormat="false" ht="15" hidden="false" customHeight="false" outlineLevel="0" collapsed="false">
      <c r="A1961" s="0" t="s">
        <v>2285</v>
      </c>
      <c r="B1961" s="0" t="s">
        <v>102</v>
      </c>
      <c r="C1961" s="0" t="str">
        <f aca="false">INDEX(Intent_Analysis!$B$5:$B$81,MATCH(B1961,Intent_Analysis!$A$5:$A$81,0))</f>
        <v>Top-ups</v>
      </c>
      <c r="D1961" s="0" t="n">
        <f aca="false">INDEX(Intent_Analysis!$E$5:$E$81,MATCH(B1961,Intent_Analysis!$A$5:$A$81,0))</f>
        <v>2</v>
      </c>
    </row>
    <row r="1962" customFormat="false" ht="15" hidden="false" customHeight="false" outlineLevel="0" collapsed="false">
      <c r="A1962" s="0" t="s">
        <v>2286</v>
      </c>
      <c r="B1962" s="0" t="s">
        <v>102</v>
      </c>
      <c r="C1962" s="0" t="str">
        <f aca="false">INDEX(Intent_Analysis!$B$5:$B$81,MATCH(B1962,Intent_Analysis!$A$5:$A$81,0))</f>
        <v>Top-ups</v>
      </c>
      <c r="D1962" s="0" t="n">
        <f aca="false">INDEX(Intent_Analysis!$E$5:$E$81,MATCH(B1962,Intent_Analysis!$A$5:$A$81,0))</f>
        <v>2</v>
      </c>
    </row>
    <row r="1963" customFormat="false" ht="15" hidden="false" customHeight="false" outlineLevel="0" collapsed="false">
      <c r="A1963" s="0" t="s">
        <v>2287</v>
      </c>
      <c r="B1963" s="0" t="s">
        <v>102</v>
      </c>
      <c r="C1963" s="0" t="str">
        <f aca="false">INDEX(Intent_Analysis!$B$5:$B$81,MATCH(B1963,Intent_Analysis!$A$5:$A$81,0))</f>
        <v>Top-ups</v>
      </c>
      <c r="D1963" s="0" t="n">
        <f aca="false">INDEX(Intent_Analysis!$E$5:$E$81,MATCH(B1963,Intent_Analysis!$A$5:$A$81,0))</f>
        <v>2</v>
      </c>
    </row>
    <row r="1964" customFormat="false" ht="15" hidden="false" customHeight="false" outlineLevel="0" collapsed="false">
      <c r="A1964" s="0" t="s">
        <v>2288</v>
      </c>
      <c r="B1964" s="0" t="s">
        <v>102</v>
      </c>
      <c r="C1964" s="0" t="str">
        <f aca="false">INDEX(Intent_Analysis!$B$5:$B$81,MATCH(B1964,Intent_Analysis!$A$5:$A$81,0))</f>
        <v>Top-ups</v>
      </c>
      <c r="D1964" s="0" t="n">
        <f aca="false">INDEX(Intent_Analysis!$E$5:$E$81,MATCH(B1964,Intent_Analysis!$A$5:$A$81,0))</f>
        <v>2</v>
      </c>
    </row>
    <row r="1965" customFormat="false" ht="15" hidden="false" customHeight="false" outlineLevel="0" collapsed="false">
      <c r="A1965" s="0" t="s">
        <v>2289</v>
      </c>
      <c r="B1965" s="0" t="s">
        <v>102</v>
      </c>
      <c r="C1965" s="0" t="str">
        <f aca="false">INDEX(Intent_Analysis!$B$5:$B$81,MATCH(B1965,Intent_Analysis!$A$5:$A$81,0))</f>
        <v>Top-ups</v>
      </c>
      <c r="D1965" s="0" t="n">
        <f aca="false">INDEX(Intent_Analysis!$E$5:$E$81,MATCH(B1965,Intent_Analysis!$A$5:$A$81,0))</f>
        <v>2</v>
      </c>
    </row>
    <row r="1966" customFormat="false" ht="15" hidden="false" customHeight="false" outlineLevel="0" collapsed="false">
      <c r="A1966" s="0" t="s">
        <v>2290</v>
      </c>
      <c r="B1966" s="0" t="s">
        <v>102</v>
      </c>
      <c r="C1966" s="0" t="str">
        <f aca="false">INDEX(Intent_Analysis!$B$5:$B$81,MATCH(B1966,Intent_Analysis!$A$5:$A$81,0))</f>
        <v>Top-ups</v>
      </c>
      <c r="D1966" s="0" t="n">
        <f aca="false">INDEX(Intent_Analysis!$E$5:$E$81,MATCH(B1966,Intent_Analysis!$A$5:$A$81,0))</f>
        <v>2</v>
      </c>
    </row>
    <row r="1967" customFormat="false" ht="15" hidden="false" customHeight="false" outlineLevel="0" collapsed="false">
      <c r="A1967" s="0" t="s">
        <v>2291</v>
      </c>
      <c r="B1967" s="0" t="s">
        <v>102</v>
      </c>
      <c r="C1967" s="0" t="str">
        <f aca="false">INDEX(Intent_Analysis!$B$5:$B$81,MATCH(B1967,Intent_Analysis!$A$5:$A$81,0))</f>
        <v>Top-ups</v>
      </c>
      <c r="D1967" s="0" t="n">
        <f aca="false">INDEX(Intent_Analysis!$E$5:$E$81,MATCH(B1967,Intent_Analysis!$A$5:$A$81,0))</f>
        <v>2</v>
      </c>
    </row>
    <row r="1968" customFormat="false" ht="15" hidden="false" customHeight="false" outlineLevel="0" collapsed="false">
      <c r="A1968" s="0" t="s">
        <v>2292</v>
      </c>
      <c r="B1968" s="0" t="s">
        <v>102</v>
      </c>
      <c r="C1968" s="0" t="str">
        <f aca="false">INDEX(Intent_Analysis!$B$5:$B$81,MATCH(B1968,Intent_Analysis!$A$5:$A$81,0))</f>
        <v>Top-ups</v>
      </c>
      <c r="D1968" s="0" t="n">
        <f aca="false">INDEX(Intent_Analysis!$E$5:$E$81,MATCH(B1968,Intent_Analysis!$A$5:$A$81,0))</f>
        <v>2</v>
      </c>
    </row>
    <row r="1969" customFormat="false" ht="15" hidden="false" customHeight="false" outlineLevel="0" collapsed="false">
      <c r="A1969" s="0" t="s">
        <v>2293</v>
      </c>
      <c r="B1969" s="0" t="s">
        <v>102</v>
      </c>
      <c r="C1969" s="0" t="str">
        <f aca="false">INDEX(Intent_Analysis!$B$5:$B$81,MATCH(B1969,Intent_Analysis!$A$5:$A$81,0))</f>
        <v>Top-ups</v>
      </c>
      <c r="D1969" s="0" t="n">
        <f aca="false">INDEX(Intent_Analysis!$E$5:$E$81,MATCH(B1969,Intent_Analysis!$A$5:$A$81,0))</f>
        <v>2</v>
      </c>
    </row>
    <row r="1970" customFormat="false" ht="15" hidden="false" customHeight="false" outlineLevel="0" collapsed="false">
      <c r="A1970" s="0" t="s">
        <v>2294</v>
      </c>
      <c r="B1970" s="0" t="s">
        <v>102</v>
      </c>
      <c r="C1970" s="0" t="str">
        <f aca="false">INDEX(Intent_Analysis!$B$5:$B$81,MATCH(B1970,Intent_Analysis!$A$5:$A$81,0))</f>
        <v>Top-ups</v>
      </c>
      <c r="D1970" s="0" t="n">
        <f aca="false">INDEX(Intent_Analysis!$E$5:$E$81,MATCH(B1970,Intent_Analysis!$A$5:$A$81,0))</f>
        <v>2</v>
      </c>
    </row>
    <row r="1971" customFormat="false" ht="15" hidden="false" customHeight="false" outlineLevel="0" collapsed="false">
      <c r="A1971" s="0" t="s">
        <v>2295</v>
      </c>
      <c r="B1971" s="0" t="s">
        <v>102</v>
      </c>
      <c r="C1971" s="0" t="str">
        <f aca="false">INDEX(Intent_Analysis!$B$5:$B$81,MATCH(B1971,Intent_Analysis!$A$5:$A$81,0))</f>
        <v>Top-ups</v>
      </c>
      <c r="D1971" s="0" t="n">
        <f aca="false">INDEX(Intent_Analysis!$E$5:$E$81,MATCH(B1971,Intent_Analysis!$A$5:$A$81,0))</f>
        <v>2</v>
      </c>
    </row>
    <row r="1972" customFormat="false" ht="15" hidden="false" customHeight="false" outlineLevel="0" collapsed="false">
      <c r="A1972" s="0" t="s">
        <v>2296</v>
      </c>
      <c r="B1972" s="0" t="s">
        <v>102</v>
      </c>
      <c r="C1972" s="0" t="str">
        <f aca="false">INDEX(Intent_Analysis!$B$5:$B$81,MATCH(B1972,Intent_Analysis!$A$5:$A$81,0))</f>
        <v>Top-ups</v>
      </c>
      <c r="D1972" s="0" t="n">
        <f aca="false">INDEX(Intent_Analysis!$E$5:$E$81,MATCH(B1972,Intent_Analysis!$A$5:$A$81,0))</f>
        <v>2</v>
      </c>
    </row>
    <row r="1973" customFormat="false" ht="15" hidden="false" customHeight="false" outlineLevel="0" collapsed="false">
      <c r="A1973" s="0" t="s">
        <v>2297</v>
      </c>
      <c r="B1973" s="0" t="s">
        <v>102</v>
      </c>
      <c r="C1973" s="0" t="str">
        <f aca="false">INDEX(Intent_Analysis!$B$5:$B$81,MATCH(B1973,Intent_Analysis!$A$5:$A$81,0))</f>
        <v>Top-ups</v>
      </c>
      <c r="D1973" s="0" t="n">
        <f aca="false">INDEX(Intent_Analysis!$E$5:$E$81,MATCH(B1973,Intent_Analysis!$A$5:$A$81,0))</f>
        <v>2</v>
      </c>
    </row>
    <row r="1974" customFormat="false" ht="15" hidden="false" customHeight="false" outlineLevel="0" collapsed="false">
      <c r="A1974" s="0" t="s">
        <v>2298</v>
      </c>
      <c r="B1974" s="0" t="s">
        <v>102</v>
      </c>
      <c r="C1974" s="0" t="str">
        <f aca="false">INDEX(Intent_Analysis!$B$5:$B$81,MATCH(B1974,Intent_Analysis!$A$5:$A$81,0))</f>
        <v>Top-ups</v>
      </c>
      <c r="D1974" s="0" t="n">
        <f aca="false">INDEX(Intent_Analysis!$E$5:$E$81,MATCH(B1974,Intent_Analysis!$A$5:$A$81,0))</f>
        <v>2</v>
      </c>
    </row>
    <row r="1975" customFormat="false" ht="15" hidden="false" customHeight="false" outlineLevel="0" collapsed="false">
      <c r="A1975" s="0" t="s">
        <v>2299</v>
      </c>
      <c r="B1975" s="0" t="s">
        <v>102</v>
      </c>
      <c r="C1975" s="0" t="str">
        <f aca="false">INDEX(Intent_Analysis!$B$5:$B$81,MATCH(B1975,Intent_Analysis!$A$5:$A$81,0))</f>
        <v>Top-ups</v>
      </c>
      <c r="D1975" s="0" t="n">
        <f aca="false">INDEX(Intent_Analysis!$E$5:$E$81,MATCH(B1975,Intent_Analysis!$A$5:$A$81,0))</f>
        <v>2</v>
      </c>
    </row>
    <row r="1976" customFormat="false" ht="15" hidden="false" customHeight="false" outlineLevel="0" collapsed="false">
      <c r="A1976" s="0" t="s">
        <v>2300</v>
      </c>
      <c r="B1976" s="0" t="s">
        <v>102</v>
      </c>
      <c r="C1976" s="0" t="str">
        <f aca="false">INDEX(Intent_Analysis!$B$5:$B$81,MATCH(B1976,Intent_Analysis!$A$5:$A$81,0))</f>
        <v>Top-ups</v>
      </c>
      <c r="D1976" s="0" t="n">
        <f aca="false">INDEX(Intent_Analysis!$E$5:$E$81,MATCH(B1976,Intent_Analysis!$A$5:$A$81,0))</f>
        <v>2</v>
      </c>
    </row>
    <row r="1977" customFormat="false" ht="15" hidden="false" customHeight="false" outlineLevel="0" collapsed="false">
      <c r="A1977" s="0" t="s">
        <v>2301</v>
      </c>
      <c r="B1977" s="0" t="s">
        <v>102</v>
      </c>
      <c r="C1977" s="0" t="str">
        <f aca="false">INDEX(Intent_Analysis!$B$5:$B$81,MATCH(B1977,Intent_Analysis!$A$5:$A$81,0))</f>
        <v>Top-ups</v>
      </c>
      <c r="D1977" s="0" t="n">
        <f aca="false">INDEX(Intent_Analysis!$E$5:$E$81,MATCH(B1977,Intent_Analysis!$A$5:$A$81,0))</f>
        <v>2</v>
      </c>
    </row>
    <row r="1978" customFormat="false" ht="15" hidden="false" customHeight="false" outlineLevel="0" collapsed="false">
      <c r="A1978" s="0" t="s">
        <v>2302</v>
      </c>
      <c r="B1978" s="0" t="s">
        <v>102</v>
      </c>
      <c r="C1978" s="0" t="str">
        <f aca="false">INDEX(Intent_Analysis!$B$5:$B$81,MATCH(B1978,Intent_Analysis!$A$5:$A$81,0))</f>
        <v>Top-ups</v>
      </c>
      <c r="D1978" s="0" t="n">
        <f aca="false">INDEX(Intent_Analysis!$E$5:$E$81,MATCH(B1978,Intent_Analysis!$A$5:$A$81,0))</f>
        <v>2</v>
      </c>
    </row>
    <row r="1979" customFormat="false" ht="15" hidden="false" customHeight="false" outlineLevel="0" collapsed="false">
      <c r="A1979" s="0" t="s">
        <v>2303</v>
      </c>
      <c r="B1979" s="0" t="s">
        <v>102</v>
      </c>
      <c r="C1979" s="0" t="str">
        <f aca="false">INDEX(Intent_Analysis!$B$5:$B$81,MATCH(B1979,Intent_Analysis!$A$5:$A$81,0))</f>
        <v>Top-ups</v>
      </c>
      <c r="D1979" s="0" t="n">
        <f aca="false">INDEX(Intent_Analysis!$E$5:$E$81,MATCH(B1979,Intent_Analysis!$A$5:$A$81,0))</f>
        <v>2</v>
      </c>
    </row>
    <row r="1980" customFormat="false" ht="15" hidden="false" customHeight="false" outlineLevel="0" collapsed="false">
      <c r="A1980" s="0" t="s">
        <v>2304</v>
      </c>
      <c r="B1980" s="0" t="s">
        <v>102</v>
      </c>
      <c r="C1980" s="0" t="str">
        <f aca="false">INDEX(Intent_Analysis!$B$5:$B$81,MATCH(B1980,Intent_Analysis!$A$5:$A$81,0))</f>
        <v>Top-ups</v>
      </c>
      <c r="D1980" s="0" t="n">
        <f aca="false">INDEX(Intent_Analysis!$E$5:$E$81,MATCH(B1980,Intent_Analysis!$A$5:$A$81,0))</f>
        <v>2</v>
      </c>
    </row>
    <row r="1981" customFormat="false" ht="15" hidden="false" customHeight="false" outlineLevel="0" collapsed="false">
      <c r="A1981" s="0" t="s">
        <v>2305</v>
      </c>
      <c r="B1981" s="0" t="s">
        <v>102</v>
      </c>
      <c r="C1981" s="0" t="str">
        <f aca="false">INDEX(Intent_Analysis!$B$5:$B$81,MATCH(B1981,Intent_Analysis!$A$5:$A$81,0))</f>
        <v>Top-ups</v>
      </c>
      <c r="D1981" s="0" t="n">
        <f aca="false">INDEX(Intent_Analysis!$E$5:$E$81,MATCH(B1981,Intent_Analysis!$A$5:$A$81,0))</f>
        <v>2</v>
      </c>
    </row>
    <row r="1982" customFormat="false" ht="15" hidden="false" customHeight="false" outlineLevel="0" collapsed="false">
      <c r="A1982" s="0" t="s">
        <v>2306</v>
      </c>
      <c r="B1982" s="0" t="s">
        <v>102</v>
      </c>
      <c r="C1982" s="0" t="str">
        <f aca="false">INDEX(Intent_Analysis!$B$5:$B$81,MATCH(B1982,Intent_Analysis!$A$5:$A$81,0))</f>
        <v>Top-ups</v>
      </c>
      <c r="D1982" s="0" t="n">
        <f aca="false">INDEX(Intent_Analysis!$E$5:$E$81,MATCH(B1982,Intent_Analysis!$A$5:$A$81,0))</f>
        <v>2</v>
      </c>
    </row>
    <row r="1983" customFormat="false" ht="15" hidden="false" customHeight="false" outlineLevel="0" collapsed="false">
      <c r="A1983" s="0" t="s">
        <v>2307</v>
      </c>
      <c r="B1983" s="0" t="s">
        <v>102</v>
      </c>
      <c r="C1983" s="0" t="str">
        <f aca="false">INDEX(Intent_Analysis!$B$5:$B$81,MATCH(B1983,Intent_Analysis!$A$5:$A$81,0))</f>
        <v>Top-ups</v>
      </c>
      <c r="D1983" s="0" t="n">
        <f aca="false">INDEX(Intent_Analysis!$E$5:$E$81,MATCH(B1983,Intent_Analysis!$A$5:$A$81,0))</f>
        <v>2</v>
      </c>
    </row>
    <row r="1984" customFormat="false" ht="15" hidden="false" customHeight="false" outlineLevel="0" collapsed="false">
      <c r="A1984" s="0" t="s">
        <v>2308</v>
      </c>
      <c r="B1984" s="0" t="s">
        <v>102</v>
      </c>
      <c r="C1984" s="0" t="str">
        <f aca="false">INDEX(Intent_Analysis!$B$5:$B$81,MATCH(B1984,Intent_Analysis!$A$5:$A$81,0))</f>
        <v>Top-ups</v>
      </c>
      <c r="D1984" s="0" t="n">
        <f aca="false">INDEX(Intent_Analysis!$E$5:$E$81,MATCH(B1984,Intent_Analysis!$A$5:$A$81,0))</f>
        <v>2</v>
      </c>
    </row>
    <row r="1985" customFormat="false" ht="15" hidden="false" customHeight="false" outlineLevel="0" collapsed="false">
      <c r="A1985" s="0" t="s">
        <v>2309</v>
      </c>
      <c r="B1985" s="0" t="s">
        <v>102</v>
      </c>
      <c r="C1985" s="0" t="str">
        <f aca="false">INDEX(Intent_Analysis!$B$5:$B$81,MATCH(B1985,Intent_Analysis!$A$5:$A$81,0))</f>
        <v>Top-ups</v>
      </c>
      <c r="D1985" s="0" t="n">
        <f aca="false">INDEX(Intent_Analysis!$E$5:$E$81,MATCH(B1985,Intent_Analysis!$A$5:$A$81,0))</f>
        <v>2</v>
      </c>
    </row>
    <row r="1986" customFormat="false" ht="15" hidden="false" customHeight="false" outlineLevel="0" collapsed="false">
      <c r="A1986" s="0" t="s">
        <v>2310</v>
      </c>
      <c r="B1986" s="0" t="s">
        <v>102</v>
      </c>
      <c r="C1986" s="0" t="str">
        <f aca="false">INDEX(Intent_Analysis!$B$5:$B$81,MATCH(B1986,Intent_Analysis!$A$5:$A$81,0))</f>
        <v>Top-ups</v>
      </c>
      <c r="D1986" s="0" t="n">
        <f aca="false">INDEX(Intent_Analysis!$E$5:$E$81,MATCH(B1986,Intent_Analysis!$A$5:$A$81,0))</f>
        <v>2</v>
      </c>
    </row>
    <row r="1987" customFormat="false" ht="15" hidden="false" customHeight="false" outlineLevel="0" collapsed="false">
      <c r="A1987" s="0" t="s">
        <v>2311</v>
      </c>
      <c r="B1987" s="0" t="s">
        <v>102</v>
      </c>
      <c r="C1987" s="0" t="str">
        <f aca="false">INDEX(Intent_Analysis!$B$5:$B$81,MATCH(B1987,Intent_Analysis!$A$5:$A$81,0))</f>
        <v>Top-ups</v>
      </c>
      <c r="D1987" s="0" t="n">
        <f aca="false">INDEX(Intent_Analysis!$E$5:$E$81,MATCH(B1987,Intent_Analysis!$A$5:$A$81,0))</f>
        <v>2</v>
      </c>
    </row>
    <row r="1988" customFormat="false" ht="15" hidden="false" customHeight="false" outlineLevel="0" collapsed="false">
      <c r="A1988" s="0" t="s">
        <v>2312</v>
      </c>
      <c r="B1988" s="0" t="s">
        <v>102</v>
      </c>
      <c r="C1988" s="0" t="str">
        <f aca="false">INDEX(Intent_Analysis!$B$5:$B$81,MATCH(B1988,Intent_Analysis!$A$5:$A$81,0))</f>
        <v>Top-ups</v>
      </c>
      <c r="D1988" s="0" t="n">
        <f aca="false">INDEX(Intent_Analysis!$E$5:$E$81,MATCH(B1988,Intent_Analysis!$A$5:$A$81,0))</f>
        <v>2</v>
      </c>
    </row>
    <row r="1989" customFormat="false" ht="15" hidden="false" customHeight="false" outlineLevel="0" collapsed="false">
      <c r="A1989" s="0" t="s">
        <v>2313</v>
      </c>
      <c r="B1989" s="0" t="s">
        <v>102</v>
      </c>
      <c r="C1989" s="0" t="str">
        <f aca="false">INDEX(Intent_Analysis!$B$5:$B$81,MATCH(B1989,Intent_Analysis!$A$5:$A$81,0))</f>
        <v>Top-ups</v>
      </c>
      <c r="D1989" s="0" t="n">
        <f aca="false">INDEX(Intent_Analysis!$E$5:$E$81,MATCH(B1989,Intent_Analysis!$A$5:$A$81,0))</f>
        <v>2</v>
      </c>
    </row>
    <row r="1990" customFormat="false" ht="15" hidden="false" customHeight="false" outlineLevel="0" collapsed="false">
      <c r="A1990" s="0" t="s">
        <v>2314</v>
      </c>
      <c r="B1990" s="0" t="s">
        <v>102</v>
      </c>
      <c r="C1990" s="0" t="str">
        <f aca="false">INDEX(Intent_Analysis!$B$5:$B$81,MATCH(B1990,Intent_Analysis!$A$5:$A$81,0))</f>
        <v>Top-ups</v>
      </c>
      <c r="D1990" s="0" t="n">
        <f aca="false">INDEX(Intent_Analysis!$E$5:$E$81,MATCH(B1990,Intent_Analysis!$A$5:$A$81,0))</f>
        <v>2</v>
      </c>
    </row>
    <row r="1991" customFormat="false" ht="15" hidden="false" customHeight="false" outlineLevel="0" collapsed="false">
      <c r="A1991" s="0" t="s">
        <v>2315</v>
      </c>
      <c r="B1991" s="0" t="s">
        <v>102</v>
      </c>
      <c r="C1991" s="0" t="str">
        <f aca="false">INDEX(Intent_Analysis!$B$5:$B$81,MATCH(B1991,Intent_Analysis!$A$5:$A$81,0))</f>
        <v>Top-ups</v>
      </c>
      <c r="D1991" s="0" t="n">
        <f aca="false">INDEX(Intent_Analysis!$E$5:$E$81,MATCH(B1991,Intent_Analysis!$A$5:$A$81,0))</f>
        <v>2</v>
      </c>
    </row>
    <row r="1992" customFormat="false" ht="15" hidden="false" customHeight="false" outlineLevel="0" collapsed="false">
      <c r="A1992" s="0" t="s">
        <v>2316</v>
      </c>
      <c r="B1992" s="0" t="s">
        <v>102</v>
      </c>
      <c r="C1992" s="0" t="str">
        <f aca="false">INDEX(Intent_Analysis!$B$5:$B$81,MATCH(B1992,Intent_Analysis!$A$5:$A$81,0))</f>
        <v>Top-ups</v>
      </c>
      <c r="D1992" s="0" t="n">
        <f aca="false">INDEX(Intent_Analysis!$E$5:$E$81,MATCH(B1992,Intent_Analysis!$A$5:$A$81,0))</f>
        <v>2</v>
      </c>
    </row>
    <row r="1993" customFormat="false" ht="15" hidden="false" customHeight="false" outlineLevel="0" collapsed="false">
      <c r="A1993" s="0" t="s">
        <v>2317</v>
      </c>
      <c r="B1993" s="0" t="s">
        <v>102</v>
      </c>
      <c r="C1993" s="0" t="str">
        <f aca="false">INDEX(Intent_Analysis!$B$5:$B$81,MATCH(B1993,Intent_Analysis!$A$5:$A$81,0))</f>
        <v>Top-ups</v>
      </c>
      <c r="D1993" s="0" t="n">
        <f aca="false">INDEX(Intent_Analysis!$E$5:$E$81,MATCH(B1993,Intent_Analysis!$A$5:$A$81,0))</f>
        <v>2</v>
      </c>
    </row>
    <row r="1994" customFormat="false" ht="15" hidden="false" customHeight="false" outlineLevel="0" collapsed="false">
      <c r="A1994" s="0" t="s">
        <v>2318</v>
      </c>
      <c r="B1994" s="0" t="s">
        <v>102</v>
      </c>
      <c r="C1994" s="0" t="str">
        <f aca="false">INDEX(Intent_Analysis!$B$5:$B$81,MATCH(B1994,Intent_Analysis!$A$5:$A$81,0))</f>
        <v>Top-ups</v>
      </c>
      <c r="D1994" s="0" t="n">
        <f aca="false">INDEX(Intent_Analysis!$E$5:$E$81,MATCH(B1994,Intent_Analysis!$A$5:$A$81,0))</f>
        <v>2</v>
      </c>
    </row>
    <row r="1995" customFormat="false" ht="15" hidden="false" customHeight="false" outlineLevel="0" collapsed="false">
      <c r="A1995" s="0" t="s">
        <v>2319</v>
      </c>
      <c r="B1995" s="0" t="s">
        <v>102</v>
      </c>
      <c r="C1995" s="0" t="str">
        <f aca="false">INDEX(Intent_Analysis!$B$5:$B$81,MATCH(B1995,Intent_Analysis!$A$5:$A$81,0))</f>
        <v>Top-ups</v>
      </c>
      <c r="D1995" s="0" t="n">
        <f aca="false">INDEX(Intent_Analysis!$E$5:$E$81,MATCH(B1995,Intent_Analysis!$A$5:$A$81,0))</f>
        <v>2</v>
      </c>
    </row>
    <row r="1996" customFormat="false" ht="15" hidden="false" customHeight="false" outlineLevel="0" collapsed="false">
      <c r="A1996" s="0" t="s">
        <v>2320</v>
      </c>
      <c r="B1996" s="0" t="s">
        <v>102</v>
      </c>
      <c r="C1996" s="0" t="str">
        <f aca="false">INDEX(Intent_Analysis!$B$5:$B$81,MATCH(B1996,Intent_Analysis!$A$5:$A$81,0))</f>
        <v>Top-ups</v>
      </c>
      <c r="D1996" s="0" t="n">
        <f aca="false">INDEX(Intent_Analysis!$E$5:$E$81,MATCH(B1996,Intent_Analysis!$A$5:$A$81,0))</f>
        <v>2</v>
      </c>
    </row>
    <row r="1997" customFormat="false" ht="15" hidden="false" customHeight="false" outlineLevel="0" collapsed="false">
      <c r="A1997" s="0" t="s">
        <v>2321</v>
      </c>
      <c r="B1997" s="0" t="s">
        <v>102</v>
      </c>
      <c r="C1997" s="0" t="str">
        <f aca="false">INDEX(Intent_Analysis!$B$5:$B$81,MATCH(B1997,Intent_Analysis!$A$5:$A$81,0))</f>
        <v>Top-ups</v>
      </c>
      <c r="D1997" s="0" t="n">
        <f aca="false">INDEX(Intent_Analysis!$E$5:$E$81,MATCH(B1997,Intent_Analysis!$A$5:$A$81,0))</f>
        <v>2</v>
      </c>
    </row>
    <row r="1998" customFormat="false" ht="15" hidden="false" customHeight="false" outlineLevel="0" collapsed="false">
      <c r="A1998" s="0" t="s">
        <v>2322</v>
      </c>
      <c r="B1998" s="0" t="s">
        <v>102</v>
      </c>
      <c r="C1998" s="0" t="str">
        <f aca="false">INDEX(Intent_Analysis!$B$5:$B$81,MATCH(B1998,Intent_Analysis!$A$5:$A$81,0))</f>
        <v>Top-ups</v>
      </c>
      <c r="D1998" s="0" t="n">
        <f aca="false">INDEX(Intent_Analysis!$E$5:$E$81,MATCH(B1998,Intent_Analysis!$A$5:$A$81,0))</f>
        <v>2</v>
      </c>
    </row>
    <row r="1999" customFormat="false" ht="15" hidden="false" customHeight="false" outlineLevel="0" collapsed="false">
      <c r="A1999" s="0" t="s">
        <v>2323</v>
      </c>
      <c r="B1999" s="0" t="s">
        <v>102</v>
      </c>
      <c r="C1999" s="0" t="str">
        <f aca="false">INDEX(Intent_Analysis!$B$5:$B$81,MATCH(B1999,Intent_Analysis!$A$5:$A$81,0))</f>
        <v>Top-ups</v>
      </c>
      <c r="D1999" s="0" t="n">
        <f aca="false">INDEX(Intent_Analysis!$E$5:$E$81,MATCH(B1999,Intent_Analysis!$A$5:$A$81,0))</f>
        <v>2</v>
      </c>
    </row>
    <row r="2000" customFormat="false" ht="15" hidden="false" customHeight="false" outlineLevel="0" collapsed="false">
      <c r="A2000" s="0" t="s">
        <v>2324</v>
      </c>
      <c r="B2000" s="0" t="s">
        <v>102</v>
      </c>
      <c r="C2000" s="0" t="str">
        <f aca="false">INDEX(Intent_Analysis!$B$5:$B$81,MATCH(B2000,Intent_Analysis!$A$5:$A$81,0))</f>
        <v>Top-ups</v>
      </c>
      <c r="D2000" s="0" t="n">
        <f aca="false">INDEX(Intent_Analysis!$E$5:$E$81,MATCH(B2000,Intent_Analysis!$A$5:$A$81,0))</f>
        <v>2</v>
      </c>
    </row>
    <row r="2001" customFormat="false" ht="15" hidden="false" customHeight="false" outlineLevel="0" collapsed="false">
      <c r="A2001" s="0" t="s">
        <v>2325</v>
      </c>
      <c r="B2001" s="0" t="s">
        <v>102</v>
      </c>
      <c r="C2001" s="0" t="str">
        <f aca="false">INDEX(Intent_Analysis!$B$5:$B$81,MATCH(B2001,Intent_Analysis!$A$5:$A$81,0))</f>
        <v>Top-ups</v>
      </c>
      <c r="D2001" s="0" t="n">
        <f aca="false">INDEX(Intent_Analysis!$E$5:$E$81,MATCH(B2001,Intent_Analysis!$A$5:$A$81,0))</f>
        <v>2</v>
      </c>
    </row>
    <row r="2002" customFormat="false" ht="15" hidden="false" customHeight="false" outlineLevel="0" collapsed="false">
      <c r="A2002" s="0" t="s">
        <v>2326</v>
      </c>
      <c r="B2002" s="0" t="s">
        <v>102</v>
      </c>
      <c r="C2002" s="0" t="str">
        <f aca="false">INDEX(Intent_Analysis!$B$5:$B$81,MATCH(B2002,Intent_Analysis!$A$5:$A$81,0))</f>
        <v>Top-ups</v>
      </c>
      <c r="D2002" s="0" t="n">
        <f aca="false">INDEX(Intent_Analysis!$E$5:$E$81,MATCH(B2002,Intent_Analysis!$A$5:$A$81,0))</f>
        <v>2</v>
      </c>
    </row>
    <row r="2003" customFormat="false" ht="15" hidden="false" customHeight="false" outlineLevel="0" collapsed="false">
      <c r="A2003" s="0" t="s">
        <v>2327</v>
      </c>
      <c r="B2003" s="0" t="s">
        <v>102</v>
      </c>
      <c r="C2003" s="0" t="str">
        <f aca="false">INDEX(Intent_Analysis!$B$5:$B$81,MATCH(B2003,Intent_Analysis!$A$5:$A$81,0))</f>
        <v>Top-ups</v>
      </c>
      <c r="D2003" s="0" t="n">
        <f aca="false">INDEX(Intent_Analysis!$E$5:$E$81,MATCH(B2003,Intent_Analysis!$A$5:$A$81,0))</f>
        <v>2</v>
      </c>
    </row>
    <row r="2004" customFormat="false" ht="15" hidden="false" customHeight="false" outlineLevel="0" collapsed="false">
      <c r="A2004" s="0" t="s">
        <v>2328</v>
      </c>
      <c r="B2004" s="0" t="s">
        <v>102</v>
      </c>
      <c r="C2004" s="0" t="str">
        <f aca="false">INDEX(Intent_Analysis!$B$5:$B$81,MATCH(B2004,Intent_Analysis!$A$5:$A$81,0))</f>
        <v>Top-ups</v>
      </c>
      <c r="D2004" s="0" t="n">
        <f aca="false">INDEX(Intent_Analysis!$E$5:$E$81,MATCH(B2004,Intent_Analysis!$A$5:$A$81,0))</f>
        <v>2</v>
      </c>
    </row>
    <row r="2005" customFormat="false" ht="15" hidden="false" customHeight="false" outlineLevel="0" collapsed="false">
      <c r="A2005" s="0" t="s">
        <v>2329</v>
      </c>
      <c r="B2005" s="0" t="s">
        <v>102</v>
      </c>
      <c r="C2005" s="0" t="str">
        <f aca="false">INDEX(Intent_Analysis!$B$5:$B$81,MATCH(B2005,Intent_Analysis!$A$5:$A$81,0))</f>
        <v>Top-ups</v>
      </c>
      <c r="D2005" s="0" t="n">
        <f aca="false">INDEX(Intent_Analysis!$E$5:$E$81,MATCH(B2005,Intent_Analysis!$A$5:$A$81,0))</f>
        <v>2</v>
      </c>
    </row>
    <row r="2006" customFormat="false" ht="15" hidden="false" customHeight="false" outlineLevel="0" collapsed="false">
      <c r="A2006" s="0" t="s">
        <v>2330</v>
      </c>
      <c r="B2006" s="0" t="s">
        <v>102</v>
      </c>
      <c r="C2006" s="0" t="str">
        <f aca="false">INDEX(Intent_Analysis!$B$5:$B$81,MATCH(B2006,Intent_Analysis!$A$5:$A$81,0))</f>
        <v>Top-ups</v>
      </c>
      <c r="D2006" s="0" t="n">
        <f aca="false">INDEX(Intent_Analysis!$E$5:$E$81,MATCH(B2006,Intent_Analysis!$A$5:$A$81,0))</f>
        <v>2</v>
      </c>
    </row>
    <row r="2007" customFormat="false" ht="15" hidden="false" customHeight="false" outlineLevel="0" collapsed="false">
      <c r="A2007" s="0" t="s">
        <v>2331</v>
      </c>
      <c r="B2007" s="0" t="s">
        <v>102</v>
      </c>
      <c r="C2007" s="0" t="str">
        <f aca="false">INDEX(Intent_Analysis!$B$5:$B$81,MATCH(B2007,Intent_Analysis!$A$5:$A$81,0))</f>
        <v>Top-ups</v>
      </c>
      <c r="D2007" s="0" t="n">
        <f aca="false">INDEX(Intent_Analysis!$E$5:$E$81,MATCH(B2007,Intent_Analysis!$A$5:$A$81,0))</f>
        <v>2</v>
      </c>
    </row>
    <row r="2008" customFormat="false" ht="15" hidden="false" customHeight="false" outlineLevel="0" collapsed="false">
      <c r="A2008" s="0" t="s">
        <v>2332</v>
      </c>
      <c r="B2008" s="0" t="s">
        <v>102</v>
      </c>
      <c r="C2008" s="0" t="str">
        <f aca="false">INDEX(Intent_Analysis!$B$5:$B$81,MATCH(B2008,Intent_Analysis!$A$5:$A$81,0))</f>
        <v>Top-ups</v>
      </c>
      <c r="D2008" s="0" t="n">
        <f aca="false">INDEX(Intent_Analysis!$E$5:$E$81,MATCH(B2008,Intent_Analysis!$A$5:$A$81,0))</f>
        <v>2</v>
      </c>
    </row>
    <row r="2009" customFormat="false" ht="15" hidden="false" customHeight="false" outlineLevel="0" collapsed="false">
      <c r="A2009" s="0" t="s">
        <v>2333</v>
      </c>
      <c r="B2009" s="0" t="s">
        <v>102</v>
      </c>
      <c r="C2009" s="0" t="str">
        <f aca="false">INDEX(Intent_Analysis!$B$5:$B$81,MATCH(B2009,Intent_Analysis!$A$5:$A$81,0))</f>
        <v>Top-ups</v>
      </c>
      <c r="D2009" s="0" t="n">
        <f aca="false">INDEX(Intent_Analysis!$E$5:$E$81,MATCH(B2009,Intent_Analysis!$A$5:$A$81,0))</f>
        <v>2</v>
      </c>
    </row>
    <row r="2010" customFormat="false" ht="15" hidden="false" customHeight="false" outlineLevel="0" collapsed="false">
      <c r="A2010" s="0" t="s">
        <v>2334</v>
      </c>
      <c r="B2010" s="0" t="s">
        <v>102</v>
      </c>
      <c r="C2010" s="0" t="str">
        <f aca="false">INDEX(Intent_Analysis!$B$5:$B$81,MATCH(B2010,Intent_Analysis!$A$5:$A$81,0))</f>
        <v>Top-ups</v>
      </c>
      <c r="D2010" s="0" t="n">
        <f aca="false">INDEX(Intent_Analysis!$E$5:$E$81,MATCH(B2010,Intent_Analysis!$A$5:$A$81,0))</f>
        <v>2</v>
      </c>
    </row>
    <row r="2011" customFormat="false" ht="15" hidden="false" customHeight="false" outlineLevel="0" collapsed="false">
      <c r="A2011" s="0" t="s">
        <v>2335</v>
      </c>
      <c r="B2011" s="0" t="s">
        <v>102</v>
      </c>
      <c r="C2011" s="0" t="str">
        <f aca="false">INDEX(Intent_Analysis!$B$5:$B$81,MATCH(B2011,Intent_Analysis!$A$5:$A$81,0))</f>
        <v>Top-ups</v>
      </c>
      <c r="D2011" s="0" t="n">
        <f aca="false">INDEX(Intent_Analysis!$E$5:$E$81,MATCH(B2011,Intent_Analysis!$A$5:$A$81,0))</f>
        <v>2</v>
      </c>
    </row>
    <row r="2012" customFormat="false" ht="15" hidden="false" customHeight="false" outlineLevel="0" collapsed="false">
      <c r="A2012" s="0" t="s">
        <v>2336</v>
      </c>
      <c r="B2012" s="0" t="s">
        <v>102</v>
      </c>
      <c r="C2012" s="0" t="str">
        <f aca="false">INDEX(Intent_Analysis!$B$5:$B$81,MATCH(B2012,Intent_Analysis!$A$5:$A$81,0))</f>
        <v>Top-ups</v>
      </c>
      <c r="D2012" s="0" t="n">
        <f aca="false">INDEX(Intent_Analysis!$E$5:$E$81,MATCH(B2012,Intent_Analysis!$A$5:$A$81,0))</f>
        <v>2</v>
      </c>
    </row>
    <row r="2013" customFormat="false" ht="15" hidden="false" customHeight="false" outlineLevel="0" collapsed="false">
      <c r="A2013" s="0" t="s">
        <v>2337</v>
      </c>
      <c r="B2013" s="0" t="s">
        <v>102</v>
      </c>
      <c r="C2013" s="0" t="str">
        <f aca="false">INDEX(Intent_Analysis!$B$5:$B$81,MATCH(B2013,Intent_Analysis!$A$5:$A$81,0))</f>
        <v>Top-ups</v>
      </c>
      <c r="D2013" s="0" t="n">
        <f aca="false">INDEX(Intent_Analysis!$E$5:$E$81,MATCH(B2013,Intent_Analysis!$A$5:$A$81,0))</f>
        <v>2</v>
      </c>
    </row>
    <row r="2014" customFormat="false" ht="15" hidden="false" customHeight="false" outlineLevel="0" collapsed="false">
      <c r="A2014" s="0" t="s">
        <v>2338</v>
      </c>
      <c r="B2014" s="0" t="s">
        <v>102</v>
      </c>
      <c r="C2014" s="0" t="str">
        <f aca="false">INDEX(Intent_Analysis!$B$5:$B$81,MATCH(B2014,Intent_Analysis!$A$5:$A$81,0))</f>
        <v>Top-ups</v>
      </c>
      <c r="D2014" s="0" t="n">
        <f aca="false">INDEX(Intent_Analysis!$E$5:$E$81,MATCH(B2014,Intent_Analysis!$A$5:$A$81,0))</f>
        <v>2</v>
      </c>
    </row>
    <row r="2015" customFormat="false" ht="15" hidden="false" customHeight="false" outlineLevel="0" collapsed="false">
      <c r="A2015" s="0" t="s">
        <v>2339</v>
      </c>
      <c r="B2015" s="0" t="s">
        <v>102</v>
      </c>
      <c r="C2015" s="0" t="str">
        <f aca="false">INDEX(Intent_Analysis!$B$5:$B$81,MATCH(B2015,Intent_Analysis!$A$5:$A$81,0))</f>
        <v>Top-ups</v>
      </c>
      <c r="D2015" s="0" t="n">
        <f aca="false">INDEX(Intent_Analysis!$E$5:$E$81,MATCH(B2015,Intent_Analysis!$A$5:$A$81,0))</f>
        <v>2</v>
      </c>
    </row>
    <row r="2016" customFormat="false" ht="15" hidden="false" customHeight="false" outlineLevel="0" collapsed="false">
      <c r="A2016" s="0" t="s">
        <v>2340</v>
      </c>
      <c r="B2016" s="0" t="s">
        <v>102</v>
      </c>
      <c r="C2016" s="0" t="str">
        <f aca="false">INDEX(Intent_Analysis!$B$5:$B$81,MATCH(B2016,Intent_Analysis!$A$5:$A$81,0))</f>
        <v>Top-ups</v>
      </c>
      <c r="D2016" s="0" t="n">
        <f aca="false">INDEX(Intent_Analysis!$E$5:$E$81,MATCH(B2016,Intent_Analysis!$A$5:$A$81,0))</f>
        <v>2</v>
      </c>
    </row>
    <row r="2017" customFormat="false" ht="15" hidden="false" customHeight="false" outlineLevel="0" collapsed="false">
      <c r="A2017" s="0" t="s">
        <v>2341</v>
      </c>
      <c r="B2017" s="0" t="s">
        <v>102</v>
      </c>
      <c r="C2017" s="0" t="str">
        <f aca="false">INDEX(Intent_Analysis!$B$5:$B$81,MATCH(B2017,Intent_Analysis!$A$5:$A$81,0))</f>
        <v>Top-ups</v>
      </c>
      <c r="D2017" s="0" t="n">
        <f aca="false">INDEX(Intent_Analysis!$E$5:$E$81,MATCH(B2017,Intent_Analysis!$A$5:$A$81,0))</f>
        <v>2</v>
      </c>
    </row>
    <row r="2018" customFormat="false" ht="15" hidden="false" customHeight="false" outlineLevel="0" collapsed="false">
      <c r="A2018" s="0" t="s">
        <v>2342</v>
      </c>
      <c r="B2018" s="0" t="s">
        <v>102</v>
      </c>
      <c r="C2018" s="0" t="str">
        <f aca="false">INDEX(Intent_Analysis!$B$5:$B$81,MATCH(B2018,Intent_Analysis!$A$5:$A$81,0))</f>
        <v>Top-ups</v>
      </c>
      <c r="D2018" s="0" t="n">
        <f aca="false">INDEX(Intent_Analysis!$E$5:$E$81,MATCH(B2018,Intent_Analysis!$A$5:$A$81,0))</f>
        <v>2</v>
      </c>
    </row>
    <row r="2019" customFormat="false" ht="15" hidden="false" customHeight="false" outlineLevel="0" collapsed="false">
      <c r="A2019" s="0" t="s">
        <v>2343</v>
      </c>
      <c r="B2019" s="0" t="s">
        <v>102</v>
      </c>
      <c r="C2019" s="0" t="str">
        <f aca="false">INDEX(Intent_Analysis!$B$5:$B$81,MATCH(B2019,Intent_Analysis!$A$5:$A$81,0))</f>
        <v>Top-ups</v>
      </c>
      <c r="D2019" s="0" t="n">
        <f aca="false">INDEX(Intent_Analysis!$E$5:$E$81,MATCH(B2019,Intent_Analysis!$A$5:$A$81,0))</f>
        <v>2</v>
      </c>
    </row>
    <row r="2020" customFormat="false" ht="15" hidden="false" customHeight="false" outlineLevel="0" collapsed="false">
      <c r="A2020" s="0" t="s">
        <v>2344</v>
      </c>
      <c r="B2020" s="0" t="s">
        <v>102</v>
      </c>
      <c r="C2020" s="0" t="str">
        <f aca="false">INDEX(Intent_Analysis!$B$5:$B$81,MATCH(B2020,Intent_Analysis!$A$5:$A$81,0))</f>
        <v>Top-ups</v>
      </c>
      <c r="D2020" s="0" t="n">
        <f aca="false">INDEX(Intent_Analysis!$E$5:$E$81,MATCH(B2020,Intent_Analysis!$A$5:$A$81,0))</f>
        <v>2</v>
      </c>
    </row>
    <row r="2021" customFormat="false" ht="15" hidden="false" customHeight="false" outlineLevel="0" collapsed="false">
      <c r="A2021" s="0" t="s">
        <v>2345</v>
      </c>
      <c r="B2021" s="0" t="s">
        <v>102</v>
      </c>
      <c r="C2021" s="0" t="str">
        <f aca="false">INDEX(Intent_Analysis!$B$5:$B$81,MATCH(B2021,Intent_Analysis!$A$5:$A$81,0))</f>
        <v>Top-ups</v>
      </c>
      <c r="D2021" s="0" t="n">
        <f aca="false">INDEX(Intent_Analysis!$E$5:$E$81,MATCH(B2021,Intent_Analysis!$A$5:$A$81,0))</f>
        <v>2</v>
      </c>
    </row>
    <row r="2022" customFormat="false" ht="15" hidden="false" customHeight="false" outlineLevel="0" collapsed="false">
      <c r="A2022" s="0" t="s">
        <v>2346</v>
      </c>
      <c r="B2022" s="0" t="s">
        <v>102</v>
      </c>
      <c r="C2022" s="0" t="str">
        <f aca="false">INDEX(Intent_Analysis!$B$5:$B$81,MATCH(B2022,Intent_Analysis!$A$5:$A$81,0))</f>
        <v>Top-ups</v>
      </c>
      <c r="D2022" s="0" t="n">
        <f aca="false">INDEX(Intent_Analysis!$E$5:$E$81,MATCH(B2022,Intent_Analysis!$A$5:$A$81,0))</f>
        <v>2</v>
      </c>
    </row>
    <row r="2023" customFormat="false" ht="15" hidden="false" customHeight="false" outlineLevel="0" collapsed="false">
      <c r="A2023" s="0" t="s">
        <v>2347</v>
      </c>
      <c r="B2023" s="0" t="s">
        <v>102</v>
      </c>
      <c r="C2023" s="0" t="str">
        <f aca="false">INDEX(Intent_Analysis!$B$5:$B$81,MATCH(B2023,Intent_Analysis!$A$5:$A$81,0))</f>
        <v>Top-ups</v>
      </c>
      <c r="D2023" s="0" t="n">
        <f aca="false">INDEX(Intent_Analysis!$E$5:$E$81,MATCH(B2023,Intent_Analysis!$A$5:$A$81,0))</f>
        <v>2</v>
      </c>
    </row>
    <row r="2024" customFormat="false" ht="15" hidden="false" customHeight="false" outlineLevel="0" collapsed="false">
      <c r="A2024" s="0" t="s">
        <v>2348</v>
      </c>
      <c r="B2024" s="0" t="s">
        <v>102</v>
      </c>
      <c r="C2024" s="0" t="str">
        <f aca="false">INDEX(Intent_Analysis!$B$5:$B$81,MATCH(B2024,Intent_Analysis!$A$5:$A$81,0))</f>
        <v>Top-ups</v>
      </c>
      <c r="D2024" s="0" t="n">
        <f aca="false">INDEX(Intent_Analysis!$E$5:$E$81,MATCH(B2024,Intent_Analysis!$A$5:$A$81,0))</f>
        <v>2</v>
      </c>
    </row>
    <row r="2025" customFormat="false" ht="15" hidden="false" customHeight="false" outlineLevel="0" collapsed="false">
      <c r="A2025" s="0" t="s">
        <v>2349</v>
      </c>
      <c r="B2025" s="0" t="s">
        <v>102</v>
      </c>
      <c r="C2025" s="0" t="str">
        <f aca="false">INDEX(Intent_Analysis!$B$5:$B$81,MATCH(B2025,Intent_Analysis!$A$5:$A$81,0))</f>
        <v>Top-ups</v>
      </c>
      <c r="D2025" s="0" t="n">
        <f aca="false">INDEX(Intent_Analysis!$E$5:$E$81,MATCH(B2025,Intent_Analysis!$A$5:$A$81,0))</f>
        <v>2</v>
      </c>
    </row>
    <row r="2026" customFormat="false" ht="15" hidden="false" customHeight="false" outlineLevel="0" collapsed="false">
      <c r="A2026" s="0" t="s">
        <v>2350</v>
      </c>
      <c r="B2026" s="0" t="s">
        <v>102</v>
      </c>
      <c r="C2026" s="0" t="str">
        <f aca="false">INDEX(Intent_Analysis!$B$5:$B$81,MATCH(B2026,Intent_Analysis!$A$5:$A$81,0))</f>
        <v>Top-ups</v>
      </c>
      <c r="D2026" s="0" t="n">
        <f aca="false">INDEX(Intent_Analysis!$E$5:$E$81,MATCH(B2026,Intent_Analysis!$A$5:$A$81,0))</f>
        <v>2</v>
      </c>
    </row>
    <row r="2027" customFormat="false" ht="15" hidden="false" customHeight="false" outlineLevel="0" collapsed="false">
      <c r="A2027" s="0" t="s">
        <v>2351</v>
      </c>
      <c r="B2027" s="0" t="s">
        <v>102</v>
      </c>
      <c r="C2027" s="0" t="str">
        <f aca="false">INDEX(Intent_Analysis!$B$5:$B$81,MATCH(B2027,Intent_Analysis!$A$5:$A$81,0))</f>
        <v>Top-ups</v>
      </c>
      <c r="D2027" s="0" t="n">
        <f aca="false">INDEX(Intent_Analysis!$E$5:$E$81,MATCH(B2027,Intent_Analysis!$A$5:$A$81,0))</f>
        <v>2</v>
      </c>
    </row>
    <row r="2028" customFormat="false" ht="15" hidden="false" customHeight="false" outlineLevel="0" collapsed="false">
      <c r="A2028" s="0" t="s">
        <v>2352</v>
      </c>
      <c r="B2028" s="0" t="s">
        <v>102</v>
      </c>
      <c r="C2028" s="0" t="str">
        <f aca="false">INDEX(Intent_Analysis!$B$5:$B$81,MATCH(B2028,Intent_Analysis!$A$5:$A$81,0))</f>
        <v>Top-ups</v>
      </c>
      <c r="D2028" s="0" t="n">
        <f aca="false">INDEX(Intent_Analysis!$E$5:$E$81,MATCH(B2028,Intent_Analysis!$A$5:$A$81,0))</f>
        <v>2</v>
      </c>
    </row>
    <row r="2029" customFormat="false" ht="15" hidden="false" customHeight="false" outlineLevel="0" collapsed="false">
      <c r="A2029" s="0" t="s">
        <v>2353</v>
      </c>
      <c r="B2029" s="0" t="s">
        <v>102</v>
      </c>
      <c r="C2029" s="0" t="str">
        <f aca="false">INDEX(Intent_Analysis!$B$5:$B$81,MATCH(B2029,Intent_Analysis!$A$5:$A$81,0))</f>
        <v>Top-ups</v>
      </c>
      <c r="D2029" s="0" t="n">
        <f aca="false">INDEX(Intent_Analysis!$E$5:$E$81,MATCH(B2029,Intent_Analysis!$A$5:$A$81,0))</f>
        <v>2</v>
      </c>
    </row>
    <row r="2030" customFormat="false" ht="15" hidden="false" customHeight="false" outlineLevel="0" collapsed="false">
      <c r="A2030" s="0" t="s">
        <v>2354</v>
      </c>
      <c r="B2030" s="0" t="s">
        <v>102</v>
      </c>
      <c r="C2030" s="0" t="str">
        <f aca="false">INDEX(Intent_Analysis!$B$5:$B$81,MATCH(B2030,Intent_Analysis!$A$5:$A$81,0))</f>
        <v>Top-ups</v>
      </c>
      <c r="D2030" s="0" t="n">
        <f aca="false">INDEX(Intent_Analysis!$E$5:$E$81,MATCH(B2030,Intent_Analysis!$A$5:$A$81,0))</f>
        <v>2</v>
      </c>
    </row>
    <row r="2031" customFormat="false" ht="15" hidden="false" customHeight="false" outlineLevel="0" collapsed="false">
      <c r="A2031" s="0" t="s">
        <v>2355</v>
      </c>
      <c r="B2031" s="0" t="s">
        <v>102</v>
      </c>
      <c r="C2031" s="0" t="str">
        <f aca="false">INDEX(Intent_Analysis!$B$5:$B$81,MATCH(B2031,Intent_Analysis!$A$5:$A$81,0))</f>
        <v>Top-ups</v>
      </c>
      <c r="D2031" s="0" t="n">
        <f aca="false">INDEX(Intent_Analysis!$E$5:$E$81,MATCH(B2031,Intent_Analysis!$A$5:$A$81,0))</f>
        <v>2</v>
      </c>
    </row>
    <row r="2032" customFormat="false" ht="15" hidden="false" customHeight="false" outlineLevel="0" collapsed="false">
      <c r="A2032" s="0" t="s">
        <v>2356</v>
      </c>
      <c r="B2032" s="0" t="s">
        <v>102</v>
      </c>
      <c r="C2032" s="0" t="str">
        <f aca="false">INDEX(Intent_Analysis!$B$5:$B$81,MATCH(B2032,Intent_Analysis!$A$5:$A$81,0))</f>
        <v>Top-ups</v>
      </c>
      <c r="D2032" s="0" t="n">
        <f aca="false">INDEX(Intent_Analysis!$E$5:$E$81,MATCH(B2032,Intent_Analysis!$A$5:$A$81,0))</f>
        <v>2</v>
      </c>
    </row>
    <row r="2033" customFormat="false" ht="15" hidden="false" customHeight="false" outlineLevel="0" collapsed="false">
      <c r="A2033" s="0" t="s">
        <v>2357</v>
      </c>
      <c r="B2033" s="0" t="s">
        <v>102</v>
      </c>
      <c r="C2033" s="0" t="str">
        <f aca="false">INDEX(Intent_Analysis!$B$5:$B$81,MATCH(B2033,Intent_Analysis!$A$5:$A$81,0))</f>
        <v>Top-ups</v>
      </c>
      <c r="D2033" s="0" t="n">
        <f aca="false">INDEX(Intent_Analysis!$E$5:$E$81,MATCH(B2033,Intent_Analysis!$A$5:$A$81,0))</f>
        <v>2</v>
      </c>
    </row>
    <row r="2034" customFormat="false" ht="15" hidden="false" customHeight="false" outlineLevel="0" collapsed="false">
      <c r="A2034" s="0" t="s">
        <v>2358</v>
      </c>
      <c r="B2034" s="0" t="s">
        <v>102</v>
      </c>
      <c r="C2034" s="0" t="str">
        <f aca="false">INDEX(Intent_Analysis!$B$5:$B$81,MATCH(B2034,Intent_Analysis!$A$5:$A$81,0))</f>
        <v>Top-ups</v>
      </c>
      <c r="D2034" s="0" t="n">
        <f aca="false">INDEX(Intent_Analysis!$E$5:$E$81,MATCH(B2034,Intent_Analysis!$A$5:$A$81,0))</f>
        <v>2</v>
      </c>
    </row>
    <row r="2035" customFormat="false" ht="15" hidden="false" customHeight="false" outlineLevel="0" collapsed="false">
      <c r="A2035" s="0" t="s">
        <v>2359</v>
      </c>
      <c r="B2035" s="0" t="s">
        <v>102</v>
      </c>
      <c r="C2035" s="0" t="str">
        <f aca="false">INDEX(Intent_Analysis!$B$5:$B$81,MATCH(B2035,Intent_Analysis!$A$5:$A$81,0))</f>
        <v>Top-ups</v>
      </c>
      <c r="D2035" s="0" t="n">
        <f aca="false">INDEX(Intent_Analysis!$E$5:$E$81,MATCH(B2035,Intent_Analysis!$A$5:$A$81,0))</f>
        <v>2</v>
      </c>
    </row>
    <row r="2036" customFormat="false" ht="15" hidden="false" customHeight="false" outlineLevel="0" collapsed="false">
      <c r="A2036" s="0" t="s">
        <v>2360</v>
      </c>
      <c r="B2036" s="0" t="s">
        <v>102</v>
      </c>
      <c r="C2036" s="0" t="str">
        <f aca="false">INDEX(Intent_Analysis!$B$5:$B$81,MATCH(B2036,Intent_Analysis!$A$5:$A$81,0))</f>
        <v>Top-ups</v>
      </c>
      <c r="D2036" s="0" t="n">
        <f aca="false">INDEX(Intent_Analysis!$E$5:$E$81,MATCH(B2036,Intent_Analysis!$A$5:$A$81,0))</f>
        <v>2</v>
      </c>
    </row>
    <row r="2037" customFormat="false" ht="15" hidden="false" customHeight="false" outlineLevel="0" collapsed="false">
      <c r="A2037" s="0" t="s">
        <v>2361</v>
      </c>
      <c r="B2037" s="0" t="s">
        <v>102</v>
      </c>
      <c r="C2037" s="0" t="str">
        <f aca="false">INDEX(Intent_Analysis!$B$5:$B$81,MATCH(B2037,Intent_Analysis!$A$5:$A$81,0))</f>
        <v>Top-ups</v>
      </c>
      <c r="D2037" s="0" t="n">
        <f aca="false">INDEX(Intent_Analysis!$E$5:$E$81,MATCH(B2037,Intent_Analysis!$A$5:$A$81,0))</f>
        <v>2</v>
      </c>
    </row>
    <row r="2038" customFormat="false" ht="15" hidden="false" customHeight="false" outlineLevel="0" collapsed="false">
      <c r="A2038" s="0" t="s">
        <v>2362</v>
      </c>
      <c r="B2038" s="0" t="s">
        <v>102</v>
      </c>
      <c r="C2038" s="0" t="str">
        <f aca="false">INDEX(Intent_Analysis!$B$5:$B$81,MATCH(B2038,Intent_Analysis!$A$5:$A$81,0))</f>
        <v>Top-ups</v>
      </c>
      <c r="D2038" s="0" t="n">
        <f aca="false">INDEX(Intent_Analysis!$E$5:$E$81,MATCH(B2038,Intent_Analysis!$A$5:$A$81,0))</f>
        <v>2</v>
      </c>
    </row>
    <row r="2039" customFormat="false" ht="15" hidden="false" customHeight="false" outlineLevel="0" collapsed="false">
      <c r="A2039" s="0" t="s">
        <v>2363</v>
      </c>
      <c r="B2039" s="0" t="s">
        <v>102</v>
      </c>
      <c r="C2039" s="0" t="str">
        <f aca="false">INDEX(Intent_Analysis!$B$5:$B$81,MATCH(B2039,Intent_Analysis!$A$5:$A$81,0))</f>
        <v>Top-ups</v>
      </c>
      <c r="D2039" s="0" t="n">
        <f aca="false">INDEX(Intent_Analysis!$E$5:$E$81,MATCH(B2039,Intent_Analysis!$A$5:$A$81,0))</f>
        <v>2</v>
      </c>
    </row>
    <row r="2040" customFormat="false" ht="15" hidden="false" customHeight="false" outlineLevel="0" collapsed="false">
      <c r="A2040" s="0" t="s">
        <v>2364</v>
      </c>
      <c r="B2040" s="0" t="s">
        <v>102</v>
      </c>
      <c r="C2040" s="0" t="str">
        <f aca="false">INDEX(Intent_Analysis!$B$5:$B$81,MATCH(B2040,Intent_Analysis!$A$5:$A$81,0))</f>
        <v>Top-ups</v>
      </c>
      <c r="D2040" s="0" t="n">
        <f aca="false">INDEX(Intent_Analysis!$E$5:$E$81,MATCH(B2040,Intent_Analysis!$A$5:$A$81,0))</f>
        <v>2</v>
      </c>
    </row>
    <row r="2041" customFormat="false" ht="15" hidden="false" customHeight="false" outlineLevel="0" collapsed="false">
      <c r="A2041" s="0" t="s">
        <v>2365</v>
      </c>
      <c r="B2041" s="0" t="s">
        <v>102</v>
      </c>
      <c r="C2041" s="0" t="str">
        <f aca="false">INDEX(Intent_Analysis!$B$5:$B$81,MATCH(B2041,Intent_Analysis!$A$5:$A$81,0))</f>
        <v>Top-ups</v>
      </c>
      <c r="D2041" s="0" t="n">
        <f aca="false">INDEX(Intent_Analysis!$E$5:$E$81,MATCH(B2041,Intent_Analysis!$A$5:$A$81,0))</f>
        <v>2</v>
      </c>
    </row>
    <row r="2042" customFormat="false" ht="15" hidden="false" customHeight="false" outlineLevel="0" collapsed="false">
      <c r="A2042" s="0" t="s">
        <v>2366</v>
      </c>
      <c r="B2042" s="0" t="s">
        <v>102</v>
      </c>
      <c r="C2042" s="0" t="str">
        <f aca="false">INDEX(Intent_Analysis!$B$5:$B$81,MATCH(B2042,Intent_Analysis!$A$5:$A$81,0))</f>
        <v>Top-ups</v>
      </c>
      <c r="D2042" s="0" t="n">
        <f aca="false">INDEX(Intent_Analysis!$E$5:$E$81,MATCH(B2042,Intent_Analysis!$A$5:$A$81,0))</f>
        <v>2</v>
      </c>
    </row>
    <row r="2043" customFormat="false" ht="15" hidden="false" customHeight="false" outlineLevel="0" collapsed="false">
      <c r="A2043" s="0" t="s">
        <v>2367</v>
      </c>
      <c r="B2043" s="0" t="s">
        <v>102</v>
      </c>
      <c r="C2043" s="0" t="str">
        <f aca="false">INDEX(Intent_Analysis!$B$5:$B$81,MATCH(B2043,Intent_Analysis!$A$5:$A$81,0))</f>
        <v>Top-ups</v>
      </c>
      <c r="D2043" s="0" t="n">
        <f aca="false">INDEX(Intent_Analysis!$E$5:$E$81,MATCH(B2043,Intent_Analysis!$A$5:$A$81,0))</f>
        <v>2</v>
      </c>
    </row>
    <row r="2044" customFormat="false" ht="15" hidden="false" customHeight="false" outlineLevel="0" collapsed="false">
      <c r="A2044" s="0" t="s">
        <v>2368</v>
      </c>
      <c r="B2044" s="0" t="s">
        <v>102</v>
      </c>
      <c r="C2044" s="0" t="str">
        <f aca="false">INDEX(Intent_Analysis!$B$5:$B$81,MATCH(B2044,Intent_Analysis!$A$5:$A$81,0))</f>
        <v>Top-ups</v>
      </c>
      <c r="D2044" s="0" t="n">
        <f aca="false">INDEX(Intent_Analysis!$E$5:$E$81,MATCH(B2044,Intent_Analysis!$A$5:$A$81,0))</f>
        <v>2</v>
      </c>
    </row>
    <row r="2045" customFormat="false" ht="15" hidden="false" customHeight="false" outlineLevel="0" collapsed="false">
      <c r="A2045" s="0" t="s">
        <v>2369</v>
      </c>
      <c r="B2045" s="0" t="s">
        <v>102</v>
      </c>
      <c r="C2045" s="0" t="str">
        <f aca="false">INDEX(Intent_Analysis!$B$5:$B$81,MATCH(B2045,Intent_Analysis!$A$5:$A$81,0))</f>
        <v>Top-ups</v>
      </c>
      <c r="D2045" s="0" t="n">
        <f aca="false">INDEX(Intent_Analysis!$E$5:$E$81,MATCH(B2045,Intent_Analysis!$A$5:$A$81,0))</f>
        <v>2</v>
      </c>
    </row>
    <row r="2046" customFormat="false" ht="15" hidden="false" customHeight="false" outlineLevel="0" collapsed="false">
      <c r="A2046" s="0" t="s">
        <v>2370</v>
      </c>
      <c r="B2046" s="0" t="s">
        <v>102</v>
      </c>
      <c r="C2046" s="0" t="str">
        <f aca="false">INDEX(Intent_Analysis!$B$5:$B$81,MATCH(B2046,Intent_Analysis!$A$5:$A$81,0))</f>
        <v>Top-ups</v>
      </c>
      <c r="D2046" s="0" t="n">
        <f aca="false">INDEX(Intent_Analysis!$E$5:$E$81,MATCH(B2046,Intent_Analysis!$A$5:$A$81,0))</f>
        <v>2</v>
      </c>
    </row>
    <row r="2047" customFormat="false" ht="15" hidden="false" customHeight="false" outlineLevel="0" collapsed="false">
      <c r="A2047" s="0" t="s">
        <v>2371</v>
      </c>
      <c r="B2047" s="0" t="s">
        <v>102</v>
      </c>
      <c r="C2047" s="0" t="str">
        <f aca="false">INDEX(Intent_Analysis!$B$5:$B$81,MATCH(B2047,Intent_Analysis!$A$5:$A$81,0))</f>
        <v>Top-ups</v>
      </c>
      <c r="D2047" s="0" t="n">
        <f aca="false">INDEX(Intent_Analysis!$E$5:$E$81,MATCH(B2047,Intent_Analysis!$A$5:$A$81,0))</f>
        <v>2</v>
      </c>
    </row>
    <row r="2048" customFormat="false" ht="15" hidden="false" customHeight="false" outlineLevel="0" collapsed="false">
      <c r="A2048" s="0" t="s">
        <v>2372</v>
      </c>
      <c r="B2048" s="0" t="s">
        <v>102</v>
      </c>
      <c r="C2048" s="0" t="str">
        <f aca="false">INDEX(Intent_Analysis!$B$5:$B$81,MATCH(B2048,Intent_Analysis!$A$5:$A$81,0))</f>
        <v>Top-ups</v>
      </c>
      <c r="D2048" s="0" t="n">
        <f aca="false">INDEX(Intent_Analysis!$E$5:$E$81,MATCH(B2048,Intent_Analysis!$A$5:$A$81,0))</f>
        <v>2</v>
      </c>
    </row>
    <row r="2049" customFormat="false" ht="15" hidden="false" customHeight="false" outlineLevel="0" collapsed="false">
      <c r="A2049" s="0" t="s">
        <v>2373</v>
      </c>
      <c r="B2049" s="0" t="s">
        <v>102</v>
      </c>
      <c r="C2049" s="0" t="str">
        <f aca="false">INDEX(Intent_Analysis!$B$5:$B$81,MATCH(B2049,Intent_Analysis!$A$5:$A$81,0))</f>
        <v>Top-ups</v>
      </c>
      <c r="D2049" s="0" t="n">
        <f aca="false">INDEX(Intent_Analysis!$E$5:$E$81,MATCH(B2049,Intent_Analysis!$A$5:$A$81,0))</f>
        <v>2</v>
      </c>
    </row>
    <row r="2050" customFormat="false" ht="15" hidden="false" customHeight="false" outlineLevel="0" collapsed="false">
      <c r="A2050" s="0" t="s">
        <v>2374</v>
      </c>
      <c r="B2050" s="0" t="s">
        <v>102</v>
      </c>
      <c r="C2050" s="0" t="str">
        <f aca="false">INDEX(Intent_Analysis!$B$5:$B$81,MATCH(B2050,Intent_Analysis!$A$5:$A$81,0))</f>
        <v>Top-ups</v>
      </c>
      <c r="D2050" s="0" t="n">
        <f aca="false">INDEX(Intent_Analysis!$E$5:$E$81,MATCH(B2050,Intent_Analysis!$A$5:$A$81,0))</f>
        <v>2</v>
      </c>
    </row>
    <row r="2051" customFormat="false" ht="15" hidden="false" customHeight="false" outlineLevel="0" collapsed="false">
      <c r="A2051" s="0" t="s">
        <v>2375</v>
      </c>
      <c r="B2051" s="0" t="s">
        <v>102</v>
      </c>
      <c r="C2051" s="0" t="str">
        <f aca="false">INDEX(Intent_Analysis!$B$5:$B$81,MATCH(B2051,Intent_Analysis!$A$5:$A$81,0))</f>
        <v>Top-ups</v>
      </c>
      <c r="D2051" s="0" t="n">
        <f aca="false">INDEX(Intent_Analysis!$E$5:$E$81,MATCH(B2051,Intent_Analysis!$A$5:$A$81,0))</f>
        <v>2</v>
      </c>
    </row>
    <row r="2052" customFormat="false" ht="15" hidden="false" customHeight="false" outlineLevel="0" collapsed="false">
      <c r="A2052" s="0" t="s">
        <v>2376</v>
      </c>
      <c r="B2052" s="0" t="s">
        <v>102</v>
      </c>
      <c r="C2052" s="0" t="str">
        <f aca="false">INDEX(Intent_Analysis!$B$5:$B$81,MATCH(B2052,Intent_Analysis!$A$5:$A$81,0))</f>
        <v>Top-ups</v>
      </c>
      <c r="D2052" s="0" t="n">
        <f aca="false">INDEX(Intent_Analysis!$E$5:$E$81,MATCH(B2052,Intent_Analysis!$A$5:$A$81,0))</f>
        <v>2</v>
      </c>
    </row>
    <row r="2053" customFormat="false" ht="15" hidden="false" customHeight="false" outlineLevel="0" collapsed="false">
      <c r="A2053" s="0" t="s">
        <v>2377</v>
      </c>
      <c r="B2053" s="0" t="s">
        <v>102</v>
      </c>
      <c r="C2053" s="0" t="str">
        <f aca="false">INDEX(Intent_Analysis!$B$5:$B$81,MATCH(B2053,Intent_Analysis!$A$5:$A$81,0))</f>
        <v>Top-ups</v>
      </c>
      <c r="D2053" s="0" t="n">
        <f aca="false">INDEX(Intent_Analysis!$E$5:$E$81,MATCH(B2053,Intent_Analysis!$A$5:$A$81,0))</f>
        <v>2</v>
      </c>
    </row>
    <row r="2054" customFormat="false" ht="15" hidden="false" customHeight="false" outlineLevel="0" collapsed="false">
      <c r="A2054" s="0" t="s">
        <v>2378</v>
      </c>
      <c r="B2054" s="0" t="s">
        <v>102</v>
      </c>
      <c r="C2054" s="0" t="str">
        <f aca="false">INDEX(Intent_Analysis!$B$5:$B$81,MATCH(B2054,Intent_Analysis!$A$5:$A$81,0))</f>
        <v>Top-ups</v>
      </c>
      <c r="D2054" s="0" t="n">
        <f aca="false">INDEX(Intent_Analysis!$E$5:$E$81,MATCH(B2054,Intent_Analysis!$A$5:$A$81,0))</f>
        <v>2</v>
      </c>
    </row>
    <row r="2055" customFormat="false" ht="15" hidden="false" customHeight="false" outlineLevel="0" collapsed="false">
      <c r="A2055" s="0" t="s">
        <v>2379</v>
      </c>
      <c r="B2055" s="0" t="s">
        <v>102</v>
      </c>
      <c r="C2055" s="0" t="str">
        <f aca="false">INDEX(Intent_Analysis!$B$5:$B$81,MATCH(B2055,Intent_Analysis!$A$5:$A$81,0))</f>
        <v>Top-ups</v>
      </c>
      <c r="D2055" s="0" t="n">
        <f aca="false">INDEX(Intent_Analysis!$E$5:$E$81,MATCH(B2055,Intent_Analysis!$A$5:$A$81,0))</f>
        <v>2</v>
      </c>
    </row>
    <row r="2056" customFormat="false" ht="15" hidden="false" customHeight="false" outlineLevel="0" collapsed="false">
      <c r="A2056" s="0" t="s">
        <v>2380</v>
      </c>
      <c r="B2056" s="0" t="s">
        <v>102</v>
      </c>
      <c r="C2056" s="0" t="str">
        <f aca="false">INDEX(Intent_Analysis!$B$5:$B$81,MATCH(B2056,Intent_Analysis!$A$5:$A$81,0))</f>
        <v>Top-ups</v>
      </c>
      <c r="D2056" s="0" t="n">
        <f aca="false">INDEX(Intent_Analysis!$E$5:$E$81,MATCH(B2056,Intent_Analysis!$A$5:$A$81,0))</f>
        <v>2</v>
      </c>
    </row>
    <row r="2057" customFormat="false" ht="15" hidden="false" customHeight="false" outlineLevel="0" collapsed="false">
      <c r="A2057" s="0" t="s">
        <v>2381</v>
      </c>
      <c r="B2057" s="0" t="s">
        <v>102</v>
      </c>
      <c r="C2057" s="0" t="str">
        <f aca="false">INDEX(Intent_Analysis!$B$5:$B$81,MATCH(B2057,Intent_Analysis!$A$5:$A$81,0))</f>
        <v>Top-ups</v>
      </c>
      <c r="D2057" s="0" t="n">
        <f aca="false">INDEX(Intent_Analysis!$E$5:$E$81,MATCH(B2057,Intent_Analysis!$A$5:$A$81,0))</f>
        <v>2</v>
      </c>
    </row>
    <row r="2058" customFormat="false" ht="15" hidden="false" customHeight="false" outlineLevel="0" collapsed="false">
      <c r="A2058" s="0" t="s">
        <v>2382</v>
      </c>
      <c r="B2058" s="0" t="s">
        <v>102</v>
      </c>
      <c r="C2058" s="0" t="str">
        <f aca="false">INDEX(Intent_Analysis!$B$5:$B$81,MATCH(B2058,Intent_Analysis!$A$5:$A$81,0))</f>
        <v>Top-ups</v>
      </c>
      <c r="D2058" s="0" t="n">
        <f aca="false">INDEX(Intent_Analysis!$E$5:$E$81,MATCH(B2058,Intent_Analysis!$A$5:$A$81,0))</f>
        <v>2</v>
      </c>
    </row>
    <row r="2059" customFormat="false" ht="15" hidden="false" customHeight="false" outlineLevel="0" collapsed="false">
      <c r="A2059" s="0" t="s">
        <v>2383</v>
      </c>
      <c r="B2059" s="0" t="s">
        <v>102</v>
      </c>
      <c r="C2059" s="0" t="str">
        <f aca="false">INDEX(Intent_Analysis!$B$5:$B$81,MATCH(B2059,Intent_Analysis!$A$5:$A$81,0))</f>
        <v>Top-ups</v>
      </c>
      <c r="D2059" s="0" t="n">
        <f aca="false">INDEX(Intent_Analysis!$E$5:$E$81,MATCH(B2059,Intent_Analysis!$A$5:$A$81,0))</f>
        <v>2</v>
      </c>
    </row>
    <row r="2060" customFormat="false" ht="15" hidden="false" customHeight="false" outlineLevel="0" collapsed="false">
      <c r="A2060" s="0" t="s">
        <v>2384</v>
      </c>
      <c r="B2060" s="0" t="s">
        <v>102</v>
      </c>
      <c r="C2060" s="0" t="str">
        <f aca="false">INDEX(Intent_Analysis!$B$5:$B$81,MATCH(B2060,Intent_Analysis!$A$5:$A$81,0))</f>
        <v>Top-ups</v>
      </c>
      <c r="D2060" s="0" t="n">
        <f aca="false">INDEX(Intent_Analysis!$E$5:$E$81,MATCH(B2060,Intent_Analysis!$A$5:$A$81,0))</f>
        <v>2</v>
      </c>
    </row>
    <row r="2061" customFormat="false" ht="15" hidden="false" customHeight="false" outlineLevel="0" collapsed="false">
      <c r="A2061" s="0" t="s">
        <v>2385</v>
      </c>
      <c r="B2061" s="0" t="s">
        <v>102</v>
      </c>
      <c r="C2061" s="0" t="str">
        <f aca="false">INDEX(Intent_Analysis!$B$5:$B$81,MATCH(B2061,Intent_Analysis!$A$5:$A$81,0))</f>
        <v>Top-ups</v>
      </c>
      <c r="D2061" s="0" t="n">
        <f aca="false">INDEX(Intent_Analysis!$E$5:$E$81,MATCH(B2061,Intent_Analysis!$A$5:$A$81,0))</f>
        <v>2</v>
      </c>
    </row>
    <row r="2062" customFormat="false" ht="15" hidden="false" customHeight="false" outlineLevel="0" collapsed="false">
      <c r="A2062" s="0" t="s">
        <v>2386</v>
      </c>
      <c r="B2062" s="0" t="s">
        <v>102</v>
      </c>
      <c r="C2062" s="0" t="str">
        <f aca="false">INDEX(Intent_Analysis!$B$5:$B$81,MATCH(B2062,Intent_Analysis!$A$5:$A$81,0))</f>
        <v>Top-ups</v>
      </c>
      <c r="D2062" s="0" t="n">
        <f aca="false">INDEX(Intent_Analysis!$E$5:$E$81,MATCH(B2062,Intent_Analysis!$A$5:$A$81,0))</f>
        <v>2</v>
      </c>
    </row>
    <row r="2063" customFormat="false" ht="15" hidden="false" customHeight="false" outlineLevel="0" collapsed="false">
      <c r="A2063" s="0" t="s">
        <v>2387</v>
      </c>
      <c r="B2063" s="0" t="s">
        <v>102</v>
      </c>
      <c r="C2063" s="0" t="str">
        <f aca="false">INDEX(Intent_Analysis!$B$5:$B$81,MATCH(B2063,Intent_Analysis!$A$5:$A$81,0))</f>
        <v>Top-ups</v>
      </c>
      <c r="D2063" s="0" t="n">
        <f aca="false">INDEX(Intent_Analysis!$E$5:$E$81,MATCH(B2063,Intent_Analysis!$A$5:$A$81,0))</f>
        <v>2</v>
      </c>
    </row>
    <row r="2064" customFormat="false" ht="15" hidden="false" customHeight="false" outlineLevel="0" collapsed="false">
      <c r="A2064" s="0" t="s">
        <v>2388</v>
      </c>
      <c r="B2064" s="0" t="s">
        <v>102</v>
      </c>
      <c r="C2064" s="0" t="str">
        <f aca="false">INDEX(Intent_Analysis!$B$5:$B$81,MATCH(B2064,Intent_Analysis!$A$5:$A$81,0))</f>
        <v>Top-ups</v>
      </c>
      <c r="D2064" s="0" t="n">
        <f aca="false">INDEX(Intent_Analysis!$E$5:$E$81,MATCH(B2064,Intent_Analysis!$A$5:$A$81,0))</f>
        <v>2</v>
      </c>
    </row>
    <row r="2065" customFormat="false" ht="15" hidden="false" customHeight="false" outlineLevel="0" collapsed="false">
      <c r="A2065" s="0" t="s">
        <v>2389</v>
      </c>
      <c r="B2065" s="0" t="s">
        <v>102</v>
      </c>
      <c r="C2065" s="0" t="str">
        <f aca="false">INDEX(Intent_Analysis!$B$5:$B$81,MATCH(B2065,Intent_Analysis!$A$5:$A$81,0))</f>
        <v>Top-ups</v>
      </c>
      <c r="D2065" s="0" t="n">
        <f aca="false">INDEX(Intent_Analysis!$E$5:$E$81,MATCH(B2065,Intent_Analysis!$A$5:$A$81,0))</f>
        <v>2</v>
      </c>
    </row>
    <row r="2066" customFormat="false" ht="15" hidden="false" customHeight="false" outlineLevel="0" collapsed="false">
      <c r="A2066" s="0" t="s">
        <v>2390</v>
      </c>
      <c r="B2066" s="0" t="s">
        <v>102</v>
      </c>
      <c r="C2066" s="0" t="str">
        <f aca="false">INDEX(Intent_Analysis!$B$5:$B$81,MATCH(B2066,Intent_Analysis!$A$5:$A$81,0))</f>
        <v>Top-ups</v>
      </c>
      <c r="D2066" s="0" t="n">
        <f aca="false">INDEX(Intent_Analysis!$E$5:$E$81,MATCH(B2066,Intent_Analysis!$A$5:$A$81,0))</f>
        <v>2</v>
      </c>
    </row>
    <row r="2067" customFormat="false" ht="15" hidden="false" customHeight="false" outlineLevel="0" collapsed="false">
      <c r="A2067" s="0" t="s">
        <v>2391</v>
      </c>
      <c r="B2067" s="0" t="s">
        <v>102</v>
      </c>
      <c r="C2067" s="0" t="str">
        <f aca="false">INDEX(Intent_Analysis!$B$5:$B$81,MATCH(B2067,Intent_Analysis!$A$5:$A$81,0))</f>
        <v>Top-ups</v>
      </c>
      <c r="D2067" s="0" t="n">
        <f aca="false">INDEX(Intent_Analysis!$E$5:$E$81,MATCH(B2067,Intent_Analysis!$A$5:$A$81,0))</f>
        <v>2</v>
      </c>
    </row>
    <row r="2068" customFormat="false" ht="15" hidden="false" customHeight="false" outlineLevel="0" collapsed="false">
      <c r="A2068" s="0" t="s">
        <v>2392</v>
      </c>
      <c r="B2068" s="0" t="s">
        <v>102</v>
      </c>
      <c r="C2068" s="0" t="str">
        <f aca="false">INDEX(Intent_Analysis!$B$5:$B$81,MATCH(B2068,Intent_Analysis!$A$5:$A$81,0))</f>
        <v>Top-ups</v>
      </c>
      <c r="D2068" s="0" t="n">
        <f aca="false">INDEX(Intent_Analysis!$E$5:$E$81,MATCH(B2068,Intent_Analysis!$A$5:$A$81,0))</f>
        <v>2</v>
      </c>
    </row>
    <row r="2069" customFormat="false" ht="15" hidden="false" customHeight="false" outlineLevel="0" collapsed="false">
      <c r="A2069" s="0" t="s">
        <v>2393</v>
      </c>
      <c r="B2069" s="0" t="s">
        <v>102</v>
      </c>
      <c r="C2069" s="0" t="str">
        <f aca="false">INDEX(Intent_Analysis!$B$5:$B$81,MATCH(B2069,Intent_Analysis!$A$5:$A$81,0))</f>
        <v>Top-ups</v>
      </c>
      <c r="D2069" s="0" t="n">
        <f aca="false">INDEX(Intent_Analysis!$E$5:$E$81,MATCH(B2069,Intent_Analysis!$A$5:$A$81,0))</f>
        <v>2</v>
      </c>
    </row>
    <row r="2070" customFormat="false" ht="15" hidden="false" customHeight="false" outlineLevel="0" collapsed="false">
      <c r="A2070" s="0" t="s">
        <v>2394</v>
      </c>
      <c r="B2070" s="0" t="s">
        <v>102</v>
      </c>
      <c r="C2070" s="0" t="str">
        <f aca="false">INDEX(Intent_Analysis!$B$5:$B$81,MATCH(B2070,Intent_Analysis!$A$5:$A$81,0))</f>
        <v>Top-ups</v>
      </c>
      <c r="D2070" s="0" t="n">
        <f aca="false">INDEX(Intent_Analysis!$E$5:$E$81,MATCH(B2070,Intent_Analysis!$A$5:$A$81,0))</f>
        <v>2</v>
      </c>
    </row>
    <row r="2071" customFormat="false" ht="15" hidden="false" customHeight="false" outlineLevel="0" collapsed="false">
      <c r="A2071" s="0" t="s">
        <v>2395</v>
      </c>
      <c r="B2071" s="0" t="s">
        <v>102</v>
      </c>
      <c r="C2071" s="0" t="str">
        <f aca="false">INDEX(Intent_Analysis!$B$5:$B$81,MATCH(B2071,Intent_Analysis!$A$5:$A$81,0))</f>
        <v>Top-ups</v>
      </c>
      <c r="D2071" s="0" t="n">
        <f aca="false">INDEX(Intent_Analysis!$E$5:$E$81,MATCH(B2071,Intent_Analysis!$A$5:$A$81,0))</f>
        <v>2</v>
      </c>
    </row>
    <row r="2072" customFormat="false" ht="15" hidden="false" customHeight="false" outlineLevel="0" collapsed="false">
      <c r="A2072" s="0" t="s">
        <v>2396</v>
      </c>
      <c r="B2072" s="0" t="s">
        <v>102</v>
      </c>
      <c r="C2072" s="0" t="str">
        <f aca="false">INDEX(Intent_Analysis!$B$5:$B$81,MATCH(B2072,Intent_Analysis!$A$5:$A$81,0))</f>
        <v>Top-ups</v>
      </c>
      <c r="D2072" s="0" t="n">
        <f aca="false">INDEX(Intent_Analysis!$E$5:$E$81,MATCH(B2072,Intent_Analysis!$A$5:$A$81,0))</f>
        <v>2</v>
      </c>
    </row>
    <row r="2073" customFormat="false" ht="15" hidden="false" customHeight="false" outlineLevel="0" collapsed="false">
      <c r="A2073" s="0" t="s">
        <v>2397</v>
      </c>
      <c r="B2073" s="0" t="s">
        <v>102</v>
      </c>
      <c r="C2073" s="0" t="str">
        <f aca="false">INDEX(Intent_Analysis!$B$5:$B$81,MATCH(B2073,Intent_Analysis!$A$5:$A$81,0))</f>
        <v>Top-ups</v>
      </c>
      <c r="D2073" s="0" t="n">
        <f aca="false">INDEX(Intent_Analysis!$E$5:$E$81,MATCH(B2073,Intent_Analysis!$A$5:$A$81,0))</f>
        <v>2</v>
      </c>
    </row>
    <row r="2074" customFormat="false" ht="15" hidden="false" customHeight="false" outlineLevel="0" collapsed="false">
      <c r="A2074" s="0" t="s">
        <v>2398</v>
      </c>
      <c r="B2074" s="0" t="s">
        <v>102</v>
      </c>
      <c r="C2074" s="0" t="str">
        <f aca="false">INDEX(Intent_Analysis!$B$5:$B$81,MATCH(B2074,Intent_Analysis!$A$5:$A$81,0))</f>
        <v>Top-ups</v>
      </c>
      <c r="D2074" s="0" t="n">
        <f aca="false">INDEX(Intent_Analysis!$E$5:$E$81,MATCH(B2074,Intent_Analysis!$A$5:$A$81,0))</f>
        <v>2</v>
      </c>
    </row>
    <row r="2075" customFormat="false" ht="15" hidden="false" customHeight="false" outlineLevel="0" collapsed="false">
      <c r="A2075" s="0" t="s">
        <v>2399</v>
      </c>
      <c r="B2075" s="0" t="s">
        <v>102</v>
      </c>
      <c r="C2075" s="0" t="str">
        <f aca="false">INDEX(Intent_Analysis!$B$5:$B$81,MATCH(B2075,Intent_Analysis!$A$5:$A$81,0))</f>
        <v>Top-ups</v>
      </c>
      <c r="D2075" s="0" t="n">
        <f aca="false">INDEX(Intent_Analysis!$E$5:$E$81,MATCH(B2075,Intent_Analysis!$A$5:$A$81,0))</f>
        <v>2</v>
      </c>
    </row>
    <row r="2076" customFormat="false" ht="15" hidden="false" customHeight="false" outlineLevel="0" collapsed="false">
      <c r="A2076" s="0" t="s">
        <v>2400</v>
      </c>
      <c r="B2076" s="0" t="s">
        <v>102</v>
      </c>
      <c r="C2076" s="0" t="str">
        <f aca="false">INDEX(Intent_Analysis!$B$5:$B$81,MATCH(B2076,Intent_Analysis!$A$5:$A$81,0))</f>
        <v>Top-ups</v>
      </c>
      <c r="D2076" s="0" t="n">
        <f aca="false">INDEX(Intent_Analysis!$E$5:$E$81,MATCH(B2076,Intent_Analysis!$A$5:$A$81,0))</f>
        <v>2</v>
      </c>
    </row>
    <row r="2077" customFormat="false" ht="15" hidden="false" customHeight="false" outlineLevel="0" collapsed="false">
      <c r="A2077" s="0" t="s">
        <v>2401</v>
      </c>
      <c r="B2077" s="0" t="s">
        <v>102</v>
      </c>
      <c r="C2077" s="0" t="str">
        <f aca="false">INDEX(Intent_Analysis!$B$5:$B$81,MATCH(B2077,Intent_Analysis!$A$5:$A$81,0))</f>
        <v>Top-ups</v>
      </c>
      <c r="D2077" s="0" t="n">
        <f aca="false">INDEX(Intent_Analysis!$E$5:$E$81,MATCH(B2077,Intent_Analysis!$A$5:$A$81,0))</f>
        <v>2</v>
      </c>
    </row>
    <row r="2078" customFormat="false" ht="15" hidden="false" customHeight="false" outlineLevel="0" collapsed="false">
      <c r="A2078" s="0" t="s">
        <v>2402</v>
      </c>
      <c r="B2078" s="0" t="s">
        <v>102</v>
      </c>
      <c r="C2078" s="0" t="str">
        <f aca="false">INDEX(Intent_Analysis!$B$5:$B$81,MATCH(B2078,Intent_Analysis!$A$5:$A$81,0))</f>
        <v>Top-ups</v>
      </c>
      <c r="D2078" s="0" t="n">
        <f aca="false">INDEX(Intent_Analysis!$E$5:$E$81,MATCH(B2078,Intent_Analysis!$A$5:$A$81,0))</f>
        <v>2</v>
      </c>
    </row>
    <row r="2079" customFormat="false" ht="15" hidden="false" customHeight="false" outlineLevel="0" collapsed="false">
      <c r="A2079" s="0" t="s">
        <v>2403</v>
      </c>
      <c r="B2079" s="0" t="s">
        <v>114</v>
      </c>
      <c r="C2079" s="0" t="str">
        <f aca="false">INDEX(Intent_Analysis!$B$5:$B$81,MATCH(B2079,Intent_Analysis!$A$5:$A$81,0))</f>
        <v>Transfers</v>
      </c>
      <c r="D2079" s="0" t="n">
        <f aca="false">INDEX(Intent_Analysis!$E$5:$E$81,MATCH(B2079,Intent_Analysis!$A$5:$A$81,0))</f>
        <v>2</v>
      </c>
    </row>
    <row r="2080" customFormat="false" ht="15" hidden="false" customHeight="false" outlineLevel="0" collapsed="false">
      <c r="A2080" s="0" t="s">
        <v>2404</v>
      </c>
      <c r="B2080" s="0" t="s">
        <v>114</v>
      </c>
      <c r="C2080" s="0" t="str">
        <f aca="false">INDEX(Intent_Analysis!$B$5:$B$81,MATCH(B2080,Intent_Analysis!$A$5:$A$81,0))</f>
        <v>Transfers</v>
      </c>
      <c r="D2080" s="0" t="n">
        <f aca="false">INDEX(Intent_Analysis!$E$5:$E$81,MATCH(B2080,Intent_Analysis!$A$5:$A$81,0))</f>
        <v>2</v>
      </c>
    </row>
    <row r="2081" customFormat="false" ht="15" hidden="false" customHeight="false" outlineLevel="0" collapsed="false">
      <c r="A2081" s="0" t="s">
        <v>2405</v>
      </c>
      <c r="B2081" s="0" t="s">
        <v>114</v>
      </c>
      <c r="C2081" s="0" t="str">
        <f aca="false">INDEX(Intent_Analysis!$B$5:$B$81,MATCH(B2081,Intent_Analysis!$A$5:$A$81,0))</f>
        <v>Transfers</v>
      </c>
      <c r="D2081" s="0" t="n">
        <f aca="false">INDEX(Intent_Analysis!$E$5:$E$81,MATCH(B2081,Intent_Analysis!$A$5:$A$81,0))</f>
        <v>2</v>
      </c>
    </row>
    <row r="2082" customFormat="false" ht="15" hidden="false" customHeight="false" outlineLevel="0" collapsed="false">
      <c r="A2082" s="0" t="s">
        <v>2406</v>
      </c>
      <c r="B2082" s="0" t="s">
        <v>114</v>
      </c>
      <c r="C2082" s="0" t="str">
        <f aca="false">INDEX(Intent_Analysis!$B$5:$B$81,MATCH(B2082,Intent_Analysis!$A$5:$A$81,0))</f>
        <v>Transfers</v>
      </c>
      <c r="D2082" s="0" t="n">
        <f aca="false">INDEX(Intent_Analysis!$E$5:$E$81,MATCH(B2082,Intent_Analysis!$A$5:$A$81,0))</f>
        <v>2</v>
      </c>
    </row>
    <row r="2083" customFormat="false" ht="15" hidden="false" customHeight="false" outlineLevel="0" collapsed="false">
      <c r="A2083" s="0" t="s">
        <v>2407</v>
      </c>
      <c r="B2083" s="0" t="s">
        <v>114</v>
      </c>
      <c r="C2083" s="0" t="str">
        <f aca="false">INDEX(Intent_Analysis!$B$5:$B$81,MATCH(B2083,Intent_Analysis!$A$5:$A$81,0))</f>
        <v>Transfers</v>
      </c>
      <c r="D2083" s="0" t="n">
        <f aca="false">INDEX(Intent_Analysis!$E$5:$E$81,MATCH(B2083,Intent_Analysis!$A$5:$A$81,0))</f>
        <v>2</v>
      </c>
    </row>
    <row r="2084" customFormat="false" ht="15" hidden="false" customHeight="false" outlineLevel="0" collapsed="false">
      <c r="A2084" s="0" t="s">
        <v>2408</v>
      </c>
      <c r="B2084" s="0" t="s">
        <v>114</v>
      </c>
      <c r="C2084" s="0" t="str">
        <f aca="false">INDEX(Intent_Analysis!$B$5:$B$81,MATCH(B2084,Intent_Analysis!$A$5:$A$81,0))</f>
        <v>Transfers</v>
      </c>
      <c r="D2084" s="0" t="n">
        <f aca="false">INDEX(Intent_Analysis!$E$5:$E$81,MATCH(B2084,Intent_Analysis!$A$5:$A$81,0))</f>
        <v>2</v>
      </c>
    </row>
    <row r="2085" customFormat="false" ht="15" hidden="false" customHeight="false" outlineLevel="0" collapsed="false">
      <c r="A2085" s="0" t="s">
        <v>2409</v>
      </c>
      <c r="B2085" s="0" t="s">
        <v>114</v>
      </c>
      <c r="C2085" s="0" t="str">
        <f aca="false">INDEX(Intent_Analysis!$B$5:$B$81,MATCH(B2085,Intent_Analysis!$A$5:$A$81,0))</f>
        <v>Transfers</v>
      </c>
      <c r="D2085" s="0" t="n">
        <f aca="false">INDEX(Intent_Analysis!$E$5:$E$81,MATCH(B2085,Intent_Analysis!$A$5:$A$81,0))</f>
        <v>2</v>
      </c>
    </row>
    <row r="2086" customFormat="false" ht="15" hidden="false" customHeight="false" outlineLevel="0" collapsed="false">
      <c r="A2086" s="0" t="s">
        <v>2410</v>
      </c>
      <c r="B2086" s="0" t="s">
        <v>114</v>
      </c>
      <c r="C2086" s="0" t="str">
        <f aca="false">INDEX(Intent_Analysis!$B$5:$B$81,MATCH(B2086,Intent_Analysis!$A$5:$A$81,0))</f>
        <v>Transfers</v>
      </c>
      <c r="D2086" s="0" t="n">
        <f aca="false">INDEX(Intent_Analysis!$E$5:$E$81,MATCH(B2086,Intent_Analysis!$A$5:$A$81,0))</f>
        <v>2</v>
      </c>
    </row>
    <row r="2087" customFormat="false" ht="15" hidden="false" customHeight="false" outlineLevel="0" collapsed="false">
      <c r="A2087" s="0" t="s">
        <v>2411</v>
      </c>
      <c r="B2087" s="0" t="s">
        <v>114</v>
      </c>
      <c r="C2087" s="0" t="str">
        <f aca="false">INDEX(Intent_Analysis!$B$5:$B$81,MATCH(B2087,Intent_Analysis!$A$5:$A$81,0))</f>
        <v>Transfers</v>
      </c>
      <c r="D2087" s="0" t="n">
        <f aca="false">INDEX(Intent_Analysis!$E$5:$E$81,MATCH(B2087,Intent_Analysis!$A$5:$A$81,0))</f>
        <v>2</v>
      </c>
    </row>
    <row r="2088" customFormat="false" ht="15" hidden="false" customHeight="false" outlineLevel="0" collapsed="false">
      <c r="A2088" s="0" t="s">
        <v>2412</v>
      </c>
      <c r="B2088" s="0" t="s">
        <v>114</v>
      </c>
      <c r="C2088" s="0" t="str">
        <f aca="false">INDEX(Intent_Analysis!$B$5:$B$81,MATCH(B2088,Intent_Analysis!$A$5:$A$81,0))</f>
        <v>Transfers</v>
      </c>
      <c r="D2088" s="0" t="n">
        <f aca="false">INDEX(Intent_Analysis!$E$5:$E$81,MATCH(B2088,Intent_Analysis!$A$5:$A$81,0))</f>
        <v>2</v>
      </c>
    </row>
    <row r="2089" customFormat="false" ht="15" hidden="false" customHeight="false" outlineLevel="0" collapsed="false">
      <c r="A2089" s="0" t="s">
        <v>2413</v>
      </c>
      <c r="B2089" s="0" t="s">
        <v>114</v>
      </c>
      <c r="C2089" s="0" t="str">
        <f aca="false">INDEX(Intent_Analysis!$B$5:$B$81,MATCH(B2089,Intent_Analysis!$A$5:$A$81,0))</f>
        <v>Transfers</v>
      </c>
      <c r="D2089" s="0" t="n">
        <f aca="false">INDEX(Intent_Analysis!$E$5:$E$81,MATCH(B2089,Intent_Analysis!$A$5:$A$81,0))</f>
        <v>2</v>
      </c>
    </row>
    <row r="2090" customFormat="false" ht="15" hidden="false" customHeight="false" outlineLevel="0" collapsed="false">
      <c r="A2090" s="0" t="s">
        <v>2414</v>
      </c>
      <c r="B2090" s="0" t="s">
        <v>114</v>
      </c>
      <c r="C2090" s="0" t="str">
        <f aca="false">INDEX(Intent_Analysis!$B$5:$B$81,MATCH(B2090,Intent_Analysis!$A$5:$A$81,0))</f>
        <v>Transfers</v>
      </c>
      <c r="D2090" s="0" t="n">
        <f aca="false">INDEX(Intent_Analysis!$E$5:$E$81,MATCH(B2090,Intent_Analysis!$A$5:$A$81,0))</f>
        <v>2</v>
      </c>
    </row>
    <row r="2091" customFormat="false" ht="15" hidden="false" customHeight="false" outlineLevel="0" collapsed="false">
      <c r="A2091" s="0" t="s">
        <v>2415</v>
      </c>
      <c r="B2091" s="0" t="s">
        <v>114</v>
      </c>
      <c r="C2091" s="0" t="str">
        <f aca="false">INDEX(Intent_Analysis!$B$5:$B$81,MATCH(B2091,Intent_Analysis!$A$5:$A$81,0))</f>
        <v>Transfers</v>
      </c>
      <c r="D2091" s="0" t="n">
        <f aca="false">INDEX(Intent_Analysis!$E$5:$E$81,MATCH(B2091,Intent_Analysis!$A$5:$A$81,0))</f>
        <v>2</v>
      </c>
    </row>
    <row r="2092" customFormat="false" ht="15" hidden="false" customHeight="false" outlineLevel="0" collapsed="false">
      <c r="A2092" s="0" t="s">
        <v>2416</v>
      </c>
      <c r="B2092" s="0" t="s">
        <v>114</v>
      </c>
      <c r="C2092" s="0" t="str">
        <f aca="false">INDEX(Intent_Analysis!$B$5:$B$81,MATCH(B2092,Intent_Analysis!$A$5:$A$81,0))</f>
        <v>Transfers</v>
      </c>
      <c r="D2092" s="0" t="n">
        <f aca="false">INDEX(Intent_Analysis!$E$5:$E$81,MATCH(B2092,Intent_Analysis!$A$5:$A$81,0))</f>
        <v>2</v>
      </c>
    </row>
    <row r="2093" customFormat="false" ht="15" hidden="false" customHeight="false" outlineLevel="0" collapsed="false">
      <c r="A2093" s="0" t="s">
        <v>2417</v>
      </c>
      <c r="B2093" s="0" t="s">
        <v>114</v>
      </c>
      <c r="C2093" s="0" t="str">
        <f aca="false">INDEX(Intent_Analysis!$B$5:$B$81,MATCH(B2093,Intent_Analysis!$A$5:$A$81,0))</f>
        <v>Transfers</v>
      </c>
      <c r="D2093" s="0" t="n">
        <f aca="false">INDEX(Intent_Analysis!$E$5:$E$81,MATCH(B2093,Intent_Analysis!$A$5:$A$81,0))</f>
        <v>2</v>
      </c>
    </row>
    <row r="2094" customFormat="false" ht="15" hidden="false" customHeight="false" outlineLevel="0" collapsed="false">
      <c r="A2094" s="0" t="s">
        <v>2418</v>
      </c>
      <c r="B2094" s="0" t="s">
        <v>114</v>
      </c>
      <c r="C2094" s="0" t="str">
        <f aca="false">INDEX(Intent_Analysis!$B$5:$B$81,MATCH(B2094,Intent_Analysis!$A$5:$A$81,0))</f>
        <v>Transfers</v>
      </c>
      <c r="D2094" s="0" t="n">
        <f aca="false">INDEX(Intent_Analysis!$E$5:$E$81,MATCH(B2094,Intent_Analysis!$A$5:$A$81,0))</f>
        <v>2</v>
      </c>
    </row>
    <row r="2095" customFormat="false" ht="15" hidden="false" customHeight="false" outlineLevel="0" collapsed="false">
      <c r="A2095" s="0" t="s">
        <v>2419</v>
      </c>
      <c r="B2095" s="0" t="s">
        <v>114</v>
      </c>
      <c r="C2095" s="0" t="str">
        <f aca="false">INDEX(Intent_Analysis!$B$5:$B$81,MATCH(B2095,Intent_Analysis!$A$5:$A$81,0))</f>
        <v>Transfers</v>
      </c>
      <c r="D2095" s="0" t="n">
        <f aca="false">INDEX(Intent_Analysis!$E$5:$E$81,MATCH(B2095,Intent_Analysis!$A$5:$A$81,0))</f>
        <v>2</v>
      </c>
    </row>
    <row r="2096" customFormat="false" ht="15" hidden="false" customHeight="false" outlineLevel="0" collapsed="false">
      <c r="A2096" s="0" t="s">
        <v>2420</v>
      </c>
      <c r="B2096" s="0" t="s">
        <v>114</v>
      </c>
      <c r="C2096" s="0" t="str">
        <f aca="false">INDEX(Intent_Analysis!$B$5:$B$81,MATCH(B2096,Intent_Analysis!$A$5:$A$81,0))</f>
        <v>Transfers</v>
      </c>
      <c r="D2096" s="0" t="n">
        <f aca="false">INDEX(Intent_Analysis!$E$5:$E$81,MATCH(B2096,Intent_Analysis!$A$5:$A$81,0))</f>
        <v>2</v>
      </c>
    </row>
    <row r="2097" customFormat="false" ht="15" hidden="false" customHeight="false" outlineLevel="0" collapsed="false">
      <c r="A2097" s="0" t="s">
        <v>2421</v>
      </c>
      <c r="B2097" s="0" t="s">
        <v>114</v>
      </c>
      <c r="C2097" s="0" t="str">
        <f aca="false">INDEX(Intent_Analysis!$B$5:$B$81,MATCH(B2097,Intent_Analysis!$A$5:$A$81,0))</f>
        <v>Transfers</v>
      </c>
      <c r="D2097" s="0" t="n">
        <f aca="false">INDEX(Intent_Analysis!$E$5:$E$81,MATCH(B2097,Intent_Analysis!$A$5:$A$81,0))</f>
        <v>2</v>
      </c>
    </row>
    <row r="2098" customFormat="false" ht="15" hidden="false" customHeight="false" outlineLevel="0" collapsed="false">
      <c r="A2098" s="0" t="s">
        <v>2422</v>
      </c>
      <c r="B2098" s="0" t="s">
        <v>114</v>
      </c>
      <c r="C2098" s="0" t="str">
        <f aca="false">INDEX(Intent_Analysis!$B$5:$B$81,MATCH(B2098,Intent_Analysis!$A$5:$A$81,0))</f>
        <v>Transfers</v>
      </c>
      <c r="D2098" s="0" t="n">
        <f aca="false">INDEX(Intent_Analysis!$E$5:$E$81,MATCH(B2098,Intent_Analysis!$A$5:$A$81,0))</f>
        <v>2</v>
      </c>
    </row>
    <row r="2099" customFormat="false" ht="15" hidden="false" customHeight="false" outlineLevel="0" collapsed="false">
      <c r="A2099" s="0" t="s">
        <v>2423</v>
      </c>
      <c r="B2099" s="0" t="s">
        <v>114</v>
      </c>
      <c r="C2099" s="0" t="str">
        <f aca="false">INDEX(Intent_Analysis!$B$5:$B$81,MATCH(B2099,Intent_Analysis!$A$5:$A$81,0))</f>
        <v>Transfers</v>
      </c>
      <c r="D2099" s="0" t="n">
        <f aca="false">INDEX(Intent_Analysis!$E$5:$E$81,MATCH(B2099,Intent_Analysis!$A$5:$A$81,0))</f>
        <v>2</v>
      </c>
    </row>
    <row r="2100" customFormat="false" ht="15" hidden="false" customHeight="false" outlineLevel="0" collapsed="false">
      <c r="A2100" s="0" t="s">
        <v>2424</v>
      </c>
      <c r="B2100" s="0" t="s">
        <v>114</v>
      </c>
      <c r="C2100" s="0" t="str">
        <f aca="false">INDEX(Intent_Analysis!$B$5:$B$81,MATCH(B2100,Intent_Analysis!$A$5:$A$81,0))</f>
        <v>Transfers</v>
      </c>
      <c r="D2100" s="0" t="n">
        <f aca="false">INDEX(Intent_Analysis!$E$5:$E$81,MATCH(B2100,Intent_Analysis!$A$5:$A$81,0))</f>
        <v>2</v>
      </c>
    </row>
    <row r="2101" customFormat="false" ht="15" hidden="false" customHeight="false" outlineLevel="0" collapsed="false">
      <c r="A2101" s="0" t="s">
        <v>2425</v>
      </c>
      <c r="B2101" s="0" t="s">
        <v>114</v>
      </c>
      <c r="C2101" s="0" t="str">
        <f aca="false">INDEX(Intent_Analysis!$B$5:$B$81,MATCH(B2101,Intent_Analysis!$A$5:$A$81,0))</f>
        <v>Transfers</v>
      </c>
      <c r="D2101" s="0" t="n">
        <f aca="false">INDEX(Intent_Analysis!$E$5:$E$81,MATCH(B2101,Intent_Analysis!$A$5:$A$81,0))</f>
        <v>2</v>
      </c>
    </row>
    <row r="2102" customFormat="false" ht="15" hidden="false" customHeight="false" outlineLevel="0" collapsed="false">
      <c r="A2102" s="0" t="s">
        <v>2426</v>
      </c>
      <c r="B2102" s="0" t="s">
        <v>114</v>
      </c>
      <c r="C2102" s="0" t="str">
        <f aca="false">INDEX(Intent_Analysis!$B$5:$B$81,MATCH(B2102,Intent_Analysis!$A$5:$A$81,0))</f>
        <v>Transfers</v>
      </c>
      <c r="D2102" s="0" t="n">
        <f aca="false">INDEX(Intent_Analysis!$E$5:$E$81,MATCH(B2102,Intent_Analysis!$A$5:$A$81,0))</f>
        <v>2</v>
      </c>
    </row>
    <row r="2103" customFormat="false" ht="15" hidden="false" customHeight="false" outlineLevel="0" collapsed="false">
      <c r="A2103" s="0" t="s">
        <v>2427</v>
      </c>
      <c r="B2103" s="0" t="s">
        <v>114</v>
      </c>
      <c r="C2103" s="0" t="str">
        <f aca="false">INDEX(Intent_Analysis!$B$5:$B$81,MATCH(B2103,Intent_Analysis!$A$5:$A$81,0))</f>
        <v>Transfers</v>
      </c>
      <c r="D2103" s="0" t="n">
        <f aca="false">INDEX(Intent_Analysis!$E$5:$E$81,MATCH(B2103,Intent_Analysis!$A$5:$A$81,0))</f>
        <v>2</v>
      </c>
    </row>
    <row r="2104" customFormat="false" ht="15" hidden="false" customHeight="false" outlineLevel="0" collapsed="false">
      <c r="A2104" s="0" t="s">
        <v>2428</v>
      </c>
      <c r="B2104" s="0" t="s">
        <v>114</v>
      </c>
      <c r="C2104" s="0" t="str">
        <f aca="false">INDEX(Intent_Analysis!$B$5:$B$81,MATCH(B2104,Intent_Analysis!$A$5:$A$81,0))</f>
        <v>Transfers</v>
      </c>
      <c r="D2104" s="0" t="n">
        <f aca="false">INDEX(Intent_Analysis!$E$5:$E$81,MATCH(B2104,Intent_Analysis!$A$5:$A$81,0))</f>
        <v>2</v>
      </c>
    </row>
    <row r="2105" customFormat="false" ht="15" hidden="false" customHeight="false" outlineLevel="0" collapsed="false">
      <c r="A2105" s="0" t="s">
        <v>2429</v>
      </c>
      <c r="B2105" s="0" t="s">
        <v>114</v>
      </c>
      <c r="C2105" s="0" t="str">
        <f aca="false">INDEX(Intent_Analysis!$B$5:$B$81,MATCH(B2105,Intent_Analysis!$A$5:$A$81,0))</f>
        <v>Transfers</v>
      </c>
      <c r="D2105" s="0" t="n">
        <f aca="false">INDEX(Intent_Analysis!$E$5:$E$81,MATCH(B2105,Intent_Analysis!$A$5:$A$81,0))</f>
        <v>2</v>
      </c>
    </row>
    <row r="2106" customFormat="false" ht="15" hidden="false" customHeight="false" outlineLevel="0" collapsed="false">
      <c r="A2106" s="0" t="s">
        <v>2430</v>
      </c>
      <c r="B2106" s="0" t="s">
        <v>114</v>
      </c>
      <c r="C2106" s="0" t="str">
        <f aca="false">INDEX(Intent_Analysis!$B$5:$B$81,MATCH(B2106,Intent_Analysis!$A$5:$A$81,0))</f>
        <v>Transfers</v>
      </c>
      <c r="D2106" s="0" t="n">
        <f aca="false">INDEX(Intent_Analysis!$E$5:$E$81,MATCH(B2106,Intent_Analysis!$A$5:$A$81,0))</f>
        <v>2</v>
      </c>
    </row>
    <row r="2107" customFormat="false" ht="15" hidden="false" customHeight="false" outlineLevel="0" collapsed="false">
      <c r="A2107" s="0" t="s">
        <v>2431</v>
      </c>
      <c r="B2107" s="0" t="s">
        <v>114</v>
      </c>
      <c r="C2107" s="0" t="str">
        <f aca="false">INDEX(Intent_Analysis!$B$5:$B$81,MATCH(B2107,Intent_Analysis!$A$5:$A$81,0))</f>
        <v>Transfers</v>
      </c>
      <c r="D2107" s="0" t="n">
        <f aca="false">INDEX(Intent_Analysis!$E$5:$E$81,MATCH(B2107,Intent_Analysis!$A$5:$A$81,0))</f>
        <v>2</v>
      </c>
    </row>
    <row r="2108" customFormat="false" ht="15" hidden="false" customHeight="false" outlineLevel="0" collapsed="false">
      <c r="A2108" s="0" t="s">
        <v>2432</v>
      </c>
      <c r="B2108" s="0" t="s">
        <v>114</v>
      </c>
      <c r="C2108" s="0" t="str">
        <f aca="false">INDEX(Intent_Analysis!$B$5:$B$81,MATCH(B2108,Intent_Analysis!$A$5:$A$81,0))</f>
        <v>Transfers</v>
      </c>
      <c r="D2108" s="0" t="n">
        <f aca="false">INDEX(Intent_Analysis!$E$5:$E$81,MATCH(B2108,Intent_Analysis!$A$5:$A$81,0))</f>
        <v>2</v>
      </c>
    </row>
    <row r="2109" customFormat="false" ht="15" hidden="false" customHeight="false" outlineLevel="0" collapsed="false">
      <c r="A2109" s="0" t="s">
        <v>2433</v>
      </c>
      <c r="B2109" s="0" t="s">
        <v>114</v>
      </c>
      <c r="C2109" s="0" t="str">
        <f aca="false">INDEX(Intent_Analysis!$B$5:$B$81,MATCH(B2109,Intent_Analysis!$A$5:$A$81,0))</f>
        <v>Transfers</v>
      </c>
      <c r="D2109" s="0" t="n">
        <f aca="false">INDEX(Intent_Analysis!$E$5:$E$81,MATCH(B2109,Intent_Analysis!$A$5:$A$81,0))</f>
        <v>2</v>
      </c>
    </row>
    <row r="2110" customFormat="false" ht="15" hidden="false" customHeight="false" outlineLevel="0" collapsed="false">
      <c r="A2110" s="0" t="s">
        <v>2434</v>
      </c>
      <c r="B2110" s="0" t="s">
        <v>114</v>
      </c>
      <c r="C2110" s="0" t="str">
        <f aca="false">INDEX(Intent_Analysis!$B$5:$B$81,MATCH(B2110,Intent_Analysis!$A$5:$A$81,0))</f>
        <v>Transfers</v>
      </c>
      <c r="D2110" s="0" t="n">
        <f aca="false">INDEX(Intent_Analysis!$E$5:$E$81,MATCH(B2110,Intent_Analysis!$A$5:$A$81,0))</f>
        <v>2</v>
      </c>
    </row>
    <row r="2111" customFormat="false" ht="15" hidden="false" customHeight="false" outlineLevel="0" collapsed="false">
      <c r="A2111" s="0" t="s">
        <v>2435</v>
      </c>
      <c r="B2111" s="0" t="s">
        <v>114</v>
      </c>
      <c r="C2111" s="0" t="str">
        <f aca="false">INDEX(Intent_Analysis!$B$5:$B$81,MATCH(B2111,Intent_Analysis!$A$5:$A$81,0))</f>
        <v>Transfers</v>
      </c>
      <c r="D2111" s="0" t="n">
        <f aca="false">INDEX(Intent_Analysis!$E$5:$E$81,MATCH(B2111,Intent_Analysis!$A$5:$A$81,0))</f>
        <v>2</v>
      </c>
    </row>
    <row r="2112" customFormat="false" ht="15" hidden="false" customHeight="false" outlineLevel="0" collapsed="false">
      <c r="A2112" s="0" t="s">
        <v>2436</v>
      </c>
      <c r="B2112" s="0" t="s">
        <v>114</v>
      </c>
      <c r="C2112" s="0" t="str">
        <f aca="false">INDEX(Intent_Analysis!$B$5:$B$81,MATCH(B2112,Intent_Analysis!$A$5:$A$81,0))</f>
        <v>Transfers</v>
      </c>
      <c r="D2112" s="0" t="n">
        <f aca="false">INDEX(Intent_Analysis!$E$5:$E$81,MATCH(B2112,Intent_Analysis!$A$5:$A$81,0))</f>
        <v>2</v>
      </c>
    </row>
    <row r="2113" customFormat="false" ht="15" hidden="false" customHeight="false" outlineLevel="0" collapsed="false">
      <c r="A2113" s="0" t="s">
        <v>2437</v>
      </c>
      <c r="B2113" s="0" t="s">
        <v>114</v>
      </c>
      <c r="C2113" s="0" t="str">
        <f aca="false">INDEX(Intent_Analysis!$B$5:$B$81,MATCH(B2113,Intent_Analysis!$A$5:$A$81,0))</f>
        <v>Transfers</v>
      </c>
      <c r="D2113" s="0" t="n">
        <f aca="false">INDEX(Intent_Analysis!$E$5:$E$81,MATCH(B2113,Intent_Analysis!$A$5:$A$81,0))</f>
        <v>2</v>
      </c>
    </row>
    <row r="2114" customFormat="false" ht="15" hidden="false" customHeight="false" outlineLevel="0" collapsed="false">
      <c r="A2114" s="0" t="s">
        <v>2438</v>
      </c>
      <c r="B2114" s="0" t="s">
        <v>114</v>
      </c>
      <c r="C2114" s="0" t="str">
        <f aca="false">INDEX(Intent_Analysis!$B$5:$B$81,MATCH(B2114,Intent_Analysis!$A$5:$A$81,0))</f>
        <v>Transfers</v>
      </c>
      <c r="D2114" s="0" t="n">
        <f aca="false">INDEX(Intent_Analysis!$E$5:$E$81,MATCH(B2114,Intent_Analysis!$A$5:$A$81,0))</f>
        <v>2</v>
      </c>
    </row>
    <row r="2115" customFormat="false" ht="15" hidden="false" customHeight="false" outlineLevel="0" collapsed="false">
      <c r="A2115" s="0" t="s">
        <v>2439</v>
      </c>
      <c r="B2115" s="0" t="s">
        <v>114</v>
      </c>
      <c r="C2115" s="0" t="str">
        <f aca="false">INDEX(Intent_Analysis!$B$5:$B$81,MATCH(B2115,Intent_Analysis!$A$5:$A$81,0))</f>
        <v>Transfers</v>
      </c>
      <c r="D2115" s="0" t="n">
        <f aca="false">INDEX(Intent_Analysis!$E$5:$E$81,MATCH(B2115,Intent_Analysis!$A$5:$A$81,0))</f>
        <v>2</v>
      </c>
    </row>
    <row r="2116" customFormat="false" ht="15" hidden="false" customHeight="false" outlineLevel="0" collapsed="false">
      <c r="A2116" s="0" t="s">
        <v>2440</v>
      </c>
      <c r="B2116" s="0" t="s">
        <v>114</v>
      </c>
      <c r="C2116" s="0" t="str">
        <f aca="false">INDEX(Intent_Analysis!$B$5:$B$81,MATCH(B2116,Intent_Analysis!$A$5:$A$81,0))</f>
        <v>Transfers</v>
      </c>
      <c r="D2116" s="0" t="n">
        <f aca="false">INDEX(Intent_Analysis!$E$5:$E$81,MATCH(B2116,Intent_Analysis!$A$5:$A$81,0))</f>
        <v>2</v>
      </c>
    </row>
    <row r="2117" customFormat="false" ht="15" hidden="false" customHeight="false" outlineLevel="0" collapsed="false">
      <c r="A2117" s="0" t="s">
        <v>2441</v>
      </c>
      <c r="B2117" s="0" t="s">
        <v>114</v>
      </c>
      <c r="C2117" s="0" t="str">
        <f aca="false">INDEX(Intent_Analysis!$B$5:$B$81,MATCH(B2117,Intent_Analysis!$A$5:$A$81,0))</f>
        <v>Transfers</v>
      </c>
      <c r="D2117" s="0" t="n">
        <f aca="false">INDEX(Intent_Analysis!$E$5:$E$81,MATCH(B2117,Intent_Analysis!$A$5:$A$81,0))</f>
        <v>2</v>
      </c>
    </row>
    <row r="2118" customFormat="false" ht="15" hidden="false" customHeight="false" outlineLevel="0" collapsed="false">
      <c r="A2118" s="0" t="s">
        <v>2442</v>
      </c>
      <c r="B2118" s="0" t="s">
        <v>114</v>
      </c>
      <c r="C2118" s="0" t="str">
        <f aca="false">INDEX(Intent_Analysis!$B$5:$B$81,MATCH(B2118,Intent_Analysis!$A$5:$A$81,0))</f>
        <v>Transfers</v>
      </c>
      <c r="D2118" s="0" t="n">
        <f aca="false">INDEX(Intent_Analysis!$E$5:$E$81,MATCH(B2118,Intent_Analysis!$A$5:$A$81,0))</f>
        <v>2</v>
      </c>
    </row>
    <row r="2119" customFormat="false" ht="15" hidden="false" customHeight="false" outlineLevel="0" collapsed="false">
      <c r="A2119" s="0" t="s">
        <v>2443</v>
      </c>
      <c r="B2119" s="0" t="s">
        <v>114</v>
      </c>
      <c r="C2119" s="0" t="str">
        <f aca="false">INDEX(Intent_Analysis!$B$5:$B$81,MATCH(B2119,Intent_Analysis!$A$5:$A$81,0))</f>
        <v>Transfers</v>
      </c>
      <c r="D2119" s="0" t="n">
        <f aca="false">INDEX(Intent_Analysis!$E$5:$E$81,MATCH(B2119,Intent_Analysis!$A$5:$A$81,0))</f>
        <v>2</v>
      </c>
    </row>
    <row r="2120" customFormat="false" ht="15" hidden="false" customHeight="false" outlineLevel="0" collapsed="false">
      <c r="A2120" s="0" t="s">
        <v>2444</v>
      </c>
      <c r="B2120" s="0" t="s">
        <v>114</v>
      </c>
      <c r="C2120" s="0" t="str">
        <f aca="false">INDEX(Intent_Analysis!$B$5:$B$81,MATCH(B2120,Intent_Analysis!$A$5:$A$81,0))</f>
        <v>Transfers</v>
      </c>
      <c r="D2120" s="0" t="n">
        <f aca="false">INDEX(Intent_Analysis!$E$5:$E$81,MATCH(B2120,Intent_Analysis!$A$5:$A$81,0))</f>
        <v>2</v>
      </c>
    </row>
    <row r="2121" customFormat="false" ht="15" hidden="false" customHeight="false" outlineLevel="0" collapsed="false">
      <c r="A2121" s="0" t="s">
        <v>2445</v>
      </c>
      <c r="B2121" s="0" t="s">
        <v>114</v>
      </c>
      <c r="C2121" s="0" t="str">
        <f aca="false">INDEX(Intent_Analysis!$B$5:$B$81,MATCH(B2121,Intent_Analysis!$A$5:$A$81,0))</f>
        <v>Transfers</v>
      </c>
      <c r="D2121" s="0" t="n">
        <f aca="false">INDEX(Intent_Analysis!$E$5:$E$81,MATCH(B2121,Intent_Analysis!$A$5:$A$81,0))</f>
        <v>2</v>
      </c>
    </row>
    <row r="2122" customFormat="false" ht="15" hidden="false" customHeight="false" outlineLevel="0" collapsed="false">
      <c r="A2122" s="0" t="s">
        <v>2446</v>
      </c>
      <c r="B2122" s="0" t="s">
        <v>114</v>
      </c>
      <c r="C2122" s="0" t="str">
        <f aca="false">INDEX(Intent_Analysis!$B$5:$B$81,MATCH(B2122,Intent_Analysis!$A$5:$A$81,0))</f>
        <v>Transfers</v>
      </c>
      <c r="D2122" s="0" t="n">
        <f aca="false">INDEX(Intent_Analysis!$E$5:$E$81,MATCH(B2122,Intent_Analysis!$A$5:$A$81,0))</f>
        <v>2</v>
      </c>
    </row>
    <row r="2123" customFormat="false" ht="15" hidden="false" customHeight="false" outlineLevel="0" collapsed="false">
      <c r="A2123" s="0" t="s">
        <v>2447</v>
      </c>
      <c r="B2123" s="0" t="s">
        <v>114</v>
      </c>
      <c r="C2123" s="0" t="str">
        <f aca="false">INDEX(Intent_Analysis!$B$5:$B$81,MATCH(B2123,Intent_Analysis!$A$5:$A$81,0))</f>
        <v>Transfers</v>
      </c>
      <c r="D2123" s="0" t="n">
        <f aca="false">INDEX(Intent_Analysis!$E$5:$E$81,MATCH(B2123,Intent_Analysis!$A$5:$A$81,0))</f>
        <v>2</v>
      </c>
    </row>
    <row r="2124" customFormat="false" ht="15" hidden="false" customHeight="false" outlineLevel="0" collapsed="false">
      <c r="A2124" s="0" t="s">
        <v>2448</v>
      </c>
      <c r="B2124" s="0" t="s">
        <v>114</v>
      </c>
      <c r="C2124" s="0" t="str">
        <f aca="false">INDEX(Intent_Analysis!$B$5:$B$81,MATCH(B2124,Intent_Analysis!$A$5:$A$81,0))</f>
        <v>Transfers</v>
      </c>
      <c r="D2124" s="0" t="n">
        <f aca="false">INDEX(Intent_Analysis!$E$5:$E$81,MATCH(B2124,Intent_Analysis!$A$5:$A$81,0))</f>
        <v>2</v>
      </c>
    </row>
    <row r="2125" customFormat="false" ht="15" hidden="false" customHeight="false" outlineLevel="0" collapsed="false">
      <c r="A2125" s="0" t="s">
        <v>2449</v>
      </c>
      <c r="B2125" s="0" t="s">
        <v>114</v>
      </c>
      <c r="C2125" s="0" t="str">
        <f aca="false">INDEX(Intent_Analysis!$B$5:$B$81,MATCH(B2125,Intent_Analysis!$A$5:$A$81,0))</f>
        <v>Transfers</v>
      </c>
      <c r="D2125" s="0" t="n">
        <f aca="false">INDEX(Intent_Analysis!$E$5:$E$81,MATCH(B2125,Intent_Analysis!$A$5:$A$81,0))</f>
        <v>2</v>
      </c>
    </row>
    <row r="2126" customFormat="false" ht="15" hidden="false" customHeight="false" outlineLevel="0" collapsed="false">
      <c r="A2126" s="0" t="s">
        <v>2450</v>
      </c>
      <c r="B2126" s="0" t="s">
        <v>114</v>
      </c>
      <c r="C2126" s="0" t="str">
        <f aca="false">INDEX(Intent_Analysis!$B$5:$B$81,MATCH(B2126,Intent_Analysis!$A$5:$A$81,0))</f>
        <v>Transfers</v>
      </c>
      <c r="D2126" s="0" t="n">
        <f aca="false">INDEX(Intent_Analysis!$E$5:$E$81,MATCH(B2126,Intent_Analysis!$A$5:$A$81,0))</f>
        <v>2</v>
      </c>
    </row>
    <row r="2127" customFormat="false" ht="15" hidden="false" customHeight="false" outlineLevel="0" collapsed="false">
      <c r="A2127" s="0" t="s">
        <v>2451</v>
      </c>
      <c r="B2127" s="0" t="s">
        <v>114</v>
      </c>
      <c r="C2127" s="0" t="str">
        <f aca="false">INDEX(Intent_Analysis!$B$5:$B$81,MATCH(B2127,Intent_Analysis!$A$5:$A$81,0))</f>
        <v>Transfers</v>
      </c>
      <c r="D2127" s="0" t="n">
        <f aca="false">INDEX(Intent_Analysis!$E$5:$E$81,MATCH(B2127,Intent_Analysis!$A$5:$A$81,0))</f>
        <v>2</v>
      </c>
    </row>
    <row r="2128" customFormat="false" ht="15" hidden="false" customHeight="false" outlineLevel="0" collapsed="false">
      <c r="A2128" s="0" t="s">
        <v>2452</v>
      </c>
      <c r="B2128" s="0" t="s">
        <v>114</v>
      </c>
      <c r="C2128" s="0" t="str">
        <f aca="false">INDEX(Intent_Analysis!$B$5:$B$81,MATCH(B2128,Intent_Analysis!$A$5:$A$81,0))</f>
        <v>Transfers</v>
      </c>
      <c r="D2128" s="0" t="n">
        <f aca="false">INDEX(Intent_Analysis!$E$5:$E$81,MATCH(B2128,Intent_Analysis!$A$5:$A$81,0))</f>
        <v>2</v>
      </c>
    </row>
    <row r="2129" customFormat="false" ht="15" hidden="false" customHeight="false" outlineLevel="0" collapsed="false">
      <c r="A2129" s="0" t="s">
        <v>2453</v>
      </c>
      <c r="B2129" s="0" t="s">
        <v>114</v>
      </c>
      <c r="C2129" s="0" t="str">
        <f aca="false">INDEX(Intent_Analysis!$B$5:$B$81,MATCH(B2129,Intent_Analysis!$A$5:$A$81,0))</f>
        <v>Transfers</v>
      </c>
      <c r="D2129" s="0" t="n">
        <f aca="false">INDEX(Intent_Analysis!$E$5:$E$81,MATCH(B2129,Intent_Analysis!$A$5:$A$81,0))</f>
        <v>2</v>
      </c>
    </row>
    <row r="2130" customFormat="false" ht="15" hidden="false" customHeight="false" outlineLevel="0" collapsed="false">
      <c r="A2130" s="0" t="s">
        <v>2454</v>
      </c>
      <c r="B2130" s="0" t="s">
        <v>114</v>
      </c>
      <c r="C2130" s="0" t="str">
        <f aca="false">INDEX(Intent_Analysis!$B$5:$B$81,MATCH(B2130,Intent_Analysis!$A$5:$A$81,0))</f>
        <v>Transfers</v>
      </c>
      <c r="D2130" s="0" t="n">
        <f aca="false">INDEX(Intent_Analysis!$E$5:$E$81,MATCH(B2130,Intent_Analysis!$A$5:$A$81,0))</f>
        <v>2</v>
      </c>
    </row>
    <row r="2131" customFormat="false" ht="15" hidden="false" customHeight="false" outlineLevel="0" collapsed="false">
      <c r="A2131" s="0" t="s">
        <v>2455</v>
      </c>
      <c r="B2131" s="0" t="s">
        <v>114</v>
      </c>
      <c r="C2131" s="0" t="str">
        <f aca="false">INDEX(Intent_Analysis!$B$5:$B$81,MATCH(B2131,Intent_Analysis!$A$5:$A$81,0))</f>
        <v>Transfers</v>
      </c>
      <c r="D2131" s="0" t="n">
        <f aca="false">INDEX(Intent_Analysis!$E$5:$E$81,MATCH(B2131,Intent_Analysis!$A$5:$A$81,0))</f>
        <v>2</v>
      </c>
    </row>
    <row r="2132" customFormat="false" ht="15" hidden="false" customHeight="false" outlineLevel="0" collapsed="false">
      <c r="A2132" s="0" t="s">
        <v>2456</v>
      </c>
      <c r="B2132" s="0" t="s">
        <v>114</v>
      </c>
      <c r="C2132" s="0" t="str">
        <f aca="false">INDEX(Intent_Analysis!$B$5:$B$81,MATCH(B2132,Intent_Analysis!$A$5:$A$81,0))</f>
        <v>Transfers</v>
      </c>
      <c r="D2132" s="0" t="n">
        <f aca="false">INDEX(Intent_Analysis!$E$5:$E$81,MATCH(B2132,Intent_Analysis!$A$5:$A$81,0))</f>
        <v>2</v>
      </c>
    </row>
    <row r="2133" customFormat="false" ht="15" hidden="false" customHeight="false" outlineLevel="0" collapsed="false">
      <c r="A2133" s="0" t="s">
        <v>2457</v>
      </c>
      <c r="B2133" s="0" t="s">
        <v>114</v>
      </c>
      <c r="C2133" s="0" t="str">
        <f aca="false">INDEX(Intent_Analysis!$B$5:$B$81,MATCH(B2133,Intent_Analysis!$A$5:$A$81,0))</f>
        <v>Transfers</v>
      </c>
      <c r="D2133" s="0" t="n">
        <f aca="false">INDEX(Intent_Analysis!$E$5:$E$81,MATCH(B2133,Intent_Analysis!$A$5:$A$81,0))</f>
        <v>2</v>
      </c>
    </row>
    <row r="2134" customFormat="false" ht="15" hidden="false" customHeight="false" outlineLevel="0" collapsed="false">
      <c r="A2134" s="0" t="s">
        <v>2458</v>
      </c>
      <c r="B2134" s="0" t="s">
        <v>114</v>
      </c>
      <c r="C2134" s="0" t="str">
        <f aca="false">INDEX(Intent_Analysis!$B$5:$B$81,MATCH(B2134,Intent_Analysis!$A$5:$A$81,0))</f>
        <v>Transfers</v>
      </c>
      <c r="D2134" s="0" t="n">
        <f aca="false">INDEX(Intent_Analysis!$E$5:$E$81,MATCH(B2134,Intent_Analysis!$A$5:$A$81,0))</f>
        <v>2</v>
      </c>
    </row>
    <row r="2135" customFormat="false" ht="15" hidden="false" customHeight="false" outlineLevel="0" collapsed="false">
      <c r="A2135" s="0" t="s">
        <v>2459</v>
      </c>
      <c r="B2135" s="0" t="s">
        <v>114</v>
      </c>
      <c r="C2135" s="0" t="str">
        <f aca="false">INDEX(Intent_Analysis!$B$5:$B$81,MATCH(B2135,Intent_Analysis!$A$5:$A$81,0))</f>
        <v>Transfers</v>
      </c>
      <c r="D2135" s="0" t="n">
        <f aca="false">INDEX(Intent_Analysis!$E$5:$E$81,MATCH(B2135,Intent_Analysis!$A$5:$A$81,0))</f>
        <v>2</v>
      </c>
    </row>
    <row r="2136" customFormat="false" ht="15" hidden="false" customHeight="false" outlineLevel="0" collapsed="false">
      <c r="A2136" s="0" t="s">
        <v>2460</v>
      </c>
      <c r="B2136" s="0" t="s">
        <v>114</v>
      </c>
      <c r="C2136" s="0" t="str">
        <f aca="false">INDEX(Intent_Analysis!$B$5:$B$81,MATCH(B2136,Intent_Analysis!$A$5:$A$81,0))</f>
        <v>Transfers</v>
      </c>
      <c r="D2136" s="0" t="n">
        <f aca="false">INDEX(Intent_Analysis!$E$5:$E$81,MATCH(B2136,Intent_Analysis!$A$5:$A$81,0))</f>
        <v>2</v>
      </c>
    </row>
    <row r="2137" customFormat="false" ht="15" hidden="false" customHeight="false" outlineLevel="0" collapsed="false">
      <c r="A2137" s="0" t="s">
        <v>2461</v>
      </c>
      <c r="B2137" s="0" t="s">
        <v>114</v>
      </c>
      <c r="C2137" s="0" t="str">
        <f aca="false">INDEX(Intent_Analysis!$B$5:$B$81,MATCH(B2137,Intent_Analysis!$A$5:$A$81,0))</f>
        <v>Transfers</v>
      </c>
      <c r="D2137" s="0" t="n">
        <f aca="false">INDEX(Intent_Analysis!$E$5:$E$81,MATCH(B2137,Intent_Analysis!$A$5:$A$81,0))</f>
        <v>2</v>
      </c>
    </row>
    <row r="2138" customFormat="false" ht="15" hidden="false" customHeight="false" outlineLevel="0" collapsed="false">
      <c r="A2138" s="0" t="s">
        <v>2462</v>
      </c>
      <c r="B2138" s="0" t="s">
        <v>114</v>
      </c>
      <c r="C2138" s="0" t="str">
        <f aca="false">INDEX(Intent_Analysis!$B$5:$B$81,MATCH(B2138,Intent_Analysis!$A$5:$A$81,0))</f>
        <v>Transfers</v>
      </c>
      <c r="D2138" s="0" t="n">
        <f aca="false">INDEX(Intent_Analysis!$E$5:$E$81,MATCH(B2138,Intent_Analysis!$A$5:$A$81,0))</f>
        <v>2</v>
      </c>
    </row>
    <row r="2139" customFormat="false" ht="15" hidden="false" customHeight="false" outlineLevel="0" collapsed="false">
      <c r="A2139" s="0" t="s">
        <v>2463</v>
      </c>
      <c r="B2139" s="0" t="s">
        <v>114</v>
      </c>
      <c r="C2139" s="0" t="str">
        <f aca="false">INDEX(Intent_Analysis!$B$5:$B$81,MATCH(B2139,Intent_Analysis!$A$5:$A$81,0))</f>
        <v>Transfers</v>
      </c>
      <c r="D2139" s="0" t="n">
        <f aca="false">INDEX(Intent_Analysis!$E$5:$E$81,MATCH(B2139,Intent_Analysis!$A$5:$A$81,0))</f>
        <v>2</v>
      </c>
    </row>
    <row r="2140" customFormat="false" ht="15" hidden="false" customHeight="false" outlineLevel="0" collapsed="false">
      <c r="A2140" s="0" t="s">
        <v>2464</v>
      </c>
      <c r="B2140" s="0" t="s">
        <v>114</v>
      </c>
      <c r="C2140" s="0" t="str">
        <f aca="false">INDEX(Intent_Analysis!$B$5:$B$81,MATCH(B2140,Intent_Analysis!$A$5:$A$81,0))</f>
        <v>Transfers</v>
      </c>
      <c r="D2140" s="0" t="n">
        <f aca="false">INDEX(Intent_Analysis!$E$5:$E$81,MATCH(B2140,Intent_Analysis!$A$5:$A$81,0))</f>
        <v>2</v>
      </c>
    </row>
    <row r="2141" customFormat="false" ht="15" hidden="false" customHeight="false" outlineLevel="0" collapsed="false">
      <c r="A2141" s="0" t="s">
        <v>2465</v>
      </c>
      <c r="B2141" s="0" t="s">
        <v>114</v>
      </c>
      <c r="C2141" s="0" t="str">
        <f aca="false">INDEX(Intent_Analysis!$B$5:$B$81,MATCH(B2141,Intent_Analysis!$A$5:$A$81,0))</f>
        <v>Transfers</v>
      </c>
      <c r="D2141" s="0" t="n">
        <f aca="false">INDEX(Intent_Analysis!$E$5:$E$81,MATCH(B2141,Intent_Analysis!$A$5:$A$81,0))</f>
        <v>2</v>
      </c>
    </row>
    <row r="2142" customFormat="false" ht="15" hidden="false" customHeight="false" outlineLevel="0" collapsed="false">
      <c r="A2142" s="0" t="s">
        <v>2466</v>
      </c>
      <c r="B2142" s="0" t="s">
        <v>114</v>
      </c>
      <c r="C2142" s="0" t="str">
        <f aca="false">INDEX(Intent_Analysis!$B$5:$B$81,MATCH(B2142,Intent_Analysis!$A$5:$A$81,0))</f>
        <v>Transfers</v>
      </c>
      <c r="D2142" s="0" t="n">
        <f aca="false">INDEX(Intent_Analysis!$E$5:$E$81,MATCH(B2142,Intent_Analysis!$A$5:$A$81,0))</f>
        <v>2</v>
      </c>
    </row>
    <row r="2143" customFormat="false" ht="15" hidden="false" customHeight="false" outlineLevel="0" collapsed="false">
      <c r="A2143" s="0" t="s">
        <v>2467</v>
      </c>
      <c r="B2143" s="0" t="s">
        <v>114</v>
      </c>
      <c r="C2143" s="0" t="str">
        <f aca="false">INDEX(Intent_Analysis!$B$5:$B$81,MATCH(B2143,Intent_Analysis!$A$5:$A$81,0))</f>
        <v>Transfers</v>
      </c>
      <c r="D2143" s="0" t="n">
        <f aca="false">INDEX(Intent_Analysis!$E$5:$E$81,MATCH(B2143,Intent_Analysis!$A$5:$A$81,0))</f>
        <v>2</v>
      </c>
    </row>
    <row r="2144" customFormat="false" ht="15" hidden="false" customHeight="false" outlineLevel="0" collapsed="false">
      <c r="A2144" s="0" t="s">
        <v>2468</v>
      </c>
      <c r="B2144" s="0" t="s">
        <v>114</v>
      </c>
      <c r="C2144" s="0" t="str">
        <f aca="false">INDEX(Intent_Analysis!$B$5:$B$81,MATCH(B2144,Intent_Analysis!$A$5:$A$81,0))</f>
        <v>Transfers</v>
      </c>
      <c r="D2144" s="0" t="n">
        <f aca="false">INDEX(Intent_Analysis!$E$5:$E$81,MATCH(B2144,Intent_Analysis!$A$5:$A$81,0))</f>
        <v>2</v>
      </c>
    </row>
    <row r="2145" customFormat="false" ht="15" hidden="false" customHeight="false" outlineLevel="0" collapsed="false">
      <c r="A2145" s="0" t="s">
        <v>2469</v>
      </c>
      <c r="B2145" s="0" t="s">
        <v>114</v>
      </c>
      <c r="C2145" s="0" t="str">
        <f aca="false">INDEX(Intent_Analysis!$B$5:$B$81,MATCH(B2145,Intent_Analysis!$A$5:$A$81,0))</f>
        <v>Transfers</v>
      </c>
      <c r="D2145" s="0" t="n">
        <f aca="false">INDEX(Intent_Analysis!$E$5:$E$81,MATCH(B2145,Intent_Analysis!$A$5:$A$81,0))</f>
        <v>2</v>
      </c>
    </row>
    <row r="2146" customFormat="false" ht="15" hidden="false" customHeight="false" outlineLevel="0" collapsed="false">
      <c r="A2146" s="0" t="s">
        <v>2470</v>
      </c>
      <c r="B2146" s="0" t="s">
        <v>114</v>
      </c>
      <c r="C2146" s="0" t="str">
        <f aca="false">INDEX(Intent_Analysis!$B$5:$B$81,MATCH(B2146,Intent_Analysis!$A$5:$A$81,0))</f>
        <v>Transfers</v>
      </c>
      <c r="D2146" s="0" t="n">
        <f aca="false">INDEX(Intent_Analysis!$E$5:$E$81,MATCH(B2146,Intent_Analysis!$A$5:$A$81,0))</f>
        <v>2</v>
      </c>
    </row>
    <row r="2147" customFormat="false" ht="15" hidden="false" customHeight="false" outlineLevel="0" collapsed="false">
      <c r="A2147" s="0" t="s">
        <v>2471</v>
      </c>
      <c r="B2147" s="0" t="s">
        <v>114</v>
      </c>
      <c r="C2147" s="0" t="str">
        <f aca="false">INDEX(Intent_Analysis!$B$5:$B$81,MATCH(B2147,Intent_Analysis!$A$5:$A$81,0))</f>
        <v>Transfers</v>
      </c>
      <c r="D2147" s="0" t="n">
        <f aca="false">INDEX(Intent_Analysis!$E$5:$E$81,MATCH(B2147,Intent_Analysis!$A$5:$A$81,0))</f>
        <v>2</v>
      </c>
    </row>
    <row r="2148" customFormat="false" ht="15" hidden="false" customHeight="false" outlineLevel="0" collapsed="false">
      <c r="A2148" s="0" t="s">
        <v>2472</v>
      </c>
      <c r="B2148" s="0" t="s">
        <v>114</v>
      </c>
      <c r="C2148" s="0" t="str">
        <f aca="false">INDEX(Intent_Analysis!$B$5:$B$81,MATCH(B2148,Intent_Analysis!$A$5:$A$81,0))</f>
        <v>Transfers</v>
      </c>
      <c r="D2148" s="0" t="n">
        <f aca="false">INDEX(Intent_Analysis!$E$5:$E$81,MATCH(B2148,Intent_Analysis!$A$5:$A$81,0))</f>
        <v>2</v>
      </c>
    </row>
    <row r="2149" customFormat="false" ht="15" hidden="false" customHeight="false" outlineLevel="0" collapsed="false">
      <c r="A2149" s="0" t="s">
        <v>2473</v>
      </c>
      <c r="B2149" s="0" t="s">
        <v>114</v>
      </c>
      <c r="C2149" s="0" t="str">
        <f aca="false">INDEX(Intent_Analysis!$B$5:$B$81,MATCH(B2149,Intent_Analysis!$A$5:$A$81,0))</f>
        <v>Transfers</v>
      </c>
      <c r="D2149" s="0" t="n">
        <f aca="false">INDEX(Intent_Analysis!$E$5:$E$81,MATCH(B2149,Intent_Analysis!$A$5:$A$81,0))</f>
        <v>2</v>
      </c>
    </row>
    <row r="2150" customFormat="false" ht="15" hidden="false" customHeight="false" outlineLevel="0" collapsed="false">
      <c r="A2150" s="0" t="s">
        <v>2474</v>
      </c>
      <c r="B2150" s="0" t="s">
        <v>114</v>
      </c>
      <c r="C2150" s="0" t="str">
        <f aca="false">INDEX(Intent_Analysis!$B$5:$B$81,MATCH(B2150,Intent_Analysis!$A$5:$A$81,0))</f>
        <v>Transfers</v>
      </c>
      <c r="D2150" s="0" t="n">
        <f aca="false">INDEX(Intent_Analysis!$E$5:$E$81,MATCH(B2150,Intent_Analysis!$A$5:$A$81,0))</f>
        <v>2</v>
      </c>
    </row>
    <row r="2151" customFormat="false" ht="15" hidden="false" customHeight="false" outlineLevel="0" collapsed="false">
      <c r="A2151" s="0" t="s">
        <v>2475</v>
      </c>
      <c r="B2151" s="0" t="s">
        <v>114</v>
      </c>
      <c r="C2151" s="0" t="str">
        <f aca="false">INDEX(Intent_Analysis!$B$5:$B$81,MATCH(B2151,Intent_Analysis!$A$5:$A$81,0))</f>
        <v>Transfers</v>
      </c>
      <c r="D2151" s="0" t="n">
        <f aca="false">INDEX(Intent_Analysis!$E$5:$E$81,MATCH(B2151,Intent_Analysis!$A$5:$A$81,0))</f>
        <v>2</v>
      </c>
    </row>
    <row r="2152" customFormat="false" ht="15" hidden="false" customHeight="false" outlineLevel="0" collapsed="false">
      <c r="A2152" s="0" t="s">
        <v>2476</v>
      </c>
      <c r="B2152" s="0" t="s">
        <v>114</v>
      </c>
      <c r="C2152" s="0" t="str">
        <f aca="false">INDEX(Intent_Analysis!$B$5:$B$81,MATCH(B2152,Intent_Analysis!$A$5:$A$81,0))</f>
        <v>Transfers</v>
      </c>
      <c r="D2152" s="0" t="n">
        <f aca="false">INDEX(Intent_Analysis!$E$5:$E$81,MATCH(B2152,Intent_Analysis!$A$5:$A$81,0))</f>
        <v>2</v>
      </c>
    </row>
    <row r="2153" customFormat="false" ht="15" hidden="false" customHeight="false" outlineLevel="0" collapsed="false">
      <c r="A2153" s="0" t="s">
        <v>2477</v>
      </c>
      <c r="B2153" s="0" t="s">
        <v>114</v>
      </c>
      <c r="C2153" s="0" t="str">
        <f aca="false">INDEX(Intent_Analysis!$B$5:$B$81,MATCH(B2153,Intent_Analysis!$A$5:$A$81,0))</f>
        <v>Transfers</v>
      </c>
      <c r="D2153" s="0" t="n">
        <f aca="false">INDEX(Intent_Analysis!$E$5:$E$81,MATCH(B2153,Intent_Analysis!$A$5:$A$81,0))</f>
        <v>2</v>
      </c>
    </row>
    <row r="2154" customFormat="false" ht="15" hidden="false" customHeight="false" outlineLevel="0" collapsed="false">
      <c r="A2154" s="0" t="s">
        <v>2478</v>
      </c>
      <c r="B2154" s="0" t="s">
        <v>114</v>
      </c>
      <c r="C2154" s="0" t="str">
        <f aca="false">INDEX(Intent_Analysis!$B$5:$B$81,MATCH(B2154,Intent_Analysis!$A$5:$A$81,0))</f>
        <v>Transfers</v>
      </c>
      <c r="D2154" s="0" t="n">
        <f aca="false">INDEX(Intent_Analysis!$E$5:$E$81,MATCH(B2154,Intent_Analysis!$A$5:$A$81,0))</f>
        <v>2</v>
      </c>
    </row>
    <row r="2155" customFormat="false" ht="15" hidden="false" customHeight="false" outlineLevel="0" collapsed="false">
      <c r="A2155" s="0" t="s">
        <v>2479</v>
      </c>
      <c r="B2155" s="0" t="s">
        <v>114</v>
      </c>
      <c r="C2155" s="0" t="str">
        <f aca="false">INDEX(Intent_Analysis!$B$5:$B$81,MATCH(B2155,Intent_Analysis!$A$5:$A$81,0))</f>
        <v>Transfers</v>
      </c>
      <c r="D2155" s="0" t="n">
        <f aca="false">INDEX(Intent_Analysis!$E$5:$E$81,MATCH(B2155,Intent_Analysis!$A$5:$A$81,0))</f>
        <v>2</v>
      </c>
    </row>
    <row r="2156" customFormat="false" ht="15" hidden="false" customHeight="false" outlineLevel="0" collapsed="false">
      <c r="A2156" s="0" t="s">
        <v>2480</v>
      </c>
      <c r="B2156" s="0" t="s">
        <v>114</v>
      </c>
      <c r="C2156" s="0" t="str">
        <f aca="false">INDEX(Intent_Analysis!$B$5:$B$81,MATCH(B2156,Intent_Analysis!$A$5:$A$81,0))</f>
        <v>Transfers</v>
      </c>
      <c r="D2156" s="0" t="n">
        <f aca="false">INDEX(Intent_Analysis!$E$5:$E$81,MATCH(B2156,Intent_Analysis!$A$5:$A$81,0))</f>
        <v>2</v>
      </c>
    </row>
    <row r="2157" customFormat="false" ht="15" hidden="false" customHeight="false" outlineLevel="0" collapsed="false">
      <c r="A2157" s="0" t="s">
        <v>2481</v>
      </c>
      <c r="B2157" s="0" t="s">
        <v>114</v>
      </c>
      <c r="C2157" s="0" t="str">
        <f aca="false">INDEX(Intent_Analysis!$B$5:$B$81,MATCH(B2157,Intent_Analysis!$A$5:$A$81,0))</f>
        <v>Transfers</v>
      </c>
      <c r="D2157" s="0" t="n">
        <f aca="false">INDEX(Intent_Analysis!$E$5:$E$81,MATCH(B2157,Intent_Analysis!$A$5:$A$81,0))</f>
        <v>2</v>
      </c>
    </row>
    <row r="2158" customFormat="false" ht="15" hidden="false" customHeight="false" outlineLevel="0" collapsed="false">
      <c r="A2158" s="0" t="s">
        <v>2482</v>
      </c>
      <c r="B2158" s="0" t="s">
        <v>114</v>
      </c>
      <c r="C2158" s="0" t="str">
        <f aca="false">INDEX(Intent_Analysis!$B$5:$B$81,MATCH(B2158,Intent_Analysis!$A$5:$A$81,0))</f>
        <v>Transfers</v>
      </c>
      <c r="D2158" s="0" t="n">
        <f aca="false">INDEX(Intent_Analysis!$E$5:$E$81,MATCH(B2158,Intent_Analysis!$A$5:$A$81,0))</f>
        <v>2</v>
      </c>
    </row>
    <row r="2159" customFormat="false" ht="15" hidden="false" customHeight="false" outlineLevel="0" collapsed="false">
      <c r="A2159" s="0" t="s">
        <v>2483</v>
      </c>
      <c r="B2159" s="0" t="s">
        <v>114</v>
      </c>
      <c r="C2159" s="0" t="str">
        <f aca="false">INDEX(Intent_Analysis!$B$5:$B$81,MATCH(B2159,Intent_Analysis!$A$5:$A$81,0))</f>
        <v>Transfers</v>
      </c>
      <c r="D2159" s="0" t="n">
        <f aca="false">INDEX(Intent_Analysis!$E$5:$E$81,MATCH(B2159,Intent_Analysis!$A$5:$A$81,0))</f>
        <v>2</v>
      </c>
    </row>
    <row r="2160" customFormat="false" ht="15" hidden="false" customHeight="false" outlineLevel="0" collapsed="false">
      <c r="A2160" s="0" t="s">
        <v>2484</v>
      </c>
      <c r="B2160" s="0" t="s">
        <v>114</v>
      </c>
      <c r="C2160" s="0" t="str">
        <f aca="false">INDEX(Intent_Analysis!$B$5:$B$81,MATCH(B2160,Intent_Analysis!$A$5:$A$81,0))</f>
        <v>Transfers</v>
      </c>
      <c r="D2160" s="0" t="n">
        <f aca="false">INDEX(Intent_Analysis!$E$5:$E$81,MATCH(B2160,Intent_Analysis!$A$5:$A$81,0))</f>
        <v>2</v>
      </c>
    </row>
    <row r="2161" customFormat="false" ht="15" hidden="false" customHeight="false" outlineLevel="0" collapsed="false">
      <c r="A2161" s="0" t="s">
        <v>2485</v>
      </c>
      <c r="B2161" s="0" t="s">
        <v>114</v>
      </c>
      <c r="C2161" s="0" t="str">
        <f aca="false">INDEX(Intent_Analysis!$B$5:$B$81,MATCH(B2161,Intent_Analysis!$A$5:$A$81,0))</f>
        <v>Transfers</v>
      </c>
      <c r="D2161" s="0" t="n">
        <f aca="false">INDEX(Intent_Analysis!$E$5:$E$81,MATCH(B2161,Intent_Analysis!$A$5:$A$81,0))</f>
        <v>2</v>
      </c>
    </row>
    <row r="2162" customFormat="false" ht="15" hidden="false" customHeight="false" outlineLevel="0" collapsed="false">
      <c r="A2162" s="0" t="s">
        <v>2486</v>
      </c>
      <c r="B2162" s="0" t="s">
        <v>114</v>
      </c>
      <c r="C2162" s="0" t="str">
        <f aca="false">INDEX(Intent_Analysis!$B$5:$B$81,MATCH(B2162,Intent_Analysis!$A$5:$A$81,0))</f>
        <v>Transfers</v>
      </c>
      <c r="D2162" s="0" t="n">
        <f aca="false">INDEX(Intent_Analysis!$E$5:$E$81,MATCH(B2162,Intent_Analysis!$A$5:$A$81,0))</f>
        <v>2</v>
      </c>
    </row>
    <row r="2163" customFormat="false" ht="15" hidden="false" customHeight="false" outlineLevel="0" collapsed="false">
      <c r="A2163" s="0" t="s">
        <v>2487</v>
      </c>
      <c r="B2163" s="0" t="s">
        <v>114</v>
      </c>
      <c r="C2163" s="0" t="str">
        <f aca="false">INDEX(Intent_Analysis!$B$5:$B$81,MATCH(B2163,Intent_Analysis!$A$5:$A$81,0))</f>
        <v>Transfers</v>
      </c>
      <c r="D2163" s="0" t="n">
        <f aca="false">INDEX(Intent_Analysis!$E$5:$E$81,MATCH(B2163,Intent_Analysis!$A$5:$A$81,0))</f>
        <v>2</v>
      </c>
    </row>
    <row r="2164" customFormat="false" ht="15" hidden="false" customHeight="false" outlineLevel="0" collapsed="false">
      <c r="A2164" s="0" t="s">
        <v>2488</v>
      </c>
      <c r="B2164" s="0" t="s">
        <v>114</v>
      </c>
      <c r="C2164" s="0" t="str">
        <f aca="false">INDEX(Intent_Analysis!$B$5:$B$81,MATCH(B2164,Intent_Analysis!$A$5:$A$81,0))</f>
        <v>Transfers</v>
      </c>
      <c r="D2164" s="0" t="n">
        <f aca="false">INDEX(Intent_Analysis!$E$5:$E$81,MATCH(B2164,Intent_Analysis!$A$5:$A$81,0))</f>
        <v>2</v>
      </c>
    </row>
    <row r="2165" customFormat="false" ht="15" hidden="false" customHeight="false" outlineLevel="0" collapsed="false">
      <c r="A2165" s="0" t="s">
        <v>2489</v>
      </c>
      <c r="B2165" s="0" t="s">
        <v>114</v>
      </c>
      <c r="C2165" s="0" t="str">
        <f aca="false">INDEX(Intent_Analysis!$B$5:$B$81,MATCH(B2165,Intent_Analysis!$A$5:$A$81,0))</f>
        <v>Transfers</v>
      </c>
      <c r="D2165" s="0" t="n">
        <f aca="false">INDEX(Intent_Analysis!$E$5:$E$81,MATCH(B2165,Intent_Analysis!$A$5:$A$81,0))</f>
        <v>2</v>
      </c>
    </row>
    <row r="2166" customFormat="false" ht="15" hidden="false" customHeight="false" outlineLevel="0" collapsed="false">
      <c r="A2166" s="0" t="s">
        <v>2490</v>
      </c>
      <c r="B2166" s="0" t="s">
        <v>114</v>
      </c>
      <c r="C2166" s="0" t="str">
        <f aca="false">INDEX(Intent_Analysis!$B$5:$B$81,MATCH(B2166,Intent_Analysis!$A$5:$A$81,0))</f>
        <v>Transfers</v>
      </c>
      <c r="D2166" s="0" t="n">
        <f aca="false">INDEX(Intent_Analysis!$E$5:$E$81,MATCH(B2166,Intent_Analysis!$A$5:$A$81,0))</f>
        <v>2</v>
      </c>
    </row>
    <row r="2167" customFormat="false" ht="15" hidden="false" customHeight="false" outlineLevel="0" collapsed="false">
      <c r="A2167" s="0" t="s">
        <v>2491</v>
      </c>
      <c r="B2167" s="0" t="s">
        <v>114</v>
      </c>
      <c r="C2167" s="0" t="str">
        <f aca="false">INDEX(Intent_Analysis!$B$5:$B$81,MATCH(B2167,Intent_Analysis!$A$5:$A$81,0))</f>
        <v>Transfers</v>
      </c>
      <c r="D2167" s="0" t="n">
        <f aca="false">INDEX(Intent_Analysis!$E$5:$E$81,MATCH(B2167,Intent_Analysis!$A$5:$A$81,0))</f>
        <v>2</v>
      </c>
    </row>
    <row r="2168" customFormat="false" ht="15" hidden="false" customHeight="false" outlineLevel="0" collapsed="false">
      <c r="A2168" s="0" t="s">
        <v>2492</v>
      </c>
      <c r="B2168" s="0" t="s">
        <v>114</v>
      </c>
      <c r="C2168" s="0" t="str">
        <f aca="false">INDEX(Intent_Analysis!$B$5:$B$81,MATCH(B2168,Intent_Analysis!$A$5:$A$81,0))</f>
        <v>Transfers</v>
      </c>
      <c r="D2168" s="0" t="n">
        <f aca="false">INDEX(Intent_Analysis!$E$5:$E$81,MATCH(B2168,Intent_Analysis!$A$5:$A$81,0))</f>
        <v>2</v>
      </c>
    </row>
    <row r="2169" customFormat="false" ht="15" hidden="false" customHeight="false" outlineLevel="0" collapsed="false">
      <c r="A2169" s="0" t="s">
        <v>2493</v>
      </c>
      <c r="B2169" s="0" t="s">
        <v>114</v>
      </c>
      <c r="C2169" s="0" t="str">
        <f aca="false">INDEX(Intent_Analysis!$B$5:$B$81,MATCH(B2169,Intent_Analysis!$A$5:$A$81,0))</f>
        <v>Transfers</v>
      </c>
      <c r="D2169" s="0" t="n">
        <f aca="false">INDEX(Intent_Analysis!$E$5:$E$81,MATCH(B2169,Intent_Analysis!$A$5:$A$81,0))</f>
        <v>2</v>
      </c>
    </row>
    <row r="2170" customFormat="false" ht="15" hidden="false" customHeight="false" outlineLevel="0" collapsed="false">
      <c r="A2170" s="0" t="s">
        <v>2494</v>
      </c>
      <c r="B2170" s="0" t="s">
        <v>114</v>
      </c>
      <c r="C2170" s="0" t="str">
        <f aca="false">INDEX(Intent_Analysis!$B$5:$B$81,MATCH(B2170,Intent_Analysis!$A$5:$A$81,0))</f>
        <v>Transfers</v>
      </c>
      <c r="D2170" s="0" t="n">
        <f aca="false">INDEX(Intent_Analysis!$E$5:$E$81,MATCH(B2170,Intent_Analysis!$A$5:$A$81,0))</f>
        <v>2</v>
      </c>
    </row>
    <row r="2171" customFormat="false" ht="15" hidden="false" customHeight="false" outlineLevel="0" collapsed="false">
      <c r="A2171" s="0" t="s">
        <v>2495</v>
      </c>
      <c r="B2171" s="0" t="s">
        <v>114</v>
      </c>
      <c r="C2171" s="0" t="str">
        <f aca="false">INDEX(Intent_Analysis!$B$5:$B$81,MATCH(B2171,Intent_Analysis!$A$5:$A$81,0))</f>
        <v>Transfers</v>
      </c>
      <c r="D2171" s="0" t="n">
        <f aca="false">INDEX(Intent_Analysis!$E$5:$E$81,MATCH(B2171,Intent_Analysis!$A$5:$A$81,0))</f>
        <v>2</v>
      </c>
    </row>
    <row r="2172" customFormat="false" ht="15" hidden="false" customHeight="false" outlineLevel="0" collapsed="false">
      <c r="A2172" s="0" t="s">
        <v>2496</v>
      </c>
      <c r="B2172" s="0" t="s">
        <v>114</v>
      </c>
      <c r="C2172" s="0" t="str">
        <f aca="false">INDEX(Intent_Analysis!$B$5:$B$81,MATCH(B2172,Intent_Analysis!$A$5:$A$81,0))</f>
        <v>Transfers</v>
      </c>
      <c r="D2172" s="0" t="n">
        <f aca="false">INDEX(Intent_Analysis!$E$5:$E$81,MATCH(B2172,Intent_Analysis!$A$5:$A$81,0))</f>
        <v>2</v>
      </c>
    </row>
    <row r="2173" customFormat="false" ht="15" hidden="false" customHeight="false" outlineLevel="0" collapsed="false">
      <c r="A2173" s="0" t="s">
        <v>2497</v>
      </c>
      <c r="B2173" s="0" t="s">
        <v>114</v>
      </c>
      <c r="C2173" s="0" t="str">
        <f aca="false">INDEX(Intent_Analysis!$B$5:$B$81,MATCH(B2173,Intent_Analysis!$A$5:$A$81,0))</f>
        <v>Transfers</v>
      </c>
      <c r="D2173" s="0" t="n">
        <f aca="false">INDEX(Intent_Analysis!$E$5:$E$81,MATCH(B2173,Intent_Analysis!$A$5:$A$81,0))</f>
        <v>2</v>
      </c>
    </row>
    <row r="2174" customFormat="false" ht="15" hidden="false" customHeight="false" outlineLevel="0" collapsed="false">
      <c r="A2174" s="0" t="s">
        <v>2498</v>
      </c>
      <c r="B2174" s="0" t="s">
        <v>114</v>
      </c>
      <c r="C2174" s="0" t="str">
        <f aca="false">INDEX(Intent_Analysis!$B$5:$B$81,MATCH(B2174,Intent_Analysis!$A$5:$A$81,0))</f>
        <v>Transfers</v>
      </c>
      <c r="D2174" s="0" t="n">
        <f aca="false">INDEX(Intent_Analysis!$E$5:$E$81,MATCH(B2174,Intent_Analysis!$A$5:$A$81,0))</f>
        <v>2</v>
      </c>
    </row>
    <row r="2175" customFormat="false" ht="15" hidden="false" customHeight="false" outlineLevel="0" collapsed="false">
      <c r="A2175" s="0" t="s">
        <v>2499</v>
      </c>
      <c r="B2175" s="0" t="s">
        <v>114</v>
      </c>
      <c r="C2175" s="0" t="str">
        <f aca="false">INDEX(Intent_Analysis!$B$5:$B$81,MATCH(B2175,Intent_Analysis!$A$5:$A$81,0))</f>
        <v>Transfers</v>
      </c>
      <c r="D2175" s="0" t="n">
        <f aca="false">INDEX(Intent_Analysis!$E$5:$E$81,MATCH(B2175,Intent_Analysis!$A$5:$A$81,0))</f>
        <v>2</v>
      </c>
    </row>
    <row r="2176" customFormat="false" ht="15" hidden="false" customHeight="false" outlineLevel="0" collapsed="false">
      <c r="A2176" s="0" t="s">
        <v>2500</v>
      </c>
      <c r="B2176" s="0" t="s">
        <v>114</v>
      </c>
      <c r="C2176" s="0" t="str">
        <f aca="false">INDEX(Intent_Analysis!$B$5:$B$81,MATCH(B2176,Intent_Analysis!$A$5:$A$81,0))</f>
        <v>Transfers</v>
      </c>
      <c r="D2176" s="0" t="n">
        <f aca="false">INDEX(Intent_Analysis!$E$5:$E$81,MATCH(B2176,Intent_Analysis!$A$5:$A$81,0))</f>
        <v>2</v>
      </c>
    </row>
    <row r="2177" customFormat="false" ht="15" hidden="false" customHeight="false" outlineLevel="0" collapsed="false">
      <c r="A2177" s="0" t="s">
        <v>2501</v>
      </c>
      <c r="B2177" s="0" t="s">
        <v>114</v>
      </c>
      <c r="C2177" s="0" t="str">
        <f aca="false">INDEX(Intent_Analysis!$B$5:$B$81,MATCH(B2177,Intent_Analysis!$A$5:$A$81,0))</f>
        <v>Transfers</v>
      </c>
      <c r="D2177" s="0" t="n">
        <f aca="false">INDEX(Intent_Analysis!$E$5:$E$81,MATCH(B2177,Intent_Analysis!$A$5:$A$81,0))</f>
        <v>2</v>
      </c>
    </row>
    <row r="2178" customFormat="false" ht="15" hidden="false" customHeight="false" outlineLevel="0" collapsed="false">
      <c r="A2178" s="0" t="s">
        <v>2502</v>
      </c>
      <c r="B2178" s="0" t="s">
        <v>114</v>
      </c>
      <c r="C2178" s="0" t="str">
        <f aca="false">INDEX(Intent_Analysis!$B$5:$B$81,MATCH(B2178,Intent_Analysis!$A$5:$A$81,0))</f>
        <v>Transfers</v>
      </c>
      <c r="D2178" s="0" t="n">
        <f aca="false">INDEX(Intent_Analysis!$E$5:$E$81,MATCH(B2178,Intent_Analysis!$A$5:$A$81,0))</f>
        <v>2</v>
      </c>
    </row>
    <row r="2179" customFormat="false" ht="15" hidden="false" customHeight="false" outlineLevel="0" collapsed="false">
      <c r="A2179" s="0" t="s">
        <v>2503</v>
      </c>
      <c r="B2179" s="0" t="s">
        <v>114</v>
      </c>
      <c r="C2179" s="0" t="str">
        <f aca="false">INDEX(Intent_Analysis!$B$5:$B$81,MATCH(B2179,Intent_Analysis!$A$5:$A$81,0))</f>
        <v>Transfers</v>
      </c>
      <c r="D2179" s="0" t="n">
        <f aca="false">INDEX(Intent_Analysis!$E$5:$E$81,MATCH(B2179,Intent_Analysis!$A$5:$A$81,0))</f>
        <v>2</v>
      </c>
    </row>
    <row r="2180" customFormat="false" ht="15" hidden="false" customHeight="false" outlineLevel="0" collapsed="false">
      <c r="A2180" s="0" t="s">
        <v>2504</v>
      </c>
      <c r="B2180" s="0" t="s">
        <v>114</v>
      </c>
      <c r="C2180" s="0" t="str">
        <f aca="false">INDEX(Intent_Analysis!$B$5:$B$81,MATCH(B2180,Intent_Analysis!$A$5:$A$81,0))</f>
        <v>Transfers</v>
      </c>
      <c r="D2180" s="0" t="n">
        <f aca="false">INDEX(Intent_Analysis!$E$5:$E$81,MATCH(B2180,Intent_Analysis!$A$5:$A$81,0))</f>
        <v>2</v>
      </c>
    </row>
    <row r="2181" customFormat="false" ht="15" hidden="false" customHeight="false" outlineLevel="0" collapsed="false">
      <c r="A2181" s="0" t="s">
        <v>2505</v>
      </c>
      <c r="B2181" s="0" t="s">
        <v>114</v>
      </c>
      <c r="C2181" s="0" t="str">
        <f aca="false">INDEX(Intent_Analysis!$B$5:$B$81,MATCH(B2181,Intent_Analysis!$A$5:$A$81,0))</f>
        <v>Transfers</v>
      </c>
      <c r="D2181" s="0" t="n">
        <f aca="false">INDEX(Intent_Analysis!$E$5:$E$81,MATCH(B2181,Intent_Analysis!$A$5:$A$81,0))</f>
        <v>2</v>
      </c>
    </row>
    <row r="2182" customFormat="false" ht="15" hidden="false" customHeight="false" outlineLevel="0" collapsed="false">
      <c r="A2182" s="0" t="s">
        <v>2506</v>
      </c>
      <c r="B2182" s="0" t="s">
        <v>114</v>
      </c>
      <c r="C2182" s="0" t="str">
        <f aca="false">INDEX(Intent_Analysis!$B$5:$B$81,MATCH(B2182,Intent_Analysis!$A$5:$A$81,0))</f>
        <v>Transfers</v>
      </c>
      <c r="D2182" s="0" t="n">
        <f aca="false">INDEX(Intent_Analysis!$E$5:$E$81,MATCH(B2182,Intent_Analysis!$A$5:$A$81,0))</f>
        <v>2</v>
      </c>
    </row>
    <row r="2183" customFormat="false" ht="15" hidden="false" customHeight="false" outlineLevel="0" collapsed="false">
      <c r="A2183" s="0" t="s">
        <v>2507</v>
      </c>
      <c r="B2183" s="0" t="s">
        <v>114</v>
      </c>
      <c r="C2183" s="0" t="str">
        <f aca="false">INDEX(Intent_Analysis!$B$5:$B$81,MATCH(B2183,Intent_Analysis!$A$5:$A$81,0))</f>
        <v>Transfers</v>
      </c>
      <c r="D2183" s="0" t="n">
        <f aca="false">INDEX(Intent_Analysis!$E$5:$E$81,MATCH(B2183,Intent_Analysis!$A$5:$A$81,0))</f>
        <v>2</v>
      </c>
    </row>
    <row r="2184" customFormat="false" ht="15" hidden="false" customHeight="false" outlineLevel="0" collapsed="false">
      <c r="A2184" s="0" t="s">
        <v>2508</v>
      </c>
      <c r="B2184" s="0" t="s">
        <v>114</v>
      </c>
      <c r="C2184" s="0" t="str">
        <f aca="false">INDEX(Intent_Analysis!$B$5:$B$81,MATCH(B2184,Intent_Analysis!$A$5:$A$81,0))</f>
        <v>Transfers</v>
      </c>
      <c r="D2184" s="0" t="n">
        <f aca="false">INDEX(Intent_Analysis!$E$5:$E$81,MATCH(B2184,Intent_Analysis!$A$5:$A$81,0))</f>
        <v>2</v>
      </c>
    </row>
    <row r="2185" customFormat="false" ht="15" hidden="false" customHeight="false" outlineLevel="0" collapsed="false">
      <c r="A2185" s="0" t="s">
        <v>2509</v>
      </c>
      <c r="B2185" s="0" t="s">
        <v>114</v>
      </c>
      <c r="C2185" s="0" t="str">
        <f aca="false">INDEX(Intent_Analysis!$B$5:$B$81,MATCH(B2185,Intent_Analysis!$A$5:$A$81,0))</f>
        <v>Transfers</v>
      </c>
      <c r="D2185" s="0" t="n">
        <f aca="false">INDEX(Intent_Analysis!$E$5:$E$81,MATCH(B2185,Intent_Analysis!$A$5:$A$81,0))</f>
        <v>2</v>
      </c>
    </row>
    <row r="2186" customFormat="false" ht="15" hidden="false" customHeight="false" outlineLevel="0" collapsed="false">
      <c r="A2186" s="0" t="s">
        <v>2510</v>
      </c>
      <c r="B2186" s="0" t="s">
        <v>114</v>
      </c>
      <c r="C2186" s="0" t="str">
        <f aca="false">INDEX(Intent_Analysis!$B$5:$B$81,MATCH(B2186,Intent_Analysis!$A$5:$A$81,0))</f>
        <v>Transfers</v>
      </c>
      <c r="D2186" s="0" t="n">
        <f aca="false">INDEX(Intent_Analysis!$E$5:$E$81,MATCH(B2186,Intent_Analysis!$A$5:$A$81,0))</f>
        <v>2</v>
      </c>
    </row>
    <row r="2187" customFormat="false" ht="15" hidden="false" customHeight="false" outlineLevel="0" collapsed="false">
      <c r="A2187" s="0" t="s">
        <v>2511</v>
      </c>
      <c r="B2187" s="0" t="s">
        <v>114</v>
      </c>
      <c r="C2187" s="0" t="str">
        <f aca="false">INDEX(Intent_Analysis!$B$5:$B$81,MATCH(B2187,Intent_Analysis!$A$5:$A$81,0))</f>
        <v>Transfers</v>
      </c>
      <c r="D2187" s="0" t="n">
        <f aca="false">INDEX(Intent_Analysis!$E$5:$E$81,MATCH(B2187,Intent_Analysis!$A$5:$A$81,0))</f>
        <v>2</v>
      </c>
    </row>
    <row r="2188" customFormat="false" ht="15" hidden="false" customHeight="false" outlineLevel="0" collapsed="false">
      <c r="A2188" s="0" t="s">
        <v>2512</v>
      </c>
      <c r="B2188" s="0" t="s">
        <v>114</v>
      </c>
      <c r="C2188" s="0" t="str">
        <f aca="false">INDEX(Intent_Analysis!$B$5:$B$81,MATCH(B2188,Intent_Analysis!$A$5:$A$81,0))</f>
        <v>Transfers</v>
      </c>
      <c r="D2188" s="0" t="n">
        <f aca="false">INDEX(Intent_Analysis!$E$5:$E$81,MATCH(B2188,Intent_Analysis!$A$5:$A$81,0))</f>
        <v>2</v>
      </c>
    </row>
    <row r="2189" customFormat="false" ht="15" hidden="false" customHeight="false" outlineLevel="0" collapsed="false">
      <c r="A2189" s="0" t="s">
        <v>2513</v>
      </c>
      <c r="B2189" s="0" t="s">
        <v>114</v>
      </c>
      <c r="C2189" s="0" t="str">
        <f aca="false">INDEX(Intent_Analysis!$B$5:$B$81,MATCH(B2189,Intent_Analysis!$A$5:$A$81,0))</f>
        <v>Transfers</v>
      </c>
      <c r="D2189" s="0" t="n">
        <f aca="false">INDEX(Intent_Analysis!$E$5:$E$81,MATCH(B2189,Intent_Analysis!$A$5:$A$81,0))</f>
        <v>2</v>
      </c>
    </row>
    <row r="2190" customFormat="false" ht="15" hidden="false" customHeight="false" outlineLevel="0" collapsed="false">
      <c r="A2190" s="0" t="s">
        <v>2514</v>
      </c>
      <c r="B2190" s="0" t="s">
        <v>114</v>
      </c>
      <c r="C2190" s="0" t="str">
        <f aca="false">INDEX(Intent_Analysis!$B$5:$B$81,MATCH(B2190,Intent_Analysis!$A$5:$A$81,0))</f>
        <v>Transfers</v>
      </c>
      <c r="D2190" s="0" t="n">
        <f aca="false">INDEX(Intent_Analysis!$E$5:$E$81,MATCH(B2190,Intent_Analysis!$A$5:$A$81,0))</f>
        <v>2</v>
      </c>
    </row>
    <row r="2191" customFormat="false" ht="15" hidden="false" customHeight="false" outlineLevel="0" collapsed="false">
      <c r="A2191" s="0" t="s">
        <v>2515</v>
      </c>
      <c r="B2191" s="0" t="s">
        <v>114</v>
      </c>
      <c r="C2191" s="0" t="str">
        <f aca="false">INDEX(Intent_Analysis!$B$5:$B$81,MATCH(B2191,Intent_Analysis!$A$5:$A$81,0))</f>
        <v>Transfers</v>
      </c>
      <c r="D2191" s="0" t="n">
        <f aca="false">INDEX(Intent_Analysis!$E$5:$E$81,MATCH(B2191,Intent_Analysis!$A$5:$A$81,0))</f>
        <v>2</v>
      </c>
    </row>
    <row r="2192" customFormat="false" ht="15" hidden="false" customHeight="false" outlineLevel="0" collapsed="false">
      <c r="A2192" s="0" t="s">
        <v>2516</v>
      </c>
      <c r="B2192" s="0" t="s">
        <v>114</v>
      </c>
      <c r="C2192" s="0" t="str">
        <f aca="false">INDEX(Intent_Analysis!$B$5:$B$81,MATCH(B2192,Intent_Analysis!$A$5:$A$81,0))</f>
        <v>Transfers</v>
      </c>
      <c r="D2192" s="0" t="n">
        <f aca="false">INDEX(Intent_Analysis!$E$5:$E$81,MATCH(B2192,Intent_Analysis!$A$5:$A$81,0))</f>
        <v>2</v>
      </c>
    </row>
    <row r="2193" customFormat="false" ht="15" hidden="false" customHeight="false" outlineLevel="0" collapsed="false">
      <c r="A2193" s="0" t="s">
        <v>2517</v>
      </c>
      <c r="B2193" s="0" t="s">
        <v>114</v>
      </c>
      <c r="C2193" s="0" t="str">
        <f aca="false">INDEX(Intent_Analysis!$B$5:$B$81,MATCH(B2193,Intent_Analysis!$A$5:$A$81,0))</f>
        <v>Transfers</v>
      </c>
      <c r="D2193" s="0" t="n">
        <f aca="false">INDEX(Intent_Analysis!$E$5:$E$81,MATCH(B2193,Intent_Analysis!$A$5:$A$81,0))</f>
        <v>2</v>
      </c>
    </row>
    <row r="2194" customFormat="false" ht="15" hidden="false" customHeight="false" outlineLevel="0" collapsed="false">
      <c r="A2194" s="0" t="s">
        <v>2518</v>
      </c>
      <c r="B2194" s="0" t="s">
        <v>114</v>
      </c>
      <c r="C2194" s="0" t="str">
        <f aca="false">INDEX(Intent_Analysis!$B$5:$B$81,MATCH(B2194,Intent_Analysis!$A$5:$A$81,0))</f>
        <v>Transfers</v>
      </c>
      <c r="D2194" s="0" t="n">
        <f aca="false">INDEX(Intent_Analysis!$E$5:$E$81,MATCH(B2194,Intent_Analysis!$A$5:$A$81,0))</f>
        <v>2</v>
      </c>
    </row>
    <row r="2195" customFormat="false" ht="15" hidden="false" customHeight="false" outlineLevel="0" collapsed="false">
      <c r="A2195" s="0" t="s">
        <v>2519</v>
      </c>
      <c r="B2195" s="0" t="s">
        <v>114</v>
      </c>
      <c r="C2195" s="0" t="str">
        <f aca="false">INDEX(Intent_Analysis!$B$5:$B$81,MATCH(B2195,Intent_Analysis!$A$5:$A$81,0))</f>
        <v>Transfers</v>
      </c>
      <c r="D2195" s="0" t="n">
        <f aca="false">INDEX(Intent_Analysis!$E$5:$E$81,MATCH(B2195,Intent_Analysis!$A$5:$A$81,0))</f>
        <v>2</v>
      </c>
    </row>
    <row r="2196" customFormat="false" ht="15" hidden="false" customHeight="false" outlineLevel="0" collapsed="false">
      <c r="A2196" s="0" t="s">
        <v>2520</v>
      </c>
      <c r="B2196" s="0" t="s">
        <v>114</v>
      </c>
      <c r="C2196" s="0" t="str">
        <f aca="false">INDEX(Intent_Analysis!$B$5:$B$81,MATCH(B2196,Intent_Analysis!$A$5:$A$81,0))</f>
        <v>Transfers</v>
      </c>
      <c r="D2196" s="0" t="n">
        <f aca="false">INDEX(Intent_Analysis!$E$5:$E$81,MATCH(B2196,Intent_Analysis!$A$5:$A$81,0))</f>
        <v>2</v>
      </c>
    </row>
    <row r="2197" customFormat="false" ht="15" hidden="false" customHeight="false" outlineLevel="0" collapsed="false">
      <c r="A2197" s="0" t="s">
        <v>2521</v>
      </c>
      <c r="B2197" s="0" t="s">
        <v>114</v>
      </c>
      <c r="C2197" s="0" t="str">
        <f aca="false">INDEX(Intent_Analysis!$B$5:$B$81,MATCH(B2197,Intent_Analysis!$A$5:$A$81,0))</f>
        <v>Transfers</v>
      </c>
      <c r="D2197" s="0" t="n">
        <f aca="false">INDEX(Intent_Analysis!$E$5:$E$81,MATCH(B2197,Intent_Analysis!$A$5:$A$81,0))</f>
        <v>2</v>
      </c>
    </row>
    <row r="2198" customFormat="false" ht="15" hidden="false" customHeight="false" outlineLevel="0" collapsed="false">
      <c r="A2198" s="0" t="s">
        <v>2522</v>
      </c>
      <c r="B2198" s="0" t="s">
        <v>114</v>
      </c>
      <c r="C2198" s="0" t="str">
        <f aca="false">INDEX(Intent_Analysis!$B$5:$B$81,MATCH(B2198,Intent_Analysis!$A$5:$A$81,0))</f>
        <v>Transfers</v>
      </c>
      <c r="D2198" s="0" t="n">
        <f aca="false">INDEX(Intent_Analysis!$E$5:$E$81,MATCH(B2198,Intent_Analysis!$A$5:$A$81,0))</f>
        <v>2</v>
      </c>
    </row>
    <row r="2199" customFormat="false" ht="15" hidden="false" customHeight="false" outlineLevel="0" collapsed="false">
      <c r="A2199" s="0" t="s">
        <v>2523</v>
      </c>
      <c r="B2199" s="0" t="s">
        <v>114</v>
      </c>
      <c r="C2199" s="0" t="str">
        <f aca="false">INDEX(Intent_Analysis!$B$5:$B$81,MATCH(B2199,Intent_Analysis!$A$5:$A$81,0))</f>
        <v>Transfers</v>
      </c>
      <c r="D2199" s="0" t="n">
        <f aca="false">INDEX(Intent_Analysis!$E$5:$E$81,MATCH(B2199,Intent_Analysis!$A$5:$A$81,0))</f>
        <v>2</v>
      </c>
    </row>
    <row r="2200" customFormat="false" ht="15" hidden="false" customHeight="false" outlineLevel="0" collapsed="false">
      <c r="A2200" s="0" t="s">
        <v>2524</v>
      </c>
      <c r="B2200" s="0" t="s">
        <v>114</v>
      </c>
      <c r="C2200" s="0" t="str">
        <f aca="false">INDEX(Intent_Analysis!$B$5:$B$81,MATCH(B2200,Intent_Analysis!$A$5:$A$81,0))</f>
        <v>Transfers</v>
      </c>
      <c r="D2200" s="0" t="n">
        <f aca="false">INDEX(Intent_Analysis!$E$5:$E$81,MATCH(B2200,Intent_Analysis!$A$5:$A$81,0))</f>
        <v>2</v>
      </c>
    </row>
    <row r="2201" customFormat="false" ht="15" hidden="false" customHeight="false" outlineLevel="0" collapsed="false">
      <c r="A2201" s="0" t="s">
        <v>2525</v>
      </c>
      <c r="B2201" s="0" t="s">
        <v>114</v>
      </c>
      <c r="C2201" s="0" t="str">
        <f aca="false">INDEX(Intent_Analysis!$B$5:$B$81,MATCH(B2201,Intent_Analysis!$A$5:$A$81,0))</f>
        <v>Transfers</v>
      </c>
      <c r="D2201" s="0" t="n">
        <f aca="false">INDEX(Intent_Analysis!$E$5:$E$81,MATCH(B2201,Intent_Analysis!$A$5:$A$81,0))</f>
        <v>2</v>
      </c>
    </row>
    <row r="2202" customFormat="false" ht="15" hidden="false" customHeight="false" outlineLevel="0" collapsed="false">
      <c r="A2202" s="0" t="s">
        <v>2526</v>
      </c>
      <c r="B2202" s="0" t="s">
        <v>114</v>
      </c>
      <c r="C2202" s="0" t="str">
        <f aca="false">INDEX(Intent_Analysis!$B$5:$B$81,MATCH(B2202,Intent_Analysis!$A$5:$A$81,0))</f>
        <v>Transfers</v>
      </c>
      <c r="D2202" s="0" t="n">
        <f aca="false">INDEX(Intent_Analysis!$E$5:$E$81,MATCH(B2202,Intent_Analysis!$A$5:$A$81,0))</f>
        <v>2</v>
      </c>
    </row>
    <row r="2203" customFormat="false" ht="15" hidden="false" customHeight="false" outlineLevel="0" collapsed="false">
      <c r="A2203" s="0" t="s">
        <v>2527</v>
      </c>
      <c r="B2203" s="0" t="s">
        <v>114</v>
      </c>
      <c r="C2203" s="0" t="str">
        <f aca="false">INDEX(Intent_Analysis!$B$5:$B$81,MATCH(B2203,Intent_Analysis!$A$5:$A$81,0))</f>
        <v>Transfers</v>
      </c>
      <c r="D2203" s="0" t="n">
        <f aca="false">INDEX(Intent_Analysis!$E$5:$E$81,MATCH(B2203,Intent_Analysis!$A$5:$A$81,0))</f>
        <v>2</v>
      </c>
    </row>
    <row r="2204" customFormat="false" ht="15" hidden="false" customHeight="false" outlineLevel="0" collapsed="false">
      <c r="A2204" s="0" t="s">
        <v>2528</v>
      </c>
      <c r="B2204" s="0" t="s">
        <v>114</v>
      </c>
      <c r="C2204" s="0" t="str">
        <f aca="false">INDEX(Intent_Analysis!$B$5:$B$81,MATCH(B2204,Intent_Analysis!$A$5:$A$81,0))</f>
        <v>Transfers</v>
      </c>
      <c r="D2204" s="0" t="n">
        <f aca="false">INDEX(Intent_Analysis!$E$5:$E$81,MATCH(B2204,Intent_Analysis!$A$5:$A$81,0))</f>
        <v>2</v>
      </c>
    </row>
    <row r="2205" customFormat="false" ht="15" hidden="false" customHeight="false" outlineLevel="0" collapsed="false">
      <c r="A2205" s="0" t="s">
        <v>2529</v>
      </c>
      <c r="B2205" s="0" t="s">
        <v>114</v>
      </c>
      <c r="C2205" s="0" t="str">
        <f aca="false">INDEX(Intent_Analysis!$B$5:$B$81,MATCH(B2205,Intent_Analysis!$A$5:$A$81,0))</f>
        <v>Transfers</v>
      </c>
      <c r="D2205" s="0" t="n">
        <f aca="false">INDEX(Intent_Analysis!$E$5:$E$81,MATCH(B2205,Intent_Analysis!$A$5:$A$81,0))</f>
        <v>2</v>
      </c>
    </row>
    <row r="2206" customFormat="false" ht="15" hidden="false" customHeight="false" outlineLevel="0" collapsed="false">
      <c r="A2206" s="0" t="s">
        <v>2530</v>
      </c>
      <c r="B2206" s="0" t="s">
        <v>114</v>
      </c>
      <c r="C2206" s="0" t="str">
        <f aca="false">INDEX(Intent_Analysis!$B$5:$B$81,MATCH(B2206,Intent_Analysis!$A$5:$A$81,0))</f>
        <v>Transfers</v>
      </c>
      <c r="D2206" s="0" t="n">
        <f aca="false">INDEX(Intent_Analysis!$E$5:$E$81,MATCH(B2206,Intent_Analysis!$A$5:$A$81,0))</f>
        <v>2</v>
      </c>
    </row>
    <row r="2207" customFormat="false" ht="15" hidden="false" customHeight="false" outlineLevel="0" collapsed="false">
      <c r="A2207" s="0" t="s">
        <v>2531</v>
      </c>
      <c r="B2207" s="0" t="s">
        <v>114</v>
      </c>
      <c r="C2207" s="0" t="str">
        <f aca="false">INDEX(Intent_Analysis!$B$5:$B$81,MATCH(B2207,Intent_Analysis!$A$5:$A$81,0))</f>
        <v>Transfers</v>
      </c>
      <c r="D2207" s="0" t="n">
        <f aca="false">INDEX(Intent_Analysis!$E$5:$E$81,MATCH(B2207,Intent_Analysis!$A$5:$A$81,0))</f>
        <v>2</v>
      </c>
    </row>
    <row r="2208" customFormat="false" ht="15" hidden="false" customHeight="false" outlineLevel="0" collapsed="false">
      <c r="A2208" s="0" t="s">
        <v>2532</v>
      </c>
      <c r="B2208" s="0" t="s">
        <v>114</v>
      </c>
      <c r="C2208" s="0" t="str">
        <f aca="false">INDEX(Intent_Analysis!$B$5:$B$81,MATCH(B2208,Intent_Analysis!$A$5:$A$81,0))</f>
        <v>Transfers</v>
      </c>
      <c r="D2208" s="0" t="n">
        <f aca="false">INDEX(Intent_Analysis!$E$5:$E$81,MATCH(B2208,Intent_Analysis!$A$5:$A$81,0))</f>
        <v>2</v>
      </c>
    </row>
    <row r="2209" customFormat="false" ht="15" hidden="false" customHeight="false" outlineLevel="0" collapsed="false">
      <c r="A2209" s="0" t="s">
        <v>2533</v>
      </c>
      <c r="B2209" s="0" t="s">
        <v>114</v>
      </c>
      <c r="C2209" s="0" t="str">
        <f aca="false">INDEX(Intent_Analysis!$B$5:$B$81,MATCH(B2209,Intent_Analysis!$A$5:$A$81,0))</f>
        <v>Transfers</v>
      </c>
      <c r="D2209" s="0" t="n">
        <f aca="false">INDEX(Intent_Analysis!$E$5:$E$81,MATCH(B2209,Intent_Analysis!$A$5:$A$81,0))</f>
        <v>2</v>
      </c>
    </row>
    <row r="2210" customFormat="false" ht="15" hidden="false" customHeight="false" outlineLevel="0" collapsed="false">
      <c r="A2210" s="0" t="s">
        <v>2534</v>
      </c>
      <c r="B2210" s="0" t="s">
        <v>114</v>
      </c>
      <c r="C2210" s="0" t="str">
        <f aca="false">INDEX(Intent_Analysis!$B$5:$B$81,MATCH(B2210,Intent_Analysis!$A$5:$A$81,0))</f>
        <v>Transfers</v>
      </c>
      <c r="D2210" s="0" t="n">
        <f aca="false">INDEX(Intent_Analysis!$E$5:$E$81,MATCH(B2210,Intent_Analysis!$A$5:$A$81,0))</f>
        <v>2</v>
      </c>
    </row>
    <row r="2211" customFormat="false" ht="15" hidden="false" customHeight="false" outlineLevel="0" collapsed="false">
      <c r="A2211" s="0" t="s">
        <v>2535</v>
      </c>
      <c r="B2211" s="0" t="s">
        <v>114</v>
      </c>
      <c r="C2211" s="0" t="str">
        <f aca="false">INDEX(Intent_Analysis!$B$5:$B$81,MATCH(B2211,Intent_Analysis!$A$5:$A$81,0))</f>
        <v>Transfers</v>
      </c>
      <c r="D2211" s="0" t="n">
        <f aca="false">INDEX(Intent_Analysis!$E$5:$E$81,MATCH(B2211,Intent_Analysis!$A$5:$A$81,0))</f>
        <v>2</v>
      </c>
    </row>
    <row r="2212" customFormat="false" ht="15" hidden="false" customHeight="false" outlineLevel="0" collapsed="false">
      <c r="A2212" s="0" t="s">
        <v>2536</v>
      </c>
      <c r="B2212" s="0" t="s">
        <v>114</v>
      </c>
      <c r="C2212" s="0" t="str">
        <f aca="false">INDEX(Intent_Analysis!$B$5:$B$81,MATCH(B2212,Intent_Analysis!$A$5:$A$81,0))</f>
        <v>Transfers</v>
      </c>
      <c r="D2212" s="0" t="n">
        <f aca="false">INDEX(Intent_Analysis!$E$5:$E$81,MATCH(B2212,Intent_Analysis!$A$5:$A$81,0))</f>
        <v>2</v>
      </c>
    </row>
    <row r="2213" customFormat="false" ht="15" hidden="false" customHeight="false" outlineLevel="0" collapsed="false">
      <c r="A2213" s="0" t="s">
        <v>2537</v>
      </c>
      <c r="B2213" s="0" t="s">
        <v>114</v>
      </c>
      <c r="C2213" s="0" t="str">
        <f aca="false">INDEX(Intent_Analysis!$B$5:$B$81,MATCH(B2213,Intent_Analysis!$A$5:$A$81,0))</f>
        <v>Transfers</v>
      </c>
      <c r="D2213" s="0" t="n">
        <f aca="false">INDEX(Intent_Analysis!$E$5:$E$81,MATCH(B2213,Intent_Analysis!$A$5:$A$81,0))</f>
        <v>2</v>
      </c>
    </row>
    <row r="2214" customFormat="false" ht="15" hidden="false" customHeight="false" outlineLevel="0" collapsed="false">
      <c r="A2214" s="0" t="s">
        <v>2538</v>
      </c>
      <c r="B2214" s="0" t="s">
        <v>114</v>
      </c>
      <c r="C2214" s="0" t="str">
        <f aca="false">INDEX(Intent_Analysis!$B$5:$B$81,MATCH(B2214,Intent_Analysis!$A$5:$A$81,0))</f>
        <v>Transfers</v>
      </c>
      <c r="D2214" s="0" t="n">
        <f aca="false">INDEX(Intent_Analysis!$E$5:$E$81,MATCH(B2214,Intent_Analysis!$A$5:$A$81,0))</f>
        <v>2</v>
      </c>
    </row>
    <row r="2215" customFormat="false" ht="15" hidden="false" customHeight="false" outlineLevel="0" collapsed="false">
      <c r="A2215" s="0" t="s">
        <v>2539</v>
      </c>
      <c r="B2215" s="0" t="s">
        <v>114</v>
      </c>
      <c r="C2215" s="0" t="str">
        <f aca="false">INDEX(Intent_Analysis!$B$5:$B$81,MATCH(B2215,Intent_Analysis!$A$5:$A$81,0))</f>
        <v>Transfers</v>
      </c>
      <c r="D2215" s="0" t="n">
        <f aca="false">INDEX(Intent_Analysis!$E$5:$E$81,MATCH(B2215,Intent_Analysis!$A$5:$A$81,0))</f>
        <v>2</v>
      </c>
    </row>
    <row r="2216" customFormat="false" ht="15" hidden="false" customHeight="false" outlineLevel="0" collapsed="false">
      <c r="A2216" s="0" t="s">
        <v>2540</v>
      </c>
      <c r="B2216" s="0" t="s">
        <v>114</v>
      </c>
      <c r="C2216" s="0" t="str">
        <f aca="false">INDEX(Intent_Analysis!$B$5:$B$81,MATCH(B2216,Intent_Analysis!$A$5:$A$81,0))</f>
        <v>Transfers</v>
      </c>
      <c r="D2216" s="0" t="n">
        <f aca="false">INDEX(Intent_Analysis!$E$5:$E$81,MATCH(B2216,Intent_Analysis!$A$5:$A$81,0))</f>
        <v>2</v>
      </c>
    </row>
    <row r="2217" customFormat="false" ht="15" hidden="false" customHeight="false" outlineLevel="0" collapsed="false">
      <c r="A2217" s="0" t="s">
        <v>2541</v>
      </c>
      <c r="B2217" s="0" t="s">
        <v>114</v>
      </c>
      <c r="C2217" s="0" t="str">
        <f aca="false">INDEX(Intent_Analysis!$B$5:$B$81,MATCH(B2217,Intent_Analysis!$A$5:$A$81,0))</f>
        <v>Transfers</v>
      </c>
      <c r="D2217" s="0" t="n">
        <f aca="false">INDEX(Intent_Analysis!$E$5:$E$81,MATCH(B2217,Intent_Analysis!$A$5:$A$81,0))</f>
        <v>2</v>
      </c>
    </row>
    <row r="2218" customFormat="false" ht="15" hidden="false" customHeight="false" outlineLevel="0" collapsed="false">
      <c r="A2218" s="0" t="s">
        <v>2542</v>
      </c>
      <c r="B2218" s="0" t="s">
        <v>114</v>
      </c>
      <c r="C2218" s="0" t="str">
        <f aca="false">INDEX(Intent_Analysis!$B$5:$B$81,MATCH(B2218,Intent_Analysis!$A$5:$A$81,0))</f>
        <v>Transfers</v>
      </c>
      <c r="D2218" s="0" t="n">
        <f aca="false">INDEX(Intent_Analysis!$E$5:$E$81,MATCH(B2218,Intent_Analysis!$A$5:$A$81,0))</f>
        <v>2</v>
      </c>
    </row>
    <row r="2219" customFormat="false" ht="15" hidden="false" customHeight="false" outlineLevel="0" collapsed="false">
      <c r="A2219" s="0" t="s">
        <v>2543</v>
      </c>
      <c r="B2219" s="0" t="s">
        <v>114</v>
      </c>
      <c r="C2219" s="0" t="str">
        <f aca="false">INDEX(Intent_Analysis!$B$5:$B$81,MATCH(B2219,Intent_Analysis!$A$5:$A$81,0))</f>
        <v>Transfers</v>
      </c>
      <c r="D2219" s="0" t="n">
        <f aca="false">INDEX(Intent_Analysis!$E$5:$E$81,MATCH(B2219,Intent_Analysis!$A$5:$A$81,0))</f>
        <v>2</v>
      </c>
    </row>
    <row r="2220" customFormat="false" ht="15" hidden="false" customHeight="false" outlineLevel="0" collapsed="false">
      <c r="A2220" s="0" t="s">
        <v>2544</v>
      </c>
      <c r="B2220" s="0" t="s">
        <v>114</v>
      </c>
      <c r="C2220" s="0" t="str">
        <f aca="false">INDEX(Intent_Analysis!$B$5:$B$81,MATCH(B2220,Intent_Analysis!$A$5:$A$81,0))</f>
        <v>Transfers</v>
      </c>
      <c r="D2220" s="0" t="n">
        <f aca="false">INDEX(Intent_Analysis!$E$5:$E$81,MATCH(B2220,Intent_Analysis!$A$5:$A$81,0))</f>
        <v>2</v>
      </c>
    </row>
    <row r="2221" customFormat="false" ht="15" hidden="false" customHeight="false" outlineLevel="0" collapsed="false">
      <c r="A2221" s="0" t="s">
        <v>2545</v>
      </c>
      <c r="B2221" s="0" t="s">
        <v>114</v>
      </c>
      <c r="C2221" s="0" t="str">
        <f aca="false">INDEX(Intent_Analysis!$B$5:$B$81,MATCH(B2221,Intent_Analysis!$A$5:$A$81,0))</f>
        <v>Transfers</v>
      </c>
      <c r="D2221" s="0" t="n">
        <f aca="false">INDEX(Intent_Analysis!$E$5:$E$81,MATCH(B2221,Intent_Analysis!$A$5:$A$81,0))</f>
        <v>2</v>
      </c>
    </row>
    <row r="2222" customFormat="false" ht="15" hidden="false" customHeight="false" outlineLevel="0" collapsed="false">
      <c r="A2222" s="0" t="s">
        <v>2546</v>
      </c>
      <c r="B2222" s="0" t="s">
        <v>114</v>
      </c>
      <c r="C2222" s="0" t="str">
        <f aca="false">INDEX(Intent_Analysis!$B$5:$B$81,MATCH(B2222,Intent_Analysis!$A$5:$A$81,0))</f>
        <v>Transfers</v>
      </c>
      <c r="D2222" s="0" t="n">
        <f aca="false">INDEX(Intent_Analysis!$E$5:$E$81,MATCH(B2222,Intent_Analysis!$A$5:$A$81,0))</f>
        <v>2</v>
      </c>
    </row>
    <row r="2223" customFormat="false" ht="15" hidden="false" customHeight="false" outlineLevel="0" collapsed="false">
      <c r="A2223" s="0" t="s">
        <v>2547</v>
      </c>
      <c r="B2223" s="0" t="s">
        <v>114</v>
      </c>
      <c r="C2223" s="0" t="str">
        <f aca="false">INDEX(Intent_Analysis!$B$5:$B$81,MATCH(B2223,Intent_Analysis!$A$5:$A$81,0))</f>
        <v>Transfers</v>
      </c>
      <c r="D2223" s="0" t="n">
        <f aca="false">INDEX(Intent_Analysis!$E$5:$E$81,MATCH(B2223,Intent_Analysis!$A$5:$A$81,0))</f>
        <v>2</v>
      </c>
    </row>
    <row r="2224" customFormat="false" ht="15" hidden="false" customHeight="false" outlineLevel="0" collapsed="false">
      <c r="A2224" s="0" t="s">
        <v>2548</v>
      </c>
      <c r="B2224" s="0" t="s">
        <v>114</v>
      </c>
      <c r="C2224" s="0" t="str">
        <f aca="false">INDEX(Intent_Analysis!$B$5:$B$81,MATCH(B2224,Intent_Analysis!$A$5:$A$81,0))</f>
        <v>Transfers</v>
      </c>
      <c r="D2224" s="0" t="n">
        <f aca="false">INDEX(Intent_Analysis!$E$5:$E$81,MATCH(B2224,Intent_Analysis!$A$5:$A$81,0))</f>
        <v>2</v>
      </c>
    </row>
    <row r="2225" customFormat="false" ht="15" hidden="false" customHeight="false" outlineLevel="0" collapsed="false">
      <c r="A2225" s="0" t="s">
        <v>2549</v>
      </c>
      <c r="B2225" s="0" t="s">
        <v>114</v>
      </c>
      <c r="C2225" s="0" t="str">
        <f aca="false">INDEX(Intent_Analysis!$B$5:$B$81,MATCH(B2225,Intent_Analysis!$A$5:$A$81,0))</f>
        <v>Transfers</v>
      </c>
      <c r="D2225" s="0" t="n">
        <f aca="false">INDEX(Intent_Analysis!$E$5:$E$81,MATCH(B2225,Intent_Analysis!$A$5:$A$81,0))</f>
        <v>2</v>
      </c>
    </row>
    <row r="2226" customFormat="false" ht="15" hidden="false" customHeight="false" outlineLevel="0" collapsed="false">
      <c r="A2226" s="0" t="s">
        <v>2550</v>
      </c>
      <c r="B2226" s="0" t="s">
        <v>114</v>
      </c>
      <c r="C2226" s="0" t="str">
        <f aca="false">INDEX(Intent_Analysis!$B$5:$B$81,MATCH(B2226,Intent_Analysis!$A$5:$A$81,0))</f>
        <v>Transfers</v>
      </c>
      <c r="D2226" s="0" t="n">
        <f aca="false">INDEX(Intent_Analysis!$E$5:$E$81,MATCH(B2226,Intent_Analysis!$A$5:$A$81,0))</f>
        <v>2</v>
      </c>
    </row>
    <row r="2227" customFormat="false" ht="15" hidden="false" customHeight="false" outlineLevel="0" collapsed="false">
      <c r="A2227" s="0" t="s">
        <v>2551</v>
      </c>
      <c r="B2227" s="0" t="s">
        <v>114</v>
      </c>
      <c r="C2227" s="0" t="str">
        <f aca="false">INDEX(Intent_Analysis!$B$5:$B$81,MATCH(B2227,Intent_Analysis!$A$5:$A$81,0))</f>
        <v>Transfers</v>
      </c>
      <c r="D2227" s="0" t="n">
        <f aca="false">INDEX(Intent_Analysis!$E$5:$E$81,MATCH(B2227,Intent_Analysis!$A$5:$A$81,0))</f>
        <v>2</v>
      </c>
    </row>
    <row r="2228" customFormat="false" ht="15" hidden="false" customHeight="false" outlineLevel="0" collapsed="false">
      <c r="A2228" s="0" t="s">
        <v>2552</v>
      </c>
      <c r="B2228" s="0" t="s">
        <v>114</v>
      </c>
      <c r="C2228" s="0" t="str">
        <f aca="false">INDEX(Intent_Analysis!$B$5:$B$81,MATCH(B2228,Intent_Analysis!$A$5:$A$81,0))</f>
        <v>Transfers</v>
      </c>
      <c r="D2228" s="0" t="n">
        <f aca="false">INDEX(Intent_Analysis!$E$5:$E$81,MATCH(B2228,Intent_Analysis!$A$5:$A$81,0))</f>
        <v>2</v>
      </c>
    </row>
    <row r="2229" customFormat="false" ht="15" hidden="false" customHeight="false" outlineLevel="0" collapsed="false">
      <c r="A2229" s="0" t="s">
        <v>2553</v>
      </c>
      <c r="B2229" s="0" t="s">
        <v>114</v>
      </c>
      <c r="C2229" s="0" t="str">
        <f aca="false">INDEX(Intent_Analysis!$B$5:$B$81,MATCH(B2229,Intent_Analysis!$A$5:$A$81,0))</f>
        <v>Transfers</v>
      </c>
      <c r="D2229" s="0" t="n">
        <f aca="false">INDEX(Intent_Analysis!$E$5:$E$81,MATCH(B2229,Intent_Analysis!$A$5:$A$81,0))</f>
        <v>2</v>
      </c>
    </row>
    <row r="2230" customFormat="false" ht="15" hidden="false" customHeight="false" outlineLevel="0" collapsed="false">
      <c r="A2230" s="0" t="s">
        <v>2554</v>
      </c>
      <c r="B2230" s="0" t="s">
        <v>114</v>
      </c>
      <c r="C2230" s="0" t="str">
        <f aca="false">INDEX(Intent_Analysis!$B$5:$B$81,MATCH(B2230,Intent_Analysis!$A$5:$A$81,0))</f>
        <v>Transfers</v>
      </c>
      <c r="D2230" s="0" t="n">
        <f aca="false">INDEX(Intent_Analysis!$E$5:$E$81,MATCH(B2230,Intent_Analysis!$A$5:$A$81,0))</f>
        <v>2</v>
      </c>
    </row>
    <row r="2231" customFormat="false" ht="15" hidden="false" customHeight="false" outlineLevel="0" collapsed="false">
      <c r="A2231" s="0" t="s">
        <v>2555</v>
      </c>
      <c r="B2231" s="0" t="s">
        <v>114</v>
      </c>
      <c r="C2231" s="0" t="str">
        <f aca="false">INDEX(Intent_Analysis!$B$5:$B$81,MATCH(B2231,Intent_Analysis!$A$5:$A$81,0))</f>
        <v>Transfers</v>
      </c>
      <c r="D2231" s="0" t="n">
        <f aca="false">INDEX(Intent_Analysis!$E$5:$E$81,MATCH(B2231,Intent_Analysis!$A$5:$A$81,0))</f>
        <v>2</v>
      </c>
    </row>
    <row r="2232" customFormat="false" ht="15" hidden="false" customHeight="false" outlineLevel="0" collapsed="false">
      <c r="A2232" s="0" t="s">
        <v>2556</v>
      </c>
      <c r="B2232" s="0" t="s">
        <v>114</v>
      </c>
      <c r="C2232" s="0" t="str">
        <f aca="false">INDEX(Intent_Analysis!$B$5:$B$81,MATCH(B2232,Intent_Analysis!$A$5:$A$81,0))</f>
        <v>Transfers</v>
      </c>
      <c r="D2232" s="0" t="n">
        <f aca="false">INDEX(Intent_Analysis!$E$5:$E$81,MATCH(B2232,Intent_Analysis!$A$5:$A$81,0))</f>
        <v>2</v>
      </c>
    </row>
    <row r="2233" customFormat="false" ht="15" hidden="false" customHeight="false" outlineLevel="0" collapsed="false">
      <c r="A2233" s="0" t="s">
        <v>2557</v>
      </c>
      <c r="B2233" s="0" t="s">
        <v>114</v>
      </c>
      <c r="C2233" s="0" t="str">
        <f aca="false">INDEX(Intent_Analysis!$B$5:$B$81,MATCH(B2233,Intent_Analysis!$A$5:$A$81,0))</f>
        <v>Transfers</v>
      </c>
      <c r="D2233" s="0" t="n">
        <f aca="false">INDEX(Intent_Analysis!$E$5:$E$81,MATCH(B2233,Intent_Analysis!$A$5:$A$81,0))</f>
        <v>2</v>
      </c>
    </row>
    <row r="2234" customFormat="false" ht="15" hidden="false" customHeight="false" outlineLevel="0" collapsed="false">
      <c r="A2234" s="0" t="s">
        <v>2558</v>
      </c>
      <c r="B2234" s="0" t="s">
        <v>114</v>
      </c>
      <c r="C2234" s="0" t="str">
        <f aca="false">INDEX(Intent_Analysis!$B$5:$B$81,MATCH(B2234,Intent_Analysis!$A$5:$A$81,0))</f>
        <v>Transfers</v>
      </c>
      <c r="D2234" s="0" t="n">
        <f aca="false">INDEX(Intent_Analysis!$E$5:$E$81,MATCH(B2234,Intent_Analysis!$A$5:$A$81,0))</f>
        <v>2</v>
      </c>
    </row>
    <row r="2235" customFormat="false" ht="15" hidden="false" customHeight="false" outlineLevel="0" collapsed="false">
      <c r="A2235" s="0" t="s">
        <v>2559</v>
      </c>
      <c r="B2235" s="0" t="s">
        <v>114</v>
      </c>
      <c r="C2235" s="0" t="str">
        <f aca="false">INDEX(Intent_Analysis!$B$5:$B$81,MATCH(B2235,Intent_Analysis!$A$5:$A$81,0))</f>
        <v>Transfers</v>
      </c>
      <c r="D2235" s="0" t="n">
        <f aca="false">INDEX(Intent_Analysis!$E$5:$E$81,MATCH(B2235,Intent_Analysis!$A$5:$A$81,0))</f>
        <v>2</v>
      </c>
    </row>
    <row r="2236" customFormat="false" ht="15" hidden="false" customHeight="false" outlineLevel="0" collapsed="false">
      <c r="A2236" s="0" t="s">
        <v>2560</v>
      </c>
      <c r="B2236" s="0" t="s">
        <v>110</v>
      </c>
      <c r="C2236" s="0" t="str">
        <f aca="false">INDEX(Intent_Analysis!$B$5:$B$81,MATCH(B2236,Intent_Analysis!$A$5:$A$81,0))</f>
        <v>Top-ups</v>
      </c>
      <c r="D2236" s="0" t="n">
        <f aca="false">INDEX(Intent_Analysis!$E$5:$E$81,MATCH(B2236,Intent_Analysis!$A$5:$A$81,0))</f>
        <v>1</v>
      </c>
    </row>
    <row r="2237" customFormat="false" ht="15" hidden="false" customHeight="false" outlineLevel="0" collapsed="false">
      <c r="A2237" s="0" t="s">
        <v>2561</v>
      </c>
      <c r="B2237" s="0" t="s">
        <v>110</v>
      </c>
      <c r="C2237" s="0" t="str">
        <f aca="false">INDEX(Intent_Analysis!$B$5:$B$81,MATCH(B2237,Intent_Analysis!$A$5:$A$81,0))</f>
        <v>Top-ups</v>
      </c>
      <c r="D2237" s="0" t="n">
        <f aca="false">INDEX(Intent_Analysis!$E$5:$E$81,MATCH(B2237,Intent_Analysis!$A$5:$A$81,0))</f>
        <v>1</v>
      </c>
    </row>
    <row r="2238" customFormat="false" ht="15" hidden="false" customHeight="false" outlineLevel="0" collapsed="false">
      <c r="A2238" s="0" t="s">
        <v>2562</v>
      </c>
      <c r="B2238" s="0" t="s">
        <v>110</v>
      </c>
      <c r="C2238" s="0" t="str">
        <f aca="false">INDEX(Intent_Analysis!$B$5:$B$81,MATCH(B2238,Intent_Analysis!$A$5:$A$81,0))</f>
        <v>Top-ups</v>
      </c>
      <c r="D2238" s="0" t="n">
        <f aca="false">INDEX(Intent_Analysis!$E$5:$E$81,MATCH(B2238,Intent_Analysis!$A$5:$A$81,0))</f>
        <v>1</v>
      </c>
    </row>
    <row r="2239" customFormat="false" ht="15" hidden="false" customHeight="false" outlineLevel="0" collapsed="false">
      <c r="A2239" s="0" t="s">
        <v>2563</v>
      </c>
      <c r="B2239" s="0" t="s">
        <v>110</v>
      </c>
      <c r="C2239" s="0" t="str">
        <f aca="false">INDEX(Intent_Analysis!$B$5:$B$81,MATCH(B2239,Intent_Analysis!$A$5:$A$81,0))</f>
        <v>Top-ups</v>
      </c>
      <c r="D2239" s="0" t="n">
        <f aca="false">INDEX(Intent_Analysis!$E$5:$E$81,MATCH(B2239,Intent_Analysis!$A$5:$A$81,0))</f>
        <v>1</v>
      </c>
    </row>
    <row r="2240" customFormat="false" ht="15" hidden="false" customHeight="false" outlineLevel="0" collapsed="false">
      <c r="A2240" s="0" t="s">
        <v>2564</v>
      </c>
      <c r="B2240" s="0" t="s">
        <v>110</v>
      </c>
      <c r="C2240" s="0" t="str">
        <f aca="false">INDEX(Intent_Analysis!$B$5:$B$81,MATCH(B2240,Intent_Analysis!$A$5:$A$81,0))</f>
        <v>Top-ups</v>
      </c>
      <c r="D2240" s="0" t="n">
        <f aca="false">INDEX(Intent_Analysis!$E$5:$E$81,MATCH(B2240,Intent_Analysis!$A$5:$A$81,0))</f>
        <v>1</v>
      </c>
    </row>
    <row r="2241" customFormat="false" ht="15" hidden="false" customHeight="false" outlineLevel="0" collapsed="false">
      <c r="A2241" s="0" t="s">
        <v>2565</v>
      </c>
      <c r="B2241" s="0" t="s">
        <v>110</v>
      </c>
      <c r="C2241" s="0" t="str">
        <f aca="false">INDEX(Intent_Analysis!$B$5:$B$81,MATCH(B2241,Intent_Analysis!$A$5:$A$81,0))</f>
        <v>Top-ups</v>
      </c>
      <c r="D2241" s="0" t="n">
        <f aca="false">INDEX(Intent_Analysis!$E$5:$E$81,MATCH(B2241,Intent_Analysis!$A$5:$A$81,0))</f>
        <v>1</v>
      </c>
    </row>
    <row r="2242" customFormat="false" ht="15" hidden="false" customHeight="false" outlineLevel="0" collapsed="false">
      <c r="A2242" s="0" t="s">
        <v>2566</v>
      </c>
      <c r="B2242" s="0" t="s">
        <v>110</v>
      </c>
      <c r="C2242" s="0" t="str">
        <f aca="false">INDEX(Intent_Analysis!$B$5:$B$81,MATCH(B2242,Intent_Analysis!$A$5:$A$81,0))</f>
        <v>Top-ups</v>
      </c>
      <c r="D2242" s="0" t="n">
        <f aca="false">INDEX(Intent_Analysis!$E$5:$E$81,MATCH(B2242,Intent_Analysis!$A$5:$A$81,0))</f>
        <v>1</v>
      </c>
    </row>
    <row r="2243" customFormat="false" ht="15" hidden="false" customHeight="false" outlineLevel="0" collapsed="false">
      <c r="A2243" s="0" t="s">
        <v>2567</v>
      </c>
      <c r="B2243" s="0" t="s">
        <v>110</v>
      </c>
      <c r="C2243" s="0" t="str">
        <f aca="false">INDEX(Intent_Analysis!$B$5:$B$81,MATCH(B2243,Intent_Analysis!$A$5:$A$81,0))</f>
        <v>Top-ups</v>
      </c>
      <c r="D2243" s="0" t="n">
        <f aca="false">INDEX(Intent_Analysis!$E$5:$E$81,MATCH(B2243,Intent_Analysis!$A$5:$A$81,0))</f>
        <v>1</v>
      </c>
    </row>
    <row r="2244" customFormat="false" ht="15" hidden="false" customHeight="false" outlineLevel="0" collapsed="false">
      <c r="A2244" s="0" t="s">
        <v>2568</v>
      </c>
      <c r="B2244" s="0" t="s">
        <v>110</v>
      </c>
      <c r="C2244" s="0" t="str">
        <f aca="false">INDEX(Intent_Analysis!$B$5:$B$81,MATCH(B2244,Intent_Analysis!$A$5:$A$81,0))</f>
        <v>Top-ups</v>
      </c>
      <c r="D2244" s="0" t="n">
        <f aca="false">INDEX(Intent_Analysis!$E$5:$E$81,MATCH(B2244,Intent_Analysis!$A$5:$A$81,0))</f>
        <v>1</v>
      </c>
    </row>
    <row r="2245" customFormat="false" ht="15" hidden="false" customHeight="false" outlineLevel="0" collapsed="false">
      <c r="A2245" s="0" t="s">
        <v>2569</v>
      </c>
      <c r="B2245" s="0" t="s">
        <v>110</v>
      </c>
      <c r="C2245" s="0" t="str">
        <f aca="false">INDEX(Intent_Analysis!$B$5:$B$81,MATCH(B2245,Intent_Analysis!$A$5:$A$81,0))</f>
        <v>Top-ups</v>
      </c>
      <c r="D2245" s="0" t="n">
        <f aca="false">INDEX(Intent_Analysis!$E$5:$E$81,MATCH(B2245,Intent_Analysis!$A$5:$A$81,0))</f>
        <v>1</v>
      </c>
    </row>
    <row r="2246" customFormat="false" ht="15" hidden="false" customHeight="false" outlineLevel="0" collapsed="false">
      <c r="A2246" s="0" t="s">
        <v>2570</v>
      </c>
      <c r="B2246" s="0" t="s">
        <v>110</v>
      </c>
      <c r="C2246" s="0" t="str">
        <f aca="false">INDEX(Intent_Analysis!$B$5:$B$81,MATCH(B2246,Intent_Analysis!$A$5:$A$81,0))</f>
        <v>Top-ups</v>
      </c>
      <c r="D2246" s="0" t="n">
        <f aca="false">INDEX(Intent_Analysis!$E$5:$E$81,MATCH(B2246,Intent_Analysis!$A$5:$A$81,0))</f>
        <v>1</v>
      </c>
    </row>
    <row r="2247" customFormat="false" ht="15" hidden="false" customHeight="false" outlineLevel="0" collapsed="false">
      <c r="A2247" s="0" t="s">
        <v>2571</v>
      </c>
      <c r="B2247" s="0" t="s">
        <v>110</v>
      </c>
      <c r="C2247" s="0" t="str">
        <f aca="false">INDEX(Intent_Analysis!$B$5:$B$81,MATCH(B2247,Intent_Analysis!$A$5:$A$81,0))</f>
        <v>Top-ups</v>
      </c>
      <c r="D2247" s="0" t="n">
        <f aca="false">INDEX(Intent_Analysis!$E$5:$E$81,MATCH(B2247,Intent_Analysis!$A$5:$A$81,0))</f>
        <v>1</v>
      </c>
    </row>
    <row r="2248" customFormat="false" ht="15" hidden="false" customHeight="false" outlineLevel="0" collapsed="false">
      <c r="A2248" s="0" t="s">
        <v>2572</v>
      </c>
      <c r="B2248" s="0" t="s">
        <v>110</v>
      </c>
      <c r="C2248" s="0" t="str">
        <f aca="false">INDEX(Intent_Analysis!$B$5:$B$81,MATCH(B2248,Intent_Analysis!$A$5:$A$81,0))</f>
        <v>Top-ups</v>
      </c>
      <c r="D2248" s="0" t="n">
        <f aca="false">INDEX(Intent_Analysis!$E$5:$E$81,MATCH(B2248,Intent_Analysis!$A$5:$A$81,0))</f>
        <v>1</v>
      </c>
    </row>
    <row r="2249" customFormat="false" ht="15" hidden="false" customHeight="false" outlineLevel="0" collapsed="false">
      <c r="A2249" s="0" t="s">
        <v>2573</v>
      </c>
      <c r="B2249" s="0" t="s">
        <v>110</v>
      </c>
      <c r="C2249" s="0" t="str">
        <f aca="false">INDEX(Intent_Analysis!$B$5:$B$81,MATCH(B2249,Intent_Analysis!$A$5:$A$81,0))</f>
        <v>Top-ups</v>
      </c>
      <c r="D2249" s="0" t="n">
        <f aca="false">INDEX(Intent_Analysis!$E$5:$E$81,MATCH(B2249,Intent_Analysis!$A$5:$A$81,0))</f>
        <v>1</v>
      </c>
    </row>
    <row r="2250" customFormat="false" ht="15" hidden="false" customHeight="false" outlineLevel="0" collapsed="false">
      <c r="A2250" s="0" t="s">
        <v>2574</v>
      </c>
      <c r="B2250" s="0" t="s">
        <v>110</v>
      </c>
      <c r="C2250" s="0" t="str">
        <f aca="false">INDEX(Intent_Analysis!$B$5:$B$81,MATCH(B2250,Intent_Analysis!$A$5:$A$81,0))</f>
        <v>Top-ups</v>
      </c>
      <c r="D2250" s="0" t="n">
        <f aca="false">INDEX(Intent_Analysis!$E$5:$E$81,MATCH(B2250,Intent_Analysis!$A$5:$A$81,0))</f>
        <v>1</v>
      </c>
    </row>
    <row r="2251" customFormat="false" ht="15" hidden="false" customHeight="false" outlineLevel="0" collapsed="false">
      <c r="A2251" s="0" t="s">
        <v>2575</v>
      </c>
      <c r="B2251" s="0" t="s">
        <v>110</v>
      </c>
      <c r="C2251" s="0" t="str">
        <f aca="false">INDEX(Intent_Analysis!$B$5:$B$81,MATCH(B2251,Intent_Analysis!$A$5:$A$81,0))</f>
        <v>Top-ups</v>
      </c>
      <c r="D2251" s="0" t="n">
        <f aca="false">INDEX(Intent_Analysis!$E$5:$E$81,MATCH(B2251,Intent_Analysis!$A$5:$A$81,0))</f>
        <v>1</v>
      </c>
    </row>
    <row r="2252" customFormat="false" ht="15" hidden="false" customHeight="false" outlineLevel="0" collapsed="false">
      <c r="A2252" s="0" t="s">
        <v>2576</v>
      </c>
      <c r="B2252" s="0" t="s">
        <v>110</v>
      </c>
      <c r="C2252" s="0" t="str">
        <f aca="false">INDEX(Intent_Analysis!$B$5:$B$81,MATCH(B2252,Intent_Analysis!$A$5:$A$81,0))</f>
        <v>Top-ups</v>
      </c>
      <c r="D2252" s="0" t="n">
        <f aca="false">INDEX(Intent_Analysis!$E$5:$E$81,MATCH(B2252,Intent_Analysis!$A$5:$A$81,0))</f>
        <v>1</v>
      </c>
    </row>
    <row r="2253" customFormat="false" ht="15" hidden="false" customHeight="false" outlineLevel="0" collapsed="false">
      <c r="A2253" s="0" t="s">
        <v>2577</v>
      </c>
      <c r="B2253" s="0" t="s">
        <v>110</v>
      </c>
      <c r="C2253" s="0" t="str">
        <f aca="false">INDEX(Intent_Analysis!$B$5:$B$81,MATCH(B2253,Intent_Analysis!$A$5:$A$81,0))</f>
        <v>Top-ups</v>
      </c>
      <c r="D2253" s="0" t="n">
        <f aca="false">INDEX(Intent_Analysis!$E$5:$E$81,MATCH(B2253,Intent_Analysis!$A$5:$A$81,0))</f>
        <v>1</v>
      </c>
    </row>
    <row r="2254" customFormat="false" ht="15" hidden="false" customHeight="false" outlineLevel="0" collapsed="false">
      <c r="A2254" s="0" t="s">
        <v>2578</v>
      </c>
      <c r="B2254" s="0" t="s">
        <v>110</v>
      </c>
      <c r="C2254" s="0" t="str">
        <f aca="false">INDEX(Intent_Analysis!$B$5:$B$81,MATCH(B2254,Intent_Analysis!$A$5:$A$81,0))</f>
        <v>Top-ups</v>
      </c>
      <c r="D2254" s="0" t="n">
        <f aca="false">INDEX(Intent_Analysis!$E$5:$E$81,MATCH(B2254,Intent_Analysis!$A$5:$A$81,0))</f>
        <v>1</v>
      </c>
    </row>
    <row r="2255" customFormat="false" ht="15" hidden="false" customHeight="false" outlineLevel="0" collapsed="false">
      <c r="A2255" s="0" t="s">
        <v>2579</v>
      </c>
      <c r="B2255" s="0" t="s">
        <v>110</v>
      </c>
      <c r="C2255" s="0" t="str">
        <f aca="false">INDEX(Intent_Analysis!$B$5:$B$81,MATCH(B2255,Intent_Analysis!$A$5:$A$81,0))</f>
        <v>Top-ups</v>
      </c>
      <c r="D2255" s="0" t="n">
        <f aca="false">INDEX(Intent_Analysis!$E$5:$E$81,MATCH(B2255,Intent_Analysis!$A$5:$A$81,0))</f>
        <v>1</v>
      </c>
    </row>
    <row r="2256" customFormat="false" ht="15" hidden="false" customHeight="false" outlineLevel="0" collapsed="false">
      <c r="A2256" s="0" t="s">
        <v>2580</v>
      </c>
      <c r="B2256" s="0" t="s">
        <v>110</v>
      </c>
      <c r="C2256" s="0" t="str">
        <f aca="false">INDEX(Intent_Analysis!$B$5:$B$81,MATCH(B2256,Intent_Analysis!$A$5:$A$81,0))</f>
        <v>Top-ups</v>
      </c>
      <c r="D2256" s="0" t="n">
        <f aca="false">INDEX(Intent_Analysis!$E$5:$E$81,MATCH(B2256,Intent_Analysis!$A$5:$A$81,0))</f>
        <v>1</v>
      </c>
    </row>
    <row r="2257" customFormat="false" ht="15" hidden="false" customHeight="false" outlineLevel="0" collapsed="false">
      <c r="A2257" s="0" t="s">
        <v>2581</v>
      </c>
      <c r="B2257" s="0" t="s">
        <v>110</v>
      </c>
      <c r="C2257" s="0" t="str">
        <f aca="false">INDEX(Intent_Analysis!$B$5:$B$81,MATCH(B2257,Intent_Analysis!$A$5:$A$81,0))</f>
        <v>Top-ups</v>
      </c>
      <c r="D2257" s="0" t="n">
        <f aca="false">INDEX(Intent_Analysis!$E$5:$E$81,MATCH(B2257,Intent_Analysis!$A$5:$A$81,0))</f>
        <v>1</v>
      </c>
    </row>
    <row r="2258" customFormat="false" ht="15" hidden="false" customHeight="false" outlineLevel="0" collapsed="false">
      <c r="A2258" s="0" t="s">
        <v>2582</v>
      </c>
      <c r="B2258" s="0" t="s">
        <v>110</v>
      </c>
      <c r="C2258" s="0" t="str">
        <f aca="false">INDEX(Intent_Analysis!$B$5:$B$81,MATCH(B2258,Intent_Analysis!$A$5:$A$81,0))</f>
        <v>Top-ups</v>
      </c>
      <c r="D2258" s="0" t="n">
        <f aca="false">INDEX(Intent_Analysis!$E$5:$E$81,MATCH(B2258,Intent_Analysis!$A$5:$A$81,0))</f>
        <v>1</v>
      </c>
    </row>
    <row r="2259" customFormat="false" ht="15" hidden="false" customHeight="false" outlineLevel="0" collapsed="false">
      <c r="A2259" s="0" t="s">
        <v>2583</v>
      </c>
      <c r="B2259" s="0" t="s">
        <v>110</v>
      </c>
      <c r="C2259" s="0" t="str">
        <f aca="false">INDEX(Intent_Analysis!$B$5:$B$81,MATCH(B2259,Intent_Analysis!$A$5:$A$81,0))</f>
        <v>Top-ups</v>
      </c>
      <c r="D2259" s="0" t="n">
        <f aca="false">INDEX(Intent_Analysis!$E$5:$E$81,MATCH(B2259,Intent_Analysis!$A$5:$A$81,0))</f>
        <v>1</v>
      </c>
    </row>
    <row r="2260" customFormat="false" ht="15" hidden="false" customHeight="false" outlineLevel="0" collapsed="false">
      <c r="A2260" s="0" t="s">
        <v>2584</v>
      </c>
      <c r="B2260" s="0" t="s">
        <v>110</v>
      </c>
      <c r="C2260" s="0" t="str">
        <f aca="false">INDEX(Intent_Analysis!$B$5:$B$81,MATCH(B2260,Intent_Analysis!$A$5:$A$81,0))</f>
        <v>Top-ups</v>
      </c>
      <c r="D2260" s="0" t="n">
        <f aca="false">INDEX(Intent_Analysis!$E$5:$E$81,MATCH(B2260,Intent_Analysis!$A$5:$A$81,0))</f>
        <v>1</v>
      </c>
    </row>
    <row r="2261" customFormat="false" ht="15" hidden="false" customHeight="false" outlineLevel="0" collapsed="false">
      <c r="A2261" s="0" t="s">
        <v>2585</v>
      </c>
      <c r="B2261" s="0" t="s">
        <v>110</v>
      </c>
      <c r="C2261" s="0" t="str">
        <f aca="false">INDEX(Intent_Analysis!$B$5:$B$81,MATCH(B2261,Intent_Analysis!$A$5:$A$81,0))</f>
        <v>Top-ups</v>
      </c>
      <c r="D2261" s="0" t="n">
        <f aca="false">INDEX(Intent_Analysis!$E$5:$E$81,MATCH(B2261,Intent_Analysis!$A$5:$A$81,0))</f>
        <v>1</v>
      </c>
    </row>
    <row r="2262" customFormat="false" ht="15" hidden="false" customHeight="false" outlineLevel="0" collapsed="false">
      <c r="A2262" s="0" t="s">
        <v>2586</v>
      </c>
      <c r="B2262" s="0" t="s">
        <v>110</v>
      </c>
      <c r="C2262" s="0" t="str">
        <f aca="false">INDEX(Intent_Analysis!$B$5:$B$81,MATCH(B2262,Intent_Analysis!$A$5:$A$81,0))</f>
        <v>Top-ups</v>
      </c>
      <c r="D2262" s="0" t="n">
        <f aca="false">INDEX(Intent_Analysis!$E$5:$E$81,MATCH(B2262,Intent_Analysis!$A$5:$A$81,0))</f>
        <v>1</v>
      </c>
    </row>
    <row r="2263" customFormat="false" ht="15" hidden="false" customHeight="false" outlineLevel="0" collapsed="false">
      <c r="A2263" s="0" t="s">
        <v>2587</v>
      </c>
      <c r="B2263" s="0" t="s">
        <v>110</v>
      </c>
      <c r="C2263" s="0" t="str">
        <f aca="false">INDEX(Intent_Analysis!$B$5:$B$81,MATCH(B2263,Intent_Analysis!$A$5:$A$81,0))</f>
        <v>Top-ups</v>
      </c>
      <c r="D2263" s="0" t="n">
        <f aca="false">INDEX(Intent_Analysis!$E$5:$E$81,MATCH(B2263,Intent_Analysis!$A$5:$A$81,0))</f>
        <v>1</v>
      </c>
    </row>
    <row r="2264" customFormat="false" ht="15" hidden="false" customHeight="false" outlineLevel="0" collapsed="false">
      <c r="A2264" s="0" t="s">
        <v>2588</v>
      </c>
      <c r="B2264" s="0" t="s">
        <v>110</v>
      </c>
      <c r="C2264" s="0" t="str">
        <f aca="false">INDEX(Intent_Analysis!$B$5:$B$81,MATCH(B2264,Intent_Analysis!$A$5:$A$81,0))</f>
        <v>Top-ups</v>
      </c>
      <c r="D2264" s="0" t="n">
        <f aca="false">INDEX(Intent_Analysis!$E$5:$E$81,MATCH(B2264,Intent_Analysis!$A$5:$A$81,0))</f>
        <v>1</v>
      </c>
    </row>
    <row r="2265" customFormat="false" ht="15" hidden="false" customHeight="false" outlineLevel="0" collapsed="false">
      <c r="A2265" s="0" t="s">
        <v>2589</v>
      </c>
      <c r="B2265" s="0" t="s">
        <v>110</v>
      </c>
      <c r="C2265" s="0" t="str">
        <f aca="false">INDEX(Intent_Analysis!$B$5:$B$81,MATCH(B2265,Intent_Analysis!$A$5:$A$81,0))</f>
        <v>Top-ups</v>
      </c>
      <c r="D2265" s="0" t="n">
        <f aca="false">INDEX(Intent_Analysis!$E$5:$E$81,MATCH(B2265,Intent_Analysis!$A$5:$A$81,0))</f>
        <v>1</v>
      </c>
    </row>
    <row r="2266" customFormat="false" ht="15" hidden="false" customHeight="false" outlineLevel="0" collapsed="false">
      <c r="A2266" s="0" t="s">
        <v>2590</v>
      </c>
      <c r="B2266" s="0" t="s">
        <v>110</v>
      </c>
      <c r="C2266" s="0" t="str">
        <f aca="false">INDEX(Intent_Analysis!$B$5:$B$81,MATCH(B2266,Intent_Analysis!$A$5:$A$81,0))</f>
        <v>Top-ups</v>
      </c>
      <c r="D2266" s="0" t="n">
        <f aca="false">INDEX(Intent_Analysis!$E$5:$E$81,MATCH(B2266,Intent_Analysis!$A$5:$A$81,0))</f>
        <v>1</v>
      </c>
    </row>
    <row r="2267" customFormat="false" ht="15" hidden="false" customHeight="false" outlineLevel="0" collapsed="false">
      <c r="A2267" s="0" t="s">
        <v>2591</v>
      </c>
      <c r="B2267" s="0" t="s">
        <v>110</v>
      </c>
      <c r="C2267" s="0" t="str">
        <f aca="false">INDEX(Intent_Analysis!$B$5:$B$81,MATCH(B2267,Intent_Analysis!$A$5:$A$81,0))</f>
        <v>Top-ups</v>
      </c>
      <c r="D2267" s="0" t="n">
        <f aca="false">INDEX(Intent_Analysis!$E$5:$E$81,MATCH(B2267,Intent_Analysis!$A$5:$A$81,0))</f>
        <v>1</v>
      </c>
    </row>
    <row r="2268" customFormat="false" ht="15" hidden="false" customHeight="false" outlineLevel="0" collapsed="false">
      <c r="A2268" s="0" t="s">
        <v>2592</v>
      </c>
      <c r="B2268" s="0" t="s">
        <v>110</v>
      </c>
      <c r="C2268" s="0" t="str">
        <f aca="false">INDEX(Intent_Analysis!$B$5:$B$81,MATCH(B2268,Intent_Analysis!$A$5:$A$81,0))</f>
        <v>Top-ups</v>
      </c>
      <c r="D2268" s="0" t="n">
        <f aca="false">INDEX(Intent_Analysis!$E$5:$E$81,MATCH(B2268,Intent_Analysis!$A$5:$A$81,0))</f>
        <v>1</v>
      </c>
    </row>
    <row r="2269" customFormat="false" ht="15" hidden="false" customHeight="false" outlineLevel="0" collapsed="false">
      <c r="A2269" s="0" t="s">
        <v>2593</v>
      </c>
      <c r="B2269" s="0" t="s">
        <v>110</v>
      </c>
      <c r="C2269" s="0" t="str">
        <f aca="false">INDEX(Intent_Analysis!$B$5:$B$81,MATCH(B2269,Intent_Analysis!$A$5:$A$81,0))</f>
        <v>Top-ups</v>
      </c>
      <c r="D2269" s="0" t="n">
        <f aca="false">INDEX(Intent_Analysis!$E$5:$E$81,MATCH(B2269,Intent_Analysis!$A$5:$A$81,0))</f>
        <v>1</v>
      </c>
    </row>
    <row r="2270" customFormat="false" ht="15" hidden="false" customHeight="false" outlineLevel="0" collapsed="false">
      <c r="A2270" s="0" t="s">
        <v>2594</v>
      </c>
      <c r="B2270" s="0" t="s">
        <v>110</v>
      </c>
      <c r="C2270" s="0" t="str">
        <f aca="false">INDEX(Intent_Analysis!$B$5:$B$81,MATCH(B2270,Intent_Analysis!$A$5:$A$81,0))</f>
        <v>Top-ups</v>
      </c>
      <c r="D2270" s="0" t="n">
        <f aca="false">INDEX(Intent_Analysis!$E$5:$E$81,MATCH(B2270,Intent_Analysis!$A$5:$A$81,0))</f>
        <v>1</v>
      </c>
    </row>
    <row r="2271" customFormat="false" ht="15" hidden="false" customHeight="false" outlineLevel="0" collapsed="false">
      <c r="A2271" s="0" t="s">
        <v>2595</v>
      </c>
      <c r="B2271" s="0" t="s">
        <v>110</v>
      </c>
      <c r="C2271" s="0" t="str">
        <f aca="false">INDEX(Intent_Analysis!$B$5:$B$81,MATCH(B2271,Intent_Analysis!$A$5:$A$81,0))</f>
        <v>Top-ups</v>
      </c>
      <c r="D2271" s="0" t="n">
        <f aca="false">INDEX(Intent_Analysis!$E$5:$E$81,MATCH(B2271,Intent_Analysis!$A$5:$A$81,0))</f>
        <v>1</v>
      </c>
    </row>
    <row r="2272" customFormat="false" ht="15" hidden="false" customHeight="false" outlineLevel="0" collapsed="false">
      <c r="A2272" s="0" t="s">
        <v>2596</v>
      </c>
      <c r="B2272" s="0" t="s">
        <v>110</v>
      </c>
      <c r="C2272" s="0" t="str">
        <f aca="false">INDEX(Intent_Analysis!$B$5:$B$81,MATCH(B2272,Intent_Analysis!$A$5:$A$81,0))</f>
        <v>Top-ups</v>
      </c>
      <c r="D2272" s="0" t="n">
        <f aca="false">INDEX(Intent_Analysis!$E$5:$E$81,MATCH(B2272,Intent_Analysis!$A$5:$A$81,0))</f>
        <v>1</v>
      </c>
    </row>
    <row r="2273" customFormat="false" ht="15" hidden="false" customHeight="false" outlineLevel="0" collapsed="false">
      <c r="A2273" s="0" t="s">
        <v>2597</v>
      </c>
      <c r="B2273" s="0" t="s">
        <v>110</v>
      </c>
      <c r="C2273" s="0" t="str">
        <f aca="false">INDEX(Intent_Analysis!$B$5:$B$81,MATCH(B2273,Intent_Analysis!$A$5:$A$81,0))</f>
        <v>Top-ups</v>
      </c>
      <c r="D2273" s="0" t="n">
        <f aca="false">INDEX(Intent_Analysis!$E$5:$E$81,MATCH(B2273,Intent_Analysis!$A$5:$A$81,0))</f>
        <v>1</v>
      </c>
    </row>
    <row r="2274" customFormat="false" ht="15" hidden="false" customHeight="false" outlineLevel="0" collapsed="false">
      <c r="A2274" s="0" t="s">
        <v>2598</v>
      </c>
      <c r="B2274" s="0" t="s">
        <v>110</v>
      </c>
      <c r="C2274" s="0" t="str">
        <f aca="false">INDEX(Intent_Analysis!$B$5:$B$81,MATCH(B2274,Intent_Analysis!$A$5:$A$81,0))</f>
        <v>Top-ups</v>
      </c>
      <c r="D2274" s="0" t="n">
        <f aca="false">INDEX(Intent_Analysis!$E$5:$E$81,MATCH(B2274,Intent_Analysis!$A$5:$A$81,0))</f>
        <v>1</v>
      </c>
    </row>
    <row r="2275" customFormat="false" ht="15" hidden="false" customHeight="false" outlineLevel="0" collapsed="false">
      <c r="A2275" s="0" t="s">
        <v>2599</v>
      </c>
      <c r="B2275" s="0" t="s">
        <v>110</v>
      </c>
      <c r="C2275" s="0" t="str">
        <f aca="false">INDEX(Intent_Analysis!$B$5:$B$81,MATCH(B2275,Intent_Analysis!$A$5:$A$81,0))</f>
        <v>Top-ups</v>
      </c>
      <c r="D2275" s="0" t="n">
        <f aca="false">INDEX(Intent_Analysis!$E$5:$E$81,MATCH(B2275,Intent_Analysis!$A$5:$A$81,0))</f>
        <v>1</v>
      </c>
    </row>
    <row r="2276" customFormat="false" ht="15" hidden="false" customHeight="false" outlineLevel="0" collapsed="false">
      <c r="A2276" s="0" t="s">
        <v>2600</v>
      </c>
      <c r="B2276" s="0" t="s">
        <v>110</v>
      </c>
      <c r="C2276" s="0" t="str">
        <f aca="false">INDEX(Intent_Analysis!$B$5:$B$81,MATCH(B2276,Intent_Analysis!$A$5:$A$81,0))</f>
        <v>Top-ups</v>
      </c>
      <c r="D2276" s="0" t="n">
        <f aca="false">INDEX(Intent_Analysis!$E$5:$E$81,MATCH(B2276,Intent_Analysis!$A$5:$A$81,0))</f>
        <v>1</v>
      </c>
    </row>
    <row r="2277" customFormat="false" ht="15" hidden="false" customHeight="false" outlineLevel="0" collapsed="false">
      <c r="A2277" s="0" t="s">
        <v>2601</v>
      </c>
      <c r="B2277" s="0" t="s">
        <v>110</v>
      </c>
      <c r="C2277" s="0" t="str">
        <f aca="false">INDEX(Intent_Analysis!$B$5:$B$81,MATCH(B2277,Intent_Analysis!$A$5:$A$81,0))</f>
        <v>Top-ups</v>
      </c>
      <c r="D2277" s="0" t="n">
        <f aca="false">INDEX(Intent_Analysis!$E$5:$E$81,MATCH(B2277,Intent_Analysis!$A$5:$A$81,0))</f>
        <v>1</v>
      </c>
    </row>
    <row r="2278" customFormat="false" ht="15" hidden="false" customHeight="false" outlineLevel="0" collapsed="false">
      <c r="A2278" s="0" t="s">
        <v>2602</v>
      </c>
      <c r="B2278" s="0" t="s">
        <v>110</v>
      </c>
      <c r="C2278" s="0" t="str">
        <f aca="false">INDEX(Intent_Analysis!$B$5:$B$81,MATCH(B2278,Intent_Analysis!$A$5:$A$81,0))</f>
        <v>Top-ups</v>
      </c>
      <c r="D2278" s="0" t="n">
        <f aca="false">INDEX(Intent_Analysis!$E$5:$E$81,MATCH(B2278,Intent_Analysis!$A$5:$A$81,0))</f>
        <v>1</v>
      </c>
    </row>
    <row r="2279" customFormat="false" ht="15" hidden="false" customHeight="false" outlineLevel="0" collapsed="false">
      <c r="A2279" s="0" t="s">
        <v>2603</v>
      </c>
      <c r="B2279" s="0" t="s">
        <v>110</v>
      </c>
      <c r="C2279" s="0" t="str">
        <f aca="false">INDEX(Intent_Analysis!$B$5:$B$81,MATCH(B2279,Intent_Analysis!$A$5:$A$81,0))</f>
        <v>Top-ups</v>
      </c>
      <c r="D2279" s="0" t="n">
        <f aca="false">INDEX(Intent_Analysis!$E$5:$E$81,MATCH(B2279,Intent_Analysis!$A$5:$A$81,0))</f>
        <v>1</v>
      </c>
    </row>
    <row r="2280" customFormat="false" ht="15" hidden="false" customHeight="false" outlineLevel="0" collapsed="false">
      <c r="A2280" s="0" t="s">
        <v>2604</v>
      </c>
      <c r="B2280" s="0" t="s">
        <v>110</v>
      </c>
      <c r="C2280" s="0" t="str">
        <f aca="false">INDEX(Intent_Analysis!$B$5:$B$81,MATCH(B2280,Intent_Analysis!$A$5:$A$81,0))</f>
        <v>Top-ups</v>
      </c>
      <c r="D2280" s="0" t="n">
        <f aca="false">INDEX(Intent_Analysis!$E$5:$E$81,MATCH(B2280,Intent_Analysis!$A$5:$A$81,0))</f>
        <v>1</v>
      </c>
    </row>
    <row r="2281" customFormat="false" ht="15" hidden="false" customHeight="false" outlineLevel="0" collapsed="false">
      <c r="A2281" s="0" t="s">
        <v>2605</v>
      </c>
      <c r="B2281" s="0" t="s">
        <v>110</v>
      </c>
      <c r="C2281" s="0" t="str">
        <f aca="false">INDEX(Intent_Analysis!$B$5:$B$81,MATCH(B2281,Intent_Analysis!$A$5:$A$81,0))</f>
        <v>Top-ups</v>
      </c>
      <c r="D2281" s="0" t="n">
        <f aca="false">INDEX(Intent_Analysis!$E$5:$E$81,MATCH(B2281,Intent_Analysis!$A$5:$A$81,0))</f>
        <v>1</v>
      </c>
    </row>
    <row r="2282" customFormat="false" ht="15" hidden="false" customHeight="false" outlineLevel="0" collapsed="false">
      <c r="A2282" s="0" t="s">
        <v>2606</v>
      </c>
      <c r="B2282" s="0" t="s">
        <v>110</v>
      </c>
      <c r="C2282" s="0" t="str">
        <f aca="false">INDEX(Intent_Analysis!$B$5:$B$81,MATCH(B2282,Intent_Analysis!$A$5:$A$81,0))</f>
        <v>Top-ups</v>
      </c>
      <c r="D2282" s="0" t="n">
        <f aca="false">INDEX(Intent_Analysis!$E$5:$E$81,MATCH(B2282,Intent_Analysis!$A$5:$A$81,0))</f>
        <v>1</v>
      </c>
    </row>
    <row r="2283" customFormat="false" ht="15" hidden="false" customHeight="false" outlineLevel="0" collapsed="false">
      <c r="A2283" s="0" t="s">
        <v>2607</v>
      </c>
      <c r="B2283" s="0" t="s">
        <v>110</v>
      </c>
      <c r="C2283" s="0" t="str">
        <f aca="false">INDEX(Intent_Analysis!$B$5:$B$81,MATCH(B2283,Intent_Analysis!$A$5:$A$81,0))</f>
        <v>Top-ups</v>
      </c>
      <c r="D2283" s="0" t="n">
        <f aca="false">INDEX(Intent_Analysis!$E$5:$E$81,MATCH(B2283,Intent_Analysis!$A$5:$A$81,0))</f>
        <v>1</v>
      </c>
    </row>
    <row r="2284" customFormat="false" ht="15" hidden="false" customHeight="false" outlineLevel="0" collapsed="false">
      <c r="A2284" s="0" t="s">
        <v>2608</v>
      </c>
      <c r="B2284" s="0" t="s">
        <v>110</v>
      </c>
      <c r="C2284" s="0" t="str">
        <f aca="false">INDEX(Intent_Analysis!$B$5:$B$81,MATCH(B2284,Intent_Analysis!$A$5:$A$81,0))</f>
        <v>Top-ups</v>
      </c>
      <c r="D2284" s="0" t="n">
        <f aca="false">INDEX(Intent_Analysis!$E$5:$E$81,MATCH(B2284,Intent_Analysis!$A$5:$A$81,0))</f>
        <v>1</v>
      </c>
    </row>
    <row r="2285" customFormat="false" ht="15" hidden="false" customHeight="false" outlineLevel="0" collapsed="false">
      <c r="A2285" s="0" t="s">
        <v>2609</v>
      </c>
      <c r="B2285" s="0" t="s">
        <v>110</v>
      </c>
      <c r="C2285" s="0" t="str">
        <f aca="false">INDEX(Intent_Analysis!$B$5:$B$81,MATCH(B2285,Intent_Analysis!$A$5:$A$81,0))</f>
        <v>Top-ups</v>
      </c>
      <c r="D2285" s="0" t="n">
        <f aca="false">INDEX(Intent_Analysis!$E$5:$E$81,MATCH(B2285,Intent_Analysis!$A$5:$A$81,0))</f>
        <v>1</v>
      </c>
    </row>
    <row r="2286" customFormat="false" ht="15" hidden="false" customHeight="false" outlineLevel="0" collapsed="false">
      <c r="A2286" s="0" t="s">
        <v>2610</v>
      </c>
      <c r="B2286" s="0" t="s">
        <v>110</v>
      </c>
      <c r="C2286" s="0" t="str">
        <f aca="false">INDEX(Intent_Analysis!$B$5:$B$81,MATCH(B2286,Intent_Analysis!$A$5:$A$81,0))</f>
        <v>Top-ups</v>
      </c>
      <c r="D2286" s="0" t="n">
        <f aca="false">INDEX(Intent_Analysis!$E$5:$E$81,MATCH(B2286,Intent_Analysis!$A$5:$A$81,0))</f>
        <v>1</v>
      </c>
    </row>
    <row r="2287" customFormat="false" ht="15" hidden="false" customHeight="false" outlineLevel="0" collapsed="false">
      <c r="A2287" s="0" t="s">
        <v>2611</v>
      </c>
      <c r="B2287" s="0" t="s">
        <v>110</v>
      </c>
      <c r="C2287" s="0" t="str">
        <f aca="false">INDEX(Intent_Analysis!$B$5:$B$81,MATCH(B2287,Intent_Analysis!$A$5:$A$81,0))</f>
        <v>Top-ups</v>
      </c>
      <c r="D2287" s="0" t="n">
        <f aca="false">INDEX(Intent_Analysis!$E$5:$E$81,MATCH(B2287,Intent_Analysis!$A$5:$A$81,0))</f>
        <v>1</v>
      </c>
    </row>
    <row r="2288" customFormat="false" ht="15" hidden="false" customHeight="false" outlineLevel="0" collapsed="false">
      <c r="A2288" s="0" t="s">
        <v>2612</v>
      </c>
      <c r="B2288" s="0" t="s">
        <v>110</v>
      </c>
      <c r="C2288" s="0" t="str">
        <f aca="false">INDEX(Intent_Analysis!$B$5:$B$81,MATCH(B2288,Intent_Analysis!$A$5:$A$81,0))</f>
        <v>Top-ups</v>
      </c>
      <c r="D2288" s="0" t="n">
        <f aca="false">INDEX(Intent_Analysis!$E$5:$E$81,MATCH(B2288,Intent_Analysis!$A$5:$A$81,0))</f>
        <v>1</v>
      </c>
    </row>
    <row r="2289" customFormat="false" ht="15" hidden="false" customHeight="false" outlineLevel="0" collapsed="false">
      <c r="A2289" s="0" t="s">
        <v>2613</v>
      </c>
      <c r="B2289" s="0" t="s">
        <v>110</v>
      </c>
      <c r="C2289" s="0" t="str">
        <f aca="false">INDEX(Intent_Analysis!$B$5:$B$81,MATCH(B2289,Intent_Analysis!$A$5:$A$81,0))</f>
        <v>Top-ups</v>
      </c>
      <c r="D2289" s="0" t="n">
        <f aca="false">INDEX(Intent_Analysis!$E$5:$E$81,MATCH(B2289,Intent_Analysis!$A$5:$A$81,0))</f>
        <v>1</v>
      </c>
    </row>
    <row r="2290" customFormat="false" ht="15" hidden="false" customHeight="false" outlineLevel="0" collapsed="false">
      <c r="A2290" s="0" t="s">
        <v>2614</v>
      </c>
      <c r="B2290" s="0" t="s">
        <v>110</v>
      </c>
      <c r="C2290" s="0" t="str">
        <f aca="false">INDEX(Intent_Analysis!$B$5:$B$81,MATCH(B2290,Intent_Analysis!$A$5:$A$81,0))</f>
        <v>Top-ups</v>
      </c>
      <c r="D2290" s="0" t="n">
        <f aca="false">INDEX(Intent_Analysis!$E$5:$E$81,MATCH(B2290,Intent_Analysis!$A$5:$A$81,0))</f>
        <v>1</v>
      </c>
    </row>
    <row r="2291" customFormat="false" ht="15" hidden="false" customHeight="false" outlineLevel="0" collapsed="false">
      <c r="A2291" s="0" t="s">
        <v>2615</v>
      </c>
      <c r="B2291" s="0" t="s">
        <v>110</v>
      </c>
      <c r="C2291" s="0" t="str">
        <f aca="false">INDEX(Intent_Analysis!$B$5:$B$81,MATCH(B2291,Intent_Analysis!$A$5:$A$81,0))</f>
        <v>Top-ups</v>
      </c>
      <c r="D2291" s="0" t="n">
        <f aca="false">INDEX(Intent_Analysis!$E$5:$E$81,MATCH(B2291,Intent_Analysis!$A$5:$A$81,0))</f>
        <v>1</v>
      </c>
    </row>
    <row r="2292" customFormat="false" ht="15" hidden="false" customHeight="false" outlineLevel="0" collapsed="false">
      <c r="A2292" s="0" t="s">
        <v>2616</v>
      </c>
      <c r="B2292" s="0" t="s">
        <v>110</v>
      </c>
      <c r="C2292" s="0" t="str">
        <f aca="false">INDEX(Intent_Analysis!$B$5:$B$81,MATCH(B2292,Intent_Analysis!$A$5:$A$81,0))</f>
        <v>Top-ups</v>
      </c>
      <c r="D2292" s="0" t="n">
        <f aca="false">INDEX(Intent_Analysis!$E$5:$E$81,MATCH(B2292,Intent_Analysis!$A$5:$A$81,0))</f>
        <v>1</v>
      </c>
    </row>
    <row r="2293" customFormat="false" ht="15" hidden="false" customHeight="false" outlineLevel="0" collapsed="false">
      <c r="A2293" s="0" t="s">
        <v>2617</v>
      </c>
      <c r="B2293" s="0" t="s">
        <v>110</v>
      </c>
      <c r="C2293" s="0" t="str">
        <f aca="false">INDEX(Intent_Analysis!$B$5:$B$81,MATCH(B2293,Intent_Analysis!$A$5:$A$81,0))</f>
        <v>Top-ups</v>
      </c>
      <c r="D2293" s="0" t="n">
        <f aca="false">INDEX(Intent_Analysis!$E$5:$E$81,MATCH(B2293,Intent_Analysis!$A$5:$A$81,0))</f>
        <v>1</v>
      </c>
    </row>
    <row r="2294" customFormat="false" ht="15" hidden="false" customHeight="false" outlineLevel="0" collapsed="false">
      <c r="A2294" s="0" t="s">
        <v>2618</v>
      </c>
      <c r="B2294" s="0" t="s">
        <v>110</v>
      </c>
      <c r="C2294" s="0" t="str">
        <f aca="false">INDEX(Intent_Analysis!$B$5:$B$81,MATCH(B2294,Intent_Analysis!$A$5:$A$81,0))</f>
        <v>Top-ups</v>
      </c>
      <c r="D2294" s="0" t="n">
        <f aca="false">INDEX(Intent_Analysis!$E$5:$E$81,MATCH(B2294,Intent_Analysis!$A$5:$A$81,0))</f>
        <v>1</v>
      </c>
    </row>
    <row r="2295" customFormat="false" ht="15" hidden="false" customHeight="false" outlineLevel="0" collapsed="false">
      <c r="A2295" s="0" t="s">
        <v>2619</v>
      </c>
      <c r="B2295" s="0" t="s">
        <v>110</v>
      </c>
      <c r="C2295" s="0" t="str">
        <f aca="false">INDEX(Intent_Analysis!$B$5:$B$81,MATCH(B2295,Intent_Analysis!$A$5:$A$81,0))</f>
        <v>Top-ups</v>
      </c>
      <c r="D2295" s="0" t="n">
        <f aca="false">INDEX(Intent_Analysis!$E$5:$E$81,MATCH(B2295,Intent_Analysis!$A$5:$A$81,0))</f>
        <v>1</v>
      </c>
    </row>
    <row r="2296" customFormat="false" ht="15" hidden="false" customHeight="false" outlineLevel="0" collapsed="false">
      <c r="A2296" s="0" t="s">
        <v>2620</v>
      </c>
      <c r="B2296" s="0" t="s">
        <v>110</v>
      </c>
      <c r="C2296" s="0" t="str">
        <f aca="false">INDEX(Intent_Analysis!$B$5:$B$81,MATCH(B2296,Intent_Analysis!$A$5:$A$81,0))</f>
        <v>Top-ups</v>
      </c>
      <c r="D2296" s="0" t="n">
        <f aca="false">INDEX(Intent_Analysis!$E$5:$E$81,MATCH(B2296,Intent_Analysis!$A$5:$A$81,0))</f>
        <v>1</v>
      </c>
    </row>
    <row r="2297" customFormat="false" ht="15" hidden="false" customHeight="false" outlineLevel="0" collapsed="false">
      <c r="A2297" s="0" t="s">
        <v>2621</v>
      </c>
      <c r="B2297" s="0" t="s">
        <v>110</v>
      </c>
      <c r="C2297" s="0" t="str">
        <f aca="false">INDEX(Intent_Analysis!$B$5:$B$81,MATCH(B2297,Intent_Analysis!$A$5:$A$81,0))</f>
        <v>Top-ups</v>
      </c>
      <c r="D2297" s="0" t="n">
        <f aca="false">INDEX(Intent_Analysis!$E$5:$E$81,MATCH(B2297,Intent_Analysis!$A$5:$A$81,0))</f>
        <v>1</v>
      </c>
    </row>
    <row r="2298" customFormat="false" ht="15" hidden="false" customHeight="false" outlineLevel="0" collapsed="false">
      <c r="A2298" s="0" t="s">
        <v>2622</v>
      </c>
      <c r="B2298" s="0" t="s">
        <v>110</v>
      </c>
      <c r="C2298" s="0" t="str">
        <f aca="false">INDEX(Intent_Analysis!$B$5:$B$81,MATCH(B2298,Intent_Analysis!$A$5:$A$81,0))</f>
        <v>Top-ups</v>
      </c>
      <c r="D2298" s="0" t="n">
        <f aca="false">INDEX(Intent_Analysis!$E$5:$E$81,MATCH(B2298,Intent_Analysis!$A$5:$A$81,0))</f>
        <v>1</v>
      </c>
    </row>
    <row r="2299" customFormat="false" ht="15" hidden="false" customHeight="false" outlineLevel="0" collapsed="false">
      <c r="A2299" s="0" t="s">
        <v>2623</v>
      </c>
      <c r="B2299" s="0" t="s">
        <v>110</v>
      </c>
      <c r="C2299" s="0" t="str">
        <f aca="false">INDEX(Intent_Analysis!$B$5:$B$81,MATCH(B2299,Intent_Analysis!$A$5:$A$81,0))</f>
        <v>Top-ups</v>
      </c>
      <c r="D2299" s="0" t="n">
        <f aca="false">INDEX(Intent_Analysis!$E$5:$E$81,MATCH(B2299,Intent_Analysis!$A$5:$A$81,0))</f>
        <v>1</v>
      </c>
    </row>
    <row r="2300" customFormat="false" ht="15" hidden="false" customHeight="false" outlineLevel="0" collapsed="false">
      <c r="A2300" s="0" t="s">
        <v>2624</v>
      </c>
      <c r="B2300" s="0" t="s">
        <v>110</v>
      </c>
      <c r="C2300" s="0" t="str">
        <f aca="false">INDEX(Intent_Analysis!$B$5:$B$81,MATCH(B2300,Intent_Analysis!$A$5:$A$81,0))</f>
        <v>Top-ups</v>
      </c>
      <c r="D2300" s="0" t="n">
        <f aca="false">INDEX(Intent_Analysis!$E$5:$E$81,MATCH(B2300,Intent_Analysis!$A$5:$A$81,0))</f>
        <v>1</v>
      </c>
    </row>
    <row r="2301" customFormat="false" ht="15" hidden="false" customHeight="false" outlineLevel="0" collapsed="false">
      <c r="A2301" s="0" t="s">
        <v>2625</v>
      </c>
      <c r="B2301" s="0" t="s">
        <v>110</v>
      </c>
      <c r="C2301" s="0" t="str">
        <f aca="false">INDEX(Intent_Analysis!$B$5:$B$81,MATCH(B2301,Intent_Analysis!$A$5:$A$81,0))</f>
        <v>Top-ups</v>
      </c>
      <c r="D2301" s="0" t="n">
        <f aca="false">INDEX(Intent_Analysis!$E$5:$E$81,MATCH(B2301,Intent_Analysis!$A$5:$A$81,0))</f>
        <v>1</v>
      </c>
    </row>
    <row r="2302" customFormat="false" ht="15" hidden="false" customHeight="false" outlineLevel="0" collapsed="false">
      <c r="A2302" s="0" t="s">
        <v>2626</v>
      </c>
      <c r="B2302" s="0" t="s">
        <v>110</v>
      </c>
      <c r="C2302" s="0" t="str">
        <f aca="false">INDEX(Intent_Analysis!$B$5:$B$81,MATCH(B2302,Intent_Analysis!$A$5:$A$81,0))</f>
        <v>Top-ups</v>
      </c>
      <c r="D2302" s="0" t="n">
        <f aca="false">INDEX(Intent_Analysis!$E$5:$E$81,MATCH(B2302,Intent_Analysis!$A$5:$A$81,0))</f>
        <v>1</v>
      </c>
    </row>
    <row r="2303" customFormat="false" ht="15" hidden="false" customHeight="false" outlineLevel="0" collapsed="false">
      <c r="A2303" s="0" t="s">
        <v>2627</v>
      </c>
      <c r="B2303" s="0" t="s">
        <v>110</v>
      </c>
      <c r="C2303" s="0" t="str">
        <f aca="false">INDEX(Intent_Analysis!$B$5:$B$81,MATCH(B2303,Intent_Analysis!$A$5:$A$81,0))</f>
        <v>Top-ups</v>
      </c>
      <c r="D2303" s="0" t="n">
        <f aca="false">INDEX(Intent_Analysis!$E$5:$E$81,MATCH(B2303,Intent_Analysis!$A$5:$A$81,0))</f>
        <v>1</v>
      </c>
    </row>
    <row r="2304" customFormat="false" ht="15" hidden="false" customHeight="false" outlineLevel="0" collapsed="false">
      <c r="A2304" s="0" t="s">
        <v>2628</v>
      </c>
      <c r="B2304" s="0" t="s">
        <v>110</v>
      </c>
      <c r="C2304" s="0" t="str">
        <f aca="false">INDEX(Intent_Analysis!$B$5:$B$81,MATCH(B2304,Intent_Analysis!$A$5:$A$81,0))</f>
        <v>Top-ups</v>
      </c>
      <c r="D2304" s="0" t="n">
        <f aca="false">INDEX(Intent_Analysis!$E$5:$E$81,MATCH(B2304,Intent_Analysis!$A$5:$A$81,0))</f>
        <v>1</v>
      </c>
    </row>
    <row r="2305" customFormat="false" ht="15" hidden="false" customHeight="false" outlineLevel="0" collapsed="false">
      <c r="A2305" s="0" t="s">
        <v>2629</v>
      </c>
      <c r="B2305" s="0" t="s">
        <v>110</v>
      </c>
      <c r="C2305" s="0" t="str">
        <f aca="false">INDEX(Intent_Analysis!$B$5:$B$81,MATCH(B2305,Intent_Analysis!$A$5:$A$81,0))</f>
        <v>Top-ups</v>
      </c>
      <c r="D2305" s="0" t="n">
        <f aca="false">INDEX(Intent_Analysis!$E$5:$E$81,MATCH(B2305,Intent_Analysis!$A$5:$A$81,0))</f>
        <v>1</v>
      </c>
    </row>
    <row r="2306" customFormat="false" ht="15" hidden="false" customHeight="false" outlineLevel="0" collapsed="false">
      <c r="A2306" s="0" t="s">
        <v>2630</v>
      </c>
      <c r="B2306" s="0" t="s">
        <v>110</v>
      </c>
      <c r="C2306" s="0" t="str">
        <f aca="false">INDEX(Intent_Analysis!$B$5:$B$81,MATCH(B2306,Intent_Analysis!$A$5:$A$81,0))</f>
        <v>Top-ups</v>
      </c>
      <c r="D2306" s="0" t="n">
        <f aca="false">INDEX(Intent_Analysis!$E$5:$E$81,MATCH(B2306,Intent_Analysis!$A$5:$A$81,0))</f>
        <v>1</v>
      </c>
    </row>
    <row r="2307" customFormat="false" ht="15" hidden="false" customHeight="false" outlineLevel="0" collapsed="false">
      <c r="A2307" s="0" t="s">
        <v>2631</v>
      </c>
      <c r="B2307" s="0" t="s">
        <v>110</v>
      </c>
      <c r="C2307" s="0" t="str">
        <f aca="false">INDEX(Intent_Analysis!$B$5:$B$81,MATCH(B2307,Intent_Analysis!$A$5:$A$81,0))</f>
        <v>Top-ups</v>
      </c>
      <c r="D2307" s="0" t="n">
        <f aca="false">INDEX(Intent_Analysis!$E$5:$E$81,MATCH(B2307,Intent_Analysis!$A$5:$A$81,0))</f>
        <v>1</v>
      </c>
    </row>
    <row r="2308" customFormat="false" ht="15" hidden="false" customHeight="false" outlineLevel="0" collapsed="false">
      <c r="A2308" s="0" t="s">
        <v>2632</v>
      </c>
      <c r="B2308" s="0" t="s">
        <v>110</v>
      </c>
      <c r="C2308" s="0" t="str">
        <f aca="false">INDEX(Intent_Analysis!$B$5:$B$81,MATCH(B2308,Intent_Analysis!$A$5:$A$81,0))</f>
        <v>Top-ups</v>
      </c>
      <c r="D2308" s="0" t="n">
        <f aca="false">INDEX(Intent_Analysis!$E$5:$E$81,MATCH(B2308,Intent_Analysis!$A$5:$A$81,0))</f>
        <v>1</v>
      </c>
    </row>
    <row r="2309" customFormat="false" ht="15" hidden="false" customHeight="false" outlineLevel="0" collapsed="false">
      <c r="A2309" s="0" t="s">
        <v>2633</v>
      </c>
      <c r="B2309" s="0" t="s">
        <v>110</v>
      </c>
      <c r="C2309" s="0" t="str">
        <f aca="false">INDEX(Intent_Analysis!$B$5:$B$81,MATCH(B2309,Intent_Analysis!$A$5:$A$81,0))</f>
        <v>Top-ups</v>
      </c>
      <c r="D2309" s="0" t="n">
        <f aca="false">INDEX(Intent_Analysis!$E$5:$E$81,MATCH(B2309,Intent_Analysis!$A$5:$A$81,0))</f>
        <v>1</v>
      </c>
    </row>
    <row r="2310" customFormat="false" ht="15" hidden="false" customHeight="false" outlineLevel="0" collapsed="false">
      <c r="A2310" s="0" t="s">
        <v>2634</v>
      </c>
      <c r="B2310" s="0" t="s">
        <v>110</v>
      </c>
      <c r="C2310" s="0" t="str">
        <f aca="false">INDEX(Intent_Analysis!$B$5:$B$81,MATCH(B2310,Intent_Analysis!$A$5:$A$81,0))</f>
        <v>Top-ups</v>
      </c>
      <c r="D2310" s="0" t="n">
        <f aca="false">INDEX(Intent_Analysis!$E$5:$E$81,MATCH(B2310,Intent_Analysis!$A$5:$A$81,0))</f>
        <v>1</v>
      </c>
    </row>
    <row r="2311" customFormat="false" ht="15" hidden="false" customHeight="false" outlineLevel="0" collapsed="false">
      <c r="A2311" s="0" t="s">
        <v>2635</v>
      </c>
      <c r="B2311" s="0" t="s">
        <v>110</v>
      </c>
      <c r="C2311" s="0" t="str">
        <f aca="false">INDEX(Intent_Analysis!$B$5:$B$81,MATCH(B2311,Intent_Analysis!$A$5:$A$81,0))</f>
        <v>Top-ups</v>
      </c>
      <c r="D2311" s="0" t="n">
        <f aca="false">INDEX(Intent_Analysis!$E$5:$E$81,MATCH(B2311,Intent_Analysis!$A$5:$A$81,0))</f>
        <v>1</v>
      </c>
    </row>
    <row r="2312" customFormat="false" ht="15" hidden="false" customHeight="false" outlineLevel="0" collapsed="false">
      <c r="A2312" s="0" t="s">
        <v>2636</v>
      </c>
      <c r="B2312" s="0" t="s">
        <v>110</v>
      </c>
      <c r="C2312" s="0" t="str">
        <f aca="false">INDEX(Intent_Analysis!$B$5:$B$81,MATCH(B2312,Intent_Analysis!$A$5:$A$81,0))</f>
        <v>Top-ups</v>
      </c>
      <c r="D2312" s="0" t="n">
        <f aca="false">INDEX(Intent_Analysis!$E$5:$E$81,MATCH(B2312,Intent_Analysis!$A$5:$A$81,0))</f>
        <v>1</v>
      </c>
    </row>
    <row r="2313" customFormat="false" ht="15" hidden="false" customHeight="false" outlineLevel="0" collapsed="false">
      <c r="A2313" s="0" t="s">
        <v>2637</v>
      </c>
      <c r="B2313" s="0" t="s">
        <v>110</v>
      </c>
      <c r="C2313" s="0" t="str">
        <f aca="false">INDEX(Intent_Analysis!$B$5:$B$81,MATCH(B2313,Intent_Analysis!$A$5:$A$81,0))</f>
        <v>Top-ups</v>
      </c>
      <c r="D2313" s="0" t="n">
        <f aca="false">INDEX(Intent_Analysis!$E$5:$E$81,MATCH(B2313,Intent_Analysis!$A$5:$A$81,0))</f>
        <v>1</v>
      </c>
    </row>
    <row r="2314" customFormat="false" ht="15" hidden="false" customHeight="false" outlineLevel="0" collapsed="false">
      <c r="A2314" s="0" t="s">
        <v>2638</v>
      </c>
      <c r="B2314" s="0" t="s">
        <v>110</v>
      </c>
      <c r="C2314" s="0" t="str">
        <f aca="false">INDEX(Intent_Analysis!$B$5:$B$81,MATCH(B2314,Intent_Analysis!$A$5:$A$81,0))</f>
        <v>Top-ups</v>
      </c>
      <c r="D2314" s="0" t="n">
        <f aca="false">INDEX(Intent_Analysis!$E$5:$E$81,MATCH(B2314,Intent_Analysis!$A$5:$A$81,0))</f>
        <v>1</v>
      </c>
    </row>
    <row r="2315" customFormat="false" ht="15" hidden="false" customHeight="false" outlineLevel="0" collapsed="false">
      <c r="A2315" s="0" t="s">
        <v>2639</v>
      </c>
      <c r="B2315" s="0" t="s">
        <v>110</v>
      </c>
      <c r="C2315" s="0" t="str">
        <f aca="false">INDEX(Intent_Analysis!$B$5:$B$81,MATCH(B2315,Intent_Analysis!$A$5:$A$81,0))</f>
        <v>Top-ups</v>
      </c>
      <c r="D2315" s="0" t="n">
        <f aca="false">INDEX(Intent_Analysis!$E$5:$E$81,MATCH(B2315,Intent_Analysis!$A$5:$A$81,0))</f>
        <v>1</v>
      </c>
    </row>
    <row r="2316" customFormat="false" ht="15" hidden="false" customHeight="false" outlineLevel="0" collapsed="false">
      <c r="A2316" s="0" t="s">
        <v>2640</v>
      </c>
      <c r="B2316" s="0" t="s">
        <v>110</v>
      </c>
      <c r="C2316" s="0" t="str">
        <f aca="false">INDEX(Intent_Analysis!$B$5:$B$81,MATCH(B2316,Intent_Analysis!$A$5:$A$81,0))</f>
        <v>Top-ups</v>
      </c>
      <c r="D2316" s="0" t="n">
        <f aca="false">INDEX(Intent_Analysis!$E$5:$E$81,MATCH(B2316,Intent_Analysis!$A$5:$A$81,0))</f>
        <v>1</v>
      </c>
    </row>
    <row r="2317" customFormat="false" ht="15" hidden="false" customHeight="false" outlineLevel="0" collapsed="false">
      <c r="A2317" s="0" t="s">
        <v>2641</v>
      </c>
      <c r="B2317" s="0" t="s">
        <v>110</v>
      </c>
      <c r="C2317" s="0" t="str">
        <f aca="false">INDEX(Intent_Analysis!$B$5:$B$81,MATCH(B2317,Intent_Analysis!$A$5:$A$81,0))</f>
        <v>Top-ups</v>
      </c>
      <c r="D2317" s="0" t="n">
        <f aca="false">INDEX(Intent_Analysis!$E$5:$E$81,MATCH(B2317,Intent_Analysis!$A$5:$A$81,0))</f>
        <v>1</v>
      </c>
    </row>
    <row r="2318" customFormat="false" ht="15" hidden="false" customHeight="false" outlineLevel="0" collapsed="false">
      <c r="A2318" s="0" t="s">
        <v>2642</v>
      </c>
      <c r="B2318" s="0" t="s">
        <v>110</v>
      </c>
      <c r="C2318" s="0" t="str">
        <f aca="false">INDEX(Intent_Analysis!$B$5:$B$81,MATCH(B2318,Intent_Analysis!$A$5:$A$81,0))</f>
        <v>Top-ups</v>
      </c>
      <c r="D2318" s="0" t="n">
        <f aca="false">INDEX(Intent_Analysis!$E$5:$E$81,MATCH(B2318,Intent_Analysis!$A$5:$A$81,0))</f>
        <v>1</v>
      </c>
    </row>
    <row r="2319" customFormat="false" ht="15" hidden="false" customHeight="false" outlineLevel="0" collapsed="false">
      <c r="A2319" s="0" t="s">
        <v>2643</v>
      </c>
      <c r="B2319" s="0" t="s">
        <v>110</v>
      </c>
      <c r="C2319" s="0" t="str">
        <f aca="false">INDEX(Intent_Analysis!$B$5:$B$81,MATCH(B2319,Intent_Analysis!$A$5:$A$81,0))</f>
        <v>Top-ups</v>
      </c>
      <c r="D2319" s="0" t="n">
        <f aca="false">INDEX(Intent_Analysis!$E$5:$E$81,MATCH(B2319,Intent_Analysis!$A$5:$A$81,0))</f>
        <v>1</v>
      </c>
    </row>
    <row r="2320" customFormat="false" ht="15" hidden="false" customHeight="false" outlineLevel="0" collapsed="false">
      <c r="A2320" s="0" t="s">
        <v>2644</v>
      </c>
      <c r="B2320" s="0" t="s">
        <v>110</v>
      </c>
      <c r="C2320" s="0" t="str">
        <f aca="false">INDEX(Intent_Analysis!$B$5:$B$81,MATCH(B2320,Intent_Analysis!$A$5:$A$81,0))</f>
        <v>Top-ups</v>
      </c>
      <c r="D2320" s="0" t="n">
        <f aca="false">INDEX(Intent_Analysis!$E$5:$E$81,MATCH(B2320,Intent_Analysis!$A$5:$A$81,0))</f>
        <v>1</v>
      </c>
    </row>
    <row r="2321" customFormat="false" ht="15" hidden="false" customHeight="false" outlineLevel="0" collapsed="false">
      <c r="A2321" s="0" t="s">
        <v>2645</v>
      </c>
      <c r="B2321" s="0" t="s">
        <v>110</v>
      </c>
      <c r="C2321" s="0" t="str">
        <f aca="false">INDEX(Intent_Analysis!$B$5:$B$81,MATCH(B2321,Intent_Analysis!$A$5:$A$81,0))</f>
        <v>Top-ups</v>
      </c>
      <c r="D2321" s="0" t="n">
        <f aca="false">INDEX(Intent_Analysis!$E$5:$E$81,MATCH(B2321,Intent_Analysis!$A$5:$A$81,0))</f>
        <v>1</v>
      </c>
    </row>
    <row r="2322" customFormat="false" ht="15" hidden="false" customHeight="false" outlineLevel="0" collapsed="false">
      <c r="A2322" s="0" t="s">
        <v>2646</v>
      </c>
      <c r="B2322" s="0" t="s">
        <v>110</v>
      </c>
      <c r="C2322" s="0" t="str">
        <f aca="false">INDEX(Intent_Analysis!$B$5:$B$81,MATCH(B2322,Intent_Analysis!$A$5:$A$81,0))</f>
        <v>Top-ups</v>
      </c>
      <c r="D2322" s="0" t="n">
        <f aca="false">INDEX(Intent_Analysis!$E$5:$E$81,MATCH(B2322,Intent_Analysis!$A$5:$A$81,0))</f>
        <v>1</v>
      </c>
    </row>
    <row r="2323" customFormat="false" ht="15" hidden="false" customHeight="false" outlineLevel="0" collapsed="false">
      <c r="A2323" s="0" t="s">
        <v>2647</v>
      </c>
      <c r="B2323" s="0" t="s">
        <v>110</v>
      </c>
      <c r="C2323" s="0" t="str">
        <f aca="false">INDEX(Intent_Analysis!$B$5:$B$81,MATCH(B2323,Intent_Analysis!$A$5:$A$81,0))</f>
        <v>Top-ups</v>
      </c>
      <c r="D2323" s="0" t="n">
        <f aca="false">INDEX(Intent_Analysis!$E$5:$E$81,MATCH(B2323,Intent_Analysis!$A$5:$A$81,0))</f>
        <v>1</v>
      </c>
    </row>
    <row r="2324" customFormat="false" ht="15" hidden="false" customHeight="false" outlineLevel="0" collapsed="false">
      <c r="A2324" s="0" t="s">
        <v>2648</v>
      </c>
      <c r="B2324" s="0" t="s">
        <v>110</v>
      </c>
      <c r="C2324" s="0" t="str">
        <f aca="false">INDEX(Intent_Analysis!$B$5:$B$81,MATCH(B2324,Intent_Analysis!$A$5:$A$81,0))</f>
        <v>Top-ups</v>
      </c>
      <c r="D2324" s="0" t="n">
        <f aca="false">INDEX(Intent_Analysis!$E$5:$E$81,MATCH(B2324,Intent_Analysis!$A$5:$A$81,0))</f>
        <v>1</v>
      </c>
    </row>
    <row r="2325" customFormat="false" ht="15" hidden="false" customHeight="false" outlineLevel="0" collapsed="false">
      <c r="A2325" s="0" t="s">
        <v>2649</v>
      </c>
      <c r="B2325" s="0" t="s">
        <v>110</v>
      </c>
      <c r="C2325" s="0" t="str">
        <f aca="false">INDEX(Intent_Analysis!$B$5:$B$81,MATCH(B2325,Intent_Analysis!$A$5:$A$81,0))</f>
        <v>Top-ups</v>
      </c>
      <c r="D2325" s="0" t="n">
        <f aca="false">INDEX(Intent_Analysis!$E$5:$E$81,MATCH(B2325,Intent_Analysis!$A$5:$A$81,0))</f>
        <v>1</v>
      </c>
    </row>
    <row r="2326" customFormat="false" ht="15" hidden="false" customHeight="false" outlineLevel="0" collapsed="false">
      <c r="A2326" s="0" t="s">
        <v>2650</v>
      </c>
      <c r="B2326" s="0" t="s">
        <v>110</v>
      </c>
      <c r="C2326" s="0" t="str">
        <f aca="false">INDEX(Intent_Analysis!$B$5:$B$81,MATCH(B2326,Intent_Analysis!$A$5:$A$81,0))</f>
        <v>Top-ups</v>
      </c>
      <c r="D2326" s="0" t="n">
        <f aca="false">INDEX(Intent_Analysis!$E$5:$E$81,MATCH(B2326,Intent_Analysis!$A$5:$A$81,0))</f>
        <v>1</v>
      </c>
    </row>
    <row r="2327" customFormat="false" ht="15" hidden="false" customHeight="false" outlineLevel="0" collapsed="false">
      <c r="A2327" s="0" t="s">
        <v>2651</v>
      </c>
      <c r="B2327" s="0" t="s">
        <v>110</v>
      </c>
      <c r="C2327" s="0" t="str">
        <f aca="false">INDEX(Intent_Analysis!$B$5:$B$81,MATCH(B2327,Intent_Analysis!$A$5:$A$81,0))</f>
        <v>Top-ups</v>
      </c>
      <c r="D2327" s="0" t="n">
        <f aca="false">INDEX(Intent_Analysis!$E$5:$E$81,MATCH(B2327,Intent_Analysis!$A$5:$A$81,0))</f>
        <v>1</v>
      </c>
    </row>
    <row r="2328" customFormat="false" ht="15" hidden="false" customHeight="false" outlineLevel="0" collapsed="false">
      <c r="A2328" s="0" t="s">
        <v>2652</v>
      </c>
      <c r="B2328" s="0" t="s">
        <v>110</v>
      </c>
      <c r="C2328" s="0" t="str">
        <f aca="false">INDEX(Intent_Analysis!$B$5:$B$81,MATCH(B2328,Intent_Analysis!$A$5:$A$81,0))</f>
        <v>Top-ups</v>
      </c>
      <c r="D2328" s="0" t="n">
        <f aca="false">INDEX(Intent_Analysis!$E$5:$E$81,MATCH(B2328,Intent_Analysis!$A$5:$A$81,0))</f>
        <v>1</v>
      </c>
    </row>
    <row r="2329" customFormat="false" ht="15" hidden="false" customHeight="false" outlineLevel="0" collapsed="false">
      <c r="A2329" s="0" t="s">
        <v>2653</v>
      </c>
      <c r="B2329" s="0" t="s">
        <v>110</v>
      </c>
      <c r="C2329" s="0" t="str">
        <f aca="false">INDEX(Intent_Analysis!$B$5:$B$81,MATCH(B2329,Intent_Analysis!$A$5:$A$81,0))</f>
        <v>Top-ups</v>
      </c>
      <c r="D2329" s="0" t="n">
        <f aca="false">INDEX(Intent_Analysis!$E$5:$E$81,MATCH(B2329,Intent_Analysis!$A$5:$A$81,0))</f>
        <v>1</v>
      </c>
    </row>
    <row r="2330" customFormat="false" ht="15" hidden="false" customHeight="false" outlineLevel="0" collapsed="false">
      <c r="A2330" s="0" t="s">
        <v>2654</v>
      </c>
      <c r="B2330" s="0" t="s">
        <v>110</v>
      </c>
      <c r="C2330" s="0" t="str">
        <f aca="false">INDEX(Intent_Analysis!$B$5:$B$81,MATCH(B2330,Intent_Analysis!$A$5:$A$81,0))</f>
        <v>Top-ups</v>
      </c>
      <c r="D2330" s="0" t="n">
        <f aca="false">INDEX(Intent_Analysis!$E$5:$E$81,MATCH(B2330,Intent_Analysis!$A$5:$A$81,0))</f>
        <v>1</v>
      </c>
    </row>
    <row r="2331" customFormat="false" ht="15" hidden="false" customHeight="false" outlineLevel="0" collapsed="false">
      <c r="A2331" s="0" t="s">
        <v>2655</v>
      </c>
      <c r="B2331" s="0" t="s">
        <v>110</v>
      </c>
      <c r="C2331" s="0" t="str">
        <f aca="false">INDEX(Intent_Analysis!$B$5:$B$81,MATCH(B2331,Intent_Analysis!$A$5:$A$81,0))</f>
        <v>Top-ups</v>
      </c>
      <c r="D2331" s="0" t="n">
        <f aca="false">INDEX(Intent_Analysis!$E$5:$E$81,MATCH(B2331,Intent_Analysis!$A$5:$A$81,0))</f>
        <v>1</v>
      </c>
    </row>
    <row r="2332" customFormat="false" ht="15" hidden="false" customHeight="false" outlineLevel="0" collapsed="false">
      <c r="A2332" s="0" t="s">
        <v>2656</v>
      </c>
      <c r="B2332" s="0" t="s">
        <v>110</v>
      </c>
      <c r="C2332" s="0" t="str">
        <f aca="false">INDEX(Intent_Analysis!$B$5:$B$81,MATCH(B2332,Intent_Analysis!$A$5:$A$81,0))</f>
        <v>Top-ups</v>
      </c>
      <c r="D2332" s="0" t="n">
        <f aca="false">INDEX(Intent_Analysis!$E$5:$E$81,MATCH(B2332,Intent_Analysis!$A$5:$A$81,0))</f>
        <v>1</v>
      </c>
    </row>
    <row r="2333" customFormat="false" ht="15" hidden="false" customHeight="false" outlineLevel="0" collapsed="false">
      <c r="A2333" s="0" t="s">
        <v>2657</v>
      </c>
      <c r="B2333" s="0" t="s">
        <v>77</v>
      </c>
      <c r="C2333" s="0" t="str">
        <f aca="false">INDEX(Intent_Analysis!$B$5:$B$81,MATCH(B2333,Intent_Analysis!$A$5:$A$81,0))</f>
        <v>Cash, ATM &amp; deposits</v>
      </c>
      <c r="D2333" s="0" t="n">
        <f aca="false">INDEX(Intent_Analysis!$E$5:$E$81,MATCH(B2333,Intent_Analysis!$A$5:$A$81,0))</f>
        <v>3</v>
      </c>
    </row>
    <row r="2334" customFormat="false" ht="15" hidden="false" customHeight="false" outlineLevel="0" collapsed="false">
      <c r="A2334" s="0" t="s">
        <v>2658</v>
      </c>
      <c r="B2334" s="0" t="s">
        <v>77</v>
      </c>
      <c r="C2334" s="0" t="str">
        <f aca="false">INDEX(Intent_Analysis!$B$5:$B$81,MATCH(B2334,Intent_Analysis!$A$5:$A$81,0))</f>
        <v>Cash, ATM &amp; deposits</v>
      </c>
      <c r="D2334" s="0" t="n">
        <f aca="false">INDEX(Intent_Analysis!$E$5:$E$81,MATCH(B2334,Intent_Analysis!$A$5:$A$81,0))</f>
        <v>3</v>
      </c>
    </row>
    <row r="2335" customFormat="false" ht="15" hidden="false" customHeight="false" outlineLevel="0" collapsed="false">
      <c r="A2335" s="0" t="s">
        <v>2659</v>
      </c>
      <c r="B2335" s="0" t="s">
        <v>77</v>
      </c>
      <c r="C2335" s="0" t="str">
        <f aca="false">INDEX(Intent_Analysis!$B$5:$B$81,MATCH(B2335,Intent_Analysis!$A$5:$A$81,0))</f>
        <v>Cash, ATM &amp; deposits</v>
      </c>
      <c r="D2335" s="0" t="n">
        <f aca="false">INDEX(Intent_Analysis!$E$5:$E$81,MATCH(B2335,Intent_Analysis!$A$5:$A$81,0))</f>
        <v>3</v>
      </c>
    </row>
    <row r="2336" customFormat="false" ht="15" hidden="false" customHeight="false" outlineLevel="0" collapsed="false">
      <c r="A2336" s="0" t="s">
        <v>2660</v>
      </c>
      <c r="B2336" s="0" t="s">
        <v>77</v>
      </c>
      <c r="C2336" s="0" t="str">
        <f aca="false">INDEX(Intent_Analysis!$B$5:$B$81,MATCH(B2336,Intent_Analysis!$A$5:$A$81,0))</f>
        <v>Cash, ATM &amp; deposits</v>
      </c>
      <c r="D2336" s="0" t="n">
        <f aca="false">INDEX(Intent_Analysis!$E$5:$E$81,MATCH(B2336,Intent_Analysis!$A$5:$A$81,0))</f>
        <v>3</v>
      </c>
    </row>
    <row r="2337" customFormat="false" ht="15" hidden="false" customHeight="false" outlineLevel="0" collapsed="false">
      <c r="A2337" s="0" t="s">
        <v>2661</v>
      </c>
      <c r="B2337" s="0" t="s">
        <v>77</v>
      </c>
      <c r="C2337" s="0" t="str">
        <f aca="false">INDEX(Intent_Analysis!$B$5:$B$81,MATCH(B2337,Intent_Analysis!$A$5:$A$81,0))</f>
        <v>Cash, ATM &amp; deposits</v>
      </c>
      <c r="D2337" s="0" t="n">
        <f aca="false">INDEX(Intent_Analysis!$E$5:$E$81,MATCH(B2337,Intent_Analysis!$A$5:$A$81,0))</f>
        <v>3</v>
      </c>
    </row>
    <row r="2338" customFormat="false" ht="15" hidden="false" customHeight="false" outlineLevel="0" collapsed="false">
      <c r="A2338" s="0" t="s">
        <v>2662</v>
      </c>
      <c r="B2338" s="0" t="s">
        <v>77</v>
      </c>
      <c r="C2338" s="0" t="str">
        <f aca="false">INDEX(Intent_Analysis!$B$5:$B$81,MATCH(B2338,Intent_Analysis!$A$5:$A$81,0))</f>
        <v>Cash, ATM &amp; deposits</v>
      </c>
      <c r="D2338" s="0" t="n">
        <f aca="false">INDEX(Intent_Analysis!$E$5:$E$81,MATCH(B2338,Intent_Analysis!$A$5:$A$81,0))</f>
        <v>3</v>
      </c>
    </row>
    <row r="2339" customFormat="false" ht="15" hidden="false" customHeight="false" outlineLevel="0" collapsed="false">
      <c r="A2339" s="0" t="s">
        <v>2663</v>
      </c>
      <c r="B2339" s="0" t="s">
        <v>77</v>
      </c>
      <c r="C2339" s="0" t="str">
        <f aca="false">INDEX(Intent_Analysis!$B$5:$B$81,MATCH(B2339,Intent_Analysis!$A$5:$A$81,0))</f>
        <v>Cash, ATM &amp; deposits</v>
      </c>
      <c r="D2339" s="0" t="n">
        <f aca="false">INDEX(Intent_Analysis!$E$5:$E$81,MATCH(B2339,Intent_Analysis!$A$5:$A$81,0))</f>
        <v>3</v>
      </c>
    </row>
    <row r="2340" customFormat="false" ht="15" hidden="false" customHeight="false" outlineLevel="0" collapsed="false">
      <c r="A2340" s="0" t="s">
        <v>2664</v>
      </c>
      <c r="B2340" s="0" t="s">
        <v>77</v>
      </c>
      <c r="C2340" s="0" t="str">
        <f aca="false">INDEX(Intent_Analysis!$B$5:$B$81,MATCH(B2340,Intent_Analysis!$A$5:$A$81,0))</f>
        <v>Cash, ATM &amp; deposits</v>
      </c>
      <c r="D2340" s="0" t="n">
        <f aca="false">INDEX(Intent_Analysis!$E$5:$E$81,MATCH(B2340,Intent_Analysis!$A$5:$A$81,0))</f>
        <v>3</v>
      </c>
    </row>
    <row r="2341" customFormat="false" ht="15" hidden="false" customHeight="false" outlineLevel="0" collapsed="false">
      <c r="A2341" s="0" t="s">
        <v>2665</v>
      </c>
      <c r="B2341" s="0" t="s">
        <v>77</v>
      </c>
      <c r="C2341" s="0" t="str">
        <f aca="false">INDEX(Intent_Analysis!$B$5:$B$81,MATCH(B2341,Intent_Analysis!$A$5:$A$81,0))</f>
        <v>Cash, ATM &amp; deposits</v>
      </c>
      <c r="D2341" s="0" t="n">
        <f aca="false">INDEX(Intent_Analysis!$E$5:$E$81,MATCH(B2341,Intent_Analysis!$A$5:$A$81,0))</f>
        <v>3</v>
      </c>
    </row>
    <row r="2342" customFormat="false" ht="15" hidden="false" customHeight="false" outlineLevel="0" collapsed="false">
      <c r="A2342" s="0" t="s">
        <v>2666</v>
      </c>
      <c r="B2342" s="0" t="s">
        <v>77</v>
      </c>
      <c r="C2342" s="0" t="str">
        <f aca="false">INDEX(Intent_Analysis!$B$5:$B$81,MATCH(B2342,Intent_Analysis!$A$5:$A$81,0))</f>
        <v>Cash, ATM &amp; deposits</v>
      </c>
      <c r="D2342" s="0" t="n">
        <f aca="false">INDEX(Intent_Analysis!$E$5:$E$81,MATCH(B2342,Intent_Analysis!$A$5:$A$81,0))</f>
        <v>3</v>
      </c>
    </row>
    <row r="2343" customFormat="false" ht="15" hidden="false" customHeight="false" outlineLevel="0" collapsed="false">
      <c r="A2343" s="0" t="s">
        <v>2667</v>
      </c>
      <c r="B2343" s="0" t="s">
        <v>77</v>
      </c>
      <c r="C2343" s="0" t="str">
        <f aca="false">INDEX(Intent_Analysis!$B$5:$B$81,MATCH(B2343,Intent_Analysis!$A$5:$A$81,0))</f>
        <v>Cash, ATM &amp; deposits</v>
      </c>
      <c r="D2343" s="0" t="n">
        <f aca="false">INDEX(Intent_Analysis!$E$5:$E$81,MATCH(B2343,Intent_Analysis!$A$5:$A$81,0))</f>
        <v>3</v>
      </c>
    </row>
    <row r="2344" customFormat="false" ht="15" hidden="false" customHeight="false" outlineLevel="0" collapsed="false">
      <c r="A2344" s="0" t="s">
        <v>2668</v>
      </c>
      <c r="B2344" s="0" t="s">
        <v>77</v>
      </c>
      <c r="C2344" s="0" t="str">
        <f aca="false">INDEX(Intent_Analysis!$B$5:$B$81,MATCH(B2344,Intent_Analysis!$A$5:$A$81,0))</f>
        <v>Cash, ATM &amp; deposits</v>
      </c>
      <c r="D2344" s="0" t="n">
        <f aca="false">INDEX(Intent_Analysis!$E$5:$E$81,MATCH(B2344,Intent_Analysis!$A$5:$A$81,0))</f>
        <v>3</v>
      </c>
    </row>
    <row r="2345" customFormat="false" ht="15" hidden="false" customHeight="false" outlineLevel="0" collapsed="false">
      <c r="A2345" s="0" t="s">
        <v>2669</v>
      </c>
      <c r="B2345" s="0" t="s">
        <v>77</v>
      </c>
      <c r="C2345" s="0" t="str">
        <f aca="false">INDEX(Intent_Analysis!$B$5:$B$81,MATCH(B2345,Intent_Analysis!$A$5:$A$81,0))</f>
        <v>Cash, ATM &amp; deposits</v>
      </c>
      <c r="D2345" s="0" t="n">
        <f aca="false">INDEX(Intent_Analysis!$E$5:$E$81,MATCH(B2345,Intent_Analysis!$A$5:$A$81,0))</f>
        <v>3</v>
      </c>
    </row>
    <row r="2346" customFormat="false" ht="15" hidden="false" customHeight="false" outlineLevel="0" collapsed="false">
      <c r="A2346" s="0" t="s">
        <v>2670</v>
      </c>
      <c r="B2346" s="0" t="s">
        <v>77</v>
      </c>
      <c r="C2346" s="0" t="str">
        <f aca="false">INDEX(Intent_Analysis!$B$5:$B$81,MATCH(B2346,Intent_Analysis!$A$5:$A$81,0))</f>
        <v>Cash, ATM &amp; deposits</v>
      </c>
      <c r="D2346" s="0" t="n">
        <f aca="false">INDEX(Intent_Analysis!$E$5:$E$81,MATCH(B2346,Intent_Analysis!$A$5:$A$81,0))</f>
        <v>3</v>
      </c>
    </row>
    <row r="2347" customFormat="false" ht="15" hidden="false" customHeight="false" outlineLevel="0" collapsed="false">
      <c r="A2347" s="0" t="s">
        <v>2671</v>
      </c>
      <c r="B2347" s="0" t="s">
        <v>77</v>
      </c>
      <c r="C2347" s="0" t="str">
        <f aca="false">INDEX(Intent_Analysis!$B$5:$B$81,MATCH(B2347,Intent_Analysis!$A$5:$A$81,0))</f>
        <v>Cash, ATM &amp; deposits</v>
      </c>
      <c r="D2347" s="0" t="n">
        <f aca="false">INDEX(Intent_Analysis!$E$5:$E$81,MATCH(B2347,Intent_Analysis!$A$5:$A$81,0))</f>
        <v>3</v>
      </c>
    </row>
    <row r="2348" customFormat="false" ht="15" hidden="false" customHeight="false" outlineLevel="0" collapsed="false">
      <c r="A2348" s="0" t="s">
        <v>2672</v>
      </c>
      <c r="B2348" s="0" t="s">
        <v>77</v>
      </c>
      <c r="C2348" s="0" t="str">
        <f aca="false">INDEX(Intent_Analysis!$B$5:$B$81,MATCH(B2348,Intent_Analysis!$A$5:$A$81,0))</f>
        <v>Cash, ATM &amp; deposits</v>
      </c>
      <c r="D2348" s="0" t="n">
        <f aca="false">INDEX(Intent_Analysis!$E$5:$E$81,MATCH(B2348,Intent_Analysis!$A$5:$A$81,0))</f>
        <v>3</v>
      </c>
    </row>
    <row r="2349" customFormat="false" ht="15" hidden="false" customHeight="false" outlineLevel="0" collapsed="false">
      <c r="A2349" s="0" t="s">
        <v>2673</v>
      </c>
      <c r="B2349" s="0" t="s">
        <v>77</v>
      </c>
      <c r="C2349" s="0" t="str">
        <f aca="false">INDEX(Intent_Analysis!$B$5:$B$81,MATCH(B2349,Intent_Analysis!$A$5:$A$81,0))</f>
        <v>Cash, ATM &amp; deposits</v>
      </c>
      <c r="D2349" s="0" t="n">
        <f aca="false">INDEX(Intent_Analysis!$E$5:$E$81,MATCH(B2349,Intent_Analysis!$A$5:$A$81,0))</f>
        <v>3</v>
      </c>
    </row>
    <row r="2350" customFormat="false" ht="15" hidden="false" customHeight="false" outlineLevel="0" collapsed="false">
      <c r="A2350" s="0" t="s">
        <v>2674</v>
      </c>
      <c r="B2350" s="0" t="s">
        <v>77</v>
      </c>
      <c r="C2350" s="0" t="str">
        <f aca="false">INDEX(Intent_Analysis!$B$5:$B$81,MATCH(B2350,Intent_Analysis!$A$5:$A$81,0))</f>
        <v>Cash, ATM &amp; deposits</v>
      </c>
      <c r="D2350" s="0" t="n">
        <f aca="false">INDEX(Intent_Analysis!$E$5:$E$81,MATCH(B2350,Intent_Analysis!$A$5:$A$81,0))</f>
        <v>3</v>
      </c>
    </row>
    <row r="2351" customFormat="false" ht="15" hidden="false" customHeight="false" outlineLevel="0" collapsed="false">
      <c r="A2351" s="0" t="s">
        <v>2675</v>
      </c>
      <c r="B2351" s="0" t="s">
        <v>77</v>
      </c>
      <c r="C2351" s="0" t="str">
        <f aca="false">INDEX(Intent_Analysis!$B$5:$B$81,MATCH(B2351,Intent_Analysis!$A$5:$A$81,0))</f>
        <v>Cash, ATM &amp; deposits</v>
      </c>
      <c r="D2351" s="0" t="n">
        <f aca="false">INDEX(Intent_Analysis!$E$5:$E$81,MATCH(B2351,Intent_Analysis!$A$5:$A$81,0))</f>
        <v>3</v>
      </c>
    </row>
    <row r="2352" customFormat="false" ht="15" hidden="false" customHeight="false" outlineLevel="0" collapsed="false">
      <c r="A2352" s="0" t="s">
        <v>2676</v>
      </c>
      <c r="B2352" s="0" t="s">
        <v>77</v>
      </c>
      <c r="C2352" s="0" t="str">
        <f aca="false">INDEX(Intent_Analysis!$B$5:$B$81,MATCH(B2352,Intent_Analysis!$A$5:$A$81,0))</f>
        <v>Cash, ATM &amp; deposits</v>
      </c>
      <c r="D2352" s="0" t="n">
        <f aca="false">INDEX(Intent_Analysis!$E$5:$E$81,MATCH(B2352,Intent_Analysis!$A$5:$A$81,0))</f>
        <v>3</v>
      </c>
    </row>
    <row r="2353" customFormat="false" ht="15" hidden="false" customHeight="false" outlineLevel="0" collapsed="false">
      <c r="A2353" s="0" t="s">
        <v>2677</v>
      </c>
      <c r="B2353" s="0" t="s">
        <v>77</v>
      </c>
      <c r="C2353" s="0" t="str">
        <f aca="false">INDEX(Intent_Analysis!$B$5:$B$81,MATCH(B2353,Intent_Analysis!$A$5:$A$81,0))</f>
        <v>Cash, ATM &amp; deposits</v>
      </c>
      <c r="D2353" s="0" t="n">
        <f aca="false">INDEX(Intent_Analysis!$E$5:$E$81,MATCH(B2353,Intent_Analysis!$A$5:$A$81,0))</f>
        <v>3</v>
      </c>
    </row>
    <row r="2354" customFormat="false" ht="15" hidden="false" customHeight="false" outlineLevel="0" collapsed="false">
      <c r="A2354" s="0" t="s">
        <v>2678</v>
      </c>
      <c r="B2354" s="0" t="s">
        <v>77</v>
      </c>
      <c r="C2354" s="0" t="str">
        <f aca="false">INDEX(Intent_Analysis!$B$5:$B$81,MATCH(B2354,Intent_Analysis!$A$5:$A$81,0))</f>
        <v>Cash, ATM &amp; deposits</v>
      </c>
      <c r="D2354" s="0" t="n">
        <f aca="false">INDEX(Intent_Analysis!$E$5:$E$81,MATCH(B2354,Intent_Analysis!$A$5:$A$81,0))</f>
        <v>3</v>
      </c>
    </row>
    <row r="2355" customFormat="false" ht="15" hidden="false" customHeight="false" outlineLevel="0" collapsed="false">
      <c r="A2355" s="0" t="s">
        <v>2679</v>
      </c>
      <c r="B2355" s="0" t="s">
        <v>77</v>
      </c>
      <c r="C2355" s="0" t="str">
        <f aca="false">INDEX(Intent_Analysis!$B$5:$B$81,MATCH(B2355,Intent_Analysis!$A$5:$A$81,0))</f>
        <v>Cash, ATM &amp; deposits</v>
      </c>
      <c r="D2355" s="0" t="n">
        <f aca="false">INDEX(Intent_Analysis!$E$5:$E$81,MATCH(B2355,Intent_Analysis!$A$5:$A$81,0))</f>
        <v>3</v>
      </c>
    </row>
    <row r="2356" customFormat="false" ht="15" hidden="false" customHeight="false" outlineLevel="0" collapsed="false">
      <c r="A2356" s="0" t="s">
        <v>2680</v>
      </c>
      <c r="B2356" s="0" t="s">
        <v>77</v>
      </c>
      <c r="C2356" s="0" t="str">
        <f aca="false">INDEX(Intent_Analysis!$B$5:$B$81,MATCH(B2356,Intent_Analysis!$A$5:$A$81,0))</f>
        <v>Cash, ATM &amp; deposits</v>
      </c>
      <c r="D2356" s="0" t="n">
        <f aca="false">INDEX(Intent_Analysis!$E$5:$E$81,MATCH(B2356,Intent_Analysis!$A$5:$A$81,0))</f>
        <v>3</v>
      </c>
    </row>
    <row r="2357" customFormat="false" ht="15" hidden="false" customHeight="false" outlineLevel="0" collapsed="false">
      <c r="A2357" s="0" t="s">
        <v>2681</v>
      </c>
      <c r="B2357" s="0" t="s">
        <v>77</v>
      </c>
      <c r="C2357" s="0" t="str">
        <f aca="false">INDEX(Intent_Analysis!$B$5:$B$81,MATCH(B2357,Intent_Analysis!$A$5:$A$81,0))</f>
        <v>Cash, ATM &amp; deposits</v>
      </c>
      <c r="D2357" s="0" t="n">
        <f aca="false">INDEX(Intent_Analysis!$E$5:$E$81,MATCH(B2357,Intent_Analysis!$A$5:$A$81,0))</f>
        <v>3</v>
      </c>
    </row>
    <row r="2358" customFormat="false" ht="15" hidden="false" customHeight="false" outlineLevel="0" collapsed="false">
      <c r="A2358" s="0" t="s">
        <v>2682</v>
      </c>
      <c r="B2358" s="0" t="s">
        <v>77</v>
      </c>
      <c r="C2358" s="0" t="str">
        <f aca="false">INDEX(Intent_Analysis!$B$5:$B$81,MATCH(B2358,Intent_Analysis!$A$5:$A$81,0))</f>
        <v>Cash, ATM &amp; deposits</v>
      </c>
      <c r="D2358" s="0" t="n">
        <f aca="false">INDEX(Intent_Analysis!$E$5:$E$81,MATCH(B2358,Intent_Analysis!$A$5:$A$81,0))</f>
        <v>3</v>
      </c>
    </row>
    <row r="2359" customFormat="false" ht="15" hidden="false" customHeight="false" outlineLevel="0" collapsed="false">
      <c r="A2359" s="0" t="s">
        <v>2683</v>
      </c>
      <c r="B2359" s="0" t="s">
        <v>77</v>
      </c>
      <c r="C2359" s="0" t="str">
        <f aca="false">INDEX(Intent_Analysis!$B$5:$B$81,MATCH(B2359,Intent_Analysis!$A$5:$A$81,0))</f>
        <v>Cash, ATM &amp; deposits</v>
      </c>
      <c r="D2359" s="0" t="n">
        <f aca="false">INDEX(Intent_Analysis!$E$5:$E$81,MATCH(B2359,Intent_Analysis!$A$5:$A$81,0))</f>
        <v>3</v>
      </c>
    </row>
    <row r="2360" customFormat="false" ht="15" hidden="false" customHeight="false" outlineLevel="0" collapsed="false">
      <c r="A2360" s="0" t="s">
        <v>2684</v>
      </c>
      <c r="B2360" s="0" t="s">
        <v>77</v>
      </c>
      <c r="C2360" s="0" t="str">
        <f aca="false">INDEX(Intent_Analysis!$B$5:$B$81,MATCH(B2360,Intent_Analysis!$A$5:$A$81,0))</f>
        <v>Cash, ATM &amp; deposits</v>
      </c>
      <c r="D2360" s="0" t="n">
        <f aca="false">INDEX(Intent_Analysis!$E$5:$E$81,MATCH(B2360,Intent_Analysis!$A$5:$A$81,0))</f>
        <v>3</v>
      </c>
    </row>
    <row r="2361" customFormat="false" ht="15" hidden="false" customHeight="false" outlineLevel="0" collapsed="false">
      <c r="A2361" s="0" t="s">
        <v>2685</v>
      </c>
      <c r="B2361" s="0" t="s">
        <v>77</v>
      </c>
      <c r="C2361" s="0" t="str">
        <f aca="false">INDEX(Intent_Analysis!$B$5:$B$81,MATCH(B2361,Intent_Analysis!$A$5:$A$81,0))</f>
        <v>Cash, ATM &amp; deposits</v>
      </c>
      <c r="D2361" s="0" t="n">
        <f aca="false">INDEX(Intent_Analysis!$E$5:$E$81,MATCH(B2361,Intent_Analysis!$A$5:$A$81,0))</f>
        <v>3</v>
      </c>
    </row>
    <row r="2362" customFormat="false" ht="15" hidden="false" customHeight="false" outlineLevel="0" collapsed="false">
      <c r="A2362" s="0" t="s">
        <v>2686</v>
      </c>
      <c r="B2362" s="0" t="s">
        <v>77</v>
      </c>
      <c r="C2362" s="0" t="str">
        <f aca="false">INDEX(Intent_Analysis!$B$5:$B$81,MATCH(B2362,Intent_Analysis!$A$5:$A$81,0))</f>
        <v>Cash, ATM &amp; deposits</v>
      </c>
      <c r="D2362" s="0" t="n">
        <f aca="false">INDEX(Intent_Analysis!$E$5:$E$81,MATCH(B2362,Intent_Analysis!$A$5:$A$81,0))</f>
        <v>3</v>
      </c>
    </row>
    <row r="2363" customFormat="false" ht="15" hidden="false" customHeight="false" outlineLevel="0" collapsed="false">
      <c r="A2363" s="0" t="s">
        <v>2687</v>
      </c>
      <c r="B2363" s="0" t="s">
        <v>77</v>
      </c>
      <c r="C2363" s="0" t="str">
        <f aca="false">INDEX(Intent_Analysis!$B$5:$B$81,MATCH(B2363,Intent_Analysis!$A$5:$A$81,0))</f>
        <v>Cash, ATM &amp; deposits</v>
      </c>
      <c r="D2363" s="0" t="n">
        <f aca="false">INDEX(Intent_Analysis!$E$5:$E$81,MATCH(B2363,Intent_Analysis!$A$5:$A$81,0))</f>
        <v>3</v>
      </c>
    </row>
    <row r="2364" customFormat="false" ht="15" hidden="false" customHeight="false" outlineLevel="0" collapsed="false">
      <c r="A2364" s="0" t="s">
        <v>2688</v>
      </c>
      <c r="B2364" s="0" t="s">
        <v>77</v>
      </c>
      <c r="C2364" s="0" t="str">
        <f aca="false">INDEX(Intent_Analysis!$B$5:$B$81,MATCH(B2364,Intent_Analysis!$A$5:$A$81,0))</f>
        <v>Cash, ATM &amp; deposits</v>
      </c>
      <c r="D2364" s="0" t="n">
        <f aca="false">INDEX(Intent_Analysis!$E$5:$E$81,MATCH(B2364,Intent_Analysis!$A$5:$A$81,0))</f>
        <v>3</v>
      </c>
    </row>
    <row r="2365" customFormat="false" ht="15" hidden="false" customHeight="false" outlineLevel="0" collapsed="false">
      <c r="A2365" s="0" t="s">
        <v>2689</v>
      </c>
      <c r="B2365" s="0" t="s">
        <v>77</v>
      </c>
      <c r="C2365" s="0" t="str">
        <f aca="false">INDEX(Intent_Analysis!$B$5:$B$81,MATCH(B2365,Intent_Analysis!$A$5:$A$81,0))</f>
        <v>Cash, ATM &amp; deposits</v>
      </c>
      <c r="D2365" s="0" t="n">
        <f aca="false">INDEX(Intent_Analysis!$E$5:$E$81,MATCH(B2365,Intent_Analysis!$A$5:$A$81,0))</f>
        <v>3</v>
      </c>
    </row>
    <row r="2366" customFormat="false" ht="15" hidden="false" customHeight="false" outlineLevel="0" collapsed="false">
      <c r="A2366" s="0" t="s">
        <v>2690</v>
      </c>
      <c r="B2366" s="0" t="s">
        <v>77</v>
      </c>
      <c r="C2366" s="0" t="str">
        <f aca="false">INDEX(Intent_Analysis!$B$5:$B$81,MATCH(B2366,Intent_Analysis!$A$5:$A$81,0))</f>
        <v>Cash, ATM &amp; deposits</v>
      </c>
      <c r="D2366" s="0" t="n">
        <f aca="false">INDEX(Intent_Analysis!$E$5:$E$81,MATCH(B2366,Intent_Analysis!$A$5:$A$81,0))</f>
        <v>3</v>
      </c>
    </row>
    <row r="2367" customFormat="false" ht="15" hidden="false" customHeight="false" outlineLevel="0" collapsed="false">
      <c r="A2367" s="0" t="s">
        <v>2691</v>
      </c>
      <c r="B2367" s="0" t="s">
        <v>77</v>
      </c>
      <c r="C2367" s="0" t="str">
        <f aca="false">INDEX(Intent_Analysis!$B$5:$B$81,MATCH(B2367,Intent_Analysis!$A$5:$A$81,0))</f>
        <v>Cash, ATM &amp; deposits</v>
      </c>
      <c r="D2367" s="0" t="n">
        <f aca="false">INDEX(Intent_Analysis!$E$5:$E$81,MATCH(B2367,Intent_Analysis!$A$5:$A$81,0))</f>
        <v>3</v>
      </c>
    </row>
    <row r="2368" customFormat="false" ht="15" hidden="false" customHeight="false" outlineLevel="0" collapsed="false">
      <c r="A2368" s="0" t="s">
        <v>2692</v>
      </c>
      <c r="B2368" s="0" t="s">
        <v>77</v>
      </c>
      <c r="C2368" s="0" t="str">
        <f aca="false">INDEX(Intent_Analysis!$B$5:$B$81,MATCH(B2368,Intent_Analysis!$A$5:$A$81,0))</f>
        <v>Cash, ATM &amp; deposits</v>
      </c>
      <c r="D2368" s="0" t="n">
        <f aca="false">INDEX(Intent_Analysis!$E$5:$E$81,MATCH(B2368,Intent_Analysis!$A$5:$A$81,0))</f>
        <v>3</v>
      </c>
    </row>
    <row r="2369" customFormat="false" ht="15" hidden="false" customHeight="false" outlineLevel="0" collapsed="false">
      <c r="A2369" s="0" t="s">
        <v>2693</v>
      </c>
      <c r="B2369" s="0" t="s">
        <v>77</v>
      </c>
      <c r="C2369" s="0" t="str">
        <f aca="false">INDEX(Intent_Analysis!$B$5:$B$81,MATCH(B2369,Intent_Analysis!$A$5:$A$81,0))</f>
        <v>Cash, ATM &amp; deposits</v>
      </c>
      <c r="D2369" s="0" t="n">
        <f aca="false">INDEX(Intent_Analysis!$E$5:$E$81,MATCH(B2369,Intent_Analysis!$A$5:$A$81,0))</f>
        <v>3</v>
      </c>
    </row>
    <row r="2370" customFormat="false" ht="15" hidden="false" customHeight="false" outlineLevel="0" collapsed="false">
      <c r="A2370" s="0" t="s">
        <v>2694</v>
      </c>
      <c r="B2370" s="0" t="s">
        <v>77</v>
      </c>
      <c r="C2370" s="0" t="str">
        <f aca="false">INDEX(Intent_Analysis!$B$5:$B$81,MATCH(B2370,Intent_Analysis!$A$5:$A$81,0))</f>
        <v>Cash, ATM &amp; deposits</v>
      </c>
      <c r="D2370" s="0" t="n">
        <f aca="false">INDEX(Intent_Analysis!$E$5:$E$81,MATCH(B2370,Intent_Analysis!$A$5:$A$81,0))</f>
        <v>3</v>
      </c>
    </row>
    <row r="2371" customFormat="false" ht="15" hidden="false" customHeight="false" outlineLevel="0" collapsed="false">
      <c r="A2371" s="0" t="s">
        <v>2695</v>
      </c>
      <c r="B2371" s="0" t="s">
        <v>77</v>
      </c>
      <c r="C2371" s="0" t="str">
        <f aca="false">INDEX(Intent_Analysis!$B$5:$B$81,MATCH(B2371,Intent_Analysis!$A$5:$A$81,0))</f>
        <v>Cash, ATM &amp; deposits</v>
      </c>
      <c r="D2371" s="0" t="n">
        <f aca="false">INDEX(Intent_Analysis!$E$5:$E$81,MATCH(B2371,Intent_Analysis!$A$5:$A$81,0))</f>
        <v>3</v>
      </c>
    </row>
    <row r="2372" customFormat="false" ht="15" hidden="false" customHeight="false" outlineLevel="0" collapsed="false">
      <c r="A2372" s="0" t="s">
        <v>2696</v>
      </c>
      <c r="B2372" s="0" t="s">
        <v>77</v>
      </c>
      <c r="C2372" s="0" t="str">
        <f aca="false">INDEX(Intent_Analysis!$B$5:$B$81,MATCH(B2372,Intent_Analysis!$A$5:$A$81,0))</f>
        <v>Cash, ATM &amp; deposits</v>
      </c>
      <c r="D2372" s="0" t="n">
        <f aca="false">INDEX(Intent_Analysis!$E$5:$E$81,MATCH(B2372,Intent_Analysis!$A$5:$A$81,0))</f>
        <v>3</v>
      </c>
    </row>
    <row r="2373" customFormat="false" ht="15" hidden="false" customHeight="false" outlineLevel="0" collapsed="false">
      <c r="A2373" s="0" t="s">
        <v>2697</v>
      </c>
      <c r="B2373" s="0" t="s">
        <v>77</v>
      </c>
      <c r="C2373" s="0" t="str">
        <f aca="false">INDEX(Intent_Analysis!$B$5:$B$81,MATCH(B2373,Intent_Analysis!$A$5:$A$81,0))</f>
        <v>Cash, ATM &amp; deposits</v>
      </c>
      <c r="D2373" s="0" t="n">
        <f aca="false">INDEX(Intent_Analysis!$E$5:$E$81,MATCH(B2373,Intent_Analysis!$A$5:$A$81,0))</f>
        <v>3</v>
      </c>
    </row>
    <row r="2374" customFormat="false" ht="15" hidden="false" customHeight="false" outlineLevel="0" collapsed="false">
      <c r="A2374" s="0" t="s">
        <v>2698</v>
      </c>
      <c r="B2374" s="0" t="s">
        <v>77</v>
      </c>
      <c r="C2374" s="0" t="str">
        <f aca="false">INDEX(Intent_Analysis!$B$5:$B$81,MATCH(B2374,Intent_Analysis!$A$5:$A$81,0))</f>
        <v>Cash, ATM &amp; deposits</v>
      </c>
      <c r="D2374" s="0" t="n">
        <f aca="false">INDEX(Intent_Analysis!$E$5:$E$81,MATCH(B2374,Intent_Analysis!$A$5:$A$81,0))</f>
        <v>3</v>
      </c>
    </row>
    <row r="2375" customFormat="false" ht="15" hidden="false" customHeight="false" outlineLevel="0" collapsed="false">
      <c r="A2375" s="0" t="s">
        <v>2699</v>
      </c>
      <c r="B2375" s="0" t="s">
        <v>77</v>
      </c>
      <c r="C2375" s="0" t="str">
        <f aca="false">INDEX(Intent_Analysis!$B$5:$B$81,MATCH(B2375,Intent_Analysis!$A$5:$A$81,0))</f>
        <v>Cash, ATM &amp; deposits</v>
      </c>
      <c r="D2375" s="0" t="n">
        <f aca="false">INDEX(Intent_Analysis!$E$5:$E$81,MATCH(B2375,Intent_Analysis!$A$5:$A$81,0))</f>
        <v>3</v>
      </c>
    </row>
    <row r="2376" customFormat="false" ht="15" hidden="false" customHeight="false" outlineLevel="0" collapsed="false">
      <c r="A2376" s="0" t="s">
        <v>2700</v>
      </c>
      <c r="B2376" s="0" t="s">
        <v>77</v>
      </c>
      <c r="C2376" s="0" t="str">
        <f aca="false">INDEX(Intent_Analysis!$B$5:$B$81,MATCH(B2376,Intent_Analysis!$A$5:$A$81,0))</f>
        <v>Cash, ATM &amp; deposits</v>
      </c>
      <c r="D2376" s="0" t="n">
        <f aca="false">INDEX(Intent_Analysis!$E$5:$E$81,MATCH(B2376,Intent_Analysis!$A$5:$A$81,0))</f>
        <v>3</v>
      </c>
    </row>
    <row r="2377" customFormat="false" ht="15" hidden="false" customHeight="false" outlineLevel="0" collapsed="false">
      <c r="A2377" s="0" t="s">
        <v>2701</v>
      </c>
      <c r="B2377" s="0" t="s">
        <v>77</v>
      </c>
      <c r="C2377" s="0" t="str">
        <f aca="false">INDEX(Intent_Analysis!$B$5:$B$81,MATCH(B2377,Intent_Analysis!$A$5:$A$81,0))</f>
        <v>Cash, ATM &amp; deposits</v>
      </c>
      <c r="D2377" s="0" t="n">
        <f aca="false">INDEX(Intent_Analysis!$E$5:$E$81,MATCH(B2377,Intent_Analysis!$A$5:$A$81,0))</f>
        <v>3</v>
      </c>
    </row>
    <row r="2378" customFormat="false" ht="15" hidden="false" customHeight="false" outlineLevel="0" collapsed="false">
      <c r="A2378" s="0" t="s">
        <v>2702</v>
      </c>
      <c r="B2378" s="0" t="s">
        <v>77</v>
      </c>
      <c r="C2378" s="0" t="str">
        <f aca="false">INDEX(Intent_Analysis!$B$5:$B$81,MATCH(B2378,Intent_Analysis!$A$5:$A$81,0))</f>
        <v>Cash, ATM &amp; deposits</v>
      </c>
      <c r="D2378" s="0" t="n">
        <f aca="false">INDEX(Intent_Analysis!$E$5:$E$81,MATCH(B2378,Intent_Analysis!$A$5:$A$81,0))</f>
        <v>3</v>
      </c>
    </row>
    <row r="2379" customFormat="false" ht="15" hidden="false" customHeight="false" outlineLevel="0" collapsed="false">
      <c r="A2379" s="0" t="s">
        <v>2703</v>
      </c>
      <c r="B2379" s="0" t="s">
        <v>77</v>
      </c>
      <c r="C2379" s="0" t="str">
        <f aca="false">INDEX(Intent_Analysis!$B$5:$B$81,MATCH(B2379,Intent_Analysis!$A$5:$A$81,0))</f>
        <v>Cash, ATM &amp; deposits</v>
      </c>
      <c r="D2379" s="0" t="n">
        <f aca="false">INDEX(Intent_Analysis!$E$5:$E$81,MATCH(B2379,Intent_Analysis!$A$5:$A$81,0))</f>
        <v>3</v>
      </c>
    </row>
    <row r="2380" customFormat="false" ht="15" hidden="false" customHeight="false" outlineLevel="0" collapsed="false">
      <c r="A2380" s="0" t="s">
        <v>2704</v>
      </c>
      <c r="B2380" s="0" t="s">
        <v>77</v>
      </c>
      <c r="C2380" s="0" t="str">
        <f aca="false">INDEX(Intent_Analysis!$B$5:$B$81,MATCH(B2380,Intent_Analysis!$A$5:$A$81,0))</f>
        <v>Cash, ATM &amp; deposits</v>
      </c>
      <c r="D2380" s="0" t="n">
        <f aca="false">INDEX(Intent_Analysis!$E$5:$E$81,MATCH(B2380,Intent_Analysis!$A$5:$A$81,0))</f>
        <v>3</v>
      </c>
    </row>
    <row r="2381" customFormat="false" ht="15" hidden="false" customHeight="false" outlineLevel="0" collapsed="false">
      <c r="A2381" s="0" t="s">
        <v>2705</v>
      </c>
      <c r="B2381" s="0" t="s">
        <v>77</v>
      </c>
      <c r="C2381" s="0" t="str">
        <f aca="false">INDEX(Intent_Analysis!$B$5:$B$81,MATCH(B2381,Intent_Analysis!$A$5:$A$81,0))</f>
        <v>Cash, ATM &amp; deposits</v>
      </c>
      <c r="D2381" s="0" t="n">
        <f aca="false">INDEX(Intent_Analysis!$E$5:$E$81,MATCH(B2381,Intent_Analysis!$A$5:$A$81,0))</f>
        <v>3</v>
      </c>
    </row>
    <row r="2382" customFormat="false" ht="15" hidden="false" customHeight="false" outlineLevel="0" collapsed="false">
      <c r="A2382" s="0" t="s">
        <v>2706</v>
      </c>
      <c r="B2382" s="0" t="s">
        <v>77</v>
      </c>
      <c r="C2382" s="0" t="str">
        <f aca="false">INDEX(Intent_Analysis!$B$5:$B$81,MATCH(B2382,Intent_Analysis!$A$5:$A$81,0))</f>
        <v>Cash, ATM &amp; deposits</v>
      </c>
      <c r="D2382" s="0" t="n">
        <f aca="false">INDEX(Intent_Analysis!$E$5:$E$81,MATCH(B2382,Intent_Analysis!$A$5:$A$81,0))</f>
        <v>3</v>
      </c>
    </row>
    <row r="2383" customFormat="false" ht="15" hidden="false" customHeight="false" outlineLevel="0" collapsed="false">
      <c r="A2383" s="0" t="s">
        <v>2707</v>
      </c>
      <c r="B2383" s="0" t="s">
        <v>77</v>
      </c>
      <c r="C2383" s="0" t="str">
        <f aca="false">INDEX(Intent_Analysis!$B$5:$B$81,MATCH(B2383,Intent_Analysis!$A$5:$A$81,0))</f>
        <v>Cash, ATM &amp; deposits</v>
      </c>
      <c r="D2383" s="0" t="n">
        <f aca="false">INDEX(Intent_Analysis!$E$5:$E$81,MATCH(B2383,Intent_Analysis!$A$5:$A$81,0))</f>
        <v>3</v>
      </c>
    </row>
    <row r="2384" customFormat="false" ht="15" hidden="false" customHeight="false" outlineLevel="0" collapsed="false">
      <c r="A2384" s="0" t="s">
        <v>2708</v>
      </c>
      <c r="B2384" s="0" t="s">
        <v>77</v>
      </c>
      <c r="C2384" s="0" t="str">
        <f aca="false">INDEX(Intent_Analysis!$B$5:$B$81,MATCH(B2384,Intent_Analysis!$A$5:$A$81,0))</f>
        <v>Cash, ATM &amp; deposits</v>
      </c>
      <c r="D2384" s="0" t="n">
        <f aca="false">INDEX(Intent_Analysis!$E$5:$E$81,MATCH(B2384,Intent_Analysis!$A$5:$A$81,0))</f>
        <v>3</v>
      </c>
    </row>
    <row r="2385" customFormat="false" ht="15" hidden="false" customHeight="false" outlineLevel="0" collapsed="false">
      <c r="A2385" s="0" t="s">
        <v>2709</v>
      </c>
      <c r="B2385" s="0" t="s">
        <v>77</v>
      </c>
      <c r="C2385" s="0" t="str">
        <f aca="false">INDEX(Intent_Analysis!$B$5:$B$81,MATCH(B2385,Intent_Analysis!$A$5:$A$81,0))</f>
        <v>Cash, ATM &amp; deposits</v>
      </c>
      <c r="D2385" s="0" t="n">
        <f aca="false">INDEX(Intent_Analysis!$E$5:$E$81,MATCH(B2385,Intent_Analysis!$A$5:$A$81,0))</f>
        <v>3</v>
      </c>
    </row>
    <row r="2386" customFormat="false" ht="15" hidden="false" customHeight="false" outlineLevel="0" collapsed="false">
      <c r="A2386" s="0" t="s">
        <v>2710</v>
      </c>
      <c r="B2386" s="0" t="s">
        <v>77</v>
      </c>
      <c r="C2386" s="0" t="str">
        <f aca="false">INDEX(Intent_Analysis!$B$5:$B$81,MATCH(B2386,Intent_Analysis!$A$5:$A$81,0))</f>
        <v>Cash, ATM &amp; deposits</v>
      </c>
      <c r="D2386" s="0" t="n">
        <f aca="false">INDEX(Intent_Analysis!$E$5:$E$81,MATCH(B2386,Intent_Analysis!$A$5:$A$81,0))</f>
        <v>3</v>
      </c>
    </row>
    <row r="2387" customFormat="false" ht="15" hidden="false" customHeight="false" outlineLevel="0" collapsed="false">
      <c r="A2387" s="0" t="s">
        <v>2711</v>
      </c>
      <c r="B2387" s="0" t="s">
        <v>77</v>
      </c>
      <c r="C2387" s="0" t="str">
        <f aca="false">INDEX(Intent_Analysis!$B$5:$B$81,MATCH(B2387,Intent_Analysis!$A$5:$A$81,0))</f>
        <v>Cash, ATM &amp; deposits</v>
      </c>
      <c r="D2387" s="0" t="n">
        <f aca="false">INDEX(Intent_Analysis!$E$5:$E$81,MATCH(B2387,Intent_Analysis!$A$5:$A$81,0))</f>
        <v>3</v>
      </c>
    </row>
    <row r="2388" customFormat="false" ht="15" hidden="false" customHeight="false" outlineLevel="0" collapsed="false">
      <c r="A2388" s="0" t="s">
        <v>2712</v>
      </c>
      <c r="B2388" s="0" t="s">
        <v>77</v>
      </c>
      <c r="C2388" s="0" t="str">
        <f aca="false">INDEX(Intent_Analysis!$B$5:$B$81,MATCH(B2388,Intent_Analysis!$A$5:$A$81,0))</f>
        <v>Cash, ATM &amp; deposits</v>
      </c>
      <c r="D2388" s="0" t="n">
        <f aca="false">INDEX(Intent_Analysis!$E$5:$E$81,MATCH(B2388,Intent_Analysis!$A$5:$A$81,0))</f>
        <v>3</v>
      </c>
    </row>
    <row r="2389" customFormat="false" ht="15" hidden="false" customHeight="false" outlineLevel="0" collapsed="false">
      <c r="A2389" s="0" t="s">
        <v>2713</v>
      </c>
      <c r="B2389" s="0" t="s">
        <v>77</v>
      </c>
      <c r="C2389" s="0" t="str">
        <f aca="false">INDEX(Intent_Analysis!$B$5:$B$81,MATCH(B2389,Intent_Analysis!$A$5:$A$81,0))</f>
        <v>Cash, ATM &amp; deposits</v>
      </c>
      <c r="D2389" s="0" t="n">
        <f aca="false">INDEX(Intent_Analysis!$E$5:$E$81,MATCH(B2389,Intent_Analysis!$A$5:$A$81,0))</f>
        <v>3</v>
      </c>
    </row>
    <row r="2390" customFormat="false" ht="15" hidden="false" customHeight="false" outlineLevel="0" collapsed="false">
      <c r="A2390" s="0" t="s">
        <v>2714</v>
      </c>
      <c r="B2390" s="0" t="s">
        <v>77</v>
      </c>
      <c r="C2390" s="0" t="str">
        <f aca="false">INDEX(Intent_Analysis!$B$5:$B$81,MATCH(B2390,Intent_Analysis!$A$5:$A$81,0))</f>
        <v>Cash, ATM &amp; deposits</v>
      </c>
      <c r="D2390" s="0" t="n">
        <f aca="false">INDEX(Intent_Analysis!$E$5:$E$81,MATCH(B2390,Intent_Analysis!$A$5:$A$81,0))</f>
        <v>3</v>
      </c>
    </row>
    <row r="2391" customFormat="false" ht="15" hidden="false" customHeight="false" outlineLevel="0" collapsed="false">
      <c r="A2391" s="0" t="s">
        <v>2715</v>
      </c>
      <c r="B2391" s="0" t="s">
        <v>77</v>
      </c>
      <c r="C2391" s="0" t="str">
        <f aca="false">INDEX(Intent_Analysis!$B$5:$B$81,MATCH(B2391,Intent_Analysis!$A$5:$A$81,0))</f>
        <v>Cash, ATM &amp; deposits</v>
      </c>
      <c r="D2391" s="0" t="n">
        <f aca="false">INDEX(Intent_Analysis!$E$5:$E$81,MATCH(B2391,Intent_Analysis!$A$5:$A$81,0))</f>
        <v>3</v>
      </c>
    </row>
    <row r="2392" customFormat="false" ht="15" hidden="false" customHeight="false" outlineLevel="0" collapsed="false">
      <c r="A2392" s="0" t="s">
        <v>2716</v>
      </c>
      <c r="B2392" s="0" t="s">
        <v>77</v>
      </c>
      <c r="C2392" s="0" t="str">
        <f aca="false">INDEX(Intent_Analysis!$B$5:$B$81,MATCH(B2392,Intent_Analysis!$A$5:$A$81,0))</f>
        <v>Cash, ATM &amp; deposits</v>
      </c>
      <c r="D2392" s="0" t="n">
        <f aca="false">INDEX(Intent_Analysis!$E$5:$E$81,MATCH(B2392,Intent_Analysis!$A$5:$A$81,0))</f>
        <v>3</v>
      </c>
    </row>
    <row r="2393" customFormat="false" ht="15" hidden="false" customHeight="false" outlineLevel="0" collapsed="false">
      <c r="A2393" s="0" t="s">
        <v>2717</v>
      </c>
      <c r="B2393" s="0" t="s">
        <v>77</v>
      </c>
      <c r="C2393" s="0" t="str">
        <f aca="false">INDEX(Intent_Analysis!$B$5:$B$81,MATCH(B2393,Intent_Analysis!$A$5:$A$81,0))</f>
        <v>Cash, ATM &amp; deposits</v>
      </c>
      <c r="D2393" s="0" t="n">
        <f aca="false">INDEX(Intent_Analysis!$E$5:$E$81,MATCH(B2393,Intent_Analysis!$A$5:$A$81,0))</f>
        <v>3</v>
      </c>
    </row>
    <row r="2394" customFormat="false" ht="15" hidden="false" customHeight="false" outlineLevel="0" collapsed="false">
      <c r="A2394" s="0" t="s">
        <v>2718</v>
      </c>
      <c r="B2394" s="0" t="s">
        <v>77</v>
      </c>
      <c r="C2394" s="0" t="str">
        <f aca="false">INDEX(Intent_Analysis!$B$5:$B$81,MATCH(B2394,Intent_Analysis!$A$5:$A$81,0))</f>
        <v>Cash, ATM &amp; deposits</v>
      </c>
      <c r="D2394" s="0" t="n">
        <f aca="false">INDEX(Intent_Analysis!$E$5:$E$81,MATCH(B2394,Intent_Analysis!$A$5:$A$81,0))</f>
        <v>3</v>
      </c>
    </row>
    <row r="2395" customFormat="false" ht="15" hidden="false" customHeight="false" outlineLevel="0" collapsed="false">
      <c r="A2395" s="0" t="s">
        <v>2719</v>
      </c>
      <c r="B2395" s="0" t="s">
        <v>77</v>
      </c>
      <c r="C2395" s="0" t="str">
        <f aca="false">INDEX(Intent_Analysis!$B$5:$B$81,MATCH(B2395,Intent_Analysis!$A$5:$A$81,0))</f>
        <v>Cash, ATM &amp; deposits</v>
      </c>
      <c r="D2395" s="0" t="n">
        <f aca="false">INDEX(Intent_Analysis!$E$5:$E$81,MATCH(B2395,Intent_Analysis!$A$5:$A$81,0))</f>
        <v>3</v>
      </c>
    </row>
    <row r="2396" customFormat="false" ht="15" hidden="false" customHeight="false" outlineLevel="0" collapsed="false">
      <c r="A2396" s="0" t="s">
        <v>2720</v>
      </c>
      <c r="B2396" s="0" t="s">
        <v>77</v>
      </c>
      <c r="C2396" s="0" t="str">
        <f aca="false">INDEX(Intent_Analysis!$B$5:$B$81,MATCH(B2396,Intent_Analysis!$A$5:$A$81,0))</f>
        <v>Cash, ATM &amp; deposits</v>
      </c>
      <c r="D2396" s="0" t="n">
        <f aca="false">INDEX(Intent_Analysis!$E$5:$E$81,MATCH(B2396,Intent_Analysis!$A$5:$A$81,0))</f>
        <v>3</v>
      </c>
    </row>
    <row r="2397" customFormat="false" ht="15" hidden="false" customHeight="false" outlineLevel="0" collapsed="false">
      <c r="A2397" s="0" t="s">
        <v>2721</v>
      </c>
      <c r="B2397" s="0" t="s">
        <v>77</v>
      </c>
      <c r="C2397" s="0" t="str">
        <f aca="false">INDEX(Intent_Analysis!$B$5:$B$81,MATCH(B2397,Intent_Analysis!$A$5:$A$81,0))</f>
        <v>Cash, ATM &amp; deposits</v>
      </c>
      <c r="D2397" s="0" t="n">
        <f aca="false">INDEX(Intent_Analysis!$E$5:$E$81,MATCH(B2397,Intent_Analysis!$A$5:$A$81,0))</f>
        <v>3</v>
      </c>
    </row>
    <row r="2398" customFormat="false" ht="15" hidden="false" customHeight="false" outlineLevel="0" collapsed="false">
      <c r="A2398" s="0" t="s">
        <v>2722</v>
      </c>
      <c r="B2398" s="0" t="s">
        <v>77</v>
      </c>
      <c r="C2398" s="0" t="str">
        <f aca="false">INDEX(Intent_Analysis!$B$5:$B$81,MATCH(B2398,Intent_Analysis!$A$5:$A$81,0))</f>
        <v>Cash, ATM &amp; deposits</v>
      </c>
      <c r="D2398" s="0" t="n">
        <f aca="false">INDEX(Intent_Analysis!$E$5:$E$81,MATCH(B2398,Intent_Analysis!$A$5:$A$81,0))</f>
        <v>3</v>
      </c>
    </row>
    <row r="2399" customFormat="false" ht="15" hidden="false" customHeight="false" outlineLevel="0" collapsed="false">
      <c r="A2399" s="0" t="s">
        <v>2723</v>
      </c>
      <c r="B2399" s="0" t="s">
        <v>77</v>
      </c>
      <c r="C2399" s="0" t="str">
        <f aca="false">INDEX(Intent_Analysis!$B$5:$B$81,MATCH(B2399,Intent_Analysis!$A$5:$A$81,0))</f>
        <v>Cash, ATM &amp; deposits</v>
      </c>
      <c r="D2399" s="0" t="n">
        <f aca="false">INDEX(Intent_Analysis!$E$5:$E$81,MATCH(B2399,Intent_Analysis!$A$5:$A$81,0))</f>
        <v>3</v>
      </c>
    </row>
    <row r="2400" customFormat="false" ht="15" hidden="false" customHeight="false" outlineLevel="0" collapsed="false">
      <c r="A2400" s="0" t="s">
        <v>2724</v>
      </c>
      <c r="B2400" s="0" t="s">
        <v>77</v>
      </c>
      <c r="C2400" s="0" t="str">
        <f aca="false">INDEX(Intent_Analysis!$B$5:$B$81,MATCH(B2400,Intent_Analysis!$A$5:$A$81,0))</f>
        <v>Cash, ATM &amp; deposits</v>
      </c>
      <c r="D2400" s="0" t="n">
        <f aca="false">INDEX(Intent_Analysis!$E$5:$E$81,MATCH(B2400,Intent_Analysis!$A$5:$A$81,0))</f>
        <v>3</v>
      </c>
    </row>
    <row r="2401" customFormat="false" ht="15" hidden="false" customHeight="false" outlineLevel="0" collapsed="false">
      <c r="A2401" s="0" t="s">
        <v>2725</v>
      </c>
      <c r="B2401" s="0" t="s">
        <v>77</v>
      </c>
      <c r="C2401" s="0" t="str">
        <f aca="false">INDEX(Intent_Analysis!$B$5:$B$81,MATCH(B2401,Intent_Analysis!$A$5:$A$81,0))</f>
        <v>Cash, ATM &amp; deposits</v>
      </c>
      <c r="D2401" s="0" t="n">
        <f aca="false">INDEX(Intent_Analysis!$E$5:$E$81,MATCH(B2401,Intent_Analysis!$A$5:$A$81,0))</f>
        <v>3</v>
      </c>
    </row>
    <row r="2402" customFormat="false" ht="15" hidden="false" customHeight="false" outlineLevel="0" collapsed="false">
      <c r="A2402" s="0" t="s">
        <v>2726</v>
      </c>
      <c r="B2402" s="0" t="s">
        <v>77</v>
      </c>
      <c r="C2402" s="0" t="str">
        <f aca="false">INDEX(Intent_Analysis!$B$5:$B$81,MATCH(B2402,Intent_Analysis!$A$5:$A$81,0))</f>
        <v>Cash, ATM &amp; deposits</v>
      </c>
      <c r="D2402" s="0" t="n">
        <f aca="false">INDEX(Intent_Analysis!$E$5:$E$81,MATCH(B2402,Intent_Analysis!$A$5:$A$81,0))</f>
        <v>3</v>
      </c>
    </row>
    <row r="2403" customFormat="false" ht="15" hidden="false" customHeight="false" outlineLevel="0" collapsed="false">
      <c r="A2403" s="0" t="s">
        <v>2727</v>
      </c>
      <c r="B2403" s="0" t="s">
        <v>77</v>
      </c>
      <c r="C2403" s="0" t="str">
        <f aca="false">INDEX(Intent_Analysis!$B$5:$B$81,MATCH(B2403,Intent_Analysis!$A$5:$A$81,0))</f>
        <v>Cash, ATM &amp; deposits</v>
      </c>
      <c r="D2403" s="0" t="n">
        <f aca="false">INDEX(Intent_Analysis!$E$5:$E$81,MATCH(B2403,Intent_Analysis!$A$5:$A$81,0))</f>
        <v>3</v>
      </c>
    </row>
    <row r="2404" customFormat="false" ht="15" hidden="false" customHeight="false" outlineLevel="0" collapsed="false">
      <c r="A2404" s="0" t="s">
        <v>2728</v>
      </c>
      <c r="B2404" s="0" t="s">
        <v>77</v>
      </c>
      <c r="C2404" s="0" t="str">
        <f aca="false">INDEX(Intent_Analysis!$B$5:$B$81,MATCH(B2404,Intent_Analysis!$A$5:$A$81,0))</f>
        <v>Cash, ATM &amp; deposits</v>
      </c>
      <c r="D2404" s="0" t="n">
        <f aca="false">INDEX(Intent_Analysis!$E$5:$E$81,MATCH(B2404,Intent_Analysis!$A$5:$A$81,0))</f>
        <v>3</v>
      </c>
    </row>
    <row r="2405" customFormat="false" ht="15" hidden="false" customHeight="false" outlineLevel="0" collapsed="false">
      <c r="A2405" s="0" t="s">
        <v>2729</v>
      </c>
      <c r="B2405" s="0" t="s">
        <v>77</v>
      </c>
      <c r="C2405" s="0" t="str">
        <f aca="false">INDEX(Intent_Analysis!$B$5:$B$81,MATCH(B2405,Intent_Analysis!$A$5:$A$81,0))</f>
        <v>Cash, ATM &amp; deposits</v>
      </c>
      <c r="D2405" s="0" t="n">
        <f aca="false">INDEX(Intent_Analysis!$E$5:$E$81,MATCH(B2405,Intent_Analysis!$A$5:$A$81,0))</f>
        <v>3</v>
      </c>
    </row>
    <row r="2406" customFormat="false" ht="15" hidden="false" customHeight="false" outlineLevel="0" collapsed="false">
      <c r="A2406" s="0" t="s">
        <v>2730</v>
      </c>
      <c r="B2406" s="0" t="s">
        <v>77</v>
      </c>
      <c r="C2406" s="0" t="str">
        <f aca="false">INDEX(Intent_Analysis!$B$5:$B$81,MATCH(B2406,Intent_Analysis!$A$5:$A$81,0))</f>
        <v>Cash, ATM &amp; deposits</v>
      </c>
      <c r="D2406" s="0" t="n">
        <f aca="false">INDEX(Intent_Analysis!$E$5:$E$81,MATCH(B2406,Intent_Analysis!$A$5:$A$81,0))</f>
        <v>3</v>
      </c>
    </row>
    <row r="2407" customFormat="false" ht="15" hidden="false" customHeight="false" outlineLevel="0" collapsed="false">
      <c r="A2407" s="0" t="s">
        <v>2731</v>
      </c>
      <c r="B2407" s="0" t="s">
        <v>77</v>
      </c>
      <c r="C2407" s="0" t="str">
        <f aca="false">INDEX(Intent_Analysis!$B$5:$B$81,MATCH(B2407,Intent_Analysis!$A$5:$A$81,0))</f>
        <v>Cash, ATM &amp; deposits</v>
      </c>
      <c r="D2407" s="0" t="n">
        <f aca="false">INDEX(Intent_Analysis!$E$5:$E$81,MATCH(B2407,Intent_Analysis!$A$5:$A$81,0))</f>
        <v>3</v>
      </c>
    </row>
    <row r="2408" customFormat="false" ht="15" hidden="false" customHeight="false" outlineLevel="0" collapsed="false">
      <c r="A2408" s="0" t="s">
        <v>2732</v>
      </c>
      <c r="B2408" s="0" t="s">
        <v>77</v>
      </c>
      <c r="C2408" s="0" t="str">
        <f aca="false">INDEX(Intent_Analysis!$B$5:$B$81,MATCH(B2408,Intent_Analysis!$A$5:$A$81,0))</f>
        <v>Cash, ATM &amp; deposits</v>
      </c>
      <c r="D2408" s="0" t="n">
        <f aca="false">INDEX(Intent_Analysis!$E$5:$E$81,MATCH(B2408,Intent_Analysis!$A$5:$A$81,0))</f>
        <v>3</v>
      </c>
    </row>
    <row r="2409" customFormat="false" ht="15" hidden="false" customHeight="false" outlineLevel="0" collapsed="false">
      <c r="A2409" s="0" t="s">
        <v>2733</v>
      </c>
      <c r="B2409" s="0" t="s">
        <v>77</v>
      </c>
      <c r="C2409" s="0" t="str">
        <f aca="false">INDEX(Intent_Analysis!$B$5:$B$81,MATCH(B2409,Intent_Analysis!$A$5:$A$81,0))</f>
        <v>Cash, ATM &amp; deposits</v>
      </c>
      <c r="D2409" s="0" t="n">
        <f aca="false">INDEX(Intent_Analysis!$E$5:$E$81,MATCH(B2409,Intent_Analysis!$A$5:$A$81,0))</f>
        <v>3</v>
      </c>
    </row>
    <row r="2410" customFormat="false" ht="15" hidden="false" customHeight="false" outlineLevel="0" collapsed="false">
      <c r="A2410" s="0" t="s">
        <v>2734</v>
      </c>
      <c r="B2410" s="0" t="s">
        <v>77</v>
      </c>
      <c r="C2410" s="0" t="str">
        <f aca="false">INDEX(Intent_Analysis!$B$5:$B$81,MATCH(B2410,Intent_Analysis!$A$5:$A$81,0))</f>
        <v>Cash, ATM &amp; deposits</v>
      </c>
      <c r="D2410" s="0" t="n">
        <f aca="false">INDEX(Intent_Analysis!$E$5:$E$81,MATCH(B2410,Intent_Analysis!$A$5:$A$81,0))</f>
        <v>3</v>
      </c>
    </row>
    <row r="2411" customFormat="false" ht="15" hidden="false" customHeight="false" outlineLevel="0" collapsed="false">
      <c r="A2411" s="0" t="s">
        <v>2735</v>
      </c>
      <c r="B2411" s="0" t="s">
        <v>77</v>
      </c>
      <c r="C2411" s="0" t="str">
        <f aca="false">INDEX(Intent_Analysis!$B$5:$B$81,MATCH(B2411,Intent_Analysis!$A$5:$A$81,0))</f>
        <v>Cash, ATM &amp; deposits</v>
      </c>
      <c r="D2411" s="0" t="n">
        <f aca="false">INDEX(Intent_Analysis!$E$5:$E$81,MATCH(B2411,Intent_Analysis!$A$5:$A$81,0))</f>
        <v>3</v>
      </c>
    </row>
    <row r="2412" customFormat="false" ht="15" hidden="false" customHeight="false" outlineLevel="0" collapsed="false">
      <c r="A2412" s="0" t="s">
        <v>2736</v>
      </c>
      <c r="B2412" s="0" t="s">
        <v>77</v>
      </c>
      <c r="C2412" s="0" t="str">
        <f aca="false">INDEX(Intent_Analysis!$B$5:$B$81,MATCH(B2412,Intent_Analysis!$A$5:$A$81,0))</f>
        <v>Cash, ATM &amp; deposits</v>
      </c>
      <c r="D2412" s="0" t="n">
        <f aca="false">INDEX(Intent_Analysis!$E$5:$E$81,MATCH(B2412,Intent_Analysis!$A$5:$A$81,0))</f>
        <v>3</v>
      </c>
    </row>
    <row r="2413" customFormat="false" ht="15" hidden="false" customHeight="false" outlineLevel="0" collapsed="false">
      <c r="A2413" s="0" t="s">
        <v>2737</v>
      </c>
      <c r="B2413" s="0" t="s">
        <v>77</v>
      </c>
      <c r="C2413" s="0" t="str">
        <f aca="false">INDEX(Intent_Analysis!$B$5:$B$81,MATCH(B2413,Intent_Analysis!$A$5:$A$81,0))</f>
        <v>Cash, ATM &amp; deposits</v>
      </c>
      <c r="D2413" s="0" t="n">
        <f aca="false">INDEX(Intent_Analysis!$E$5:$E$81,MATCH(B2413,Intent_Analysis!$A$5:$A$81,0))</f>
        <v>3</v>
      </c>
    </row>
    <row r="2414" customFormat="false" ht="15" hidden="false" customHeight="false" outlineLevel="0" collapsed="false">
      <c r="A2414" s="0" t="s">
        <v>2738</v>
      </c>
      <c r="B2414" s="0" t="s">
        <v>77</v>
      </c>
      <c r="C2414" s="0" t="str">
        <f aca="false">INDEX(Intent_Analysis!$B$5:$B$81,MATCH(B2414,Intent_Analysis!$A$5:$A$81,0))</f>
        <v>Cash, ATM &amp; deposits</v>
      </c>
      <c r="D2414" s="0" t="n">
        <f aca="false">INDEX(Intent_Analysis!$E$5:$E$81,MATCH(B2414,Intent_Analysis!$A$5:$A$81,0))</f>
        <v>3</v>
      </c>
    </row>
    <row r="2415" customFormat="false" ht="15" hidden="false" customHeight="false" outlineLevel="0" collapsed="false">
      <c r="A2415" s="0" t="s">
        <v>2739</v>
      </c>
      <c r="B2415" s="0" t="s">
        <v>77</v>
      </c>
      <c r="C2415" s="0" t="str">
        <f aca="false">INDEX(Intent_Analysis!$B$5:$B$81,MATCH(B2415,Intent_Analysis!$A$5:$A$81,0))</f>
        <v>Cash, ATM &amp; deposits</v>
      </c>
      <c r="D2415" s="0" t="n">
        <f aca="false">INDEX(Intent_Analysis!$E$5:$E$81,MATCH(B2415,Intent_Analysis!$A$5:$A$81,0))</f>
        <v>3</v>
      </c>
    </row>
    <row r="2416" customFormat="false" ht="15" hidden="false" customHeight="false" outlineLevel="0" collapsed="false">
      <c r="A2416" s="0" t="s">
        <v>2740</v>
      </c>
      <c r="B2416" s="0" t="s">
        <v>77</v>
      </c>
      <c r="C2416" s="0" t="str">
        <f aca="false">INDEX(Intent_Analysis!$B$5:$B$81,MATCH(B2416,Intent_Analysis!$A$5:$A$81,0))</f>
        <v>Cash, ATM &amp; deposits</v>
      </c>
      <c r="D2416" s="0" t="n">
        <f aca="false">INDEX(Intent_Analysis!$E$5:$E$81,MATCH(B2416,Intent_Analysis!$A$5:$A$81,0))</f>
        <v>3</v>
      </c>
    </row>
    <row r="2417" customFormat="false" ht="15" hidden="false" customHeight="false" outlineLevel="0" collapsed="false">
      <c r="A2417" s="0" t="s">
        <v>2741</v>
      </c>
      <c r="B2417" s="0" t="s">
        <v>77</v>
      </c>
      <c r="C2417" s="0" t="str">
        <f aca="false">INDEX(Intent_Analysis!$B$5:$B$81,MATCH(B2417,Intent_Analysis!$A$5:$A$81,0))</f>
        <v>Cash, ATM &amp; deposits</v>
      </c>
      <c r="D2417" s="0" t="n">
        <f aca="false">INDEX(Intent_Analysis!$E$5:$E$81,MATCH(B2417,Intent_Analysis!$A$5:$A$81,0))</f>
        <v>3</v>
      </c>
    </row>
    <row r="2418" customFormat="false" ht="15" hidden="false" customHeight="false" outlineLevel="0" collapsed="false">
      <c r="A2418" s="0" t="s">
        <v>2742</v>
      </c>
      <c r="B2418" s="0" t="s">
        <v>77</v>
      </c>
      <c r="C2418" s="0" t="str">
        <f aca="false">INDEX(Intent_Analysis!$B$5:$B$81,MATCH(B2418,Intent_Analysis!$A$5:$A$81,0))</f>
        <v>Cash, ATM &amp; deposits</v>
      </c>
      <c r="D2418" s="0" t="n">
        <f aca="false">INDEX(Intent_Analysis!$E$5:$E$81,MATCH(B2418,Intent_Analysis!$A$5:$A$81,0))</f>
        <v>3</v>
      </c>
    </row>
    <row r="2419" customFormat="false" ht="15" hidden="false" customHeight="false" outlineLevel="0" collapsed="false">
      <c r="A2419" s="0" t="s">
        <v>2743</v>
      </c>
      <c r="B2419" s="0" t="s">
        <v>77</v>
      </c>
      <c r="C2419" s="0" t="str">
        <f aca="false">INDEX(Intent_Analysis!$B$5:$B$81,MATCH(B2419,Intent_Analysis!$A$5:$A$81,0))</f>
        <v>Cash, ATM &amp; deposits</v>
      </c>
      <c r="D2419" s="0" t="n">
        <f aca="false">INDEX(Intent_Analysis!$E$5:$E$81,MATCH(B2419,Intent_Analysis!$A$5:$A$81,0))</f>
        <v>3</v>
      </c>
    </row>
    <row r="2420" customFormat="false" ht="15" hidden="false" customHeight="false" outlineLevel="0" collapsed="false">
      <c r="A2420" s="0" t="s">
        <v>2744</v>
      </c>
      <c r="B2420" s="0" t="s">
        <v>77</v>
      </c>
      <c r="C2420" s="0" t="str">
        <f aca="false">INDEX(Intent_Analysis!$B$5:$B$81,MATCH(B2420,Intent_Analysis!$A$5:$A$81,0))</f>
        <v>Cash, ATM &amp; deposits</v>
      </c>
      <c r="D2420" s="0" t="n">
        <f aca="false">INDEX(Intent_Analysis!$E$5:$E$81,MATCH(B2420,Intent_Analysis!$A$5:$A$81,0))</f>
        <v>3</v>
      </c>
    </row>
    <row r="2421" customFormat="false" ht="15" hidden="false" customHeight="false" outlineLevel="0" collapsed="false">
      <c r="A2421" s="0" t="s">
        <v>2745</v>
      </c>
      <c r="B2421" s="0" t="s">
        <v>77</v>
      </c>
      <c r="C2421" s="0" t="str">
        <f aca="false">INDEX(Intent_Analysis!$B$5:$B$81,MATCH(B2421,Intent_Analysis!$A$5:$A$81,0))</f>
        <v>Cash, ATM &amp; deposits</v>
      </c>
      <c r="D2421" s="0" t="n">
        <f aca="false">INDEX(Intent_Analysis!$E$5:$E$81,MATCH(B2421,Intent_Analysis!$A$5:$A$81,0))</f>
        <v>3</v>
      </c>
    </row>
    <row r="2422" customFormat="false" ht="15" hidden="false" customHeight="false" outlineLevel="0" collapsed="false">
      <c r="A2422" s="0" t="s">
        <v>2746</v>
      </c>
      <c r="B2422" s="0" t="s">
        <v>77</v>
      </c>
      <c r="C2422" s="0" t="str">
        <f aca="false">INDEX(Intent_Analysis!$B$5:$B$81,MATCH(B2422,Intent_Analysis!$A$5:$A$81,0))</f>
        <v>Cash, ATM &amp; deposits</v>
      </c>
      <c r="D2422" s="0" t="n">
        <f aca="false">INDEX(Intent_Analysis!$E$5:$E$81,MATCH(B2422,Intent_Analysis!$A$5:$A$81,0))</f>
        <v>3</v>
      </c>
    </row>
    <row r="2423" customFormat="false" ht="15" hidden="false" customHeight="false" outlineLevel="0" collapsed="false">
      <c r="A2423" s="0" t="s">
        <v>2747</v>
      </c>
      <c r="B2423" s="0" t="s">
        <v>77</v>
      </c>
      <c r="C2423" s="0" t="str">
        <f aca="false">INDEX(Intent_Analysis!$B$5:$B$81,MATCH(B2423,Intent_Analysis!$A$5:$A$81,0))</f>
        <v>Cash, ATM &amp; deposits</v>
      </c>
      <c r="D2423" s="0" t="n">
        <f aca="false">INDEX(Intent_Analysis!$E$5:$E$81,MATCH(B2423,Intent_Analysis!$A$5:$A$81,0))</f>
        <v>3</v>
      </c>
    </row>
    <row r="2424" customFormat="false" ht="15" hidden="false" customHeight="false" outlineLevel="0" collapsed="false">
      <c r="A2424" s="0" t="s">
        <v>2748</v>
      </c>
      <c r="B2424" s="0" t="s">
        <v>77</v>
      </c>
      <c r="C2424" s="0" t="str">
        <f aca="false">INDEX(Intent_Analysis!$B$5:$B$81,MATCH(B2424,Intent_Analysis!$A$5:$A$81,0))</f>
        <v>Cash, ATM &amp; deposits</v>
      </c>
      <c r="D2424" s="0" t="n">
        <f aca="false">INDEX(Intent_Analysis!$E$5:$E$81,MATCH(B2424,Intent_Analysis!$A$5:$A$81,0))</f>
        <v>3</v>
      </c>
    </row>
    <row r="2425" customFormat="false" ht="15" hidden="false" customHeight="false" outlineLevel="0" collapsed="false">
      <c r="A2425" s="0" t="s">
        <v>2749</v>
      </c>
      <c r="B2425" s="0" t="s">
        <v>77</v>
      </c>
      <c r="C2425" s="0" t="str">
        <f aca="false">INDEX(Intent_Analysis!$B$5:$B$81,MATCH(B2425,Intent_Analysis!$A$5:$A$81,0))</f>
        <v>Cash, ATM &amp; deposits</v>
      </c>
      <c r="D2425" s="0" t="n">
        <f aca="false">INDEX(Intent_Analysis!$E$5:$E$81,MATCH(B2425,Intent_Analysis!$A$5:$A$81,0))</f>
        <v>3</v>
      </c>
    </row>
    <row r="2426" customFormat="false" ht="15" hidden="false" customHeight="false" outlineLevel="0" collapsed="false">
      <c r="A2426" s="0" t="s">
        <v>2750</v>
      </c>
      <c r="B2426" s="0" t="s">
        <v>77</v>
      </c>
      <c r="C2426" s="0" t="str">
        <f aca="false">INDEX(Intent_Analysis!$B$5:$B$81,MATCH(B2426,Intent_Analysis!$A$5:$A$81,0))</f>
        <v>Cash, ATM &amp; deposits</v>
      </c>
      <c r="D2426" s="0" t="n">
        <f aca="false">INDEX(Intent_Analysis!$E$5:$E$81,MATCH(B2426,Intent_Analysis!$A$5:$A$81,0))</f>
        <v>3</v>
      </c>
    </row>
    <row r="2427" customFormat="false" ht="15" hidden="false" customHeight="false" outlineLevel="0" collapsed="false">
      <c r="A2427" s="0" t="s">
        <v>2751</v>
      </c>
      <c r="B2427" s="0" t="s">
        <v>77</v>
      </c>
      <c r="C2427" s="0" t="str">
        <f aca="false">INDEX(Intent_Analysis!$B$5:$B$81,MATCH(B2427,Intent_Analysis!$A$5:$A$81,0))</f>
        <v>Cash, ATM &amp; deposits</v>
      </c>
      <c r="D2427" s="0" t="n">
        <f aca="false">INDEX(Intent_Analysis!$E$5:$E$81,MATCH(B2427,Intent_Analysis!$A$5:$A$81,0))</f>
        <v>3</v>
      </c>
    </row>
    <row r="2428" customFormat="false" ht="15" hidden="false" customHeight="false" outlineLevel="0" collapsed="false">
      <c r="A2428" s="0" t="s">
        <v>2752</v>
      </c>
      <c r="B2428" s="0" t="s">
        <v>77</v>
      </c>
      <c r="C2428" s="0" t="str">
        <f aca="false">INDEX(Intent_Analysis!$B$5:$B$81,MATCH(B2428,Intent_Analysis!$A$5:$A$81,0))</f>
        <v>Cash, ATM &amp; deposits</v>
      </c>
      <c r="D2428" s="0" t="n">
        <f aca="false">INDEX(Intent_Analysis!$E$5:$E$81,MATCH(B2428,Intent_Analysis!$A$5:$A$81,0))</f>
        <v>3</v>
      </c>
    </row>
    <row r="2429" customFormat="false" ht="15" hidden="false" customHeight="false" outlineLevel="0" collapsed="false">
      <c r="A2429" s="0" t="s">
        <v>2753</v>
      </c>
      <c r="B2429" s="0" t="s">
        <v>77</v>
      </c>
      <c r="C2429" s="0" t="str">
        <f aca="false">INDEX(Intent_Analysis!$B$5:$B$81,MATCH(B2429,Intent_Analysis!$A$5:$A$81,0))</f>
        <v>Cash, ATM &amp; deposits</v>
      </c>
      <c r="D2429" s="0" t="n">
        <f aca="false">INDEX(Intent_Analysis!$E$5:$E$81,MATCH(B2429,Intent_Analysis!$A$5:$A$81,0))</f>
        <v>3</v>
      </c>
    </row>
    <row r="2430" customFormat="false" ht="15" hidden="false" customHeight="false" outlineLevel="0" collapsed="false">
      <c r="A2430" s="0" t="s">
        <v>2754</v>
      </c>
      <c r="B2430" s="0" t="s">
        <v>77</v>
      </c>
      <c r="C2430" s="0" t="str">
        <f aca="false">INDEX(Intent_Analysis!$B$5:$B$81,MATCH(B2430,Intent_Analysis!$A$5:$A$81,0))</f>
        <v>Cash, ATM &amp; deposits</v>
      </c>
      <c r="D2430" s="0" t="n">
        <f aca="false">INDEX(Intent_Analysis!$E$5:$E$81,MATCH(B2430,Intent_Analysis!$A$5:$A$81,0))</f>
        <v>3</v>
      </c>
    </row>
    <row r="2431" customFormat="false" ht="15" hidden="false" customHeight="false" outlineLevel="0" collapsed="false">
      <c r="A2431" s="0" t="s">
        <v>2755</v>
      </c>
      <c r="B2431" s="0" t="s">
        <v>77</v>
      </c>
      <c r="C2431" s="0" t="str">
        <f aca="false">INDEX(Intent_Analysis!$B$5:$B$81,MATCH(B2431,Intent_Analysis!$A$5:$A$81,0))</f>
        <v>Cash, ATM &amp; deposits</v>
      </c>
      <c r="D2431" s="0" t="n">
        <f aca="false">INDEX(Intent_Analysis!$E$5:$E$81,MATCH(B2431,Intent_Analysis!$A$5:$A$81,0))</f>
        <v>3</v>
      </c>
    </row>
    <row r="2432" customFormat="false" ht="15" hidden="false" customHeight="false" outlineLevel="0" collapsed="false">
      <c r="A2432" s="0" t="s">
        <v>2756</v>
      </c>
      <c r="B2432" s="0" t="s">
        <v>77</v>
      </c>
      <c r="C2432" s="0" t="str">
        <f aca="false">INDEX(Intent_Analysis!$B$5:$B$81,MATCH(B2432,Intent_Analysis!$A$5:$A$81,0))</f>
        <v>Cash, ATM &amp; deposits</v>
      </c>
      <c r="D2432" s="0" t="n">
        <f aca="false">INDEX(Intent_Analysis!$E$5:$E$81,MATCH(B2432,Intent_Analysis!$A$5:$A$81,0))</f>
        <v>3</v>
      </c>
    </row>
    <row r="2433" customFormat="false" ht="15" hidden="false" customHeight="false" outlineLevel="0" collapsed="false">
      <c r="A2433" s="0" t="s">
        <v>2757</v>
      </c>
      <c r="B2433" s="0" t="s">
        <v>77</v>
      </c>
      <c r="C2433" s="0" t="str">
        <f aca="false">INDEX(Intent_Analysis!$B$5:$B$81,MATCH(B2433,Intent_Analysis!$A$5:$A$81,0))</f>
        <v>Cash, ATM &amp; deposits</v>
      </c>
      <c r="D2433" s="0" t="n">
        <f aca="false">INDEX(Intent_Analysis!$E$5:$E$81,MATCH(B2433,Intent_Analysis!$A$5:$A$81,0))</f>
        <v>3</v>
      </c>
    </row>
    <row r="2434" customFormat="false" ht="15" hidden="false" customHeight="false" outlineLevel="0" collapsed="false">
      <c r="A2434" s="0" t="s">
        <v>2758</v>
      </c>
      <c r="B2434" s="0" t="s">
        <v>77</v>
      </c>
      <c r="C2434" s="0" t="str">
        <f aca="false">INDEX(Intent_Analysis!$B$5:$B$81,MATCH(B2434,Intent_Analysis!$A$5:$A$81,0))</f>
        <v>Cash, ATM &amp; deposits</v>
      </c>
      <c r="D2434" s="0" t="n">
        <f aca="false">INDEX(Intent_Analysis!$E$5:$E$81,MATCH(B2434,Intent_Analysis!$A$5:$A$81,0))</f>
        <v>3</v>
      </c>
    </row>
    <row r="2435" customFormat="false" ht="15" hidden="false" customHeight="false" outlineLevel="0" collapsed="false">
      <c r="A2435" s="0" t="s">
        <v>2759</v>
      </c>
      <c r="B2435" s="0" t="s">
        <v>77</v>
      </c>
      <c r="C2435" s="0" t="str">
        <f aca="false">INDEX(Intent_Analysis!$B$5:$B$81,MATCH(B2435,Intent_Analysis!$A$5:$A$81,0))</f>
        <v>Cash, ATM &amp; deposits</v>
      </c>
      <c r="D2435" s="0" t="n">
        <f aca="false">INDEX(Intent_Analysis!$E$5:$E$81,MATCH(B2435,Intent_Analysis!$A$5:$A$81,0))</f>
        <v>3</v>
      </c>
    </row>
    <row r="2436" customFormat="false" ht="15" hidden="false" customHeight="false" outlineLevel="0" collapsed="false">
      <c r="A2436" s="0" t="s">
        <v>2760</v>
      </c>
      <c r="B2436" s="0" t="s">
        <v>77</v>
      </c>
      <c r="C2436" s="0" t="str">
        <f aca="false">INDEX(Intent_Analysis!$B$5:$B$81,MATCH(B2436,Intent_Analysis!$A$5:$A$81,0))</f>
        <v>Cash, ATM &amp; deposits</v>
      </c>
      <c r="D2436" s="0" t="n">
        <f aca="false">INDEX(Intent_Analysis!$E$5:$E$81,MATCH(B2436,Intent_Analysis!$A$5:$A$81,0))</f>
        <v>3</v>
      </c>
    </row>
    <row r="2437" customFormat="false" ht="15" hidden="false" customHeight="false" outlineLevel="0" collapsed="false">
      <c r="A2437" s="0" t="s">
        <v>2761</v>
      </c>
      <c r="B2437" s="0" t="s">
        <v>77</v>
      </c>
      <c r="C2437" s="0" t="str">
        <f aca="false">INDEX(Intent_Analysis!$B$5:$B$81,MATCH(B2437,Intent_Analysis!$A$5:$A$81,0))</f>
        <v>Cash, ATM &amp; deposits</v>
      </c>
      <c r="D2437" s="0" t="n">
        <f aca="false">INDEX(Intent_Analysis!$E$5:$E$81,MATCH(B2437,Intent_Analysis!$A$5:$A$81,0))</f>
        <v>3</v>
      </c>
    </row>
    <row r="2438" customFormat="false" ht="15" hidden="false" customHeight="false" outlineLevel="0" collapsed="false">
      <c r="A2438" s="0" t="s">
        <v>2762</v>
      </c>
      <c r="B2438" s="0" t="s">
        <v>77</v>
      </c>
      <c r="C2438" s="0" t="str">
        <f aca="false">INDEX(Intent_Analysis!$B$5:$B$81,MATCH(B2438,Intent_Analysis!$A$5:$A$81,0))</f>
        <v>Cash, ATM &amp; deposits</v>
      </c>
      <c r="D2438" s="0" t="n">
        <f aca="false">INDEX(Intent_Analysis!$E$5:$E$81,MATCH(B2438,Intent_Analysis!$A$5:$A$81,0))</f>
        <v>3</v>
      </c>
    </row>
    <row r="2439" customFormat="false" ht="15" hidden="false" customHeight="false" outlineLevel="0" collapsed="false">
      <c r="A2439" s="0" t="s">
        <v>2763</v>
      </c>
      <c r="B2439" s="0" t="s">
        <v>77</v>
      </c>
      <c r="C2439" s="0" t="str">
        <f aca="false">INDEX(Intent_Analysis!$B$5:$B$81,MATCH(B2439,Intent_Analysis!$A$5:$A$81,0))</f>
        <v>Cash, ATM &amp; deposits</v>
      </c>
      <c r="D2439" s="0" t="n">
        <f aca="false">INDEX(Intent_Analysis!$E$5:$E$81,MATCH(B2439,Intent_Analysis!$A$5:$A$81,0))</f>
        <v>3</v>
      </c>
    </row>
    <row r="2440" customFormat="false" ht="15" hidden="false" customHeight="false" outlineLevel="0" collapsed="false">
      <c r="A2440" s="0" t="s">
        <v>2764</v>
      </c>
      <c r="B2440" s="0" t="s">
        <v>77</v>
      </c>
      <c r="C2440" s="0" t="str">
        <f aca="false">INDEX(Intent_Analysis!$B$5:$B$81,MATCH(B2440,Intent_Analysis!$A$5:$A$81,0))</f>
        <v>Cash, ATM &amp; deposits</v>
      </c>
      <c r="D2440" s="0" t="n">
        <f aca="false">INDEX(Intent_Analysis!$E$5:$E$81,MATCH(B2440,Intent_Analysis!$A$5:$A$81,0))</f>
        <v>3</v>
      </c>
    </row>
    <row r="2441" customFormat="false" ht="15" hidden="false" customHeight="false" outlineLevel="0" collapsed="false">
      <c r="A2441" s="0" t="s">
        <v>2765</v>
      </c>
      <c r="B2441" s="0" t="s">
        <v>77</v>
      </c>
      <c r="C2441" s="0" t="str">
        <f aca="false">INDEX(Intent_Analysis!$B$5:$B$81,MATCH(B2441,Intent_Analysis!$A$5:$A$81,0))</f>
        <v>Cash, ATM &amp; deposits</v>
      </c>
      <c r="D2441" s="0" t="n">
        <f aca="false">INDEX(Intent_Analysis!$E$5:$E$81,MATCH(B2441,Intent_Analysis!$A$5:$A$81,0))</f>
        <v>3</v>
      </c>
    </row>
    <row r="2442" customFormat="false" ht="15" hidden="false" customHeight="false" outlineLevel="0" collapsed="false">
      <c r="A2442" s="0" t="s">
        <v>2766</v>
      </c>
      <c r="B2442" s="0" t="s">
        <v>77</v>
      </c>
      <c r="C2442" s="0" t="str">
        <f aca="false">INDEX(Intent_Analysis!$B$5:$B$81,MATCH(B2442,Intent_Analysis!$A$5:$A$81,0))</f>
        <v>Cash, ATM &amp; deposits</v>
      </c>
      <c r="D2442" s="0" t="n">
        <f aca="false">INDEX(Intent_Analysis!$E$5:$E$81,MATCH(B2442,Intent_Analysis!$A$5:$A$81,0))</f>
        <v>3</v>
      </c>
    </row>
    <row r="2443" customFormat="false" ht="15" hidden="false" customHeight="false" outlineLevel="0" collapsed="false">
      <c r="A2443" s="0" t="s">
        <v>2767</v>
      </c>
      <c r="B2443" s="0" t="s">
        <v>77</v>
      </c>
      <c r="C2443" s="0" t="str">
        <f aca="false">INDEX(Intent_Analysis!$B$5:$B$81,MATCH(B2443,Intent_Analysis!$A$5:$A$81,0))</f>
        <v>Cash, ATM &amp; deposits</v>
      </c>
      <c r="D2443" s="0" t="n">
        <f aca="false">INDEX(Intent_Analysis!$E$5:$E$81,MATCH(B2443,Intent_Analysis!$A$5:$A$81,0))</f>
        <v>3</v>
      </c>
    </row>
    <row r="2444" customFormat="false" ht="15" hidden="false" customHeight="false" outlineLevel="0" collapsed="false">
      <c r="A2444" s="0" t="s">
        <v>2768</v>
      </c>
      <c r="B2444" s="0" t="s">
        <v>77</v>
      </c>
      <c r="C2444" s="0" t="str">
        <f aca="false">INDEX(Intent_Analysis!$B$5:$B$81,MATCH(B2444,Intent_Analysis!$A$5:$A$81,0))</f>
        <v>Cash, ATM &amp; deposits</v>
      </c>
      <c r="D2444" s="0" t="n">
        <f aca="false">INDEX(Intent_Analysis!$E$5:$E$81,MATCH(B2444,Intent_Analysis!$A$5:$A$81,0))</f>
        <v>3</v>
      </c>
    </row>
    <row r="2445" customFormat="false" ht="15" hidden="false" customHeight="false" outlineLevel="0" collapsed="false">
      <c r="A2445" s="0" t="s">
        <v>2769</v>
      </c>
      <c r="B2445" s="0" t="s">
        <v>77</v>
      </c>
      <c r="C2445" s="0" t="str">
        <f aca="false">INDEX(Intent_Analysis!$B$5:$B$81,MATCH(B2445,Intent_Analysis!$A$5:$A$81,0))</f>
        <v>Cash, ATM &amp; deposits</v>
      </c>
      <c r="D2445" s="0" t="n">
        <f aca="false">INDEX(Intent_Analysis!$E$5:$E$81,MATCH(B2445,Intent_Analysis!$A$5:$A$81,0))</f>
        <v>3</v>
      </c>
    </row>
    <row r="2446" customFormat="false" ht="15" hidden="false" customHeight="false" outlineLevel="0" collapsed="false">
      <c r="A2446" s="0" t="s">
        <v>2770</v>
      </c>
      <c r="B2446" s="0" t="s">
        <v>77</v>
      </c>
      <c r="C2446" s="0" t="str">
        <f aca="false">INDEX(Intent_Analysis!$B$5:$B$81,MATCH(B2446,Intent_Analysis!$A$5:$A$81,0))</f>
        <v>Cash, ATM &amp; deposits</v>
      </c>
      <c r="D2446" s="0" t="n">
        <f aca="false">INDEX(Intent_Analysis!$E$5:$E$81,MATCH(B2446,Intent_Analysis!$A$5:$A$81,0))</f>
        <v>3</v>
      </c>
    </row>
    <row r="2447" customFormat="false" ht="15" hidden="false" customHeight="false" outlineLevel="0" collapsed="false">
      <c r="A2447" s="0" t="s">
        <v>2771</v>
      </c>
      <c r="B2447" s="0" t="s">
        <v>77</v>
      </c>
      <c r="C2447" s="0" t="str">
        <f aca="false">INDEX(Intent_Analysis!$B$5:$B$81,MATCH(B2447,Intent_Analysis!$A$5:$A$81,0))</f>
        <v>Cash, ATM &amp; deposits</v>
      </c>
      <c r="D2447" s="0" t="n">
        <f aca="false">INDEX(Intent_Analysis!$E$5:$E$81,MATCH(B2447,Intent_Analysis!$A$5:$A$81,0))</f>
        <v>3</v>
      </c>
    </row>
    <row r="2448" customFormat="false" ht="15" hidden="false" customHeight="false" outlineLevel="0" collapsed="false">
      <c r="A2448" s="0" t="s">
        <v>2772</v>
      </c>
      <c r="B2448" s="0" t="s">
        <v>77</v>
      </c>
      <c r="C2448" s="0" t="str">
        <f aca="false">INDEX(Intent_Analysis!$B$5:$B$81,MATCH(B2448,Intent_Analysis!$A$5:$A$81,0))</f>
        <v>Cash, ATM &amp; deposits</v>
      </c>
      <c r="D2448" s="0" t="n">
        <f aca="false">INDEX(Intent_Analysis!$E$5:$E$81,MATCH(B2448,Intent_Analysis!$A$5:$A$81,0))</f>
        <v>3</v>
      </c>
    </row>
    <row r="2449" customFormat="false" ht="15" hidden="false" customHeight="false" outlineLevel="0" collapsed="false">
      <c r="A2449" s="0" t="s">
        <v>2773</v>
      </c>
      <c r="B2449" s="0" t="s">
        <v>77</v>
      </c>
      <c r="C2449" s="0" t="str">
        <f aca="false">INDEX(Intent_Analysis!$B$5:$B$81,MATCH(B2449,Intent_Analysis!$A$5:$A$81,0))</f>
        <v>Cash, ATM &amp; deposits</v>
      </c>
      <c r="D2449" s="0" t="n">
        <f aca="false">INDEX(Intent_Analysis!$E$5:$E$81,MATCH(B2449,Intent_Analysis!$A$5:$A$81,0))</f>
        <v>3</v>
      </c>
    </row>
    <row r="2450" customFormat="false" ht="15" hidden="false" customHeight="false" outlineLevel="0" collapsed="false">
      <c r="A2450" s="0" t="s">
        <v>2774</v>
      </c>
      <c r="B2450" s="0" t="s">
        <v>77</v>
      </c>
      <c r="C2450" s="0" t="str">
        <f aca="false">INDEX(Intent_Analysis!$B$5:$B$81,MATCH(B2450,Intent_Analysis!$A$5:$A$81,0))</f>
        <v>Cash, ATM &amp; deposits</v>
      </c>
      <c r="D2450" s="0" t="n">
        <f aca="false">INDEX(Intent_Analysis!$E$5:$E$81,MATCH(B2450,Intent_Analysis!$A$5:$A$81,0))</f>
        <v>3</v>
      </c>
    </row>
    <row r="2451" customFormat="false" ht="15" hidden="false" customHeight="false" outlineLevel="0" collapsed="false">
      <c r="A2451" s="0" t="s">
        <v>2775</v>
      </c>
      <c r="B2451" s="0" t="s">
        <v>77</v>
      </c>
      <c r="C2451" s="0" t="str">
        <f aca="false">INDEX(Intent_Analysis!$B$5:$B$81,MATCH(B2451,Intent_Analysis!$A$5:$A$81,0))</f>
        <v>Cash, ATM &amp; deposits</v>
      </c>
      <c r="D2451" s="0" t="n">
        <f aca="false">INDEX(Intent_Analysis!$E$5:$E$81,MATCH(B2451,Intent_Analysis!$A$5:$A$81,0))</f>
        <v>3</v>
      </c>
    </row>
    <row r="2452" customFormat="false" ht="15" hidden="false" customHeight="false" outlineLevel="0" collapsed="false">
      <c r="A2452" s="0" t="s">
        <v>2776</v>
      </c>
      <c r="B2452" s="0" t="s">
        <v>77</v>
      </c>
      <c r="C2452" s="0" t="str">
        <f aca="false">INDEX(Intent_Analysis!$B$5:$B$81,MATCH(B2452,Intent_Analysis!$A$5:$A$81,0))</f>
        <v>Cash, ATM &amp; deposits</v>
      </c>
      <c r="D2452" s="0" t="n">
        <f aca="false">INDEX(Intent_Analysis!$E$5:$E$81,MATCH(B2452,Intent_Analysis!$A$5:$A$81,0))</f>
        <v>3</v>
      </c>
    </row>
    <row r="2453" customFormat="false" ht="15" hidden="false" customHeight="false" outlineLevel="0" collapsed="false">
      <c r="A2453" s="0" t="s">
        <v>2777</v>
      </c>
      <c r="B2453" s="0" t="s">
        <v>77</v>
      </c>
      <c r="C2453" s="0" t="str">
        <f aca="false">INDEX(Intent_Analysis!$B$5:$B$81,MATCH(B2453,Intent_Analysis!$A$5:$A$81,0))</f>
        <v>Cash, ATM &amp; deposits</v>
      </c>
      <c r="D2453" s="0" t="n">
        <f aca="false">INDEX(Intent_Analysis!$E$5:$E$81,MATCH(B2453,Intent_Analysis!$A$5:$A$81,0))</f>
        <v>3</v>
      </c>
    </row>
    <row r="2454" customFormat="false" ht="15" hidden="false" customHeight="false" outlineLevel="0" collapsed="false">
      <c r="A2454" s="0" t="s">
        <v>2778</v>
      </c>
      <c r="B2454" s="0" t="s">
        <v>77</v>
      </c>
      <c r="C2454" s="0" t="str">
        <f aca="false">INDEX(Intent_Analysis!$B$5:$B$81,MATCH(B2454,Intent_Analysis!$A$5:$A$81,0))</f>
        <v>Cash, ATM &amp; deposits</v>
      </c>
      <c r="D2454" s="0" t="n">
        <f aca="false">INDEX(Intent_Analysis!$E$5:$E$81,MATCH(B2454,Intent_Analysis!$A$5:$A$81,0))</f>
        <v>3</v>
      </c>
    </row>
    <row r="2455" customFormat="false" ht="15" hidden="false" customHeight="false" outlineLevel="0" collapsed="false">
      <c r="A2455" s="0" t="s">
        <v>2779</v>
      </c>
      <c r="B2455" s="0" t="s">
        <v>77</v>
      </c>
      <c r="C2455" s="0" t="str">
        <f aca="false">INDEX(Intent_Analysis!$B$5:$B$81,MATCH(B2455,Intent_Analysis!$A$5:$A$81,0))</f>
        <v>Cash, ATM &amp; deposits</v>
      </c>
      <c r="D2455" s="0" t="n">
        <f aca="false">INDEX(Intent_Analysis!$E$5:$E$81,MATCH(B2455,Intent_Analysis!$A$5:$A$81,0))</f>
        <v>3</v>
      </c>
    </row>
    <row r="2456" customFormat="false" ht="15" hidden="false" customHeight="false" outlineLevel="0" collapsed="false">
      <c r="A2456" s="0" t="s">
        <v>2780</v>
      </c>
      <c r="B2456" s="0" t="s">
        <v>77</v>
      </c>
      <c r="C2456" s="0" t="str">
        <f aca="false">INDEX(Intent_Analysis!$B$5:$B$81,MATCH(B2456,Intent_Analysis!$A$5:$A$81,0))</f>
        <v>Cash, ATM &amp; deposits</v>
      </c>
      <c r="D2456" s="0" t="n">
        <f aca="false">INDEX(Intent_Analysis!$E$5:$E$81,MATCH(B2456,Intent_Analysis!$A$5:$A$81,0))</f>
        <v>3</v>
      </c>
    </row>
    <row r="2457" customFormat="false" ht="15" hidden="false" customHeight="false" outlineLevel="0" collapsed="false">
      <c r="A2457" s="0" t="s">
        <v>2781</v>
      </c>
      <c r="B2457" s="0" t="s">
        <v>77</v>
      </c>
      <c r="C2457" s="0" t="str">
        <f aca="false">INDEX(Intent_Analysis!$B$5:$B$81,MATCH(B2457,Intent_Analysis!$A$5:$A$81,0))</f>
        <v>Cash, ATM &amp; deposits</v>
      </c>
      <c r="D2457" s="0" t="n">
        <f aca="false">INDEX(Intent_Analysis!$E$5:$E$81,MATCH(B2457,Intent_Analysis!$A$5:$A$81,0))</f>
        <v>3</v>
      </c>
    </row>
    <row r="2458" customFormat="false" ht="15" hidden="false" customHeight="false" outlineLevel="0" collapsed="false">
      <c r="A2458" s="0" t="s">
        <v>2782</v>
      </c>
      <c r="B2458" s="0" t="s">
        <v>77</v>
      </c>
      <c r="C2458" s="0" t="str">
        <f aca="false">INDEX(Intent_Analysis!$B$5:$B$81,MATCH(B2458,Intent_Analysis!$A$5:$A$81,0))</f>
        <v>Cash, ATM &amp; deposits</v>
      </c>
      <c r="D2458" s="0" t="n">
        <f aca="false">INDEX(Intent_Analysis!$E$5:$E$81,MATCH(B2458,Intent_Analysis!$A$5:$A$81,0))</f>
        <v>3</v>
      </c>
    </row>
    <row r="2459" customFormat="false" ht="15" hidden="false" customHeight="false" outlineLevel="0" collapsed="false">
      <c r="A2459" s="0" t="s">
        <v>2783</v>
      </c>
      <c r="B2459" s="0" t="s">
        <v>77</v>
      </c>
      <c r="C2459" s="0" t="str">
        <f aca="false">INDEX(Intent_Analysis!$B$5:$B$81,MATCH(B2459,Intent_Analysis!$A$5:$A$81,0))</f>
        <v>Cash, ATM &amp; deposits</v>
      </c>
      <c r="D2459" s="0" t="n">
        <f aca="false">INDEX(Intent_Analysis!$E$5:$E$81,MATCH(B2459,Intent_Analysis!$A$5:$A$81,0))</f>
        <v>3</v>
      </c>
    </row>
    <row r="2460" customFormat="false" ht="15" hidden="false" customHeight="false" outlineLevel="0" collapsed="false">
      <c r="A2460" s="0" t="s">
        <v>2784</v>
      </c>
      <c r="B2460" s="0" t="s">
        <v>77</v>
      </c>
      <c r="C2460" s="0" t="str">
        <f aca="false">INDEX(Intent_Analysis!$B$5:$B$81,MATCH(B2460,Intent_Analysis!$A$5:$A$81,0))</f>
        <v>Cash, ATM &amp; deposits</v>
      </c>
      <c r="D2460" s="0" t="n">
        <f aca="false">INDEX(Intent_Analysis!$E$5:$E$81,MATCH(B2460,Intent_Analysis!$A$5:$A$81,0))</f>
        <v>3</v>
      </c>
    </row>
    <row r="2461" customFormat="false" ht="15" hidden="false" customHeight="false" outlineLevel="0" collapsed="false">
      <c r="A2461" s="0" t="s">
        <v>2785</v>
      </c>
      <c r="B2461" s="0" t="s">
        <v>77</v>
      </c>
      <c r="C2461" s="0" t="str">
        <f aca="false">INDEX(Intent_Analysis!$B$5:$B$81,MATCH(B2461,Intent_Analysis!$A$5:$A$81,0))</f>
        <v>Cash, ATM &amp; deposits</v>
      </c>
      <c r="D2461" s="0" t="n">
        <f aca="false">INDEX(Intent_Analysis!$E$5:$E$81,MATCH(B2461,Intent_Analysis!$A$5:$A$81,0))</f>
        <v>3</v>
      </c>
    </row>
    <row r="2462" customFormat="false" ht="15" hidden="false" customHeight="false" outlineLevel="0" collapsed="false">
      <c r="A2462" s="0" t="s">
        <v>2786</v>
      </c>
      <c r="B2462" s="0" t="s">
        <v>77</v>
      </c>
      <c r="C2462" s="0" t="str">
        <f aca="false">INDEX(Intent_Analysis!$B$5:$B$81,MATCH(B2462,Intent_Analysis!$A$5:$A$81,0))</f>
        <v>Cash, ATM &amp; deposits</v>
      </c>
      <c r="D2462" s="0" t="n">
        <f aca="false">INDEX(Intent_Analysis!$E$5:$E$81,MATCH(B2462,Intent_Analysis!$A$5:$A$81,0))</f>
        <v>3</v>
      </c>
    </row>
    <row r="2463" customFormat="false" ht="15" hidden="false" customHeight="false" outlineLevel="0" collapsed="false">
      <c r="A2463" s="0" t="s">
        <v>2787</v>
      </c>
      <c r="B2463" s="0" t="s">
        <v>77</v>
      </c>
      <c r="C2463" s="0" t="str">
        <f aca="false">INDEX(Intent_Analysis!$B$5:$B$81,MATCH(B2463,Intent_Analysis!$A$5:$A$81,0))</f>
        <v>Cash, ATM &amp; deposits</v>
      </c>
      <c r="D2463" s="0" t="n">
        <f aca="false">INDEX(Intent_Analysis!$E$5:$E$81,MATCH(B2463,Intent_Analysis!$A$5:$A$81,0))</f>
        <v>3</v>
      </c>
    </row>
    <row r="2464" customFormat="false" ht="15" hidden="false" customHeight="false" outlineLevel="0" collapsed="false">
      <c r="A2464" s="0" t="s">
        <v>2788</v>
      </c>
      <c r="B2464" s="0" t="s">
        <v>77</v>
      </c>
      <c r="C2464" s="0" t="str">
        <f aca="false">INDEX(Intent_Analysis!$B$5:$B$81,MATCH(B2464,Intent_Analysis!$A$5:$A$81,0))</f>
        <v>Cash, ATM &amp; deposits</v>
      </c>
      <c r="D2464" s="0" t="n">
        <f aca="false">INDEX(Intent_Analysis!$E$5:$E$81,MATCH(B2464,Intent_Analysis!$A$5:$A$81,0))</f>
        <v>3</v>
      </c>
    </row>
    <row r="2465" customFormat="false" ht="15" hidden="false" customHeight="false" outlineLevel="0" collapsed="false">
      <c r="A2465" s="0" t="s">
        <v>2789</v>
      </c>
      <c r="B2465" s="0" t="s">
        <v>77</v>
      </c>
      <c r="C2465" s="0" t="str">
        <f aca="false">INDEX(Intent_Analysis!$B$5:$B$81,MATCH(B2465,Intent_Analysis!$A$5:$A$81,0))</f>
        <v>Cash, ATM &amp; deposits</v>
      </c>
      <c r="D2465" s="0" t="n">
        <f aca="false">INDEX(Intent_Analysis!$E$5:$E$81,MATCH(B2465,Intent_Analysis!$A$5:$A$81,0))</f>
        <v>3</v>
      </c>
    </row>
    <row r="2466" customFormat="false" ht="15" hidden="false" customHeight="false" outlineLevel="0" collapsed="false">
      <c r="A2466" s="0" t="s">
        <v>2790</v>
      </c>
      <c r="B2466" s="0" t="s">
        <v>77</v>
      </c>
      <c r="C2466" s="0" t="str">
        <f aca="false">INDEX(Intent_Analysis!$B$5:$B$81,MATCH(B2466,Intent_Analysis!$A$5:$A$81,0))</f>
        <v>Cash, ATM &amp; deposits</v>
      </c>
      <c r="D2466" s="0" t="n">
        <f aca="false">INDEX(Intent_Analysis!$E$5:$E$81,MATCH(B2466,Intent_Analysis!$A$5:$A$81,0))</f>
        <v>3</v>
      </c>
    </row>
    <row r="2467" customFormat="false" ht="15" hidden="false" customHeight="false" outlineLevel="0" collapsed="false">
      <c r="A2467" s="0" t="s">
        <v>2791</v>
      </c>
      <c r="B2467" s="0" t="s">
        <v>77</v>
      </c>
      <c r="C2467" s="0" t="str">
        <f aca="false">INDEX(Intent_Analysis!$B$5:$B$81,MATCH(B2467,Intent_Analysis!$A$5:$A$81,0))</f>
        <v>Cash, ATM &amp; deposits</v>
      </c>
      <c r="D2467" s="0" t="n">
        <f aca="false">INDEX(Intent_Analysis!$E$5:$E$81,MATCH(B2467,Intent_Analysis!$A$5:$A$81,0))</f>
        <v>3</v>
      </c>
    </row>
    <row r="2468" customFormat="false" ht="15" hidden="false" customHeight="false" outlineLevel="0" collapsed="false">
      <c r="A2468" s="0" t="s">
        <v>2792</v>
      </c>
      <c r="B2468" s="0" t="s">
        <v>77</v>
      </c>
      <c r="C2468" s="0" t="str">
        <f aca="false">INDEX(Intent_Analysis!$B$5:$B$81,MATCH(B2468,Intent_Analysis!$A$5:$A$81,0))</f>
        <v>Cash, ATM &amp; deposits</v>
      </c>
      <c r="D2468" s="0" t="n">
        <f aca="false">INDEX(Intent_Analysis!$E$5:$E$81,MATCH(B2468,Intent_Analysis!$A$5:$A$81,0))</f>
        <v>3</v>
      </c>
    </row>
    <row r="2469" customFormat="false" ht="15" hidden="false" customHeight="false" outlineLevel="0" collapsed="false">
      <c r="A2469" s="0" t="s">
        <v>2793</v>
      </c>
      <c r="B2469" s="0" t="s">
        <v>77</v>
      </c>
      <c r="C2469" s="0" t="str">
        <f aca="false">INDEX(Intent_Analysis!$B$5:$B$81,MATCH(B2469,Intent_Analysis!$A$5:$A$81,0))</f>
        <v>Cash, ATM &amp; deposits</v>
      </c>
      <c r="D2469" s="0" t="n">
        <f aca="false">INDEX(Intent_Analysis!$E$5:$E$81,MATCH(B2469,Intent_Analysis!$A$5:$A$81,0))</f>
        <v>3</v>
      </c>
    </row>
    <row r="2470" customFormat="false" ht="15" hidden="false" customHeight="false" outlineLevel="0" collapsed="false">
      <c r="A2470" s="0" t="s">
        <v>2794</v>
      </c>
      <c r="B2470" s="0" t="s">
        <v>77</v>
      </c>
      <c r="C2470" s="0" t="str">
        <f aca="false">INDEX(Intent_Analysis!$B$5:$B$81,MATCH(B2470,Intent_Analysis!$A$5:$A$81,0))</f>
        <v>Cash, ATM &amp; deposits</v>
      </c>
      <c r="D2470" s="0" t="n">
        <f aca="false">INDEX(Intent_Analysis!$E$5:$E$81,MATCH(B2470,Intent_Analysis!$A$5:$A$81,0))</f>
        <v>3</v>
      </c>
    </row>
    <row r="2471" customFormat="false" ht="15" hidden="false" customHeight="false" outlineLevel="0" collapsed="false">
      <c r="A2471" s="0" t="s">
        <v>2795</v>
      </c>
      <c r="B2471" s="0" t="s">
        <v>77</v>
      </c>
      <c r="C2471" s="0" t="str">
        <f aca="false">INDEX(Intent_Analysis!$B$5:$B$81,MATCH(B2471,Intent_Analysis!$A$5:$A$81,0))</f>
        <v>Cash, ATM &amp; deposits</v>
      </c>
      <c r="D2471" s="0" t="n">
        <f aca="false">INDEX(Intent_Analysis!$E$5:$E$81,MATCH(B2471,Intent_Analysis!$A$5:$A$81,0))</f>
        <v>3</v>
      </c>
    </row>
    <row r="2472" customFormat="false" ht="15" hidden="false" customHeight="false" outlineLevel="0" collapsed="false">
      <c r="A2472" s="0" t="s">
        <v>2796</v>
      </c>
      <c r="B2472" s="0" t="s">
        <v>77</v>
      </c>
      <c r="C2472" s="0" t="str">
        <f aca="false">INDEX(Intent_Analysis!$B$5:$B$81,MATCH(B2472,Intent_Analysis!$A$5:$A$81,0))</f>
        <v>Cash, ATM &amp; deposits</v>
      </c>
      <c r="D2472" s="0" t="n">
        <f aca="false">INDEX(Intent_Analysis!$E$5:$E$81,MATCH(B2472,Intent_Analysis!$A$5:$A$81,0))</f>
        <v>3</v>
      </c>
    </row>
    <row r="2473" customFormat="false" ht="15" hidden="false" customHeight="false" outlineLevel="0" collapsed="false">
      <c r="A2473" s="0" t="s">
        <v>2797</v>
      </c>
      <c r="B2473" s="0" t="s">
        <v>77</v>
      </c>
      <c r="C2473" s="0" t="str">
        <f aca="false">INDEX(Intent_Analysis!$B$5:$B$81,MATCH(B2473,Intent_Analysis!$A$5:$A$81,0))</f>
        <v>Cash, ATM &amp; deposits</v>
      </c>
      <c r="D2473" s="0" t="n">
        <f aca="false">INDEX(Intent_Analysis!$E$5:$E$81,MATCH(B2473,Intent_Analysis!$A$5:$A$81,0))</f>
        <v>3</v>
      </c>
    </row>
    <row r="2474" customFormat="false" ht="15" hidden="false" customHeight="false" outlineLevel="0" collapsed="false">
      <c r="A2474" s="0" t="s">
        <v>2798</v>
      </c>
      <c r="B2474" s="0" t="s">
        <v>77</v>
      </c>
      <c r="C2474" s="0" t="str">
        <f aca="false">INDEX(Intent_Analysis!$B$5:$B$81,MATCH(B2474,Intent_Analysis!$A$5:$A$81,0))</f>
        <v>Cash, ATM &amp; deposits</v>
      </c>
      <c r="D2474" s="0" t="n">
        <f aca="false">INDEX(Intent_Analysis!$E$5:$E$81,MATCH(B2474,Intent_Analysis!$A$5:$A$81,0))</f>
        <v>3</v>
      </c>
    </row>
    <row r="2475" customFormat="false" ht="15" hidden="false" customHeight="false" outlineLevel="0" collapsed="false">
      <c r="A2475" s="0" t="s">
        <v>2799</v>
      </c>
      <c r="B2475" s="0" t="s">
        <v>77</v>
      </c>
      <c r="C2475" s="0" t="str">
        <f aca="false">INDEX(Intent_Analysis!$B$5:$B$81,MATCH(B2475,Intent_Analysis!$A$5:$A$81,0))</f>
        <v>Cash, ATM &amp; deposits</v>
      </c>
      <c r="D2475" s="0" t="n">
        <f aca="false">INDEX(Intent_Analysis!$E$5:$E$81,MATCH(B2475,Intent_Analysis!$A$5:$A$81,0))</f>
        <v>3</v>
      </c>
    </row>
    <row r="2476" customFormat="false" ht="15" hidden="false" customHeight="false" outlineLevel="0" collapsed="false">
      <c r="A2476" s="0" t="s">
        <v>2800</v>
      </c>
      <c r="B2476" s="0" t="s">
        <v>77</v>
      </c>
      <c r="C2476" s="0" t="str">
        <f aca="false">INDEX(Intent_Analysis!$B$5:$B$81,MATCH(B2476,Intent_Analysis!$A$5:$A$81,0))</f>
        <v>Cash, ATM &amp; deposits</v>
      </c>
      <c r="D2476" s="0" t="n">
        <f aca="false">INDEX(Intent_Analysis!$E$5:$E$81,MATCH(B2476,Intent_Analysis!$A$5:$A$81,0))</f>
        <v>3</v>
      </c>
    </row>
    <row r="2477" customFormat="false" ht="15" hidden="false" customHeight="false" outlineLevel="0" collapsed="false">
      <c r="A2477" s="0" t="s">
        <v>2801</v>
      </c>
      <c r="B2477" s="0" t="s">
        <v>77</v>
      </c>
      <c r="C2477" s="0" t="str">
        <f aca="false">INDEX(Intent_Analysis!$B$5:$B$81,MATCH(B2477,Intent_Analysis!$A$5:$A$81,0))</f>
        <v>Cash, ATM &amp; deposits</v>
      </c>
      <c r="D2477" s="0" t="n">
        <f aca="false">INDEX(Intent_Analysis!$E$5:$E$81,MATCH(B2477,Intent_Analysis!$A$5:$A$81,0))</f>
        <v>3</v>
      </c>
    </row>
    <row r="2478" customFormat="false" ht="15" hidden="false" customHeight="false" outlineLevel="0" collapsed="false">
      <c r="A2478" s="0" t="s">
        <v>2802</v>
      </c>
      <c r="B2478" s="0" t="s">
        <v>77</v>
      </c>
      <c r="C2478" s="0" t="str">
        <f aca="false">INDEX(Intent_Analysis!$B$5:$B$81,MATCH(B2478,Intent_Analysis!$A$5:$A$81,0))</f>
        <v>Cash, ATM &amp; deposits</v>
      </c>
      <c r="D2478" s="0" t="n">
        <f aca="false">INDEX(Intent_Analysis!$E$5:$E$81,MATCH(B2478,Intent_Analysis!$A$5:$A$81,0))</f>
        <v>3</v>
      </c>
    </row>
    <row r="2479" customFormat="false" ht="15" hidden="false" customHeight="false" outlineLevel="0" collapsed="false">
      <c r="A2479" s="0" t="s">
        <v>2803</v>
      </c>
      <c r="B2479" s="0" t="s">
        <v>77</v>
      </c>
      <c r="C2479" s="0" t="str">
        <f aca="false">INDEX(Intent_Analysis!$B$5:$B$81,MATCH(B2479,Intent_Analysis!$A$5:$A$81,0))</f>
        <v>Cash, ATM &amp; deposits</v>
      </c>
      <c r="D2479" s="0" t="n">
        <f aca="false">INDEX(Intent_Analysis!$E$5:$E$81,MATCH(B2479,Intent_Analysis!$A$5:$A$81,0))</f>
        <v>3</v>
      </c>
    </row>
    <row r="2480" customFormat="false" ht="15" hidden="false" customHeight="false" outlineLevel="0" collapsed="false">
      <c r="A2480" s="0" t="s">
        <v>2804</v>
      </c>
      <c r="B2480" s="0" t="s">
        <v>77</v>
      </c>
      <c r="C2480" s="0" t="str">
        <f aca="false">INDEX(Intent_Analysis!$B$5:$B$81,MATCH(B2480,Intent_Analysis!$A$5:$A$81,0))</f>
        <v>Cash, ATM &amp; deposits</v>
      </c>
      <c r="D2480" s="0" t="n">
        <f aca="false">INDEX(Intent_Analysis!$E$5:$E$81,MATCH(B2480,Intent_Analysis!$A$5:$A$81,0))</f>
        <v>3</v>
      </c>
    </row>
    <row r="2481" customFormat="false" ht="15" hidden="false" customHeight="false" outlineLevel="0" collapsed="false">
      <c r="A2481" s="0" t="s">
        <v>2805</v>
      </c>
      <c r="B2481" s="0" t="s">
        <v>77</v>
      </c>
      <c r="C2481" s="0" t="str">
        <f aca="false">INDEX(Intent_Analysis!$B$5:$B$81,MATCH(B2481,Intent_Analysis!$A$5:$A$81,0))</f>
        <v>Cash, ATM &amp; deposits</v>
      </c>
      <c r="D2481" s="0" t="n">
        <f aca="false">INDEX(Intent_Analysis!$E$5:$E$81,MATCH(B2481,Intent_Analysis!$A$5:$A$81,0))</f>
        <v>3</v>
      </c>
    </row>
    <row r="2482" customFormat="false" ht="15" hidden="false" customHeight="false" outlineLevel="0" collapsed="false">
      <c r="A2482" s="0" t="s">
        <v>2806</v>
      </c>
      <c r="B2482" s="0" t="s">
        <v>77</v>
      </c>
      <c r="C2482" s="0" t="str">
        <f aca="false">INDEX(Intent_Analysis!$B$5:$B$81,MATCH(B2482,Intent_Analysis!$A$5:$A$81,0))</f>
        <v>Cash, ATM &amp; deposits</v>
      </c>
      <c r="D2482" s="0" t="n">
        <f aca="false">INDEX(Intent_Analysis!$E$5:$E$81,MATCH(B2482,Intent_Analysis!$A$5:$A$81,0))</f>
        <v>3</v>
      </c>
    </row>
    <row r="2483" customFormat="false" ht="15" hidden="false" customHeight="false" outlineLevel="0" collapsed="false">
      <c r="A2483" s="0" t="s">
        <v>2807</v>
      </c>
      <c r="B2483" s="0" t="s">
        <v>77</v>
      </c>
      <c r="C2483" s="0" t="str">
        <f aca="false">INDEX(Intent_Analysis!$B$5:$B$81,MATCH(B2483,Intent_Analysis!$A$5:$A$81,0))</f>
        <v>Cash, ATM &amp; deposits</v>
      </c>
      <c r="D2483" s="0" t="n">
        <f aca="false">INDEX(Intent_Analysis!$E$5:$E$81,MATCH(B2483,Intent_Analysis!$A$5:$A$81,0))</f>
        <v>3</v>
      </c>
    </row>
    <row r="2484" customFormat="false" ht="15" hidden="false" customHeight="false" outlineLevel="0" collapsed="false">
      <c r="A2484" s="0" t="s">
        <v>2808</v>
      </c>
      <c r="B2484" s="0" t="s">
        <v>77</v>
      </c>
      <c r="C2484" s="0" t="str">
        <f aca="false">INDEX(Intent_Analysis!$B$5:$B$81,MATCH(B2484,Intent_Analysis!$A$5:$A$81,0))</f>
        <v>Cash, ATM &amp; deposits</v>
      </c>
      <c r="D2484" s="0" t="n">
        <f aca="false">INDEX(Intent_Analysis!$E$5:$E$81,MATCH(B2484,Intent_Analysis!$A$5:$A$81,0))</f>
        <v>3</v>
      </c>
    </row>
    <row r="2485" customFormat="false" ht="15" hidden="false" customHeight="false" outlineLevel="0" collapsed="false">
      <c r="A2485" s="0" t="s">
        <v>2809</v>
      </c>
      <c r="B2485" s="0" t="s">
        <v>77</v>
      </c>
      <c r="C2485" s="0" t="str">
        <f aca="false">INDEX(Intent_Analysis!$B$5:$B$81,MATCH(B2485,Intent_Analysis!$A$5:$A$81,0))</f>
        <v>Cash, ATM &amp; deposits</v>
      </c>
      <c r="D2485" s="0" t="n">
        <f aca="false">INDEX(Intent_Analysis!$E$5:$E$81,MATCH(B2485,Intent_Analysis!$A$5:$A$81,0))</f>
        <v>3</v>
      </c>
    </row>
    <row r="2486" customFormat="false" ht="15" hidden="false" customHeight="false" outlineLevel="0" collapsed="false">
      <c r="A2486" s="0" t="s">
        <v>2810</v>
      </c>
      <c r="B2486" s="0" t="s">
        <v>77</v>
      </c>
      <c r="C2486" s="0" t="str">
        <f aca="false">INDEX(Intent_Analysis!$B$5:$B$81,MATCH(B2486,Intent_Analysis!$A$5:$A$81,0))</f>
        <v>Cash, ATM &amp; deposits</v>
      </c>
      <c r="D2486" s="0" t="n">
        <f aca="false">INDEX(Intent_Analysis!$E$5:$E$81,MATCH(B2486,Intent_Analysis!$A$5:$A$81,0))</f>
        <v>3</v>
      </c>
    </row>
    <row r="2487" customFormat="false" ht="15" hidden="false" customHeight="false" outlineLevel="0" collapsed="false">
      <c r="A2487" s="0" t="s">
        <v>2811</v>
      </c>
      <c r="B2487" s="0" t="s">
        <v>77</v>
      </c>
      <c r="C2487" s="0" t="str">
        <f aca="false">INDEX(Intent_Analysis!$B$5:$B$81,MATCH(B2487,Intent_Analysis!$A$5:$A$81,0))</f>
        <v>Cash, ATM &amp; deposits</v>
      </c>
      <c r="D2487" s="0" t="n">
        <f aca="false">INDEX(Intent_Analysis!$E$5:$E$81,MATCH(B2487,Intent_Analysis!$A$5:$A$81,0))</f>
        <v>3</v>
      </c>
    </row>
    <row r="2488" customFormat="false" ht="15" hidden="false" customHeight="false" outlineLevel="0" collapsed="false">
      <c r="A2488" s="0" t="s">
        <v>2812</v>
      </c>
      <c r="B2488" s="0" t="s">
        <v>77</v>
      </c>
      <c r="C2488" s="0" t="str">
        <f aca="false">INDEX(Intent_Analysis!$B$5:$B$81,MATCH(B2488,Intent_Analysis!$A$5:$A$81,0))</f>
        <v>Cash, ATM &amp; deposits</v>
      </c>
      <c r="D2488" s="0" t="n">
        <f aca="false">INDEX(Intent_Analysis!$E$5:$E$81,MATCH(B2488,Intent_Analysis!$A$5:$A$81,0))</f>
        <v>3</v>
      </c>
    </row>
    <row r="2489" customFormat="false" ht="15" hidden="false" customHeight="false" outlineLevel="0" collapsed="false">
      <c r="A2489" s="0" t="s">
        <v>2813</v>
      </c>
      <c r="B2489" s="0" t="s">
        <v>77</v>
      </c>
      <c r="C2489" s="0" t="str">
        <f aca="false">INDEX(Intent_Analysis!$B$5:$B$81,MATCH(B2489,Intent_Analysis!$A$5:$A$81,0))</f>
        <v>Cash, ATM &amp; deposits</v>
      </c>
      <c r="D2489" s="0" t="n">
        <f aca="false">INDEX(Intent_Analysis!$E$5:$E$81,MATCH(B2489,Intent_Analysis!$A$5:$A$81,0))</f>
        <v>3</v>
      </c>
    </row>
    <row r="2490" customFormat="false" ht="15" hidden="false" customHeight="false" outlineLevel="0" collapsed="false">
      <c r="A2490" s="0" t="s">
        <v>2814</v>
      </c>
      <c r="B2490" s="0" t="s">
        <v>77</v>
      </c>
      <c r="C2490" s="0" t="str">
        <f aca="false">INDEX(Intent_Analysis!$B$5:$B$81,MATCH(B2490,Intent_Analysis!$A$5:$A$81,0))</f>
        <v>Cash, ATM &amp; deposits</v>
      </c>
      <c r="D2490" s="0" t="n">
        <f aca="false">INDEX(Intent_Analysis!$E$5:$E$81,MATCH(B2490,Intent_Analysis!$A$5:$A$81,0))</f>
        <v>3</v>
      </c>
    </row>
    <row r="2491" customFormat="false" ht="15" hidden="false" customHeight="false" outlineLevel="0" collapsed="false">
      <c r="A2491" s="0" t="s">
        <v>2815</v>
      </c>
      <c r="B2491" s="0" t="s">
        <v>77</v>
      </c>
      <c r="C2491" s="0" t="str">
        <f aca="false">INDEX(Intent_Analysis!$B$5:$B$81,MATCH(B2491,Intent_Analysis!$A$5:$A$81,0))</f>
        <v>Cash, ATM &amp; deposits</v>
      </c>
      <c r="D2491" s="0" t="n">
        <f aca="false">INDEX(Intent_Analysis!$E$5:$E$81,MATCH(B2491,Intent_Analysis!$A$5:$A$81,0))</f>
        <v>3</v>
      </c>
    </row>
    <row r="2492" customFormat="false" ht="15" hidden="false" customHeight="false" outlineLevel="0" collapsed="false">
      <c r="A2492" s="0" t="s">
        <v>2816</v>
      </c>
      <c r="B2492" s="0" t="s">
        <v>77</v>
      </c>
      <c r="C2492" s="0" t="str">
        <f aca="false">INDEX(Intent_Analysis!$B$5:$B$81,MATCH(B2492,Intent_Analysis!$A$5:$A$81,0))</f>
        <v>Cash, ATM &amp; deposits</v>
      </c>
      <c r="D2492" s="0" t="n">
        <f aca="false">INDEX(Intent_Analysis!$E$5:$E$81,MATCH(B2492,Intent_Analysis!$A$5:$A$81,0))</f>
        <v>3</v>
      </c>
    </row>
    <row r="2493" customFormat="false" ht="15" hidden="false" customHeight="false" outlineLevel="0" collapsed="false">
      <c r="A2493" s="0" t="s">
        <v>2817</v>
      </c>
      <c r="B2493" s="0" t="s">
        <v>77</v>
      </c>
      <c r="C2493" s="0" t="str">
        <f aca="false">INDEX(Intent_Analysis!$B$5:$B$81,MATCH(B2493,Intent_Analysis!$A$5:$A$81,0))</f>
        <v>Cash, ATM &amp; deposits</v>
      </c>
      <c r="D2493" s="0" t="n">
        <f aca="false">INDEX(Intent_Analysis!$E$5:$E$81,MATCH(B2493,Intent_Analysis!$A$5:$A$81,0))</f>
        <v>3</v>
      </c>
    </row>
    <row r="2494" customFormat="false" ht="15" hidden="false" customHeight="false" outlineLevel="0" collapsed="false">
      <c r="A2494" s="0" t="s">
        <v>2818</v>
      </c>
      <c r="B2494" s="0" t="s">
        <v>77</v>
      </c>
      <c r="C2494" s="0" t="str">
        <f aca="false">INDEX(Intent_Analysis!$B$5:$B$81,MATCH(B2494,Intent_Analysis!$A$5:$A$81,0))</f>
        <v>Cash, ATM &amp; deposits</v>
      </c>
      <c r="D2494" s="0" t="n">
        <f aca="false">INDEX(Intent_Analysis!$E$5:$E$81,MATCH(B2494,Intent_Analysis!$A$5:$A$81,0))</f>
        <v>3</v>
      </c>
    </row>
    <row r="2495" customFormat="false" ht="15" hidden="false" customHeight="false" outlineLevel="0" collapsed="false">
      <c r="A2495" s="0" t="s">
        <v>2819</v>
      </c>
      <c r="B2495" s="0" t="s">
        <v>77</v>
      </c>
      <c r="C2495" s="0" t="str">
        <f aca="false">INDEX(Intent_Analysis!$B$5:$B$81,MATCH(B2495,Intent_Analysis!$A$5:$A$81,0))</f>
        <v>Cash, ATM &amp; deposits</v>
      </c>
      <c r="D2495" s="0" t="n">
        <f aca="false">INDEX(Intent_Analysis!$E$5:$E$81,MATCH(B2495,Intent_Analysis!$A$5:$A$81,0))</f>
        <v>3</v>
      </c>
    </row>
    <row r="2496" customFormat="false" ht="15" hidden="false" customHeight="false" outlineLevel="0" collapsed="false">
      <c r="A2496" s="0" t="s">
        <v>2820</v>
      </c>
      <c r="B2496" s="0" t="s">
        <v>77</v>
      </c>
      <c r="C2496" s="0" t="str">
        <f aca="false">INDEX(Intent_Analysis!$B$5:$B$81,MATCH(B2496,Intent_Analysis!$A$5:$A$81,0))</f>
        <v>Cash, ATM &amp; deposits</v>
      </c>
      <c r="D2496" s="0" t="n">
        <f aca="false">INDEX(Intent_Analysis!$E$5:$E$81,MATCH(B2496,Intent_Analysis!$A$5:$A$81,0))</f>
        <v>3</v>
      </c>
    </row>
    <row r="2497" customFormat="false" ht="15" hidden="false" customHeight="false" outlineLevel="0" collapsed="false">
      <c r="A2497" s="0" t="s">
        <v>2821</v>
      </c>
      <c r="B2497" s="0" t="s">
        <v>77</v>
      </c>
      <c r="C2497" s="0" t="str">
        <f aca="false">INDEX(Intent_Analysis!$B$5:$B$81,MATCH(B2497,Intent_Analysis!$A$5:$A$81,0))</f>
        <v>Cash, ATM &amp; deposits</v>
      </c>
      <c r="D2497" s="0" t="n">
        <f aca="false">INDEX(Intent_Analysis!$E$5:$E$81,MATCH(B2497,Intent_Analysis!$A$5:$A$81,0))</f>
        <v>3</v>
      </c>
    </row>
    <row r="2498" customFormat="false" ht="15" hidden="false" customHeight="false" outlineLevel="0" collapsed="false">
      <c r="A2498" s="0" t="s">
        <v>2822</v>
      </c>
      <c r="B2498" s="0" t="s">
        <v>77</v>
      </c>
      <c r="C2498" s="0" t="str">
        <f aca="false">INDEX(Intent_Analysis!$B$5:$B$81,MATCH(B2498,Intent_Analysis!$A$5:$A$81,0))</f>
        <v>Cash, ATM &amp; deposits</v>
      </c>
      <c r="D2498" s="0" t="n">
        <f aca="false">INDEX(Intent_Analysis!$E$5:$E$81,MATCH(B2498,Intent_Analysis!$A$5:$A$81,0))</f>
        <v>3</v>
      </c>
    </row>
    <row r="2499" customFormat="false" ht="15" hidden="false" customHeight="false" outlineLevel="0" collapsed="false">
      <c r="A2499" s="0" t="s">
        <v>2823</v>
      </c>
      <c r="B2499" s="0" t="s">
        <v>77</v>
      </c>
      <c r="C2499" s="0" t="str">
        <f aca="false">INDEX(Intent_Analysis!$B$5:$B$81,MATCH(B2499,Intent_Analysis!$A$5:$A$81,0))</f>
        <v>Cash, ATM &amp; deposits</v>
      </c>
      <c r="D2499" s="0" t="n">
        <f aca="false">INDEX(Intent_Analysis!$E$5:$E$81,MATCH(B2499,Intent_Analysis!$A$5:$A$81,0))</f>
        <v>3</v>
      </c>
    </row>
    <row r="2500" customFormat="false" ht="15" hidden="false" customHeight="false" outlineLevel="0" collapsed="false">
      <c r="A2500" s="0" t="s">
        <v>2824</v>
      </c>
      <c r="B2500" s="0" t="s">
        <v>77</v>
      </c>
      <c r="C2500" s="0" t="str">
        <f aca="false">INDEX(Intent_Analysis!$B$5:$B$81,MATCH(B2500,Intent_Analysis!$A$5:$A$81,0))</f>
        <v>Cash, ATM &amp; deposits</v>
      </c>
      <c r="D2500" s="0" t="n">
        <f aca="false">INDEX(Intent_Analysis!$E$5:$E$81,MATCH(B2500,Intent_Analysis!$A$5:$A$81,0))</f>
        <v>3</v>
      </c>
    </row>
    <row r="2501" customFormat="false" ht="15" hidden="false" customHeight="false" outlineLevel="0" collapsed="false">
      <c r="A2501" s="0" t="s">
        <v>2825</v>
      </c>
      <c r="B2501" s="0" t="s">
        <v>77</v>
      </c>
      <c r="C2501" s="0" t="str">
        <f aca="false">INDEX(Intent_Analysis!$B$5:$B$81,MATCH(B2501,Intent_Analysis!$A$5:$A$81,0))</f>
        <v>Cash, ATM &amp; deposits</v>
      </c>
      <c r="D2501" s="0" t="n">
        <f aca="false">INDEX(Intent_Analysis!$E$5:$E$81,MATCH(B2501,Intent_Analysis!$A$5:$A$81,0))</f>
        <v>3</v>
      </c>
    </row>
    <row r="2502" customFormat="false" ht="15" hidden="false" customHeight="false" outlineLevel="0" collapsed="false">
      <c r="A2502" s="0" t="s">
        <v>2826</v>
      </c>
      <c r="B2502" s="0" t="s">
        <v>77</v>
      </c>
      <c r="C2502" s="0" t="str">
        <f aca="false">INDEX(Intent_Analysis!$B$5:$B$81,MATCH(B2502,Intent_Analysis!$A$5:$A$81,0))</f>
        <v>Cash, ATM &amp; deposits</v>
      </c>
      <c r="D2502" s="0" t="n">
        <f aca="false">INDEX(Intent_Analysis!$E$5:$E$81,MATCH(B2502,Intent_Analysis!$A$5:$A$81,0))</f>
        <v>3</v>
      </c>
    </row>
    <row r="2503" customFormat="false" ht="15" hidden="false" customHeight="false" outlineLevel="0" collapsed="false">
      <c r="A2503" s="0" t="s">
        <v>2827</v>
      </c>
      <c r="B2503" s="0" t="s">
        <v>77</v>
      </c>
      <c r="C2503" s="0" t="str">
        <f aca="false">INDEX(Intent_Analysis!$B$5:$B$81,MATCH(B2503,Intent_Analysis!$A$5:$A$81,0))</f>
        <v>Cash, ATM &amp; deposits</v>
      </c>
      <c r="D2503" s="0" t="n">
        <f aca="false">INDEX(Intent_Analysis!$E$5:$E$81,MATCH(B2503,Intent_Analysis!$A$5:$A$81,0))</f>
        <v>3</v>
      </c>
    </row>
    <row r="2504" customFormat="false" ht="15" hidden="false" customHeight="false" outlineLevel="0" collapsed="false">
      <c r="A2504" s="0" t="s">
        <v>2828</v>
      </c>
      <c r="B2504" s="0" t="s">
        <v>77</v>
      </c>
      <c r="C2504" s="0" t="str">
        <f aca="false">INDEX(Intent_Analysis!$B$5:$B$81,MATCH(B2504,Intent_Analysis!$A$5:$A$81,0))</f>
        <v>Cash, ATM &amp; deposits</v>
      </c>
      <c r="D2504" s="0" t="n">
        <f aca="false">INDEX(Intent_Analysis!$E$5:$E$81,MATCH(B2504,Intent_Analysis!$A$5:$A$81,0))</f>
        <v>3</v>
      </c>
    </row>
    <row r="2505" customFormat="false" ht="15" hidden="false" customHeight="false" outlineLevel="0" collapsed="false">
      <c r="A2505" s="0" t="s">
        <v>2829</v>
      </c>
      <c r="B2505" s="0" t="s">
        <v>77</v>
      </c>
      <c r="C2505" s="0" t="str">
        <f aca="false">INDEX(Intent_Analysis!$B$5:$B$81,MATCH(B2505,Intent_Analysis!$A$5:$A$81,0))</f>
        <v>Cash, ATM &amp; deposits</v>
      </c>
      <c r="D2505" s="0" t="n">
        <f aca="false">INDEX(Intent_Analysis!$E$5:$E$81,MATCH(B2505,Intent_Analysis!$A$5:$A$81,0))</f>
        <v>3</v>
      </c>
    </row>
    <row r="2506" customFormat="false" ht="15" hidden="false" customHeight="false" outlineLevel="0" collapsed="false">
      <c r="A2506" s="0" t="s">
        <v>2830</v>
      </c>
      <c r="B2506" s="0" t="s">
        <v>77</v>
      </c>
      <c r="C2506" s="0" t="str">
        <f aca="false">INDEX(Intent_Analysis!$B$5:$B$81,MATCH(B2506,Intent_Analysis!$A$5:$A$81,0))</f>
        <v>Cash, ATM &amp; deposits</v>
      </c>
      <c r="D2506" s="0" t="n">
        <f aca="false">INDEX(Intent_Analysis!$E$5:$E$81,MATCH(B2506,Intent_Analysis!$A$5:$A$81,0))</f>
        <v>3</v>
      </c>
    </row>
    <row r="2507" customFormat="false" ht="15" hidden="false" customHeight="false" outlineLevel="0" collapsed="false">
      <c r="A2507" s="0" t="s">
        <v>2831</v>
      </c>
      <c r="B2507" s="0" t="s">
        <v>77</v>
      </c>
      <c r="C2507" s="0" t="str">
        <f aca="false">INDEX(Intent_Analysis!$B$5:$B$81,MATCH(B2507,Intent_Analysis!$A$5:$A$81,0))</f>
        <v>Cash, ATM &amp; deposits</v>
      </c>
      <c r="D2507" s="0" t="n">
        <f aca="false">INDEX(Intent_Analysis!$E$5:$E$81,MATCH(B2507,Intent_Analysis!$A$5:$A$81,0))</f>
        <v>3</v>
      </c>
    </row>
    <row r="2508" customFormat="false" ht="15" hidden="false" customHeight="false" outlineLevel="0" collapsed="false">
      <c r="A2508" s="0" t="s">
        <v>2832</v>
      </c>
      <c r="B2508" s="0" t="s">
        <v>77</v>
      </c>
      <c r="C2508" s="0" t="str">
        <f aca="false">INDEX(Intent_Analysis!$B$5:$B$81,MATCH(B2508,Intent_Analysis!$A$5:$A$81,0))</f>
        <v>Cash, ATM &amp; deposits</v>
      </c>
      <c r="D2508" s="0" t="n">
        <f aca="false">INDEX(Intent_Analysis!$E$5:$E$81,MATCH(B2508,Intent_Analysis!$A$5:$A$81,0))</f>
        <v>3</v>
      </c>
    </row>
    <row r="2509" customFormat="false" ht="15" hidden="false" customHeight="false" outlineLevel="0" collapsed="false">
      <c r="A2509" s="0" t="s">
        <v>2833</v>
      </c>
      <c r="B2509" s="0" t="s">
        <v>77</v>
      </c>
      <c r="C2509" s="0" t="str">
        <f aca="false">INDEX(Intent_Analysis!$B$5:$B$81,MATCH(B2509,Intent_Analysis!$A$5:$A$81,0))</f>
        <v>Cash, ATM &amp; deposits</v>
      </c>
      <c r="D2509" s="0" t="n">
        <f aca="false">INDEX(Intent_Analysis!$E$5:$E$81,MATCH(B2509,Intent_Analysis!$A$5:$A$81,0))</f>
        <v>3</v>
      </c>
    </row>
    <row r="2510" customFormat="false" ht="15" hidden="false" customHeight="false" outlineLevel="0" collapsed="false">
      <c r="A2510" s="0" t="s">
        <v>2834</v>
      </c>
      <c r="B2510" s="0" t="s">
        <v>77</v>
      </c>
      <c r="C2510" s="0" t="str">
        <f aca="false">INDEX(Intent_Analysis!$B$5:$B$81,MATCH(B2510,Intent_Analysis!$A$5:$A$81,0))</f>
        <v>Cash, ATM &amp; deposits</v>
      </c>
      <c r="D2510" s="0" t="n">
        <f aca="false">INDEX(Intent_Analysis!$E$5:$E$81,MATCH(B2510,Intent_Analysis!$A$5:$A$81,0))</f>
        <v>3</v>
      </c>
    </row>
    <row r="2511" customFormat="false" ht="15" hidden="false" customHeight="false" outlineLevel="0" collapsed="false">
      <c r="A2511" s="0" t="s">
        <v>2835</v>
      </c>
      <c r="B2511" s="0" t="s">
        <v>77</v>
      </c>
      <c r="C2511" s="0" t="str">
        <f aca="false">INDEX(Intent_Analysis!$B$5:$B$81,MATCH(B2511,Intent_Analysis!$A$5:$A$81,0))</f>
        <v>Cash, ATM &amp; deposits</v>
      </c>
      <c r="D2511" s="0" t="n">
        <f aca="false">INDEX(Intent_Analysis!$E$5:$E$81,MATCH(B2511,Intent_Analysis!$A$5:$A$81,0))</f>
        <v>3</v>
      </c>
    </row>
    <row r="2512" customFormat="false" ht="15" hidden="false" customHeight="false" outlineLevel="0" collapsed="false">
      <c r="A2512" s="0" t="s">
        <v>2836</v>
      </c>
      <c r="B2512" s="0" t="s">
        <v>77</v>
      </c>
      <c r="C2512" s="0" t="str">
        <f aca="false">INDEX(Intent_Analysis!$B$5:$B$81,MATCH(B2512,Intent_Analysis!$A$5:$A$81,0))</f>
        <v>Cash, ATM &amp; deposits</v>
      </c>
      <c r="D2512" s="0" t="n">
        <f aca="false">INDEX(Intent_Analysis!$E$5:$E$81,MATCH(B2512,Intent_Analysis!$A$5:$A$81,0))</f>
        <v>3</v>
      </c>
    </row>
    <row r="2513" customFormat="false" ht="15" hidden="false" customHeight="false" outlineLevel="0" collapsed="false">
      <c r="A2513" s="0" t="s">
        <v>2837</v>
      </c>
      <c r="B2513" s="0" t="s">
        <v>87</v>
      </c>
      <c r="C2513" s="0" t="str">
        <f aca="false">INDEX(Intent_Analysis!$B$5:$B$81,MATCH(B2513,Intent_Analysis!$A$5:$A$81,0))</f>
        <v>Fees &amp; charges</v>
      </c>
      <c r="D2513" s="0" t="n">
        <f aca="false">INDEX(Intent_Analysis!$E$5:$E$81,MATCH(B2513,Intent_Analysis!$A$5:$A$81,0))</f>
        <v>1</v>
      </c>
    </row>
    <row r="2514" customFormat="false" ht="15" hidden="false" customHeight="false" outlineLevel="0" collapsed="false">
      <c r="A2514" s="0" t="s">
        <v>2838</v>
      </c>
      <c r="B2514" s="0" t="s">
        <v>87</v>
      </c>
      <c r="C2514" s="0" t="str">
        <f aca="false">INDEX(Intent_Analysis!$B$5:$B$81,MATCH(B2514,Intent_Analysis!$A$5:$A$81,0))</f>
        <v>Fees &amp; charges</v>
      </c>
      <c r="D2514" s="0" t="n">
        <f aca="false">INDEX(Intent_Analysis!$E$5:$E$81,MATCH(B2514,Intent_Analysis!$A$5:$A$81,0))</f>
        <v>1</v>
      </c>
    </row>
    <row r="2515" customFormat="false" ht="15" hidden="false" customHeight="false" outlineLevel="0" collapsed="false">
      <c r="A2515" s="0" t="s">
        <v>2839</v>
      </c>
      <c r="B2515" s="0" t="s">
        <v>87</v>
      </c>
      <c r="C2515" s="0" t="str">
        <f aca="false">INDEX(Intent_Analysis!$B$5:$B$81,MATCH(B2515,Intent_Analysis!$A$5:$A$81,0))</f>
        <v>Fees &amp; charges</v>
      </c>
      <c r="D2515" s="0" t="n">
        <f aca="false">INDEX(Intent_Analysis!$E$5:$E$81,MATCH(B2515,Intent_Analysis!$A$5:$A$81,0))</f>
        <v>1</v>
      </c>
    </row>
    <row r="2516" customFormat="false" ht="15" hidden="false" customHeight="false" outlineLevel="0" collapsed="false">
      <c r="A2516" s="0" t="s">
        <v>2840</v>
      </c>
      <c r="B2516" s="0" t="s">
        <v>87</v>
      </c>
      <c r="C2516" s="0" t="str">
        <f aca="false">INDEX(Intent_Analysis!$B$5:$B$81,MATCH(B2516,Intent_Analysis!$A$5:$A$81,0))</f>
        <v>Fees &amp; charges</v>
      </c>
      <c r="D2516" s="0" t="n">
        <f aca="false">INDEX(Intent_Analysis!$E$5:$E$81,MATCH(B2516,Intent_Analysis!$A$5:$A$81,0))</f>
        <v>1</v>
      </c>
    </row>
    <row r="2517" customFormat="false" ht="15" hidden="false" customHeight="false" outlineLevel="0" collapsed="false">
      <c r="A2517" s="0" t="s">
        <v>2841</v>
      </c>
      <c r="B2517" s="0" t="s">
        <v>87</v>
      </c>
      <c r="C2517" s="0" t="str">
        <f aca="false">INDEX(Intent_Analysis!$B$5:$B$81,MATCH(B2517,Intent_Analysis!$A$5:$A$81,0))</f>
        <v>Fees &amp; charges</v>
      </c>
      <c r="D2517" s="0" t="n">
        <f aca="false">INDEX(Intent_Analysis!$E$5:$E$81,MATCH(B2517,Intent_Analysis!$A$5:$A$81,0))</f>
        <v>1</v>
      </c>
    </row>
    <row r="2518" customFormat="false" ht="15" hidden="false" customHeight="false" outlineLevel="0" collapsed="false">
      <c r="A2518" s="0" t="s">
        <v>2842</v>
      </c>
      <c r="B2518" s="0" t="s">
        <v>87</v>
      </c>
      <c r="C2518" s="0" t="str">
        <f aca="false">INDEX(Intent_Analysis!$B$5:$B$81,MATCH(B2518,Intent_Analysis!$A$5:$A$81,0))</f>
        <v>Fees &amp; charges</v>
      </c>
      <c r="D2518" s="0" t="n">
        <f aca="false">INDEX(Intent_Analysis!$E$5:$E$81,MATCH(B2518,Intent_Analysis!$A$5:$A$81,0))</f>
        <v>1</v>
      </c>
    </row>
    <row r="2519" customFormat="false" ht="15" hidden="false" customHeight="false" outlineLevel="0" collapsed="false">
      <c r="A2519" s="0" t="s">
        <v>2843</v>
      </c>
      <c r="B2519" s="0" t="s">
        <v>87</v>
      </c>
      <c r="C2519" s="0" t="str">
        <f aca="false">INDEX(Intent_Analysis!$B$5:$B$81,MATCH(B2519,Intent_Analysis!$A$5:$A$81,0))</f>
        <v>Fees &amp; charges</v>
      </c>
      <c r="D2519" s="0" t="n">
        <f aca="false">INDEX(Intent_Analysis!$E$5:$E$81,MATCH(B2519,Intent_Analysis!$A$5:$A$81,0))</f>
        <v>1</v>
      </c>
    </row>
    <row r="2520" customFormat="false" ht="15" hidden="false" customHeight="false" outlineLevel="0" collapsed="false">
      <c r="A2520" s="0" t="s">
        <v>2844</v>
      </c>
      <c r="B2520" s="0" t="s">
        <v>87</v>
      </c>
      <c r="C2520" s="0" t="str">
        <f aca="false">INDEX(Intent_Analysis!$B$5:$B$81,MATCH(B2520,Intent_Analysis!$A$5:$A$81,0))</f>
        <v>Fees &amp; charges</v>
      </c>
      <c r="D2520" s="0" t="n">
        <f aca="false">INDEX(Intent_Analysis!$E$5:$E$81,MATCH(B2520,Intent_Analysis!$A$5:$A$81,0))</f>
        <v>1</v>
      </c>
    </row>
    <row r="2521" customFormat="false" ht="15" hidden="false" customHeight="false" outlineLevel="0" collapsed="false">
      <c r="A2521" s="0" t="s">
        <v>2845</v>
      </c>
      <c r="B2521" s="0" t="s">
        <v>87</v>
      </c>
      <c r="C2521" s="0" t="str">
        <f aca="false">INDEX(Intent_Analysis!$B$5:$B$81,MATCH(B2521,Intent_Analysis!$A$5:$A$81,0))</f>
        <v>Fees &amp; charges</v>
      </c>
      <c r="D2521" s="0" t="n">
        <f aca="false">INDEX(Intent_Analysis!$E$5:$E$81,MATCH(B2521,Intent_Analysis!$A$5:$A$81,0))</f>
        <v>1</v>
      </c>
    </row>
    <row r="2522" customFormat="false" ht="15" hidden="false" customHeight="false" outlineLevel="0" collapsed="false">
      <c r="A2522" s="0" t="s">
        <v>2846</v>
      </c>
      <c r="B2522" s="0" t="s">
        <v>87</v>
      </c>
      <c r="C2522" s="0" t="str">
        <f aca="false">INDEX(Intent_Analysis!$B$5:$B$81,MATCH(B2522,Intent_Analysis!$A$5:$A$81,0))</f>
        <v>Fees &amp; charges</v>
      </c>
      <c r="D2522" s="0" t="n">
        <f aca="false">INDEX(Intent_Analysis!$E$5:$E$81,MATCH(B2522,Intent_Analysis!$A$5:$A$81,0))</f>
        <v>1</v>
      </c>
    </row>
    <row r="2523" customFormat="false" ht="15" hidden="false" customHeight="false" outlineLevel="0" collapsed="false">
      <c r="A2523" s="0" t="s">
        <v>2847</v>
      </c>
      <c r="B2523" s="0" t="s">
        <v>87</v>
      </c>
      <c r="C2523" s="0" t="str">
        <f aca="false">INDEX(Intent_Analysis!$B$5:$B$81,MATCH(B2523,Intent_Analysis!$A$5:$A$81,0))</f>
        <v>Fees &amp; charges</v>
      </c>
      <c r="D2523" s="0" t="n">
        <f aca="false">INDEX(Intent_Analysis!$E$5:$E$81,MATCH(B2523,Intent_Analysis!$A$5:$A$81,0))</f>
        <v>1</v>
      </c>
    </row>
    <row r="2524" customFormat="false" ht="15" hidden="false" customHeight="false" outlineLevel="0" collapsed="false">
      <c r="A2524" s="0" t="s">
        <v>2848</v>
      </c>
      <c r="B2524" s="0" t="s">
        <v>87</v>
      </c>
      <c r="C2524" s="0" t="str">
        <f aca="false">INDEX(Intent_Analysis!$B$5:$B$81,MATCH(B2524,Intent_Analysis!$A$5:$A$81,0))</f>
        <v>Fees &amp; charges</v>
      </c>
      <c r="D2524" s="0" t="n">
        <f aca="false">INDEX(Intent_Analysis!$E$5:$E$81,MATCH(B2524,Intent_Analysis!$A$5:$A$81,0))</f>
        <v>1</v>
      </c>
    </row>
    <row r="2525" customFormat="false" ht="15" hidden="false" customHeight="false" outlineLevel="0" collapsed="false">
      <c r="A2525" s="0" t="s">
        <v>2849</v>
      </c>
      <c r="B2525" s="0" t="s">
        <v>87</v>
      </c>
      <c r="C2525" s="0" t="str">
        <f aca="false">INDEX(Intent_Analysis!$B$5:$B$81,MATCH(B2525,Intent_Analysis!$A$5:$A$81,0))</f>
        <v>Fees &amp; charges</v>
      </c>
      <c r="D2525" s="0" t="n">
        <f aca="false">INDEX(Intent_Analysis!$E$5:$E$81,MATCH(B2525,Intent_Analysis!$A$5:$A$81,0))</f>
        <v>1</v>
      </c>
    </row>
    <row r="2526" customFormat="false" ht="15" hidden="false" customHeight="false" outlineLevel="0" collapsed="false">
      <c r="A2526" s="0" t="s">
        <v>2850</v>
      </c>
      <c r="B2526" s="0" t="s">
        <v>87</v>
      </c>
      <c r="C2526" s="0" t="str">
        <f aca="false">INDEX(Intent_Analysis!$B$5:$B$81,MATCH(B2526,Intent_Analysis!$A$5:$A$81,0))</f>
        <v>Fees &amp; charges</v>
      </c>
      <c r="D2526" s="0" t="n">
        <f aca="false">INDEX(Intent_Analysis!$E$5:$E$81,MATCH(B2526,Intent_Analysis!$A$5:$A$81,0))</f>
        <v>1</v>
      </c>
    </row>
    <row r="2527" customFormat="false" ht="15" hidden="false" customHeight="false" outlineLevel="0" collapsed="false">
      <c r="A2527" s="0" t="s">
        <v>2851</v>
      </c>
      <c r="B2527" s="0" t="s">
        <v>87</v>
      </c>
      <c r="C2527" s="0" t="str">
        <f aca="false">INDEX(Intent_Analysis!$B$5:$B$81,MATCH(B2527,Intent_Analysis!$A$5:$A$81,0))</f>
        <v>Fees &amp; charges</v>
      </c>
      <c r="D2527" s="0" t="n">
        <f aca="false">INDEX(Intent_Analysis!$E$5:$E$81,MATCH(B2527,Intent_Analysis!$A$5:$A$81,0))</f>
        <v>1</v>
      </c>
    </row>
    <row r="2528" customFormat="false" ht="15" hidden="false" customHeight="false" outlineLevel="0" collapsed="false">
      <c r="A2528" s="0" t="s">
        <v>2852</v>
      </c>
      <c r="B2528" s="0" t="s">
        <v>87</v>
      </c>
      <c r="C2528" s="0" t="str">
        <f aca="false">INDEX(Intent_Analysis!$B$5:$B$81,MATCH(B2528,Intent_Analysis!$A$5:$A$81,0))</f>
        <v>Fees &amp; charges</v>
      </c>
      <c r="D2528" s="0" t="n">
        <f aca="false">INDEX(Intent_Analysis!$E$5:$E$81,MATCH(B2528,Intent_Analysis!$A$5:$A$81,0))</f>
        <v>1</v>
      </c>
    </row>
    <row r="2529" customFormat="false" ht="15" hidden="false" customHeight="false" outlineLevel="0" collapsed="false">
      <c r="A2529" s="0" t="s">
        <v>2853</v>
      </c>
      <c r="B2529" s="0" t="s">
        <v>87</v>
      </c>
      <c r="C2529" s="0" t="str">
        <f aca="false">INDEX(Intent_Analysis!$B$5:$B$81,MATCH(B2529,Intent_Analysis!$A$5:$A$81,0))</f>
        <v>Fees &amp; charges</v>
      </c>
      <c r="D2529" s="0" t="n">
        <f aca="false">INDEX(Intent_Analysis!$E$5:$E$81,MATCH(B2529,Intent_Analysis!$A$5:$A$81,0))</f>
        <v>1</v>
      </c>
    </row>
    <row r="2530" customFormat="false" ht="15" hidden="false" customHeight="false" outlineLevel="0" collapsed="false">
      <c r="A2530" s="0" t="s">
        <v>2854</v>
      </c>
      <c r="B2530" s="0" t="s">
        <v>87</v>
      </c>
      <c r="C2530" s="0" t="str">
        <f aca="false">INDEX(Intent_Analysis!$B$5:$B$81,MATCH(B2530,Intent_Analysis!$A$5:$A$81,0))</f>
        <v>Fees &amp; charges</v>
      </c>
      <c r="D2530" s="0" t="n">
        <f aca="false">INDEX(Intent_Analysis!$E$5:$E$81,MATCH(B2530,Intent_Analysis!$A$5:$A$81,0))</f>
        <v>1</v>
      </c>
    </row>
    <row r="2531" customFormat="false" ht="15" hidden="false" customHeight="false" outlineLevel="0" collapsed="false">
      <c r="A2531" s="0" t="s">
        <v>2855</v>
      </c>
      <c r="B2531" s="0" t="s">
        <v>87</v>
      </c>
      <c r="C2531" s="0" t="str">
        <f aca="false">INDEX(Intent_Analysis!$B$5:$B$81,MATCH(B2531,Intent_Analysis!$A$5:$A$81,0))</f>
        <v>Fees &amp; charges</v>
      </c>
      <c r="D2531" s="0" t="n">
        <f aca="false">INDEX(Intent_Analysis!$E$5:$E$81,MATCH(B2531,Intent_Analysis!$A$5:$A$81,0))</f>
        <v>1</v>
      </c>
    </row>
    <row r="2532" customFormat="false" ht="15" hidden="false" customHeight="false" outlineLevel="0" collapsed="false">
      <c r="A2532" s="0" t="s">
        <v>2856</v>
      </c>
      <c r="B2532" s="0" t="s">
        <v>87</v>
      </c>
      <c r="C2532" s="0" t="str">
        <f aca="false">INDEX(Intent_Analysis!$B$5:$B$81,MATCH(B2532,Intent_Analysis!$A$5:$A$81,0))</f>
        <v>Fees &amp; charges</v>
      </c>
      <c r="D2532" s="0" t="n">
        <f aca="false">INDEX(Intent_Analysis!$E$5:$E$81,MATCH(B2532,Intent_Analysis!$A$5:$A$81,0))</f>
        <v>1</v>
      </c>
    </row>
    <row r="2533" customFormat="false" ht="15" hidden="false" customHeight="false" outlineLevel="0" collapsed="false">
      <c r="A2533" s="0" t="s">
        <v>2857</v>
      </c>
      <c r="B2533" s="0" t="s">
        <v>87</v>
      </c>
      <c r="C2533" s="0" t="str">
        <f aca="false">INDEX(Intent_Analysis!$B$5:$B$81,MATCH(B2533,Intent_Analysis!$A$5:$A$81,0))</f>
        <v>Fees &amp; charges</v>
      </c>
      <c r="D2533" s="0" t="n">
        <f aca="false">INDEX(Intent_Analysis!$E$5:$E$81,MATCH(B2533,Intent_Analysis!$A$5:$A$81,0))</f>
        <v>1</v>
      </c>
    </row>
    <row r="2534" customFormat="false" ht="15" hidden="false" customHeight="false" outlineLevel="0" collapsed="false">
      <c r="A2534" s="0" t="s">
        <v>2858</v>
      </c>
      <c r="B2534" s="0" t="s">
        <v>87</v>
      </c>
      <c r="C2534" s="0" t="str">
        <f aca="false">INDEX(Intent_Analysis!$B$5:$B$81,MATCH(B2534,Intent_Analysis!$A$5:$A$81,0))</f>
        <v>Fees &amp; charges</v>
      </c>
      <c r="D2534" s="0" t="n">
        <f aca="false">INDEX(Intent_Analysis!$E$5:$E$81,MATCH(B2534,Intent_Analysis!$A$5:$A$81,0))</f>
        <v>1</v>
      </c>
    </row>
    <row r="2535" customFormat="false" ht="15" hidden="false" customHeight="false" outlineLevel="0" collapsed="false">
      <c r="A2535" s="0" t="s">
        <v>2859</v>
      </c>
      <c r="B2535" s="0" t="s">
        <v>87</v>
      </c>
      <c r="C2535" s="0" t="str">
        <f aca="false">INDEX(Intent_Analysis!$B$5:$B$81,MATCH(B2535,Intent_Analysis!$A$5:$A$81,0))</f>
        <v>Fees &amp; charges</v>
      </c>
      <c r="D2535" s="0" t="n">
        <f aca="false">INDEX(Intent_Analysis!$E$5:$E$81,MATCH(B2535,Intent_Analysis!$A$5:$A$81,0))</f>
        <v>1</v>
      </c>
    </row>
    <row r="2536" customFormat="false" ht="15" hidden="false" customHeight="false" outlineLevel="0" collapsed="false">
      <c r="A2536" s="0" t="s">
        <v>2860</v>
      </c>
      <c r="B2536" s="0" t="s">
        <v>87</v>
      </c>
      <c r="C2536" s="0" t="str">
        <f aca="false">INDEX(Intent_Analysis!$B$5:$B$81,MATCH(B2536,Intent_Analysis!$A$5:$A$81,0))</f>
        <v>Fees &amp; charges</v>
      </c>
      <c r="D2536" s="0" t="n">
        <f aca="false">INDEX(Intent_Analysis!$E$5:$E$81,MATCH(B2536,Intent_Analysis!$A$5:$A$81,0))</f>
        <v>1</v>
      </c>
    </row>
    <row r="2537" customFormat="false" ht="15" hidden="false" customHeight="false" outlineLevel="0" collapsed="false">
      <c r="A2537" s="0" t="s">
        <v>2861</v>
      </c>
      <c r="B2537" s="0" t="s">
        <v>87</v>
      </c>
      <c r="C2537" s="0" t="str">
        <f aca="false">INDEX(Intent_Analysis!$B$5:$B$81,MATCH(B2537,Intent_Analysis!$A$5:$A$81,0))</f>
        <v>Fees &amp; charges</v>
      </c>
      <c r="D2537" s="0" t="n">
        <f aca="false">INDEX(Intent_Analysis!$E$5:$E$81,MATCH(B2537,Intent_Analysis!$A$5:$A$81,0))</f>
        <v>1</v>
      </c>
    </row>
    <row r="2538" customFormat="false" ht="15" hidden="false" customHeight="false" outlineLevel="0" collapsed="false">
      <c r="A2538" s="0" t="s">
        <v>2862</v>
      </c>
      <c r="B2538" s="0" t="s">
        <v>87</v>
      </c>
      <c r="C2538" s="0" t="str">
        <f aca="false">INDEX(Intent_Analysis!$B$5:$B$81,MATCH(B2538,Intent_Analysis!$A$5:$A$81,0))</f>
        <v>Fees &amp; charges</v>
      </c>
      <c r="D2538" s="0" t="n">
        <f aca="false">INDEX(Intent_Analysis!$E$5:$E$81,MATCH(B2538,Intent_Analysis!$A$5:$A$81,0))</f>
        <v>1</v>
      </c>
    </row>
    <row r="2539" customFormat="false" ht="15" hidden="false" customHeight="false" outlineLevel="0" collapsed="false">
      <c r="A2539" s="0" t="s">
        <v>2863</v>
      </c>
      <c r="B2539" s="0" t="s">
        <v>87</v>
      </c>
      <c r="C2539" s="0" t="str">
        <f aca="false">INDEX(Intent_Analysis!$B$5:$B$81,MATCH(B2539,Intent_Analysis!$A$5:$A$81,0))</f>
        <v>Fees &amp; charges</v>
      </c>
      <c r="D2539" s="0" t="n">
        <f aca="false">INDEX(Intent_Analysis!$E$5:$E$81,MATCH(B2539,Intent_Analysis!$A$5:$A$81,0))</f>
        <v>1</v>
      </c>
    </row>
    <row r="2540" customFormat="false" ht="15" hidden="false" customHeight="false" outlineLevel="0" collapsed="false">
      <c r="A2540" s="0" t="s">
        <v>2864</v>
      </c>
      <c r="B2540" s="0" t="s">
        <v>87</v>
      </c>
      <c r="C2540" s="0" t="str">
        <f aca="false">INDEX(Intent_Analysis!$B$5:$B$81,MATCH(B2540,Intent_Analysis!$A$5:$A$81,0))</f>
        <v>Fees &amp; charges</v>
      </c>
      <c r="D2540" s="0" t="n">
        <f aca="false">INDEX(Intent_Analysis!$E$5:$E$81,MATCH(B2540,Intent_Analysis!$A$5:$A$81,0))</f>
        <v>1</v>
      </c>
    </row>
    <row r="2541" customFormat="false" ht="15" hidden="false" customHeight="false" outlineLevel="0" collapsed="false">
      <c r="A2541" s="0" t="s">
        <v>2865</v>
      </c>
      <c r="B2541" s="0" t="s">
        <v>87</v>
      </c>
      <c r="C2541" s="0" t="str">
        <f aca="false">INDEX(Intent_Analysis!$B$5:$B$81,MATCH(B2541,Intent_Analysis!$A$5:$A$81,0))</f>
        <v>Fees &amp; charges</v>
      </c>
      <c r="D2541" s="0" t="n">
        <f aca="false">INDEX(Intent_Analysis!$E$5:$E$81,MATCH(B2541,Intent_Analysis!$A$5:$A$81,0))</f>
        <v>1</v>
      </c>
    </row>
    <row r="2542" customFormat="false" ht="15" hidden="false" customHeight="false" outlineLevel="0" collapsed="false">
      <c r="A2542" s="0" t="s">
        <v>2866</v>
      </c>
      <c r="B2542" s="0" t="s">
        <v>87</v>
      </c>
      <c r="C2542" s="0" t="str">
        <f aca="false">INDEX(Intent_Analysis!$B$5:$B$81,MATCH(B2542,Intent_Analysis!$A$5:$A$81,0))</f>
        <v>Fees &amp; charges</v>
      </c>
      <c r="D2542" s="0" t="n">
        <f aca="false">INDEX(Intent_Analysis!$E$5:$E$81,MATCH(B2542,Intent_Analysis!$A$5:$A$81,0))</f>
        <v>1</v>
      </c>
    </row>
    <row r="2543" customFormat="false" ht="15" hidden="false" customHeight="false" outlineLevel="0" collapsed="false">
      <c r="A2543" s="0" t="s">
        <v>2867</v>
      </c>
      <c r="B2543" s="0" t="s">
        <v>87</v>
      </c>
      <c r="C2543" s="0" t="str">
        <f aca="false">INDEX(Intent_Analysis!$B$5:$B$81,MATCH(B2543,Intent_Analysis!$A$5:$A$81,0))</f>
        <v>Fees &amp; charges</v>
      </c>
      <c r="D2543" s="0" t="n">
        <f aca="false">INDEX(Intent_Analysis!$E$5:$E$81,MATCH(B2543,Intent_Analysis!$A$5:$A$81,0))</f>
        <v>1</v>
      </c>
    </row>
    <row r="2544" customFormat="false" ht="15" hidden="false" customHeight="false" outlineLevel="0" collapsed="false">
      <c r="A2544" s="0" t="s">
        <v>2868</v>
      </c>
      <c r="B2544" s="0" t="s">
        <v>87</v>
      </c>
      <c r="C2544" s="0" t="str">
        <f aca="false">INDEX(Intent_Analysis!$B$5:$B$81,MATCH(B2544,Intent_Analysis!$A$5:$A$81,0))</f>
        <v>Fees &amp; charges</v>
      </c>
      <c r="D2544" s="0" t="n">
        <f aca="false">INDEX(Intent_Analysis!$E$5:$E$81,MATCH(B2544,Intent_Analysis!$A$5:$A$81,0))</f>
        <v>1</v>
      </c>
    </row>
    <row r="2545" customFormat="false" ht="15" hidden="false" customHeight="false" outlineLevel="0" collapsed="false">
      <c r="A2545" s="0" t="s">
        <v>2869</v>
      </c>
      <c r="B2545" s="0" t="s">
        <v>87</v>
      </c>
      <c r="C2545" s="0" t="str">
        <f aca="false">INDEX(Intent_Analysis!$B$5:$B$81,MATCH(B2545,Intent_Analysis!$A$5:$A$81,0))</f>
        <v>Fees &amp; charges</v>
      </c>
      <c r="D2545" s="0" t="n">
        <f aca="false">INDEX(Intent_Analysis!$E$5:$E$81,MATCH(B2545,Intent_Analysis!$A$5:$A$81,0))</f>
        <v>1</v>
      </c>
    </row>
    <row r="2546" customFormat="false" ht="15" hidden="false" customHeight="false" outlineLevel="0" collapsed="false">
      <c r="A2546" s="0" t="s">
        <v>2870</v>
      </c>
      <c r="B2546" s="0" t="s">
        <v>87</v>
      </c>
      <c r="C2546" s="0" t="str">
        <f aca="false">INDEX(Intent_Analysis!$B$5:$B$81,MATCH(B2546,Intent_Analysis!$A$5:$A$81,0))</f>
        <v>Fees &amp; charges</v>
      </c>
      <c r="D2546" s="0" t="n">
        <f aca="false">INDEX(Intent_Analysis!$E$5:$E$81,MATCH(B2546,Intent_Analysis!$A$5:$A$81,0))</f>
        <v>1</v>
      </c>
    </row>
    <row r="2547" customFormat="false" ht="15" hidden="false" customHeight="false" outlineLevel="0" collapsed="false">
      <c r="A2547" s="0" t="s">
        <v>2871</v>
      </c>
      <c r="B2547" s="0" t="s">
        <v>87</v>
      </c>
      <c r="C2547" s="0" t="str">
        <f aca="false">INDEX(Intent_Analysis!$B$5:$B$81,MATCH(B2547,Intent_Analysis!$A$5:$A$81,0))</f>
        <v>Fees &amp; charges</v>
      </c>
      <c r="D2547" s="0" t="n">
        <f aca="false">INDEX(Intent_Analysis!$E$5:$E$81,MATCH(B2547,Intent_Analysis!$A$5:$A$81,0))</f>
        <v>1</v>
      </c>
    </row>
    <row r="2548" customFormat="false" ht="15" hidden="false" customHeight="false" outlineLevel="0" collapsed="false">
      <c r="A2548" s="0" t="s">
        <v>2872</v>
      </c>
      <c r="B2548" s="0" t="s">
        <v>87</v>
      </c>
      <c r="C2548" s="0" t="str">
        <f aca="false">INDEX(Intent_Analysis!$B$5:$B$81,MATCH(B2548,Intent_Analysis!$A$5:$A$81,0))</f>
        <v>Fees &amp; charges</v>
      </c>
      <c r="D2548" s="0" t="n">
        <f aca="false">INDEX(Intent_Analysis!$E$5:$E$81,MATCH(B2548,Intent_Analysis!$A$5:$A$81,0))</f>
        <v>1</v>
      </c>
    </row>
    <row r="2549" customFormat="false" ht="15" hidden="false" customHeight="false" outlineLevel="0" collapsed="false">
      <c r="A2549" s="0" t="s">
        <v>2873</v>
      </c>
      <c r="B2549" s="0" t="s">
        <v>87</v>
      </c>
      <c r="C2549" s="0" t="str">
        <f aca="false">INDEX(Intent_Analysis!$B$5:$B$81,MATCH(B2549,Intent_Analysis!$A$5:$A$81,0))</f>
        <v>Fees &amp; charges</v>
      </c>
      <c r="D2549" s="0" t="n">
        <f aca="false">INDEX(Intent_Analysis!$E$5:$E$81,MATCH(B2549,Intent_Analysis!$A$5:$A$81,0))</f>
        <v>1</v>
      </c>
    </row>
    <row r="2550" customFormat="false" ht="15" hidden="false" customHeight="false" outlineLevel="0" collapsed="false">
      <c r="A2550" s="0" t="s">
        <v>2874</v>
      </c>
      <c r="B2550" s="0" t="s">
        <v>87</v>
      </c>
      <c r="C2550" s="0" t="str">
        <f aca="false">INDEX(Intent_Analysis!$B$5:$B$81,MATCH(B2550,Intent_Analysis!$A$5:$A$81,0))</f>
        <v>Fees &amp; charges</v>
      </c>
      <c r="D2550" s="0" t="n">
        <f aca="false">INDEX(Intent_Analysis!$E$5:$E$81,MATCH(B2550,Intent_Analysis!$A$5:$A$81,0))</f>
        <v>1</v>
      </c>
    </row>
    <row r="2551" customFormat="false" ht="15" hidden="false" customHeight="false" outlineLevel="0" collapsed="false">
      <c r="A2551" s="0" t="s">
        <v>2875</v>
      </c>
      <c r="B2551" s="0" t="s">
        <v>87</v>
      </c>
      <c r="C2551" s="0" t="str">
        <f aca="false">INDEX(Intent_Analysis!$B$5:$B$81,MATCH(B2551,Intent_Analysis!$A$5:$A$81,0))</f>
        <v>Fees &amp; charges</v>
      </c>
      <c r="D2551" s="0" t="n">
        <f aca="false">INDEX(Intent_Analysis!$E$5:$E$81,MATCH(B2551,Intent_Analysis!$A$5:$A$81,0))</f>
        <v>1</v>
      </c>
    </row>
    <row r="2552" customFormat="false" ht="15" hidden="false" customHeight="false" outlineLevel="0" collapsed="false">
      <c r="A2552" s="0" t="s">
        <v>2876</v>
      </c>
      <c r="B2552" s="0" t="s">
        <v>87</v>
      </c>
      <c r="C2552" s="0" t="str">
        <f aca="false">INDEX(Intent_Analysis!$B$5:$B$81,MATCH(B2552,Intent_Analysis!$A$5:$A$81,0))</f>
        <v>Fees &amp; charges</v>
      </c>
      <c r="D2552" s="0" t="n">
        <f aca="false">INDEX(Intent_Analysis!$E$5:$E$81,MATCH(B2552,Intent_Analysis!$A$5:$A$81,0))</f>
        <v>1</v>
      </c>
    </row>
    <row r="2553" customFormat="false" ht="15" hidden="false" customHeight="false" outlineLevel="0" collapsed="false">
      <c r="A2553" s="0" t="s">
        <v>2877</v>
      </c>
      <c r="B2553" s="0" t="s">
        <v>87</v>
      </c>
      <c r="C2553" s="0" t="str">
        <f aca="false">INDEX(Intent_Analysis!$B$5:$B$81,MATCH(B2553,Intent_Analysis!$A$5:$A$81,0))</f>
        <v>Fees &amp; charges</v>
      </c>
      <c r="D2553" s="0" t="n">
        <f aca="false">INDEX(Intent_Analysis!$E$5:$E$81,MATCH(B2553,Intent_Analysis!$A$5:$A$81,0))</f>
        <v>1</v>
      </c>
    </row>
    <row r="2554" customFormat="false" ht="15" hidden="false" customHeight="false" outlineLevel="0" collapsed="false">
      <c r="A2554" s="0" t="s">
        <v>2878</v>
      </c>
      <c r="B2554" s="0" t="s">
        <v>87</v>
      </c>
      <c r="C2554" s="0" t="str">
        <f aca="false">INDEX(Intent_Analysis!$B$5:$B$81,MATCH(B2554,Intent_Analysis!$A$5:$A$81,0))</f>
        <v>Fees &amp; charges</v>
      </c>
      <c r="D2554" s="0" t="n">
        <f aca="false">INDEX(Intent_Analysis!$E$5:$E$81,MATCH(B2554,Intent_Analysis!$A$5:$A$81,0))</f>
        <v>1</v>
      </c>
    </row>
    <row r="2555" customFormat="false" ht="15" hidden="false" customHeight="false" outlineLevel="0" collapsed="false">
      <c r="A2555" s="0" t="s">
        <v>2879</v>
      </c>
      <c r="B2555" s="0" t="s">
        <v>87</v>
      </c>
      <c r="C2555" s="0" t="str">
        <f aca="false">INDEX(Intent_Analysis!$B$5:$B$81,MATCH(B2555,Intent_Analysis!$A$5:$A$81,0))</f>
        <v>Fees &amp; charges</v>
      </c>
      <c r="D2555" s="0" t="n">
        <f aca="false">INDEX(Intent_Analysis!$E$5:$E$81,MATCH(B2555,Intent_Analysis!$A$5:$A$81,0))</f>
        <v>1</v>
      </c>
    </row>
    <row r="2556" customFormat="false" ht="15" hidden="false" customHeight="false" outlineLevel="0" collapsed="false">
      <c r="A2556" s="0" t="s">
        <v>2880</v>
      </c>
      <c r="B2556" s="0" t="s">
        <v>87</v>
      </c>
      <c r="C2556" s="0" t="str">
        <f aca="false">INDEX(Intent_Analysis!$B$5:$B$81,MATCH(B2556,Intent_Analysis!$A$5:$A$81,0))</f>
        <v>Fees &amp; charges</v>
      </c>
      <c r="D2556" s="0" t="n">
        <f aca="false">INDEX(Intent_Analysis!$E$5:$E$81,MATCH(B2556,Intent_Analysis!$A$5:$A$81,0))</f>
        <v>1</v>
      </c>
    </row>
    <row r="2557" customFormat="false" ht="15" hidden="false" customHeight="false" outlineLevel="0" collapsed="false">
      <c r="A2557" s="0" t="s">
        <v>2881</v>
      </c>
      <c r="B2557" s="0" t="s">
        <v>87</v>
      </c>
      <c r="C2557" s="0" t="str">
        <f aca="false">INDEX(Intent_Analysis!$B$5:$B$81,MATCH(B2557,Intent_Analysis!$A$5:$A$81,0))</f>
        <v>Fees &amp; charges</v>
      </c>
      <c r="D2557" s="0" t="n">
        <f aca="false">INDEX(Intent_Analysis!$E$5:$E$81,MATCH(B2557,Intent_Analysis!$A$5:$A$81,0))</f>
        <v>1</v>
      </c>
    </row>
    <row r="2558" customFormat="false" ht="15" hidden="false" customHeight="false" outlineLevel="0" collapsed="false">
      <c r="A2558" s="0" t="s">
        <v>2882</v>
      </c>
      <c r="B2558" s="0" t="s">
        <v>87</v>
      </c>
      <c r="C2558" s="0" t="str">
        <f aca="false">INDEX(Intent_Analysis!$B$5:$B$81,MATCH(B2558,Intent_Analysis!$A$5:$A$81,0))</f>
        <v>Fees &amp; charges</v>
      </c>
      <c r="D2558" s="0" t="n">
        <f aca="false">INDEX(Intent_Analysis!$E$5:$E$81,MATCH(B2558,Intent_Analysis!$A$5:$A$81,0))</f>
        <v>1</v>
      </c>
    </row>
    <row r="2559" customFormat="false" ht="15" hidden="false" customHeight="false" outlineLevel="0" collapsed="false">
      <c r="A2559" s="0" t="s">
        <v>2883</v>
      </c>
      <c r="B2559" s="0" t="s">
        <v>87</v>
      </c>
      <c r="C2559" s="0" t="str">
        <f aca="false">INDEX(Intent_Analysis!$B$5:$B$81,MATCH(B2559,Intent_Analysis!$A$5:$A$81,0))</f>
        <v>Fees &amp; charges</v>
      </c>
      <c r="D2559" s="0" t="n">
        <f aca="false">INDEX(Intent_Analysis!$E$5:$E$81,MATCH(B2559,Intent_Analysis!$A$5:$A$81,0))</f>
        <v>1</v>
      </c>
    </row>
    <row r="2560" customFormat="false" ht="15" hidden="false" customHeight="false" outlineLevel="0" collapsed="false">
      <c r="A2560" s="0" t="s">
        <v>2884</v>
      </c>
      <c r="B2560" s="0" t="s">
        <v>87</v>
      </c>
      <c r="C2560" s="0" t="str">
        <f aca="false">INDEX(Intent_Analysis!$B$5:$B$81,MATCH(B2560,Intent_Analysis!$A$5:$A$81,0))</f>
        <v>Fees &amp; charges</v>
      </c>
      <c r="D2560" s="0" t="n">
        <f aca="false">INDEX(Intent_Analysis!$E$5:$E$81,MATCH(B2560,Intent_Analysis!$A$5:$A$81,0))</f>
        <v>1</v>
      </c>
    </row>
    <row r="2561" customFormat="false" ht="15" hidden="false" customHeight="false" outlineLevel="0" collapsed="false">
      <c r="A2561" s="0" t="s">
        <v>2885</v>
      </c>
      <c r="B2561" s="0" t="s">
        <v>87</v>
      </c>
      <c r="C2561" s="0" t="str">
        <f aca="false">INDEX(Intent_Analysis!$B$5:$B$81,MATCH(B2561,Intent_Analysis!$A$5:$A$81,0))</f>
        <v>Fees &amp; charges</v>
      </c>
      <c r="D2561" s="0" t="n">
        <f aca="false">INDEX(Intent_Analysis!$E$5:$E$81,MATCH(B2561,Intent_Analysis!$A$5:$A$81,0))</f>
        <v>1</v>
      </c>
    </row>
    <row r="2562" customFormat="false" ht="15" hidden="false" customHeight="false" outlineLevel="0" collapsed="false">
      <c r="A2562" s="0" t="s">
        <v>2886</v>
      </c>
      <c r="B2562" s="0" t="s">
        <v>87</v>
      </c>
      <c r="C2562" s="0" t="str">
        <f aca="false">INDEX(Intent_Analysis!$B$5:$B$81,MATCH(B2562,Intent_Analysis!$A$5:$A$81,0))</f>
        <v>Fees &amp; charges</v>
      </c>
      <c r="D2562" s="0" t="n">
        <f aca="false">INDEX(Intent_Analysis!$E$5:$E$81,MATCH(B2562,Intent_Analysis!$A$5:$A$81,0))</f>
        <v>1</v>
      </c>
    </row>
    <row r="2563" customFormat="false" ht="15" hidden="false" customHeight="false" outlineLevel="0" collapsed="false">
      <c r="A2563" s="0" t="s">
        <v>2887</v>
      </c>
      <c r="B2563" s="0" t="s">
        <v>87</v>
      </c>
      <c r="C2563" s="0" t="str">
        <f aca="false">INDEX(Intent_Analysis!$B$5:$B$81,MATCH(B2563,Intent_Analysis!$A$5:$A$81,0))</f>
        <v>Fees &amp; charges</v>
      </c>
      <c r="D2563" s="0" t="n">
        <f aca="false">INDEX(Intent_Analysis!$E$5:$E$81,MATCH(B2563,Intent_Analysis!$A$5:$A$81,0))</f>
        <v>1</v>
      </c>
    </row>
    <row r="2564" customFormat="false" ht="15" hidden="false" customHeight="false" outlineLevel="0" collapsed="false">
      <c r="A2564" s="0" t="s">
        <v>2888</v>
      </c>
      <c r="B2564" s="0" t="s">
        <v>87</v>
      </c>
      <c r="C2564" s="0" t="str">
        <f aca="false">INDEX(Intent_Analysis!$B$5:$B$81,MATCH(B2564,Intent_Analysis!$A$5:$A$81,0))</f>
        <v>Fees &amp; charges</v>
      </c>
      <c r="D2564" s="0" t="n">
        <f aca="false">INDEX(Intent_Analysis!$E$5:$E$81,MATCH(B2564,Intent_Analysis!$A$5:$A$81,0))</f>
        <v>1</v>
      </c>
    </row>
    <row r="2565" customFormat="false" ht="15" hidden="false" customHeight="false" outlineLevel="0" collapsed="false">
      <c r="A2565" s="0" t="s">
        <v>2889</v>
      </c>
      <c r="B2565" s="0" t="s">
        <v>87</v>
      </c>
      <c r="C2565" s="0" t="str">
        <f aca="false">INDEX(Intent_Analysis!$B$5:$B$81,MATCH(B2565,Intent_Analysis!$A$5:$A$81,0))</f>
        <v>Fees &amp; charges</v>
      </c>
      <c r="D2565" s="0" t="n">
        <f aca="false">INDEX(Intent_Analysis!$E$5:$E$81,MATCH(B2565,Intent_Analysis!$A$5:$A$81,0))</f>
        <v>1</v>
      </c>
    </row>
    <row r="2566" customFormat="false" ht="15" hidden="false" customHeight="false" outlineLevel="0" collapsed="false">
      <c r="A2566" s="0" t="s">
        <v>2890</v>
      </c>
      <c r="B2566" s="0" t="s">
        <v>87</v>
      </c>
      <c r="C2566" s="0" t="str">
        <f aca="false">INDEX(Intent_Analysis!$B$5:$B$81,MATCH(B2566,Intent_Analysis!$A$5:$A$81,0))</f>
        <v>Fees &amp; charges</v>
      </c>
      <c r="D2566" s="0" t="n">
        <f aca="false">INDEX(Intent_Analysis!$E$5:$E$81,MATCH(B2566,Intent_Analysis!$A$5:$A$81,0))</f>
        <v>1</v>
      </c>
    </row>
    <row r="2567" customFormat="false" ht="15" hidden="false" customHeight="false" outlineLevel="0" collapsed="false">
      <c r="A2567" s="0" t="s">
        <v>2891</v>
      </c>
      <c r="B2567" s="0" t="s">
        <v>87</v>
      </c>
      <c r="C2567" s="0" t="str">
        <f aca="false">INDEX(Intent_Analysis!$B$5:$B$81,MATCH(B2567,Intent_Analysis!$A$5:$A$81,0))</f>
        <v>Fees &amp; charges</v>
      </c>
      <c r="D2567" s="0" t="n">
        <f aca="false">INDEX(Intent_Analysis!$E$5:$E$81,MATCH(B2567,Intent_Analysis!$A$5:$A$81,0))</f>
        <v>1</v>
      </c>
    </row>
    <row r="2568" customFormat="false" ht="15" hidden="false" customHeight="false" outlineLevel="0" collapsed="false">
      <c r="A2568" s="0" t="s">
        <v>2892</v>
      </c>
      <c r="B2568" s="0" t="s">
        <v>87</v>
      </c>
      <c r="C2568" s="0" t="str">
        <f aca="false">INDEX(Intent_Analysis!$B$5:$B$81,MATCH(B2568,Intent_Analysis!$A$5:$A$81,0))</f>
        <v>Fees &amp; charges</v>
      </c>
      <c r="D2568" s="0" t="n">
        <f aca="false">INDEX(Intent_Analysis!$E$5:$E$81,MATCH(B2568,Intent_Analysis!$A$5:$A$81,0))</f>
        <v>1</v>
      </c>
    </row>
    <row r="2569" customFormat="false" ht="15" hidden="false" customHeight="false" outlineLevel="0" collapsed="false">
      <c r="A2569" s="0" t="s">
        <v>2893</v>
      </c>
      <c r="B2569" s="0" t="s">
        <v>87</v>
      </c>
      <c r="C2569" s="0" t="str">
        <f aca="false">INDEX(Intent_Analysis!$B$5:$B$81,MATCH(B2569,Intent_Analysis!$A$5:$A$81,0))</f>
        <v>Fees &amp; charges</v>
      </c>
      <c r="D2569" s="0" t="n">
        <f aca="false">INDEX(Intent_Analysis!$E$5:$E$81,MATCH(B2569,Intent_Analysis!$A$5:$A$81,0))</f>
        <v>1</v>
      </c>
    </row>
    <row r="2570" customFormat="false" ht="15" hidden="false" customHeight="false" outlineLevel="0" collapsed="false">
      <c r="A2570" s="0" t="s">
        <v>2894</v>
      </c>
      <c r="B2570" s="0" t="s">
        <v>87</v>
      </c>
      <c r="C2570" s="0" t="str">
        <f aca="false">INDEX(Intent_Analysis!$B$5:$B$81,MATCH(B2570,Intent_Analysis!$A$5:$A$81,0))</f>
        <v>Fees &amp; charges</v>
      </c>
      <c r="D2570" s="0" t="n">
        <f aca="false">INDEX(Intent_Analysis!$E$5:$E$81,MATCH(B2570,Intent_Analysis!$A$5:$A$81,0))</f>
        <v>1</v>
      </c>
    </row>
    <row r="2571" customFormat="false" ht="15" hidden="false" customHeight="false" outlineLevel="0" collapsed="false">
      <c r="A2571" s="0" t="s">
        <v>2895</v>
      </c>
      <c r="B2571" s="0" t="s">
        <v>87</v>
      </c>
      <c r="C2571" s="0" t="str">
        <f aca="false">INDEX(Intent_Analysis!$B$5:$B$81,MATCH(B2571,Intent_Analysis!$A$5:$A$81,0))</f>
        <v>Fees &amp; charges</v>
      </c>
      <c r="D2571" s="0" t="n">
        <f aca="false">INDEX(Intent_Analysis!$E$5:$E$81,MATCH(B2571,Intent_Analysis!$A$5:$A$81,0))</f>
        <v>1</v>
      </c>
    </row>
    <row r="2572" customFormat="false" ht="15" hidden="false" customHeight="false" outlineLevel="0" collapsed="false">
      <c r="A2572" s="0" t="s">
        <v>2896</v>
      </c>
      <c r="B2572" s="0" t="s">
        <v>87</v>
      </c>
      <c r="C2572" s="0" t="str">
        <f aca="false">INDEX(Intent_Analysis!$B$5:$B$81,MATCH(B2572,Intent_Analysis!$A$5:$A$81,0))</f>
        <v>Fees &amp; charges</v>
      </c>
      <c r="D2572" s="0" t="n">
        <f aca="false">INDEX(Intent_Analysis!$E$5:$E$81,MATCH(B2572,Intent_Analysis!$A$5:$A$81,0))</f>
        <v>1</v>
      </c>
    </row>
    <row r="2573" customFormat="false" ht="15" hidden="false" customHeight="false" outlineLevel="0" collapsed="false">
      <c r="A2573" s="0" t="s">
        <v>2897</v>
      </c>
      <c r="B2573" s="0" t="s">
        <v>87</v>
      </c>
      <c r="C2573" s="0" t="str">
        <f aca="false">INDEX(Intent_Analysis!$B$5:$B$81,MATCH(B2573,Intent_Analysis!$A$5:$A$81,0))</f>
        <v>Fees &amp; charges</v>
      </c>
      <c r="D2573" s="0" t="n">
        <f aca="false">INDEX(Intent_Analysis!$E$5:$E$81,MATCH(B2573,Intent_Analysis!$A$5:$A$81,0))</f>
        <v>1</v>
      </c>
    </row>
    <row r="2574" customFormat="false" ht="15" hidden="false" customHeight="false" outlineLevel="0" collapsed="false">
      <c r="A2574" s="0" t="s">
        <v>2898</v>
      </c>
      <c r="B2574" s="0" t="s">
        <v>87</v>
      </c>
      <c r="C2574" s="0" t="str">
        <f aca="false">INDEX(Intent_Analysis!$B$5:$B$81,MATCH(B2574,Intent_Analysis!$A$5:$A$81,0))</f>
        <v>Fees &amp; charges</v>
      </c>
      <c r="D2574" s="0" t="n">
        <f aca="false">INDEX(Intent_Analysis!$E$5:$E$81,MATCH(B2574,Intent_Analysis!$A$5:$A$81,0))</f>
        <v>1</v>
      </c>
    </row>
    <row r="2575" customFormat="false" ht="15" hidden="false" customHeight="false" outlineLevel="0" collapsed="false">
      <c r="A2575" s="0" t="s">
        <v>2899</v>
      </c>
      <c r="B2575" s="0" t="s">
        <v>87</v>
      </c>
      <c r="C2575" s="0" t="str">
        <f aca="false">INDEX(Intent_Analysis!$B$5:$B$81,MATCH(B2575,Intent_Analysis!$A$5:$A$81,0))</f>
        <v>Fees &amp; charges</v>
      </c>
      <c r="D2575" s="0" t="n">
        <f aca="false">INDEX(Intent_Analysis!$E$5:$E$81,MATCH(B2575,Intent_Analysis!$A$5:$A$81,0))</f>
        <v>1</v>
      </c>
    </row>
    <row r="2576" customFormat="false" ht="15" hidden="false" customHeight="false" outlineLevel="0" collapsed="false">
      <c r="A2576" s="0" t="s">
        <v>2900</v>
      </c>
      <c r="B2576" s="0" t="s">
        <v>87</v>
      </c>
      <c r="C2576" s="0" t="str">
        <f aca="false">INDEX(Intent_Analysis!$B$5:$B$81,MATCH(B2576,Intent_Analysis!$A$5:$A$81,0))</f>
        <v>Fees &amp; charges</v>
      </c>
      <c r="D2576" s="0" t="n">
        <f aca="false">INDEX(Intent_Analysis!$E$5:$E$81,MATCH(B2576,Intent_Analysis!$A$5:$A$81,0))</f>
        <v>1</v>
      </c>
    </row>
    <row r="2577" customFormat="false" ht="15" hidden="false" customHeight="false" outlineLevel="0" collapsed="false">
      <c r="A2577" s="0" t="s">
        <v>2901</v>
      </c>
      <c r="B2577" s="0" t="s">
        <v>87</v>
      </c>
      <c r="C2577" s="0" t="str">
        <f aca="false">INDEX(Intent_Analysis!$B$5:$B$81,MATCH(B2577,Intent_Analysis!$A$5:$A$81,0))</f>
        <v>Fees &amp; charges</v>
      </c>
      <c r="D2577" s="0" t="n">
        <f aca="false">INDEX(Intent_Analysis!$E$5:$E$81,MATCH(B2577,Intent_Analysis!$A$5:$A$81,0))</f>
        <v>1</v>
      </c>
    </row>
    <row r="2578" customFormat="false" ht="15" hidden="false" customHeight="false" outlineLevel="0" collapsed="false">
      <c r="A2578" s="0" t="s">
        <v>2902</v>
      </c>
      <c r="B2578" s="0" t="s">
        <v>87</v>
      </c>
      <c r="C2578" s="0" t="str">
        <f aca="false">INDEX(Intent_Analysis!$B$5:$B$81,MATCH(B2578,Intent_Analysis!$A$5:$A$81,0))</f>
        <v>Fees &amp; charges</v>
      </c>
      <c r="D2578" s="0" t="n">
        <f aca="false">INDEX(Intent_Analysis!$E$5:$E$81,MATCH(B2578,Intent_Analysis!$A$5:$A$81,0))</f>
        <v>1</v>
      </c>
    </row>
    <row r="2579" customFormat="false" ht="15" hidden="false" customHeight="false" outlineLevel="0" collapsed="false">
      <c r="A2579" s="0" t="s">
        <v>2903</v>
      </c>
      <c r="B2579" s="0" t="s">
        <v>87</v>
      </c>
      <c r="C2579" s="0" t="str">
        <f aca="false">INDEX(Intent_Analysis!$B$5:$B$81,MATCH(B2579,Intent_Analysis!$A$5:$A$81,0))</f>
        <v>Fees &amp; charges</v>
      </c>
      <c r="D2579" s="0" t="n">
        <f aca="false">INDEX(Intent_Analysis!$E$5:$E$81,MATCH(B2579,Intent_Analysis!$A$5:$A$81,0))</f>
        <v>1</v>
      </c>
    </row>
    <row r="2580" customFormat="false" ht="15" hidden="false" customHeight="false" outlineLevel="0" collapsed="false">
      <c r="A2580" s="0" t="s">
        <v>2904</v>
      </c>
      <c r="B2580" s="0" t="s">
        <v>87</v>
      </c>
      <c r="C2580" s="0" t="str">
        <f aca="false">INDEX(Intent_Analysis!$B$5:$B$81,MATCH(B2580,Intent_Analysis!$A$5:$A$81,0))</f>
        <v>Fees &amp; charges</v>
      </c>
      <c r="D2580" s="0" t="n">
        <f aca="false">INDEX(Intent_Analysis!$E$5:$E$81,MATCH(B2580,Intent_Analysis!$A$5:$A$81,0))</f>
        <v>1</v>
      </c>
    </row>
    <row r="2581" customFormat="false" ht="15" hidden="false" customHeight="false" outlineLevel="0" collapsed="false">
      <c r="A2581" s="0" t="s">
        <v>2905</v>
      </c>
      <c r="B2581" s="0" t="s">
        <v>87</v>
      </c>
      <c r="C2581" s="0" t="str">
        <f aca="false">INDEX(Intent_Analysis!$B$5:$B$81,MATCH(B2581,Intent_Analysis!$A$5:$A$81,0))</f>
        <v>Fees &amp; charges</v>
      </c>
      <c r="D2581" s="0" t="n">
        <f aca="false">INDEX(Intent_Analysis!$E$5:$E$81,MATCH(B2581,Intent_Analysis!$A$5:$A$81,0))</f>
        <v>1</v>
      </c>
    </row>
    <row r="2582" customFormat="false" ht="15" hidden="false" customHeight="false" outlineLevel="0" collapsed="false">
      <c r="A2582" s="0" t="s">
        <v>2906</v>
      </c>
      <c r="B2582" s="0" t="s">
        <v>87</v>
      </c>
      <c r="C2582" s="0" t="str">
        <f aca="false">INDEX(Intent_Analysis!$B$5:$B$81,MATCH(B2582,Intent_Analysis!$A$5:$A$81,0))</f>
        <v>Fees &amp; charges</v>
      </c>
      <c r="D2582" s="0" t="n">
        <f aca="false">INDEX(Intent_Analysis!$E$5:$E$81,MATCH(B2582,Intent_Analysis!$A$5:$A$81,0))</f>
        <v>1</v>
      </c>
    </row>
    <row r="2583" customFormat="false" ht="15" hidden="false" customHeight="false" outlineLevel="0" collapsed="false">
      <c r="A2583" s="0" t="s">
        <v>2907</v>
      </c>
      <c r="B2583" s="0" t="s">
        <v>87</v>
      </c>
      <c r="C2583" s="0" t="str">
        <f aca="false">INDEX(Intent_Analysis!$B$5:$B$81,MATCH(B2583,Intent_Analysis!$A$5:$A$81,0))</f>
        <v>Fees &amp; charges</v>
      </c>
      <c r="D2583" s="0" t="n">
        <f aca="false">INDEX(Intent_Analysis!$E$5:$E$81,MATCH(B2583,Intent_Analysis!$A$5:$A$81,0))</f>
        <v>1</v>
      </c>
    </row>
    <row r="2584" customFormat="false" ht="15" hidden="false" customHeight="false" outlineLevel="0" collapsed="false">
      <c r="A2584" s="0" t="s">
        <v>2908</v>
      </c>
      <c r="B2584" s="0" t="s">
        <v>87</v>
      </c>
      <c r="C2584" s="0" t="str">
        <f aca="false">INDEX(Intent_Analysis!$B$5:$B$81,MATCH(B2584,Intent_Analysis!$A$5:$A$81,0))</f>
        <v>Fees &amp; charges</v>
      </c>
      <c r="D2584" s="0" t="n">
        <f aca="false">INDEX(Intent_Analysis!$E$5:$E$81,MATCH(B2584,Intent_Analysis!$A$5:$A$81,0))</f>
        <v>1</v>
      </c>
    </row>
    <row r="2585" customFormat="false" ht="15" hidden="false" customHeight="false" outlineLevel="0" collapsed="false">
      <c r="A2585" s="0" t="s">
        <v>2909</v>
      </c>
      <c r="B2585" s="0" t="s">
        <v>87</v>
      </c>
      <c r="C2585" s="0" t="str">
        <f aca="false">INDEX(Intent_Analysis!$B$5:$B$81,MATCH(B2585,Intent_Analysis!$A$5:$A$81,0))</f>
        <v>Fees &amp; charges</v>
      </c>
      <c r="D2585" s="0" t="n">
        <f aca="false">INDEX(Intent_Analysis!$E$5:$E$81,MATCH(B2585,Intent_Analysis!$A$5:$A$81,0))</f>
        <v>1</v>
      </c>
    </row>
    <row r="2586" customFormat="false" ht="15" hidden="false" customHeight="false" outlineLevel="0" collapsed="false">
      <c r="A2586" s="0" t="s">
        <v>2910</v>
      </c>
      <c r="B2586" s="0" t="s">
        <v>87</v>
      </c>
      <c r="C2586" s="0" t="str">
        <f aca="false">INDEX(Intent_Analysis!$B$5:$B$81,MATCH(B2586,Intent_Analysis!$A$5:$A$81,0))</f>
        <v>Fees &amp; charges</v>
      </c>
      <c r="D2586" s="0" t="n">
        <f aca="false">INDEX(Intent_Analysis!$E$5:$E$81,MATCH(B2586,Intent_Analysis!$A$5:$A$81,0))</f>
        <v>1</v>
      </c>
    </row>
    <row r="2587" customFormat="false" ht="15" hidden="false" customHeight="false" outlineLevel="0" collapsed="false">
      <c r="A2587" s="0" t="s">
        <v>2911</v>
      </c>
      <c r="B2587" s="0" t="s">
        <v>87</v>
      </c>
      <c r="C2587" s="0" t="str">
        <f aca="false">INDEX(Intent_Analysis!$B$5:$B$81,MATCH(B2587,Intent_Analysis!$A$5:$A$81,0))</f>
        <v>Fees &amp; charges</v>
      </c>
      <c r="D2587" s="0" t="n">
        <f aca="false">INDEX(Intent_Analysis!$E$5:$E$81,MATCH(B2587,Intent_Analysis!$A$5:$A$81,0))</f>
        <v>1</v>
      </c>
    </row>
    <row r="2588" customFormat="false" ht="15" hidden="false" customHeight="false" outlineLevel="0" collapsed="false">
      <c r="A2588" s="0" t="s">
        <v>2912</v>
      </c>
      <c r="B2588" s="0" t="s">
        <v>87</v>
      </c>
      <c r="C2588" s="0" t="str">
        <f aca="false">INDEX(Intent_Analysis!$B$5:$B$81,MATCH(B2588,Intent_Analysis!$A$5:$A$81,0))</f>
        <v>Fees &amp; charges</v>
      </c>
      <c r="D2588" s="0" t="n">
        <f aca="false">INDEX(Intent_Analysis!$E$5:$E$81,MATCH(B2588,Intent_Analysis!$A$5:$A$81,0))</f>
        <v>1</v>
      </c>
    </row>
    <row r="2589" customFormat="false" ht="15" hidden="false" customHeight="false" outlineLevel="0" collapsed="false">
      <c r="A2589" s="0" t="s">
        <v>2913</v>
      </c>
      <c r="B2589" s="0" t="s">
        <v>87</v>
      </c>
      <c r="C2589" s="0" t="str">
        <f aca="false">INDEX(Intent_Analysis!$B$5:$B$81,MATCH(B2589,Intent_Analysis!$A$5:$A$81,0))</f>
        <v>Fees &amp; charges</v>
      </c>
      <c r="D2589" s="0" t="n">
        <f aca="false">INDEX(Intent_Analysis!$E$5:$E$81,MATCH(B2589,Intent_Analysis!$A$5:$A$81,0))</f>
        <v>1</v>
      </c>
    </row>
    <row r="2590" customFormat="false" ht="15" hidden="false" customHeight="false" outlineLevel="0" collapsed="false">
      <c r="A2590" s="0" t="s">
        <v>2914</v>
      </c>
      <c r="B2590" s="0" t="s">
        <v>87</v>
      </c>
      <c r="C2590" s="0" t="str">
        <f aca="false">INDEX(Intent_Analysis!$B$5:$B$81,MATCH(B2590,Intent_Analysis!$A$5:$A$81,0))</f>
        <v>Fees &amp; charges</v>
      </c>
      <c r="D2590" s="0" t="n">
        <f aca="false">INDEX(Intent_Analysis!$E$5:$E$81,MATCH(B2590,Intent_Analysis!$A$5:$A$81,0))</f>
        <v>1</v>
      </c>
    </row>
    <row r="2591" customFormat="false" ht="15" hidden="false" customHeight="false" outlineLevel="0" collapsed="false">
      <c r="A2591" s="0" t="s">
        <v>2915</v>
      </c>
      <c r="B2591" s="0" t="s">
        <v>87</v>
      </c>
      <c r="C2591" s="0" t="str">
        <f aca="false">INDEX(Intent_Analysis!$B$5:$B$81,MATCH(B2591,Intent_Analysis!$A$5:$A$81,0))</f>
        <v>Fees &amp; charges</v>
      </c>
      <c r="D2591" s="0" t="n">
        <f aca="false">INDEX(Intent_Analysis!$E$5:$E$81,MATCH(B2591,Intent_Analysis!$A$5:$A$81,0))</f>
        <v>1</v>
      </c>
    </row>
    <row r="2592" customFormat="false" ht="15" hidden="false" customHeight="false" outlineLevel="0" collapsed="false">
      <c r="A2592" s="0" t="s">
        <v>2916</v>
      </c>
      <c r="B2592" s="0" t="s">
        <v>87</v>
      </c>
      <c r="C2592" s="0" t="str">
        <f aca="false">INDEX(Intent_Analysis!$B$5:$B$81,MATCH(B2592,Intent_Analysis!$A$5:$A$81,0))</f>
        <v>Fees &amp; charges</v>
      </c>
      <c r="D2592" s="0" t="n">
        <f aca="false">INDEX(Intent_Analysis!$E$5:$E$81,MATCH(B2592,Intent_Analysis!$A$5:$A$81,0))</f>
        <v>1</v>
      </c>
    </row>
    <row r="2593" customFormat="false" ht="15" hidden="false" customHeight="false" outlineLevel="0" collapsed="false">
      <c r="A2593" s="0" t="s">
        <v>2917</v>
      </c>
      <c r="B2593" s="0" t="s">
        <v>87</v>
      </c>
      <c r="C2593" s="0" t="str">
        <f aca="false">INDEX(Intent_Analysis!$B$5:$B$81,MATCH(B2593,Intent_Analysis!$A$5:$A$81,0))</f>
        <v>Fees &amp; charges</v>
      </c>
      <c r="D2593" s="0" t="n">
        <f aca="false">INDEX(Intent_Analysis!$E$5:$E$81,MATCH(B2593,Intent_Analysis!$A$5:$A$81,0))</f>
        <v>1</v>
      </c>
    </row>
    <row r="2594" customFormat="false" ht="15" hidden="false" customHeight="false" outlineLevel="0" collapsed="false">
      <c r="A2594" s="0" t="s">
        <v>2918</v>
      </c>
      <c r="B2594" s="0" t="s">
        <v>87</v>
      </c>
      <c r="C2594" s="0" t="str">
        <f aca="false">INDEX(Intent_Analysis!$B$5:$B$81,MATCH(B2594,Intent_Analysis!$A$5:$A$81,0))</f>
        <v>Fees &amp; charges</v>
      </c>
      <c r="D2594" s="0" t="n">
        <f aca="false">INDEX(Intent_Analysis!$E$5:$E$81,MATCH(B2594,Intent_Analysis!$A$5:$A$81,0))</f>
        <v>1</v>
      </c>
    </row>
    <row r="2595" customFormat="false" ht="15" hidden="false" customHeight="false" outlineLevel="0" collapsed="false">
      <c r="A2595" s="0" t="s">
        <v>2919</v>
      </c>
      <c r="B2595" s="0" t="s">
        <v>87</v>
      </c>
      <c r="C2595" s="0" t="str">
        <f aca="false">INDEX(Intent_Analysis!$B$5:$B$81,MATCH(B2595,Intent_Analysis!$A$5:$A$81,0))</f>
        <v>Fees &amp; charges</v>
      </c>
      <c r="D2595" s="0" t="n">
        <f aca="false">INDEX(Intent_Analysis!$E$5:$E$81,MATCH(B2595,Intent_Analysis!$A$5:$A$81,0))</f>
        <v>1</v>
      </c>
    </row>
    <row r="2596" customFormat="false" ht="15" hidden="false" customHeight="false" outlineLevel="0" collapsed="false">
      <c r="A2596" s="0" t="s">
        <v>2920</v>
      </c>
      <c r="B2596" s="0" t="s">
        <v>87</v>
      </c>
      <c r="C2596" s="0" t="str">
        <f aca="false">INDEX(Intent_Analysis!$B$5:$B$81,MATCH(B2596,Intent_Analysis!$A$5:$A$81,0))</f>
        <v>Fees &amp; charges</v>
      </c>
      <c r="D2596" s="0" t="n">
        <f aca="false">INDEX(Intent_Analysis!$E$5:$E$81,MATCH(B2596,Intent_Analysis!$A$5:$A$81,0))</f>
        <v>1</v>
      </c>
    </row>
    <row r="2597" customFormat="false" ht="15" hidden="false" customHeight="false" outlineLevel="0" collapsed="false">
      <c r="A2597" s="0" t="s">
        <v>2921</v>
      </c>
      <c r="B2597" s="0" t="s">
        <v>87</v>
      </c>
      <c r="C2597" s="0" t="str">
        <f aca="false">INDEX(Intent_Analysis!$B$5:$B$81,MATCH(B2597,Intent_Analysis!$A$5:$A$81,0))</f>
        <v>Fees &amp; charges</v>
      </c>
      <c r="D2597" s="0" t="n">
        <f aca="false">INDEX(Intent_Analysis!$E$5:$E$81,MATCH(B2597,Intent_Analysis!$A$5:$A$81,0))</f>
        <v>1</v>
      </c>
    </row>
    <row r="2598" customFormat="false" ht="15" hidden="false" customHeight="false" outlineLevel="0" collapsed="false">
      <c r="A2598" s="0" t="s">
        <v>2922</v>
      </c>
      <c r="B2598" s="0" t="s">
        <v>87</v>
      </c>
      <c r="C2598" s="0" t="str">
        <f aca="false">INDEX(Intent_Analysis!$B$5:$B$81,MATCH(B2598,Intent_Analysis!$A$5:$A$81,0))</f>
        <v>Fees &amp; charges</v>
      </c>
      <c r="D2598" s="0" t="n">
        <f aca="false">INDEX(Intent_Analysis!$E$5:$E$81,MATCH(B2598,Intent_Analysis!$A$5:$A$81,0))</f>
        <v>1</v>
      </c>
    </row>
    <row r="2599" customFormat="false" ht="15" hidden="false" customHeight="false" outlineLevel="0" collapsed="false">
      <c r="A2599" s="0" t="s">
        <v>2923</v>
      </c>
      <c r="B2599" s="0" t="s">
        <v>87</v>
      </c>
      <c r="C2599" s="0" t="str">
        <f aca="false">INDEX(Intent_Analysis!$B$5:$B$81,MATCH(B2599,Intent_Analysis!$A$5:$A$81,0))</f>
        <v>Fees &amp; charges</v>
      </c>
      <c r="D2599" s="0" t="n">
        <f aca="false">INDEX(Intent_Analysis!$E$5:$E$81,MATCH(B2599,Intent_Analysis!$A$5:$A$81,0))</f>
        <v>1</v>
      </c>
    </row>
    <row r="2600" customFormat="false" ht="15" hidden="false" customHeight="false" outlineLevel="0" collapsed="false">
      <c r="A2600" s="0" t="s">
        <v>2924</v>
      </c>
      <c r="B2600" s="0" t="s">
        <v>87</v>
      </c>
      <c r="C2600" s="0" t="str">
        <f aca="false">INDEX(Intent_Analysis!$B$5:$B$81,MATCH(B2600,Intent_Analysis!$A$5:$A$81,0))</f>
        <v>Fees &amp; charges</v>
      </c>
      <c r="D2600" s="0" t="n">
        <f aca="false">INDEX(Intent_Analysis!$E$5:$E$81,MATCH(B2600,Intent_Analysis!$A$5:$A$81,0))</f>
        <v>1</v>
      </c>
    </row>
    <row r="2601" customFormat="false" ht="15" hidden="false" customHeight="false" outlineLevel="0" collapsed="false">
      <c r="A2601" s="0" t="s">
        <v>2925</v>
      </c>
      <c r="B2601" s="0" t="s">
        <v>87</v>
      </c>
      <c r="C2601" s="0" t="str">
        <f aca="false">INDEX(Intent_Analysis!$B$5:$B$81,MATCH(B2601,Intent_Analysis!$A$5:$A$81,0))</f>
        <v>Fees &amp; charges</v>
      </c>
      <c r="D2601" s="0" t="n">
        <f aca="false">INDEX(Intent_Analysis!$E$5:$E$81,MATCH(B2601,Intent_Analysis!$A$5:$A$81,0))</f>
        <v>1</v>
      </c>
    </row>
    <row r="2602" customFormat="false" ht="15" hidden="false" customHeight="false" outlineLevel="0" collapsed="false">
      <c r="A2602" s="0" t="s">
        <v>2926</v>
      </c>
      <c r="B2602" s="0" t="s">
        <v>87</v>
      </c>
      <c r="C2602" s="0" t="str">
        <f aca="false">INDEX(Intent_Analysis!$B$5:$B$81,MATCH(B2602,Intent_Analysis!$A$5:$A$81,0))</f>
        <v>Fees &amp; charges</v>
      </c>
      <c r="D2602" s="0" t="n">
        <f aca="false">INDEX(Intent_Analysis!$E$5:$E$81,MATCH(B2602,Intent_Analysis!$A$5:$A$81,0))</f>
        <v>1</v>
      </c>
    </row>
    <row r="2603" customFormat="false" ht="15" hidden="false" customHeight="false" outlineLevel="0" collapsed="false">
      <c r="A2603" s="0" t="s">
        <v>2927</v>
      </c>
      <c r="B2603" s="0" t="s">
        <v>87</v>
      </c>
      <c r="C2603" s="0" t="str">
        <f aca="false">INDEX(Intent_Analysis!$B$5:$B$81,MATCH(B2603,Intent_Analysis!$A$5:$A$81,0))</f>
        <v>Fees &amp; charges</v>
      </c>
      <c r="D2603" s="0" t="n">
        <f aca="false">INDEX(Intent_Analysis!$E$5:$E$81,MATCH(B2603,Intent_Analysis!$A$5:$A$81,0))</f>
        <v>1</v>
      </c>
    </row>
    <row r="2604" customFormat="false" ht="15" hidden="false" customHeight="false" outlineLevel="0" collapsed="false">
      <c r="A2604" s="0" t="s">
        <v>2928</v>
      </c>
      <c r="B2604" s="0" t="s">
        <v>87</v>
      </c>
      <c r="C2604" s="0" t="str">
        <f aca="false">INDEX(Intent_Analysis!$B$5:$B$81,MATCH(B2604,Intent_Analysis!$A$5:$A$81,0))</f>
        <v>Fees &amp; charges</v>
      </c>
      <c r="D2604" s="0" t="n">
        <f aca="false">INDEX(Intent_Analysis!$E$5:$E$81,MATCH(B2604,Intent_Analysis!$A$5:$A$81,0))</f>
        <v>1</v>
      </c>
    </row>
    <row r="2605" customFormat="false" ht="15" hidden="false" customHeight="false" outlineLevel="0" collapsed="false">
      <c r="A2605" s="0" t="s">
        <v>2929</v>
      </c>
      <c r="B2605" s="0" t="s">
        <v>87</v>
      </c>
      <c r="C2605" s="0" t="str">
        <f aca="false">INDEX(Intent_Analysis!$B$5:$B$81,MATCH(B2605,Intent_Analysis!$A$5:$A$81,0))</f>
        <v>Fees &amp; charges</v>
      </c>
      <c r="D2605" s="0" t="n">
        <f aca="false">INDEX(Intent_Analysis!$E$5:$E$81,MATCH(B2605,Intent_Analysis!$A$5:$A$81,0))</f>
        <v>1</v>
      </c>
    </row>
    <row r="2606" customFormat="false" ht="15" hidden="false" customHeight="false" outlineLevel="0" collapsed="false">
      <c r="A2606" s="0" t="s">
        <v>2930</v>
      </c>
      <c r="B2606" s="0" t="s">
        <v>87</v>
      </c>
      <c r="C2606" s="0" t="str">
        <f aca="false">INDEX(Intent_Analysis!$B$5:$B$81,MATCH(B2606,Intent_Analysis!$A$5:$A$81,0))</f>
        <v>Fees &amp; charges</v>
      </c>
      <c r="D2606" s="0" t="n">
        <f aca="false">INDEX(Intent_Analysis!$E$5:$E$81,MATCH(B2606,Intent_Analysis!$A$5:$A$81,0))</f>
        <v>1</v>
      </c>
    </row>
    <row r="2607" customFormat="false" ht="15" hidden="false" customHeight="false" outlineLevel="0" collapsed="false">
      <c r="A2607" s="0" t="s">
        <v>2931</v>
      </c>
      <c r="B2607" s="0" t="s">
        <v>87</v>
      </c>
      <c r="C2607" s="0" t="str">
        <f aca="false">INDEX(Intent_Analysis!$B$5:$B$81,MATCH(B2607,Intent_Analysis!$A$5:$A$81,0))</f>
        <v>Fees &amp; charges</v>
      </c>
      <c r="D2607" s="0" t="n">
        <f aca="false">INDEX(Intent_Analysis!$E$5:$E$81,MATCH(B2607,Intent_Analysis!$A$5:$A$81,0))</f>
        <v>1</v>
      </c>
    </row>
    <row r="2608" customFormat="false" ht="15" hidden="false" customHeight="false" outlineLevel="0" collapsed="false">
      <c r="A2608" s="0" t="s">
        <v>2932</v>
      </c>
      <c r="B2608" s="0" t="s">
        <v>87</v>
      </c>
      <c r="C2608" s="0" t="str">
        <f aca="false">INDEX(Intent_Analysis!$B$5:$B$81,MATCH(B2608,Intent_Analysis!$A$5:$A$81,0))</f>
        <v>Fees &amp; charges</v>
      </c>
      <c r="D2608" s="0" t="n">
        <f aca="false">INDEX(Intent_Analysis!$E$5:$E$81,MATCH(B2608,Intent_Analysis!$A$5:$A$81,0))</f>
        <v>1</v>
      </c>
    </row>
    <row r="2609" customFormat="false" ht="15" hidden="false" customHeight="false" outlineLevel="0" collapsed="false">
      <c r="A2609" s="0" t="s">
        <v>2933</v>
      </c>
      <c r="B2609" s="0" t="s">
        <v>87</v>
      </c>
      <c r="C2609" s="0" t="str">
        <f aca="false">INDEX(Intent_Analysis!$B$5:$B$81,MATCH(B2609,Intent_Analysis!$A$5:$A$81,0))</f>
        <v>Fees &amp; charges</v>
      </c>
      <c r="D2609" s="0" t="n">
        <f aca="false">INDEX(Intent_Analysis!$E$5:$E$81,MATCH(B2609,Intent_Analysis!$A$5:$A$81,0))</f>
        <v>1</v>
      </c>
    </row>
    <row r="2610" customFormat="false" ht="15" hidden="false" customHeight="false" outlineLevel="0" collapsed="false">
      <c r="A2610" s="0" t="s">
        <v>2934</v>
      </c>
      <c r="B2610" s="0" t="s">
        <v>87</v>
      </c>
      <c r="C2610" s="0" t="str">
        <f aca="false">INDEX(Intent_Analysis!$B$5:$B$81,MATCH(B2610,Intent_Analysis!$A$5:$A$81,0))</f>
        <v>Fees &amp; charges</v>
      </c>
      <c r="D2610" s="0" t="n">
        <f aca="false">INDEX(Intent_Analysis!$E$5:$E$81,MATCH(B2610,Intent_Analysis!$A$5:$A$81,0))</f>
        <v>1</v>
      </c>
    </row>
    <row r="2611" customFormat="false" ht="15" hidden="false" customHeight="false" outlineLevel="0" collapsed="false">
      <c r="A2611" s="0" t="s">
        <v>2935</v>
      </c>
      <c r="B2611" s="0" t="s">
        <v>87</v>
      </c>
      <c r="C2611" s="0" t="str">
        <f aca="false">INDEX(Intent_Analysis!$B$5:$B$81,MATCH(B2611,Intent_Analysis!$A$5:$A$81,0))</f>
        <v>Fees &amp; charges</v>
      </c>
      <c r="D2611" s="0" t="n">
        <f aca="false">INDEX(Intent_Analysis!$E$5:$E$81,MATCH(B2611,Intent_Analysis!$A$5:$A$81,0))</f>
        <v>1</v>
      </c>
    </row>
    <row r="2612" customFormat="false" ht="15" hidden="false" customHeight="false" outlineLevel="0" collapsed="false">
      <c r="A2612" s="0" t="s">
        <v>2936</v>
      </c>
      <c r="B2612" s="0" t="s">
        <v>87</v>
      </c>
      <c r="C2612" s="0" t="str">
        <f aca="false">INDEX(Intent_Analysis!$B$5:$B$81,MATCH(B2612,Intent_Analysis!$A$5:$A$81,0))</f>
        <v>Fees &amp; charges</v>
      </c>
      <c r="D2612" s="0" t="n">
        <f aca="false">INDEX(Intent_Analysis!$E$5:$E$81,MATCH(B2612,Intent_Analysis!$A$5:$A$81,0))</f>
        <v>1</v>
      </c>
    </row>
    <row r="2613" customFormat="false" ht="15" hidden="false" customHeight="false" outlineLevel="0" collapsed="false">
      <c r="A2613" s="0" t="s">
        <v>2937</v>
      </c>
      <c r="B2613" s="0" t="s">
        <v>87</v>
      </c>
      <c r="C2613" s="0" t="str">
        <f aca="false">INDEX(Intent_Analysis!$B$5:$B$81,MATCH(B2613,Intent_Analysis!$A$5:$A$81,0))</f>
        <v>Fees &amp; charges</v>
      </c>
      <c r="D2613" s="0" t="n">
        <f aca="false">INDEX(Intent_Analysis!$E$5:$E$81,MATCH(B2613,Intent_Analysis!$A$5:$A$81,0))</f>
        <v>1</v>
      </c>
    </row>
    <row r="2614" customFormat="false" ht="15" hidden="false" customHeight="false" outlineLevel="0" collapsed="false">
      <c r="A2614" s="0" t="s">
        <v>2938</v>
      </c>
      <c r="B2614" s="0" t="s">
        <v>87</v>
      </c>
      <c r="C2614" s="0" t="str">
        <f aca="false">INDEX(Intent_Analysis!$B$5:$B$81,MATCH(B2614,Intent_Analysis!$A$5:$A$81,0))</f>
        <v>Fees &amp; charges</v>
      </c>
      <c r="D2614" s="0" t="n">
        <f aca="false">INDEX(Intent_Analysis!$E$5:$E$81,MATCH(B2614,Intent_Analysis!$A$5:$A$81,0))</f>
        <v>1</v>
      </c>
    </row>
    <row r="2615" customFormat="false" ht="15" hidden="false" customHeight="false" outlineLevel="0" collapsed="false">
      <c r="A2615" s="0" t="s">
        <v>2939</v>
      </c>
      <c r="B2615" s="0" t="s">
        <v>87</v>
      </c>
      <c r="C2615" s="0" t="str">
        <f aca="false">INDEX(Intent_Analysis!$B$5:$B$81,MATCH(B2615,Intent_Analysis!$A$5:$A$81,0))</f>
        <v>Fees &amp; charges</v>
      </c>
      <c r="D2615" s="0" t="n">
        <f aca="false">INDEX(Intent_Analysis!$E$5:$E$81,MATCH(B2615,Intent_Analysis!$A$5:$A$81,0))</f>
        <v>1</v>
      </c>
    </row>
    <row r="2616" customFormat="false" ht="15" hidden="false" customHeight="false" outlineLevel="0" collapsed="false">
      <c r="A2616" s="0" t="s">
        <v>2940</v>
      </c>
      <c r="B2616" s="0" t="s">
        <v>87</v>
      </c>
      <c r="C2616" s="0" t="str">
        <f aca="false">INDEX(Intent_Analysis!$B$5:$B$81,MATCH(B2616,Intent_Analysis!$A$5:$A$81,0))</f>
        <v>Fees &amp; charges</v>
      </c>
      <c r="D2616" s="0" t="n">
        <f aca="false">INDEX(Intent_Analysis!$E$5:$E$81,MATCH(B2616,Intent_Analysis!$A$5:$A$81,0))</f>
        <v>1</v>
      </c>
    </row>
    <row r="2617" customFormat="false" ht="15" hidden="false" customHeight="false" outlineLevel="0" collapsed="false">
      <c r="A2617" s="0" t="s">
        <v>2941</v>
      </c>
      <c r="B2617" s="0" t="s">
        <v>87</v>
      </c>
      <c r="C2617" s="0" t="str">
        <f aca="false">INDEX(Intent_Analysis!$B$5:$B$81,MATCH(B2617,Intent_Analysis!$A$5:$A$81,0))</f>
        <v>Fees &amp; charges</v>
      </c>
      <c r="D2617" s="0" t="n">
        <f aca="false">INDEX(Intent_Analysis!$E$5:$E$81,MATCH(B2617,Intent_Analysis!$A$5:$A$81,0))</f>
        <v>1</v>
      </c>
    </row>
    <row r="2618" customFormat="false" ht="15" hidden="false" customHeight="false" outlineLevel="0" collapsed="false">
      <c r="A2618" s="0" t="s">
        <v>2942</v>
      </c>
      <c r="B2618" s="0" t="s">
        <v>87</v>
      </c>
      <c r="C2618" s="0" t="str">
        <f aca="false">INDEX(Intent_Analysis!$B$5:$B$81,MATCH(B2618,Intent_Analysis!$A$5:$A$81,0))</f>
        <v>Fees &amp; charges</v>
      </c>
      <c r="D2618" s="0" t="n">
        <f aca="false">INDEX(Intent_Analysis!$E$5:$E$81,MATCH(B2618,Intent_Analysis!$A$5:$A$81,0))</f>
        <v>1</v>
      </c>
    </row>
    <row r="2619" customFormat="false" ht="15" hidden="false" customHeight="false" outlineLevel="0" collapsed="false">
      <c r="A2619" s="0" t="s">
        <v>2943</v>
      </c>
      <c r="B2619" s="0" t="s">
        <v>87</v>
      </c>
      <c r="C2619" s="0" t="str">
        <f aca="false">INDEX(Intent_Analysis!$B$5:$B$81,MATCH(B2619,Intent_Analysis!$A$5:$A$81,0))</f>
        <v>Fees &amp; charges</v>
      </c>
      <c r="D2619" s="0" t="n">
        <f aca="false">INDEX(Intent_Analysis!$E$5:$E$81,MATCH(B2619,Intent_Analysis!$A$5:$A$81,0))</f>
        <v>1</v>
      </c>
    </row>
    <row r="2620" customFormat="false" ht="15" hidden="false" customHeight="false" outlineLevel="0" collapsed="false">
      <c r="A2620" s="0" t="s">
        <v>2944</v>
      </c>
      <c r="B2620" s="0" t="s">
        <v>87</v>
      </c>
      <c r="C2620" s="0" t="str">
        <f aca="false">INDEX(Intent_Analysis!$B$5:$B$81,MATCH(B2620,Intent_Analysis!$A$5:$A$81,0))</f>
        <v>Fees &amp; charges</v>
      </c>
      <c r="D2620" s="0" t="n">
        <f aca="false">INDEX(Intent_Analysis!$E$5:$E$81,MATCH(B2620,Intent_Analysis!$A$5:$A$81,0))</f>
        <v>1</v>
      </c>
    </row>
    <row r="2621" customFormat="false" ht="15" hidden="false" customHeight="false" outlineLevel="0" collapsed="false">
      <c r="A2621" s="0" t="s">
        <v>2945</v>
      </c>
      <c r="B2621" s="0" t="s">
        <v>87</v>
      </c>
      <c r="C2621" s="0" t="str">
        <f aca="false">INDEX(Intent_Analysis!$B$5:$B$81,MATCH(B2621,Intent_Analysis!$A$5:$A$81,0))</f>
        <v>Fees &amp; charges</v>
      </c>
      <c r="D2621" s="0" t="n">
        <f aca="false">INDEX(Intent_Analysis!$E$5:$E$81,MATCH(B2621,Intent_Analysis!$A$5:$A$81,0))</f>
        <v>1</v>
      </c>
    </row>
    <row r="2622" customFormat="false" ht="15" hidden="false" customHeight="false" outlineLevel="0" collapsed="false">
      <c r="A2622" s="0" t="s">
        <v>2946</v>
      </c>
      <c r="B2622" s="0" t="s">
        <v>87</v>
      </c>
      <c r="C2622" s="0" t="str">
        <f aca="false">INDEX(Intent_Analysis!$B$5:$B$81,MATCH(B2622,Intent_Analysis!$A$5:$A$81,0))</f>
        <v>Fees &amp; charges</v>
      </c>
      <c r="D2622" s="0" t="n">
        <f aca="false">INDEX(Intent_Analysis!$E$5:$E$81,MATCH(B2622,Intent_Analysis!$A$5:$A$81,0))</f>
        <v>1</v>
      </c>
    </row>
    <row r="2623" customFormat="false" ht="15" hidden="false" customHeight="false" outlineLevel="0" collapsed="false">
      <c r="A2623" s="0" t="s">
        <v>2947</v>
      </c>
      <c r="B2623" s="0" t="s">
        <v>87</v>
      </c>
      <c r="C2623" s="0" t="str">
        <f aca="false">INDEX(Intent_Analysis!$B$5:$B$81,MATCH(B2623,Intent_Analysis!$A$5:$A$81,0))</f>
        <v>Fees &amp; charges</v>
      </c>
      <c r="D2623" s="0" t="n">
        <f aca="false">INDEX(Intent_Analysis!$E$5:$E$81,MATCH(B2623,Intent_Analysis!$A$5:$A$81,0))</f>
        <v>1</v>
      </c>
    </row>
    <row r="2624" customFormat="false" ht="15" hidden="false" customHeight="false" outlineLevel="0" collapsed="false">
      <c r="A2624" s="0" t="s">
        <v>2948</v>
      </c>
      <c r="B2624" s="0" t="s">
        <v>87</v>
      </c>
      <c r="C2624" s="0" t="str">
        <f aca="false">INDEX(Intent_Analysis!$B$5:$B$81,MATCH(B2624,Intent_Analysis!$A$5:$A$81,0))</f>
        <v>Fees &amp; charges</v>
      </c>
      <c r="D2624" s="0" t="n">
        <f aca="false">INDEX(Intent_Analysis!$E$5:$E$81,MATCH(B2624,Intent_Analysis!$A$5:$A$81,0))</f>
        <v>1</v>
      </c>
    </row>
    <row r="2625" customFormat="false" ht="15" hidden="false" customHeight="false" outlineLevel="0" collapsed="false">
      <c r="A2625" s="0" t="s">
        <v>2949</v>
      </c>
      <c r="B2625" s="0" t="s">
        <v>87</v>
      </c>
      <c r="C2625" s="0" t="str">
        <f aca="false">INDEX(Intent_Analysis!$B$5:$B$81,MATCH(B2625,Intent_Analysis!$A$5:$A$81,0))</f>
        <v>Fees &amp; charges</v>
      </c>
      <c r="D2625" s="0" t="n">
        <f aca="false">INDEX(Intent_Analysis!$E$5:$E$81,MATCH(B2625,Intent_Analysis!$A$5:$A$81,0))</f>
        <v>1</v>
      </c>
    </row>
    <row r="2626" customFormat="false" ht="15" hidden="false" customHeight="false" outlineLevel="0" collapsed="false">
      <c r="A2626" s="0" t="s">
        <v>2950</v>
      </c>
      <c r="B2626" s="0" t="s">
        <v>87</v>
      </c>
      <c r="C2626" s="0" t="str">
        <f aca="false">INDEX(Intent_Analysis!$B$5:$B$81,MATCH(B2626,Intent_Analysis!$A$5:$A$81,0))</f>
        <v>Fees &amp; charges</v>
      </c>
      <c r="D2626" s="0" t="n">
        <f aca="false">INDEX(Intent_Analysis!$E$5:$E$81,MATCH(B2626,Intent_Analysis!$A$5:$A$81,0))</f>
        <v>1</v>
      </c>
    </row>
    <row r="2627" customFormat="false" ht="15" hidden="false" customHeight="false" outlineLevel="0" collapsed="false">
      <c r="A2627" s="0" t="s">
        <v>2951</v>
      </c>
      <c r="B2627" s="0" t="s">
        <v>87</v>
      </c>
      <c r="C2627" s="0" t="str">
        <f aca="false">INDEX(Intent_Analysis!$B$5:$B$81,MATCH(B2627,Intent_Analysis!$A$5:$A$81,0))</f>
        <v>Fees &amp; charges</v>
      </c>
      <c r="D2627" s="0" t="n">
        <f aca="false">INDEX(Intent_Analysis!$E$5:$E$81,MATCH(B2627,Intent_Analysis!$A$5:$A$81,0))</f>
        <v>1</v>
      </c>
    </row>
    <row r="2628" customFormat="false" ht="15" hidden="false" customHeight="false" outlineLevel="0" collapsed="false">
      <c r="A2628" s="0" t="s">
        <v>2952</v>
      </c>
      <c r="B2628" s="0" t="s">
        <v>87</v>
      </c>
      <c r="C2628" s="0" t="str">
        <f aca="false">INDEX(Intent_Analysis!$B$5:$B$81,MATCH(B2628,Intent_Analysis!$A$5:$A$81,0))</f>
        <v>Fees &amp; charges</v>
      </c>
      <c r="D2628" s="0" t="n">
        <f aca="false">INDEX(Intent_Analysis!$E$5:$E$81,MATCH(B2628,Intent_Analysis!$A$5:$A$81,0))</f>
        <v>1</v>
      </c>
    </row>
    <row r="2629" customFormat="false" ht="15" hidden="false" customHeight="false" outlineLevel="0" collapsed="false">
      <c r="A2629" s="0" t="s">
        <v>2953</v>
      </c>
      <c r="B2629" s="0" t="s">
        <v>87</v>
      </c>
      <c r="C2629" s="0" t="str">
        <f aca="false">INDEX(Intent_Analysis!$B$5:$B$81,MATCH(B2629,Intent_Analysis!$A$5:$A$81,0))</f>
        <v>Fees &amp; charges</v>
      </c>
      <c r="D2629" s="0" t="n">
        <f aca="false">INDEX(Intent_Analysis!$E$5:$E$81,MATCH(B2629,Intent_Analysis!$A$5:$A$81,0))</f>
        <v>1</v>
      </c>
    </row>
    <row r="2630" customFormat="false" ht="15" hidden="false" customHeight="false" outlineLevel="0" collapsed="false">
      <c r="A2630" s="0" t="s">
        <v>2954</v>
      </c>
      <c r="B2630" s="0" t="s">
        <v>87</v>
      </c>
      <c r="C2630" s="0" t="str">
        <f aca="false">INDEX(Intent_Analysis!$B$5:$B$81,MATCH(B2630,Intent_Analysis!$A$5:$A$81,0))</f>
        <v>Fees &amp; charges</v>
      </c>
      <c r="D2630" s="0" t="n">
        <f aca="false">INDEX(Intent_Analysis!$E$5:$E$81,MATCH(B2630,Intent_Analysis!$A$5:$A$81,0))</f>
        <v>1</v>
      </c>
    </row>
    <row r="2631" customFormat="false" ht="15" hidden="false" customHeight="false" outlineLevel="0" collapsed="false">
      <c r="A2631" s="0" t="s">
        <v>2955</v>
      </c>
      <c r="B2631" s="0" t="s">
        <v>87</v>
      </c>
      <c r="C2631" s="0" t="str">
        <f aca="false">INDEX(Intent_Analysis!$B$5:$B$81,MATCH(B2631,Intent_Analysis!$A$5:$A$81,0))</f>
        <v>Fees &amp; charges</v>
      </c>
      <c r="D2631" s="0" t="n">
        <f aca="false">INDEX(Intent_Analysis!$E$5:$E$81,MATCH(B2631,Intent_Analysis!$A$5:$A$81,0))</f>
        <v>1</v>
      </c>
    </row>
    <row r="2632" customFormat="false" ht="15" hidden="false" customHeight="false" outlineLevel="0" collapsed="false">
      <c r="A2632" s="0" t="s">
        <v>2956</v>
      </c>
      <c r="B2632" s="0" t="s">
        <v>87</v>
      </c>
      <c r="C2632" s="0" t="str">
        <f aca="false">INDEX(Intent_Analysis!$B$5:$B$81,MATCH(B2632,Intent_Analysis!$A$5:$A$81,0))</f>
        <v>Fees &amp; charges</v>
      </c>
      <c r="D2632" s="0" t="n">
        <f aca="false">INDEX(Intent_Analysis!$E$5:$E$81,MATCH(B2632,Intent_Analysis!$A$5:$A$81,0))</f>
        <v>1</v>
      </c>
    </row>
    <row r="2633" customFormat="false" ht="15" hidden="false" customHeight="false" outlineLevel="0" collapsed="false">
      <c r="A2633" s="0" t="s">
        <v>2957</v>
      </c>
      <c r="B2633" s="0" t="s">
        <v>87</v>
      </c>
      <c r="C2633" s="0" t="str">
        <f aca="false">INDEX(Intent_Analysis!$B$5:$B$81,MATCH(B2633,Intent_Analysis!$A$5:$A$81,0))</f>
        <v>Fees &amp; charges</v>
      </c>
      <c r="D2633" s="0" t="n">
        <f aca="false">INDEX(Intent_Analysis!$E$5:$E$81,MATCH(B2633,Intent_Analysis!$A$5:$A$81,0))</f>
        <v>1</v>
      </c>
    </row>
    <row r="2634" customFormat="false" ht="15" hidden="false" customHeight="false" outlineLevel="0" collapsed="false">
      <c r="A2634" s="0" t="s">
        <v>2958</v>
      </c>
      <c r="B2634" s="0" t="s">
        <v>87</v>
      </c>
      <c r="C2634" s="0" t="str">
        <f aca="false">INDEX(Intent_Analysis!$B$5:$B$81,MATCH(B2634,Intent_Analysis!$A$5:$A$81,0))</f>
        <v>Fees &amp; charges</v>
      </c>
      <c r="D2634" s="0" t="n">
        <f aca="false">INDEX(Intent_Analysis!$E$5:$E$81,MATCH(B2634,Intent_Analysis!$A$5:$A$81,0))</f>
        <v>1</v>
      </c>
    </row>
    <row r="2635" customFormat="false" ht="15" hidden="false" customHeight="false" outlineLevel="0" collapsed="false">
      <c r="A2635" s="0" t="s">
        <v>2959</v>
      </c>
      <c r="B2635" s="0" t="s">
        <v>87</v>
      </c>
      <c r="C2635" s="0" t="str">
        <f aca="false">INDEX(Intent_Analysis!$B$5:$B$81,MATCH(B2635,Intent_Analysis!$A$5:$A$81,0))</f>
        <v>Fees &amp; charges</v>
      </c>
      <c r="D2635" s="0" t="n">
        <f aca="false">INDEX(Intent_Analysis!$E$5:$E$81,MATCH(B2635,Intent_Analysis!$A$5:$A$81,0))</f>
        <v>1</v>
      </c>
    </row>
    <row r="2636" customFormat="false" ht="15" hidden="false" customHeight="false" outlineLevel="0" collapsed="false">
      <c r="A2636" s="0" t="s">
        <v>2960</v>
      </c>
      <c r="B2636" s="0" t="s">
        <v>87</v>
      </c>
      <c r="C2636" s="0" t="str">
        <f aca="false">INDEX(Intent_Analysis!$B$5:$B$81,MATCH(B2636,Intent_Analysis!$A$5:$A$81,0))</f>
        <v>Fees &amp; charges</v>
      </c>
      <c r="D2636" s="0" t="n">
        <f aca="false">INDEX(Intent_Analysis!$E$5:$E$81,MATCH(B2636,Intent_Analysis!$A$5:$A$81,0))</f>
        <v>1</v>
      </c>
    </row>
    <row r="2637" customFormat="false" ht="15" hidden="false" customHeight="false" outlineLevel="0" collapsed="false">
      <c r="A2637" s="0" t="s">
        <v>2961</v>
      </c>
      <c r="B2637" s="0" t="s">
        <v>87</v>
      </c>
      <c r="C2637" s="0" t="str">
        <f aca="false">INDEX(Intent_Analysis!$B$5:$B$81,MATCH(B2637,Intent_Analysis!$A$5:$A$81,0))</f>
        <v>Fees &amp; charges</v>
      </c>
      <c r="D2637" s="0" t="n">
        <f aca="false">INDEX(Intent_Analysis!$E$5:$E$81,MATCH(B2637,Intent_Analysis!$A$5:$A$81,0))</f>
        <v>1</v>
      </c>
    </row>
    <row r="2638" customFormat="false" ht="15" hidden="false" customHeight="false" outlineLevel="0" collapsed="false">
      <c r="A2638" s="0" t="s">
        <v>2962</v>
      </c>
      <c r="B2638" s="0" t="s">
        <v>87</v>
      </c>
      <c r="C2638" s="0" t="str">
        <f aca="false">INDEX(Intent_Analysis!$B$5:$B$81,MATCH(B2638,Intent_Analysis!$A$5:$A$81,0))</f>
        <v>Fees &amp; charges</v>
      </c>
      <c r="D2638" s="0" t="n">
        <f aca="false">INDEX(Intent_Analysis!$E$5:$E$81,MATCH(B2638,Intent_Analysis!$A$5:$A$81,0))</f>
        <v>1</v>
      </c>
    </row>
    <row r="2639" customFormat="false" ht="15" hidden="false" customHeight="false" outlineLevel="0" collapsed="false">
      <c r="A2639" s="0" t="s">
        <v>2963</v>
      </c>
      <c r="B2639" s="0" t="s">
        <v>87</v>
      </c>
      <c r="C2639" s="0" t="str">
        <f aca="false">INDEX(Intent_Analysis!$B$5:$B$81,MATCH(B2639,Intent_Analysis!$A$5:$A$81,0))</f>
        <v>Fees &amp; charges</v>
      </c>
      <c r="D2639" s="0" t="n">
        <f aca="false">INDEX(Intent_Analysis!$E$5:$E$81,MATCH(B2639,Intent_Analysis!$A$5:$A$81,0))</f>
        <v>1</v>
      </c>
    </row>
    <row r="2640" customFormat="false" ht="15" hidden="false" customHeight="false" outlineLevel="0" collapsed="false">
      <c r="A2640" s="0" t="s">
        <v>2964</v>
      </c>
      <c r="B2640" s="0" t="s">
        <v>87</v>
      </c>
      <c r="C2640" s="0" t="str">
        <f aca="false">INDEX(Intent_Analysis!$B$5:$B$81,MATCH(B2640,Intent_Analysis!$A$5:$A$81,0))</f>
        <v>Fees &amp; charges</v>
      </c>
      <c r="D2640" s="0" t="n">
        <f aca="false">INDEX(Intent_Analysis!$E$5:$E$81,MATCH(B2640,Intent_Analysis!$A$5:$A$81,0))</f>
        <v>1</v>
      </c>
    </row>
    <row r="2641" customFormat="false" ht="15" hidden="false" customHeight="false" outlineLevel="0" collapsed="false">
      <c r="A2641" s="0" t="s">
        <v>2965</v>
      </c>
      <c r="B2641" s="0" t="s">
        <v>87</v>
      </c>
      <c r="C2641" s="0" t="str">
        <f aca="false">INDEX(Intent_Analysis!$B$5:$B$81,MATCH(B2641,Intent_Analysis!$A$5:$A$81,0))</f>
        <v>Fees &amp; charges</v>
      </c>
      <c r="D2641" s="0" t="n">
        <f aca="false">INDEX(Intent_Analysis!$E$5:$E$81,MATCH(B2641,Intent_Analysis!$A$5:$A$81,0))</f>
        <v>1</v>
      </c>
    </row>
    <row r="2642" customFormat="false" ht="15" hidden="false" customHeight="false" outlineLevel="0" collapsed="false">
      <c r="A2642" s="0" t="s">
        <v>2966</v>
      </c>
      <c r="B2642" s="0" t="s">
        <v>87</v>
      </c>
      <c r="C2642" s="0" t="str">
        <f aca="false">INDEX(Intent_Analysis!$B$5:$B$81,MATCH(B2642,Intent_Analysis!$A$5:$A$81,0))</f>
        <v>Fees &amp; charges</v>
      </c>
      <c r="D2642" s="0" t="n">
        <f aca="false">INDEX(Intent_Analysis!$E$5:$E$81,MATCH(B2642,Intent_Analysis!$A$5:$A$81,0))</f>
        <v>1</v>
      </c>
    </row>
    <row r="2643" customFormat="false" ht="15" hidden="false" customHeight="false" outlineLevel="0" collapsed="false">
      <c r="A2643" s="0" t="s">
        <v>2967</v>
      </c>
      <c r="B2643" s="0" t="s">
        <v>87</v>
      </c>
      <c r="C2643" s="0" t="str">
        <f aca="false">INDEX(Intent_Analysis!$B$5:$B$81,MATCH(B2643,Intent_Analysis!$A$5:$A$81,0))</f>
        <v>Fees &amp; charges</v>
      </c>
      <c r="D2643" s="0" t="n">
        <f aca="false">INDEX(Intent_Analysis!$E$5:$E$81,MATCH(B2643,Intent_Analysis!$A$5:$A$81,0))</f>
        <v>1</v>
      </c>
    </row>
    <row r="2644" customFormat="false" ht="15" hidden="false" customHeight="false" outlineLevel="0" collapsed="false">
      <c r="A2644" s="0" t="s">
        <v>2968</v>
      </c>
      <c r="B2644" s="0" t="s">
        <v>87</v>
      </c>
      <c r="C2644" s="0" t="str">
        <f aca="false">INDEX(Intent_Analysis!$B$5:$B$81,MATCH(B2644,Intent_Analysis!$A$5:$A$81,0))</f>
        <v>Fees &amp; charges</v>
      </c>
      <c r="D2644" s="0" t="n">
        <f aca="false">INDEX(Intent_Analysis!$E$5:$E$81,MATCH(B2644,Intent_Analysis!$A$5:$A$81,0))</f>
        <v>1</v>
      </c>
    </row>
    <row r="2645" customFormat="false" ht="15" hidden="false" customHeight="false" outlineLevel="0" collapsed="false">
      <c r="A2645" s="0" t="s">
        <v>2969</v>
      </c>
      <c r="B2645" s="0" t="s">
        <v>87</v>
      </c>
      <c r="C2645" s="0" t="str">
        <f aca="false">INDEX(Intent_Analysis!$B$5:$B$81,MATCH(B2645,Intent_Analysis!$A$5:$A$81,0))</f>
        <v>Fees &amp; charges</v>
      </c>
      <c r="D2645" s="0" t="n">
        <f aca="false">INDEX(Intent_Analysis!$E$5:$E$81,MATCH(B2645,Intent_Analysis!$A$5:$A$81,0))</f>
        <v>1</v>
      </c>
    </row>
    <row r="2646" customFormat="false" ht="15" hidden="false" customHeight="false" outlineLevel="0" collapsed="false">
      <c r="A2646" s="0" t="s">
        <v>2970</v>
      </c>
      <c r="B2646" s="0" t="s">
        <v>87</v>
      </c>
      <c r="C2646" s="0" t="str">
        <f aca="false">INDEX(Intent_Analysis!$B$5:$B$81,MATCH(B2646,Intent_Analysis!$A$5:$A$81,0))</f>
        <v>Fees &amp; charges</v>
      </c>
      <c r="D2646" s="0" t="n">
        <f aca="false">INDEX(Intent_Analysis!$E$5:$E$81,MATCH(B2646,Intent_Analysis!$A$5:$A$81,0))</f>
        <v>1</v>
      </c>
    </row>
    <row r="2647" customFormat="false" ht="15" hidden="false" customHeight="false" outlineLevel="0" collapsed="false">
      <c r="A2647" s="0" t="s">
        <v>2971</v>
      </c>
      <c r="B2647" s="0" t="s">
        <v>87</v>
      </c>
      <c r="C2647" s="0" t="str">
        <f aca="false">INDEX(Intent_Analysis!$B$5:$B$81,MATCH(B2647,Intent_Analysis!$A$5:$A$81,0))</f>
        <v>Fees &amp; charges</v>
      </c>
      <c r="D2647" s="0" t="n">
        <f aca="false">INDEX(Intent_Analysis!$E$5:$E$81,MATCH(B2647,Intent_Analysis!$A$5:$A$81,0))</f>
        <v>1</v>
      </c>
    </row>
    <row r="2648" customFormat="false" ht="15" hidden="false" customHeight="false" outlineLevel="0" collapsed="false">
      <c r="A2648" s="0" t="s">
        <v>2972</v>
      </c>
      <c r="B2648" s="0" t="s">
        <v>87</v>
      </c>
      <c r="C2648" s="0" t="str">
        <f aca="false">INDEX(Intent_Analysis!$B$5:$B$81,MATCH(B2648,Intent_Analysis!$A$5:$A$81,0))</f>
        <v>Fees &amp; charges</v>
      </c>
      <c r="D2648" s="0" t="n">
        <f aca="false">INDEX(Intent_Analysis!$E$5:$E$81,MATCH(B2648,Intent_Analysis!$A$5:$A$81,0))</f>
        <v>1</v>
      </c>
    </row>
    <row r="2649" customFormat="false" ht="15" hidden="false" customHeight="false" outlineLevel="0" collapsed="false">
      <c r="A2649" s="0" t="s">
        <v>2973</v>
      </c>
      <c r="B2649" s="0" t="s">
        <v>87</v>
      </c>
      <c r="C2649" s="0" t="str">
        <f aca="false">INDEX(Intent_Analysis!$B$5:$B$81,MATCH(B2649,Intent_Analysis!$A$5:$A$81,0))</f>
        <v>Fees &amp; charges</v>
      </c>
      <c r="D2649" s="0" t="n">
        <f aca="false">INDEX(Intent_Analysis!$E$5:$E$81,MATCH(B2649,Intent_Analysis!$A$5:$A$81,0))</f>
        <v>1</v>
      </c>
    </row>
    <row r="2650" customFormat="false" ht="15" hidden="false" customHeight="false" outlineLevel="0" collapsed="false">
      <c r="A2650" s="0" t="s">
        <v>2974</v>
      </c>
      <c r="B2650" s="0" t="s">
        <v>87</v>
      </c>
      <c r="C2650" s="0" t="str">
        <f aca="false">INDEX(Intent_Analysis!$B$5:$B$81,MATCH(B2650,Intent_Analysis!$A$5:$A$81,0))</f>
        <v>Fees &amp; charges</v>
      </c>
      <c r="D2650" s="0" t="n">
        <f aca="false">INDEX(Intent_Analysis!$E$5:$E$81,MATCH(B2650,Intent_Analysis!$A$5:$A$81,0))</f>
        <v>1</v>
      </c>
    </row>
    <row r="2651" customFormat="false" ht="15" hidden="false" customHeight="false" outlineLevel="0" collapsed="false">
      <c r="A2651" s="0" t="s">
        <v>2975</v>
      </c>
      <c r="B2651" s="0" t="s">
        <v>87</v>
      </c>
      <c r="C2651" s="0" t="str">
        <f aca="false">INDEX(Intent_Analysis!$B$5:$B$81,MATCH(B2651,Intent_Analysis!$A$5:$A$81,0))</f>
        <v>Fees &amp; charges</v>
      </c>
      <c r="D2651" s="0" t="n">
        <f aca="false">INDEX(Intent_Analysis!$E$5:$E$81,MATCH(B2651,Intent_Analysis!$A$5:$A$81,0))</f>
        <v>1</v>
      </c>
    </row>
    <row r="2652" customFormat="false" ht="15" hidden="false" customHeight="false" outlineLevel="0" collapsed="false">
      <c r="A2652" s="0" t="s">
        <v>2976</v>
      </c>
      <c r="B2652" s="0" t="s">
        <v>87</v>
      </c>
      <c r="C2652" s="0" t="str">
        <f aca="false">INDEX(Intent_Analysis!$B$5:$B$81,MATCH(B2652,Intent_Analysis!$A$5:$A$81,0))</f>
        <v>Fees &amp; charges</v>
      </c>
      <c r="D2652" s="0" t="n">
        <f aca="false">INDEX(Intent_Analysis!$E$5:$E$81,MATCH(B2652,Intent_Analysis!$A$5:$A$81,0))</f>
        <v>1</v>
      </c>
    </row>
    <row r="2653" customFormat="false" ht="15" hidden="false" customHeight="false" outlineLevel="0" collapsed="false">
      <c r="A2653" s="0" t="s">
        <v>2977</v>
      </c>
      <c r="B2653" s="0" t="s">
        <v>87</v>
      </c>
      <c r="C2653" s="0" t="str">
        <f aca="false">INDEX(Intent_Analysis!$B$5:$B$81,MATCH(B2653,Intent_Analysis!$A$5:$A$81,0))</f>
        <v>Fees &amp; charges</v>
      </c>
      <c r="D2653" s="0" t="n">
        <f aca="false">INDEX(Intent_Analysis!$E$5:$E$81,MATCH(B2653,Intent_Analysis!$A$5:$A$81,0))</f>
        <v>1</v>
      </c>
    </row>
    <row r="2654" customFormat="false" ht="15" hidden="false" customHeight="false" outlineLevel="0" collapsed="false">
      <c r="A2654" s="0" t="s">
        <v>2978</v>
      </c>
      <c r="B2654" s="0" t="s">
        <v>87</v>
      </c>
      <c r="C2654" s="0" t="str">
        <f aca="false">INDEX(Intent_Analysis!$B$5:$B$81,MATCH(B2654,Intent_Analysis!$A$5:$A$81,0))</f>
        <v>Fees &amp; charges</v>
      </c>
      <c r="D2654" s="0" t="n">
        <f aca="false">INDEX(Intent_Analysis!$E$5:$E$81,MATCH(B2654,Intent_Analysis!$A$5:$A$81,0))</f>
        <v>1</v>
      </c>
    </row>
    <row r="2655" customFormat="false" ht="15" hidden="false" customHeight="false" outlineLevel="0" collapsed="false">
      <c r="A2655" s="0" t="s">
        <v>2979</v>
      </c>
      <c r="B2655" s="0" t="s">
        <v>87</v>
      </c>
      <c r="C2655" s="0" t="str">
        <f aca="false">INDEX(Intent_Analysis!$B$5:$B$81,MATCH(B2655,Intent_Analysis!$A$5:$A$81,0))</f>
        <v>Fees &amp; charges</v>
      </c>
      <c r="D2655" s="0" t="n">
        <f aca="false">INDEX(Intent_Analysis!$E$5:$E$81,MATCH(B2655,Intent_Analysis!$A$5:$A$81,0))</f>
        <v>1</v>
      </c>
    </row>
    <row r="2656" customFormat="false" ht="15" hidden="false" customHeight="false" outlineLevel="0" collapsed="false">
      <c r="A2656" s="0" t="s">
        <v>2980</v>
      </c>
      <c r="B2656" s="0" t="s">
        <v>87</v>
      </c>
      <c r="C2656" s="0" t="str">
        <f aca="false">INDEX(Intent_Analysis!$B$5:$B$81,MATCH(B2656,Intent_Analysis!$A$5:$A$81,0))</f>
        <v>Fees &amp; charges</v>
      </c>
      <c r="D2656" s="0" t="n">
        <f aca="false">INDEX(Intent_Analysis!$E$5:$E$81,MATCH(B2656,Intent_Analysis!$A$5:$A$81,0))</f>
        <v>1</v>
      </c>
    </row>
    <row r="2657" customFormat="false" ht="15" hidden="false" customHeight="false" outlineLevel="0" collapsed="false">
      <c r="A2657" s="0" t="s">
        <v>2981</v>
      </c>
      <c r="B2657" s="0" t="s">
        <v>87</v>
      </c>
      <c r="C2657" s="0" t="str">
        <f aca="false">INDEX(Intent_Analysis!$B$5:$B$81,MATCH(B2657,Intent_Analysis!$A$5:$A$81,0))</f>
        <v>Fees &amp; charges</v>
      </c>
      <c r="D2657" s="0" t="n">
        <f aca="false">INDEX(Intent_Analysis!$E$5:$E$81,MATCH(B2657,Intent_Analysis!$A$5:$A$81,0))</f>
        <v>1</v>
      </c>
    </row>
    <row r="2658" customFormat="false" ht="15" hidden="false" customHeight="false" outlineLevel="0" collapsed="false">
      <c r="A2658" s="0" t="s">
        <v>2982</v>
      </c>
      <c r="B2658" s="0" t="s">
        <v>87</v>
      </c>
      <c r="C2658" s="0" t="str">
        <f aca="false">INDEX(Intent_Analysis!$B$5:$B$81,MATCH(B2658,Intent_Analysis!$A$5:$A$81,0))</f>
        <v>Fees &amp; charges</v>
      </c>
      <c r="D2658" s="0" t="n">
        <f aca="false">INDEX(Intent_Analysis!$E$5:$E$81,MATCH(B2658,Intent_Analysis!$A$5:$A$81,0))</f>
        <v>1</v>
      </c>
    </row>
    <row r="2659" customFormat="false" ht="15" hidden="false" customHeight="false" outlineLevel="0" collapsed="false">
      <c r="A2659" s="0" t="s">
        <v>2983</v>
      </c>
      <c r="B2659" s="0" t="s">
        <v>87</v>
      </c>
      <c r="C2659" s="0" t="str">
        <f aca="false">INDEX(Intent_Analysis!$B$5:$B$81,MATCH(B2659,Intent_Analysis!$A$5:$A$81,0))</f>
        <v>Fees &amp; charges</v>
      </c>
      <c r="D2659" s="0" t="n">
        <f aca="false">INDEX(Intent_Analysis!$E$5:$E$81,MATCH(B2659,Intent_Analysis!$A$5:$A$81,0))</f>
        <v>1</v>
      </c>
    </row>
    <row r="2660" customFormat="false" ht="15" hidden="false" customHeight="false" outlineLevel="0" collapsed="false">
      <c r="A2660" s="0" t="s">
        <v>2984</v>
      </c>
      <c r="B2660" s="0" t="s">
        <v>87</v>
      </c>
      <c r="C2660" s="0" t="str">
        <f aca="false">INDEX(Intent_Analysis!$B$5:$B$81,MATCH(B2660,Intent_Analysis!$A$5:$A$81,0))</f>
        <v>Fees &amp; charges</v>
      </c>
      <c r="D2660" s="0" t="n">
        <f aca="false">INDEX(Intent_Analysis!$E$5:$E$81,MATCH(B2660,Intent_Analysis!$A$5:$A$81,0))</f>
        <v>1</v>
      </c>
    </row>
    <row r="2661" customFormat="false" ht="15" hidden="false" customHeight="false" outlineLevel="0" collapsed="false">
      <c r="A2661" s="0" t="s">
        <v>2985</v>
      </c>
      <c r="B2661" s="0" t="s">
        <v>87</v>
      </c>
      <c r="C2661" s="0" t="str">
        <f aca="false">INDEX(Intent_Analysis!$B$5:$B$81,MATCH(B2661,Intent_Analysis!$A$5:$A$81,0))</f>
        <v>Fees &amp; charges</v>
      </c>
      <c r="D2661" s="0" t="n">
        <f aca="false">INDEX(Intent_Analysis!$E$5:$E$81,MATCH(B2661,Intent_Analysis!$A$5:$A$81,0))</f>
        <v>1</v>
      </c>
    </row>
    <row r="2662" customFormat="false" ht="15" hidden="false" customHeight="false" outlineLevel="0" collapsed="false">
      <c r="A2662" s="0" t="s">
        <v>2986</v>
      </c>
      <c r="B2662" s="0" t="s">
        <v>87</v>
      </c>
      <c r="C2662" s="0" t="str">
        <f aca="false">INDEX(Intent_Analysis!$B$5:$B$81,MATCH(B2662,Intent_Analysis!$A$5:$A$81,0))</f>
        <v>Fees &amp; charges</v>
      </c>
      <c r="D2662" s="0" t="n">
        <f aca="false">INDEX(Intent_Analysis!$E$5:$E$81,MATCH(B2662,Intent_Analysis!$A$5:$A$81,0))</f>
        <v>1</v>
      </c>
    </row>
    <row r="2663" customFormat="false" ht="15" hidden="false" customHeight="false" outlineLevel="0" collapsed="false">
      <c r="A2663" s="0" t="s">
        <v>2987</v>
      </c>
      <c r="B2663" s="0" t="s">
        <v>87</v>
      </c>
      <c r="C2663" s="0" t="str">
        <f aca="false">INDEX(Intent_Analysis!$B$5:$B$81,MATCH(B2663,Intent_Analysis!$A$5:$A$81,0))</f>
        <v>Fees &amp; charges</v>
      </c>
      <c r="D2663" s="0" t="n">
        <f aca="false">INDEX(Intent_Analysis!$E$5:$E$81,MATCH(B2663,Intent_Analysis!$A$5:$A$81,0))</f>
        <v>1</v>
      </c>
    </row>
    <row r="2664" customFormat="false" ht="15" hidden="false" customHeight="false" outlineLevel="0" collapsed="false">
      <c r="A2664" s="0" t="s">
        <v>2988</v>
      </c>
      <c r="B2664" s="0" t="s">
        <v>87</v>
      </c>
      <c r="C2664" s="0" t="str">
        <f aca="false">INDEX(Intent_Analysis!$B$5:$B$81,MATCH(B2664,Intent_Analysis!$A$5:$A$81,0))</f>
        <v>Fees &amp; charges</v>
      </c>
      <c r="D2664" s="0" t="n">
        <f aca="false">INDEX(Intent_Analysis!$E$5:$E$81,MATCH(B2664,Intent_Analysis!$A$5:$A$81,0))</f>
        <v>1</v>
      </c>
    </row>
    <row r="2665" customFormat="false" ht="15" hidden="false" customHeight="false" outlineLevel="0" collapsed="false">
      <c r="A2665" s="0" t="s">
        <v>2989</v>
      </c>
      <c r="B2665" s="0" t="s">
        <v>87</v>
      </c>
      <c r="C2665" s="0" t="str">
        <f aca="false">INDEX(Intent_Analysis!$B$5:$B$81,MATCH(B2665,Intent_Analysis!$A$5:$A$81,0))</f>
        <v>Fees &amp; charges</v>
      </c>
      <c r="D2665" s="0" t="n">
        <f aca="false">INDEX(Intent_Analysis!$E$5:$E$81,MATCH(B2665,Intent_Analysis!$A$5:$A$81,0))</f>
        <v>1</v>
      </c>
    </row>
    <row r="2666" customFormat="false" ht="15" hidden="false" customHeight="false" outlineLevel="0" collapsed="false">
      <c r="A2666" s="0" t="s">
        <v>2990</v>
      </c>
      <c r="B2666" s="0" t="s">
        <v>87</v>
      </c>
      <c r="C2666" s="0" t="str">
        <f aca="false">INDEX(Intent_Analysis!$B$5:$B$81,MATCH(B2666,Intent_Analysis!$A$5:$A$81,0))</f>
        <v>Fees &amp; charges</v>
      </c>
      <c r="D2666" s="0" t="n">
        <f aca="false">INDEX(Intent_Analysis!$E$5:$E$81,MATCH(B2666,Intent_Analysis!$A$5:$A$81,0))</f>
        <v>1</v>
      </c>
    </row>
    <row r="2667" customFormat="false" ht="15" hidden="false" customHeight="false" outlineLevel="0" collapsed="false">
      <c r="A2667" s="0" t="s">
        <v>2991</v>
      </c>
      <c r="B2667" s="0" t="s">
        <v>87</v>
      </c>
      <c r="C2667" s="0" t="str">
        <f aca="false">INDEX(Intent_Analysis!$B$5:$B$81,MATCH(B2667,Intent_Analysis!$A$5:$A$81,0))</f>
        <v>Fees &amp; charges</v>
      </c>
      <c r="D2667" s="0" t="n">
        <f aca="false">INDEX(Intent_Analysis!$E$5:$E$81,MATCH(B2667,Intent_Analysis!$A$5:$A$81,0))</f>
        <v>1</v>
      </c>
    </row>
    <row r="2668" customFormat="false" ht="15" hidden="false" customHeight="false" outlineLevel="0" collapsed="false">
      <c r="A2668" s="0" t="s">
        <v>2992</v>
      </c>
      <c r="B2668" s="0" t="s">
        <v>87</v>
      </c>
      <c r="C2668" s="0" t="str">
        <f aca="false">INDEX(Intent_Analysis!$B$5:$B$81,MATCH(B2668,Intent_Analysis!$A$5:$A$81,0))</f>
        <v>Fees &amp; charges</v>
      </c>
      <c r="D2668" s="0" t="n">
        <f aca="false">INDEX(Intent_Analysis!$E$5:$E$81,MATCH(B2668,Intent_Analysis!$A$5:$A$81,0))</f>
        <v>1</v>
      </c>
    </row>
    <row r="2669" customFormat="false" ht="15" hidden="false" customHeight="false" outlineLevel="0" collapsed="false">
      <c r="A2669" s="0" t="s">
        <v>2993</v>
      </c>
      <c r="B2669" s="0" t="s">
        <v>87</v>
      </c>
      <c r="C2669" s="0" t="str">
        <f aca="false">INDEX(Intent_Analysis!$B$5:$B$81,MATCH(B2669,Intent_Analysis!$A$5:$A$81,0))</f>
        <v>Fees &amp; charges</v>
      </c>
      <c r="D2669" s="0" t="n">
        <f aca="false">INDEX(Intent_Analysis!$E$5:$E$81,MATCH(B2669,Intent_Analysis!$A$5:$A$81,0))</f>
        <v>1</v>
      </c>
    </row>
    <row r="2670" customFormat="false" ht="15" hidden="false" customHeight="false" outlineLevel="0" collapsed="false">
      <c r="A2670" s="0" t="s">
        <v>2994</v>
      </c>
      <c r="B2670" s="0" t="s">
        <v>87</v>
      </c>
      <c r="C2670" s="0" t="str">
        <f aca="false">INDEX(Intent_Analysis!$B$5:$B$81,MATCH(B2670,Intent_Analysis!$A$5:$A$81,0))</f>
        <v>Fees &amp; charges</v>
      </c>
      <c r="D2670" s="0" t="n">
        <f aca="false">INDEX(Intent_Analysis!$E$5:$E$81,MATCH(B2670,Intent_Analysis!$A$5:$A$81,0))</f>
        <v>1</v>
      </c>
    </row>
    <row r="2671" customFormat="false" ht="15" hidden="false" customHeight="false" outlineLevel="0" collapsed="false">
      <c r="A2671" s="0" t="s">
        <v>2995</v>
      </c>
      <c r="B2671" s="0" t="s">
        <v>87</v>
      </c>
      <c r="C2671" s="0" t="str">
        <f aca="false">INDEX(Intent_Analysis!$B$5:$B$81,MATCH(B2671,Intent_Analysis!$A$5:$A$81,0))</f>
        <v>Fees &amp; charges</v>
      </c>
      <c r="D2671" s="0" t="n">
        <f aca="false">INDEX(Intent_Analysis!$E$5:$E$81,MATCH(B2671,Intent_Analysis!$A$5:$A$81,0))</f>
        <v>1</v>
      </c>
    </row>
    <row r="2672" customFormat="false" ht="15" hidden="false" customHeight="false" outlineLevel="0" collapsed="false">
      <c r="A2672" s="0" t="s">
        <v>2996</v>
      </c>
      <c r="B2672" s="0" t="s">
        <v>87</v>
      </c>
      <c r="C2672" s="0" t="str">
        <f aca="false">INDEX(Intent_Analysis!$B$5:$B$81,MATCH(B2672,Intent_Analysis!$A$5:$A$81,0))</f>
        <v>Fees &amp; charges</v>
      </c>
      <c r="D2672" s="0" t="n">
        <f aca="false">INDEX(Intent_Analysis!$E$5:$E$81,MATCH(B2672,Intent_Analysis!$A$5:$A$81,0))</f>
        <v>1</v>
      </c>
    </row>
    <row r="2673" customFormat="false" ht="15" hidden="false" customHeight="false" outlineLevel="0" collapsed="false">
      <c r="A2673" s="0" t="s">
        <v>2997</v>
      </c>
      <c r="B2673" s="0" t="s">
        <v>87</v>
      </c>
      <c r="C2673" s="0" t="str">
        <f aca="false">INDEX(Intent_Analysis!$B$5:$B$81,MATCH(B2673,Intent_Analysis!$A$5:$A$81,0))</f>
        <v>Fees &amp; charges</v>
      </c>
      <c r="D2673" s="0" t="n">
        <f aca="false">INDEX(Intent_Analysis!$E$5:$E$81,MATCH(B2673,Intent_Analysis!$A$5:$A$81,0))</f>
        <v>1</v>
      </c>
    </row>
    <row r="2674" customFormat="false" ht="15" hidden="false" customHeight="false" outlineLevel="0" collapsed="false">
      <c r="A2674" s="0" t="s">
        <v>2998</v>
      </c>
      <c r="B2674" s="0" t="s">
        <v>87</v>
      </c>
      <c r="C2674" s="0" t="str">
        <f aca="false">INDEX(Intent_Analysis!$B$5:$B$81,MATCH(B2674,Intent_Analysis!$A$5:$A$81,0))</f>
        <v>Fees &amp; charges</v>
      </c>
      <c r="D2674" s="0" t="n">
        <f aca="false">INDEX(Intent_Analysis!$E$5:$E$81,MATCH(B2674,Intent_Analysis!$A$5:$A$81,0))</f>
        <v>1</v>
      </c>
    </row>
    <row r="2675" customFormat="false" ht="15" hidden="false" customHeight="false" outlineLevel="0" collapsed="false">
      <c r="A2675" s="0" t="s">
        <v>2999</v>
      </c>
      <c r="B2675" s="0" t="s">
        <v>87</v>
      </c>
      <c r="C2675" s="0" t="str">
        <f aca="false">INDEX(Intent_Analysis!$B$5:$B$81,MATCH(B2675,Intent_Analysis!$A$5:$A$81,0))</f>
        <v>Fees &amp; charges</v>
      </c>
      <c r="D2675" s="0" t="n">
        <f aca="false">INDEX(Intent_Analysis!$E$5:$E$81,MATCH(B2675,Intent_Analysis!$A$5:$A$81,0))</f>
        <v>1</v>
      </c>
    </row>
    <row r="2676" customFormat="false" ht="15" hidden="false" customHeight="false" outlineLevel="0" collapsed="false">
      <c r="A2676" s="0" t="s">
        <v>3000</v>
      </c>
      <c r="B2676" s="0" t="s">
        <v>87</v>
      </c>
      <c r="C2676" s="0" t="str">
        <f aca="false">INDEX(Intent_Analysis!$B$5:$B$81,MATCH(B2676,Intent_Analysis!$A$5:$A$81,0))</f>
        <v>Fees &amp; charges</v>
      </c>
      <c r="D2676" s="0" t="n">
        <f aca="false">INDEX(Intent_Analysis!$E$5:$E$81,MATCH(B2676,Intent_Analysis!$A$5:$A$81,0))</f>
        <v>1</v>
      </c>
    </row>
    <row r="2677" customFormat="false" ht="15" hidden="false" customHeight="false" outlineLevel="0" collapsed="false">
      <c r="A2677" s="0" t="s">
        <v>3001</v>
      </c>
      <c r="B2677" s="0" t="s">
        <v>87</v>
      </c>
      <c r="C2677" s="0" t="str">
        <f aca="false">INDEX(Intent_Analysis!$B$5:$B$81,MATCH(B2677,Intent_Analysis!$A$5:$A$81,0))</f>
        <v>Fees &amp; charges</v>
      </c>
      <c r="D2677" s="0" t="n">
        <f aca="false">INDEX(Intent_Analysis!$E$5:$E$81,MATCH(B2677,Intent_Analysis!$A$5:$A$81,0))</f>
        <v>1</v>
      </c>
    </row>
    <row r="2678" customFormat="false" ht="15" hidden="false" customHeight="false" outlineLevel="0" collapsed="false">
      <c r="A2678" s="0" t="s">
        <v>3002</v>
      </c>
      <c r="B2678" s="0" t="s">
        <v>87</v>
      </c>
      <c r="C2678" s="0" t="str">
        <f aca="false">INDEX(Intent_Analysis!$B$5:$B$81,MATCH(B2678,Intent_Analysis!$A$5:$A$81,0))</f>
        <v>Fees &amp; charges</v>
      </c>
      <c r="D2678" s="0" t="n">
        <f aca="false">INDEX(Intent_Analysis!$E$5:$E$81,MATCH(B2678,Intent_Analysis!$A$5:$A$81,0))</f>
        <v>1</v>
      </c>
    </row>
    <row r="2679" customFormat="false" ht="15" hidden="false" customHeight="false" outlineLevel="0" collapsed="false">
      <c r="A2679" s="0" t="s">
        <v>3003</v>
      </c>
      <c r="B2679" s="0" t="s">
        <v>87</v>
      </c>
      <c r="C2679" s="0" t="str">
        <f aca="false">INDEX(Intent_Analysis!$B$5:$B$81,MATCH(B2679,Intent_Analysis!$A$5:$A$81,0))</f>
        <v>Fees &amp; charges</v>
      </c>
      <c r="D2679" s="0" t="n">
        <f aca="false">INDEX(Intent_Analysis!$E$5:$E$81,MATCH(B2679,Intent_Analysis!$A$5:$A$81,0))</f>
        <v>1</v>
      </c>
    </row>
    <row r="2680" customFormat="false" ht="15" hidden="false" customHeight="false" outlineLevel="0" collapsed="false">
      <c r="A2680" s="0" t="s">
        <v>3004</v>
      </c>
      <c r="B2680" s="0" t="s">
        <v>87</v>
      </c>
      <c r="C2680" s="0" t="str">
        <f aca="false">INDEX(Intent_Analysis!$B$5:$B$81,MATCH(B2680,Intent_Analysis!$A$5:$A$81,0))</f>
        <v>Fees &amp; charges</v>
      </c>
      <c r="D2680" s="0" t="n">
        <f aca="false">INDEX(Intent_Analysis!$E$5:$E$81,MATCH(B2680,Intent_Analysis!$A$5:$A$81,0))</f>
        <v>1</v>
      </c>
    </row>
    <row r="2681" customFormat="false" ht="15" hidden="false" customHeight="false" outlineLevel="0" collapsed="false">
      <c r="A2681" s="0" t="s">
        <v>3005</v>
      </c>
      <c r="B2681" s="0" t="s">
        <v>87</v>
      </c>
      <c r="C2681" s="0" t="str">
        <f aca="false">INDEX(Intent_Analysis!$B$5:$B$81,MATCH(B2681,Intent_Analysis!$A$5:$A$81,0))</f>
        <v>Fees &amp; charges</v>
      </c>
      <c r="D2681" s="0" t="n">
        <f aca="false">INDEX(Intent_Analysis!$E$5:$E$81,MATCH(B2681,Intent_Analysis!$A$5:$A$81,0))</f>
        <v>1</v>
      </c>
    </row>
    <row r="2682" customFormat="false" ht="15" hidden="false" customHeight="false" outlineLevel="0" collapsed="false">
      <c r="A2682" s="0" t="s">
        <v>3006</v>
      </c>
      <c r="B2682" s="0" t="s">
        <v>87</v>
      </c>
      <c r="C2682" s="0" t="str">
        <f aca="false">INDEX(Intent_Analysis!$B$5:$B$81,MATCH(B2682,Intent_Analysis!$A$5:$A$81,0))</f>
        <v>Fees &amp; charges</v>
      </c>
      <c r="D2682" s="0" t="n">
        <f aca="false">INDEX(Intent_Analysis!$E$5:$E$81,MATCH(B2682,Intent_Analysis!$A$5:$A$81,0))</f>
        <v>1</v>
      </c>
    </row>
    <row r="2683" customFormat="false" ht="15" hidden="false" customHeight="false" outlineLevel="0" collapsed="false">
      <c r="A2683" s="0" t="s">
        <v>3007</v>
      </c>
      <c r="B2683" s="0" t="s">
        <v>87</v>
      </c>
      <c r="C2683" s="0" t="str">
        <f aca="false">INDEX(Intent_Analysis!$B$5:$B$81,MATCH(B2683,Intent_Analysis!$A$5:$A$81,0))</f>
        <v>Fees &amp; charges</v>
      </c>
      <c r="D2683" s="0" t="n">
        <f aca="false">INDEX(Intent_Analysis!$E$5:$E$81,MATCH(B2683,Intent_Analysis!$A$5:$A$81,0))</f>
        <v>1</v>
      </c>
    </row>
    <row r="2684" customFormat="false" ht="15" hidden="false" customHeight="false" outlineLevel="0" collapsed="false">
      <c r="A2684" s="0" t="s">
        <v>3008</v>
      </c>
      <c r="B2684" s="0" t="s">
        <v>87</v>
      </c>
      <c r="C2684" s="0" t="str">
        <f aca="false">INDEX(Intent_Analysis!$B$5:$B$81,MATCH(B2684,Intent_Analysis!$A$5:$A$81,0))</f>
        <v>Fees &amp; charges</v>
      </c>
      <c r="D2684" s="0" t="n">
        <f aca="false">INDEX(Intent_Analysis!$E$5:$E$81,MATCH(B2684,Intent_Analysis!$A$5:$A$81,0))</f>
        <v>1</v>
      </c>
    </row>
    <row r="2685" customFormat="false" ht="15" hidden="false" customHeight="false" outlineLevel="0" collapsed="false">
      <c r="A2685" s="0" t="s">
        <v>3009</v>
      </c>
      <c r="B2685" s="0" t="s">
        <v>87</v>
      </c>
      <c r="C2685" s="0" t="str">
        <f aca="false">INDEX(Intent_Analysis!$B$5:$B$81,MATCH(B2685,Intent_Analysis!$A$5:$A$81,0))</f>
        <v>Fees &amp; charges</v>
      </c>
      <c r="D2685" s="0" t="n">
        <f aca="false">INDEX(Intent_Analysis!$E$5:$E$81,MATCH(B2685,Intent_Analysis!$A$5:$A$81,0))</f>
        <v>1</v>
      </c>
    </row>
    <row r="2686" customFormat="false" ht="15" hidden="false" customHeight="false" outlineLevel="0" collapsed="false">
      <c r="A2686" s="0" t="s">
        <v>3010</v>
      </c>
      <c r="B2686" s="0" t="s">
        <v>87</v>
      </c>
      <c r="C2686" s="0" t="str">
        <f aca="false">INDEX(Intent_Analysis!$B$5:$B$81,MATCH(B2686,Intent_Analysis!$A$5:$A$81,0))</f>
        <v>Fees &amp; charges</v>
      </c>
      <c r="D2686" s="0" t="n">
        <f aca="false">INDEX(Intent_Analysis!$E$5:$E$81,MATCH(B2686,Intent_Analysis!$A$5:$A$81,0))</f>
        <v>1</v>
      </c>
    </row>
    <row r="2687" customFormat="false" ht="15" hidden="false" customHeight="false" outlineLevel="0" collapsed="false">
      <c r="A2687" s="0" t="s">
        <v>3011</v>
      </c>
      <c r="B2687" s="0" t="s">
        <v>87</v>
      </c>
      <c r="C2687" s="0" t="str">
        <f aca="false">INDEX(Intent_Analysis!$B$5:$B$81,MATCH(B2687,Intent_Analysis!$A$5:$A$81,0))</f>
        <v>Fees &amp; charges</v>
      </c>
      <c r="D2687" s="0" t="n">
        <f aca="false">INDEX(Intent_Analysis!$E$5:$E$81,MATCH(B2687,Intent_Analysis!$A$5:$A$81,0))</f>
        <v>1</v>
      </c>
    </row>
    <row r="2688" customFormat="false" ht="15" hidden="false" customHeight="false" outlineLevel="0" collapsed="false">
      <c r="A2688" s="0" t="s">
        <v>3012</v>
      </c>
      <c r="B2688" s="0" t="s">
        <v>87</v>
      </c>
      <c r="C2688" s="0" t="str">
        <f aca="false">INDEX(Intent_Analysis!$B$5:$B$81,MATCH(B2688,Intent_Analysis!$A$5:$A$81,0))</f>
        <v>Fees &amp; charges</v>
      </c>
      <c r="D2688" s="0" t="n">
        <f aca="false">INDEX(Intent_Analysis!$E$5:$E$81,MATCH(B2688,Intent_Analysis!$A$5:$A$81,0))</f>
        <v>1</v>
      </c>
    </row>
    <row r="2689" customFormat="false" ht="15" hidden="false" customHeight="false" outlineLevel="0" collapsed="false">
      <c r="A2689" s="0" t="s">
        <v>3013</v>
      </c>
      <c r="B2689" s="0" t="s">
        <v>87</v>
      </c>
      <c r="C2689" s="0" t="str">
        <f aca="false">INDEX(Intent_Analysis!$B$5:$B$81,MATCH(B2689,Intent_Analysis!$A$5:$A$81,0))</f>
        <v>Fees &amp; charges</v>
      </c>
      <c r="D2689" s="0" t="n">
        <f aca="false">INDEX(Intent_Analysis!$E$5:$E$81,MATCH(B2689,Intent_Analysis!$A$5:$A$81,0))</f>
        <v>1</v>
      </c>
    </row>
    <row r="2690" customFormat="false" ht="15" hidden="false" customHeight="false" outlineLevel="0" collapsed="false">
      <c r="A2690" s="0" t="s">
        <v>3014</v>
      </c>
      <c r="B2690" s="0" t="s">
        <v>87</v>
      </c>
      <c r="C2690" s="0" t="str">
        <f aca="false">INDEX(Intent_Analysis!$B$5:$B$81,MATCH(B2690,Intent_Analysis!$A$5:$A$81,0))</f>
        <v>Fees &amp; charges</v>
      </c>
      <c r="D2690" s="0" t="n">
        <f aca="false">INDEX(Intent_Analysis!$E$5:$E$81,MATCH(B2690,Intent_Analysis!$A$5:$A$81,0))</f>
        <v>1</v>
      </c>
    </row>
    <row r="2691" customFormat="false" ht="15" hidden="false" customHeight="false" outlineLevel="0" collapsed="false">
      <c r="A2691" s="0" t="s">
        <v>3015</v>
      </c>
      <c r="B2691" s="0" t="s">
        <v>87</v>
      </c>
      <c r="C2691" s="0" t="str">
        <f aca="false">INDEX(Intent_Analysis!$B$5:$B$81,MATCH(B2691,Intent_Analysis!$A$5:$A$81,0))</f>
        <v>Fees &amp; charges</v>
      </c>
      <c r="D2691" s="0" t="n">
        <f aca="false">INDEX(Intent_Analysis!$E$5:$E$81,MATCH(B2691,Intent_Analysis!$A$5:$A$81,0))</f>
        <v>1</v>
      </c>
    </row>
    <row r="2692" customFormat="false" ht="15" hidden="false" customHeight="false" outlineLevel="0" collapsed="false">
      <c r="A2692" s="0" t="s">
        <v>3016</v>
      </c>
      <c r="B2692" s="0" t="s">
        <v>87</v>
      </c>
      <c r="C2692" s="0" t="str">
        <f aca="false">INDEX(Intent_Analysis!$B$5:$B$81,MATCH(B2692,Intent_Analysis!$A$5:$A$81,0))</f>
        <v>Fees &amp; charges</v>
      </c>
      <c r="D2692" s="0" t="n">
        <f aca="false">INDEX(Intent_Analysis!$E$5:$E$81,MATCH(B2692,Intent_Analysis!$A$5:$A$81,0))</f>
        <v>1</v>
      </c>
    </row>
    <row r="2693" customFormat="false" ht="15" hidden="false" customHeight="false" outlineLevel="0" collapsed="false">
      <c r="A2693" s="0" t="s">
        <v>3017</v>
      </c>
      <c r="B2693" s="0" t="s">
        <v>87</v>
      </c>
      <c r="C2693" s="0" t="str">
        <f aca="false">INDEX(Intent_Analysis!$B$5:$B$81,MATCH(B2693,Intent_Analysis!$A$5:$A$81,0))</f>
        <v>Fees &amp; charges</v>
      </c>
      <c r="D2693" s="0" t="n">
        <f aca="false">INDEX(Intent_Analysis!$E$5:$E$81,MATCH(B2693,Intent_Analysis!$A$5:$A$81,0))</f>
        <v>1</v>
      </c>
    </row>
    <row r="2694" customFormat="false" ht="15" hidden="false" customHeight="false" outlineLevel="0" collapsed="false">
      <c r="A2694" s="0" t="s">
        <v>3018</v>
      </c>
      <c r="B2694" s="0" t="s">
        <v>87</v>
      </c>
      <c r="C2694" s="0" t="str">
        <f aca="false">INDEX(Intent_Analysis!$B$5:$B$81,MATCH(B2694,Intent_Analysis!$A$5:$A$81,0))</f>
        <v>Fees &amp; charges</v>
      </c>
      <c r="D2694" s="0" t="n">
        <f aca="false">INDEX(Intent_Analysis!$E$5:$E$81,MATCH(B2694,Intent_Analysis!$A$5:$A$81,0))</f>
        <v>1</v>
      </c>
    </row>
    <row r="2695" customFormat="false" ht="15" hidden="false" customHeight="false" outlineLevel="0" collapsed="false">
      <c r="A2695" s="0" t="s">
        <v>3019</v>
      </c>
      <c r="B2695" s="0" t="s">
        <v>87</v>
      </c>
      <c r="C2695" s="0" t="str">
        <f aca="false">INDEX(Intent_Analysis!$B$5:$B$81,MATCH(B2695,Intent_Analysis!$A$5:$A$81,0))</f>
        <v>Fees &amp; charges</v>
      </c>
      <c r="D2695" s="0" t="n">
        <f aca="false">INDEX(Intent_Analysis!$E$5:$E$81,MATCH(B2695,Intent_Analysis!$A$5:$A$81,0))</f>
        <v>1</v>
      </c>
    </row>
    <row r="2696" customFormat="false" ht="15" hidden="false" customHeight="false" outlineLevel="0" collapsed="false">
      <c r="A2696" s="0" t="s">
        <v>3020</v>
      </c>
      <c r="B2696" s="0" t="s">
        <v>87</v>
      </c>
      <c r="C2696" s="0" t="str">
        <f aca="false">INDEX(Intent_Analysis!$B$5:$B$81,MATCH(B2696,Intent_Analysis!$A$5:$A$81,0))</f>
        <v>Fees &amp; charges</v>
      </c>
      <c r="D2696" s="0" t="n">
        <f aca="false">INDEX(Intent_Analysis!$E$5:$E$81,MATCH(B2696,Intent_Analysis!$A$5:$A$81,0))</f>
        <v>1</v>
      </c>
    </row>
    <row r="2697" customFormat="false" ht="15" hidden="false" customHeight="false" outlineLevel="0" collapsed="false">
      <c r="A2697" s="0" t="s">
        <v>3021</v>
      </c>
      <c r="B2697" s="0" t="s">
        <v>87</v>
      </c>
      <c r="C2697" s="0" t="str">
        <f aca="false">INDEX(Intent_Analysis!$B$5:$B$81,MATCH(B2697,Intent_Analysis!$A$5:$A$81,0))</f>
        <v>Fees &amp; charges</v>
      </c>
      <c r="D2697" s="0" t="n">
        <f aca="false">INDEX(Intent_Analysis!$E$5:$E$81,MATCH(B2697,Intent_Analysis!$A$5:$A$81,0))</f>
        <v>1</v>
      </c>
    </row>
    <row r="2698" customFormat="false" ht="15" hidden="false" customHeight="false" outlineLevel="0" collapsed="false">
      <c r="A2698" s="0" t="s">
        <v>3022</v>
      </c>
      <c r="B2698" s="0" t="s">
        <v>87</v>
      </c>
      <c r="C2698" s="0" t="str">
        <f aca="false">INDEX(Intent_Analysis!$B$5:$B$81,MATCH(B2698,Intent_Analysis!$A$5:$A$81,0))</f>
        <v>Fees &amp; charges</v>
      </c>
      <c r="D2698" s="0" t="n">
        <f aca="false">INDEX(Intent_Analysis!$E$5:$E$81,MATCH(B2698,Intent_Analysis!$A$5:$A$81,0))</f>
        <v>1</v>
      </c>
    </row>
    <row r="2699" customFormat="false" ht="15" hidden="false" customHeight="false" outlineLevel="0" collapsed="false">
      <c r="A2699" s="0" t="s">
        <v>3023</v>
      </c>
      <c r="B2699" s="0" t="s">
        <v>87</v>
      </c>
      <c r="C2699" s="0" t="str">
        <f aca="false">INDEX(Intent_Analysis!$B$5:$B$81,MATCH(B2699,Intent_Analysis!$A$5:$A$81,0))</f>
        <v>Fees &amp; charges</v>
      </c>
      <c r="D2699" s="0" t="n">
        <f aca="false">INDEX(Intent_Analysis!$E$5:$E$81,MATCH(B2699,Intent_Analysis!$A$5:$A$81,0))</f>
        <v>1</v>
      </c>
    </row>
    <row r="2700" customFormat="false" ht="15" hidden="false" customHeight="false" outlineLevel="0" collapsed="false">
      <c r="A2700" s="0" t="s">
        <v>3024</v>
      </c>
      <c r="B2700" s="0" t="s">
        <v>111</v>
      </c>
      <c r="C2700" s="0" t="str">
        <f aca="false">INDEX(Intent_Analysis!$B$5:$B$81,MATCH(B2700,Intent_Analysis!$A$5:$A$81,0))</f>
        <v>Transfers</v>
      </c>
      <c r="D2700" s="0" t="n">
        <f aca="false">INDEX(Intent_Analysis!$E$5:$E$81,MATCH(B2700,Intent_Analysis!$A$5:$A$81,0))</f>
        <v>2</v>
      </c>
    </row>
    <row r="2701" customFormat="false" ht="15" hidden="false" customHeight="false" outlineLevel="0" collapsed="false">
      <c r="A2701" s="0" t="s">
        <v>3025</v>
      </c>
      <c r="B2701" s="0" t="s">
        <v>111</v>
      </c>
      <c r="C2701" s="0" t="str">
        <f aca="false">INDEX(Intent_Analysis!$B$5:$B$81,MATCH(B2701,Intent_Analysis!$A$5:$A$81,0))</f>
        <v>Transfers</v>
      </c>
      <c r="D2701" s="0" t="n">
        <f aca="false">INDEX(Intent_Analysis!$E$5:$E$81,MATCH(B2701,Intent_Analysis!$A$5:$A$81,0))</f>
        <v>2</v>
      </c>
    </row>
    <row r="2702" customFormat="false" ht="15" hidden="false" customHeight="false" outlineLevel="0" collapsed="false">
      <c r="A2702" s="0" t="s">
        <v>3026</v>
      </c>
      <c r="B2702" s="0" t="s">
        <v>111</v>
      </c>
      <c r="C2702" s="0" t="str">
        <f aca="false">INDEX(Intent_Analysis!$B$5:$B$81,MATCH(B2702,Intent_Analysis!$A$5:$A$81,0))</f>
        <v>Transfers</v>
      </c>
      <c r="D2702" s="0" t="n">
        <f aca="false">INDEX(Intent_Analysis!$E$5:$E$81,MATCH(B2702,Intent_Analysis!$A$5:$A$81,0))</f>
        <v>2</v>
      </c>
    </row>
    <row r="2703" customFormat="false" ht="15" hidden="false" customHeight="false" outlineLevel="0" collapsed="false">
      <c r="A2703" s="0" t="s">
        <v>3027</v>
      </c>
      <c r="B2703" s="0" t="s">
        <v>111</v>
      </c>
      <c r="C2703" s="0" t="str">
        <f aca="false">INDEX(Intent_Analysis!$B$5:$B$81,MATCH(B2703,Intent_Analysis!$A$5:$A$81,0))</f>
        <v>Transfers</v>
      </c>
      <c r="D2703" s="0" t="n">
        <f aca="false">INDEX(Intent_Analysis!$E$5:$E$81,MATCH(B2703,Intent_Analysis!$A$5:$A$81,0))</f>
        <v>2</v>
      </c>
    </row>
    <row r="2704" customFormat="false" ht="15" hidden="false" customHeight="false" outlineLevel="0" collapsed="false">
      <c r="A2704" s="0" t="s">
        <v>3028</v>
      </c>
      <c r="B2704" s="0" t="s">
        <v>111</v>
      </c>
      <c r="C2704" s="0" t="str">
        <f aca="false">INDEX(Intent_Analysis!$B$5:$B$81,MATCH(B2704,Intent_Analysis!$A$5:$A$81,0))</f>
        <v>Transfers</v>
      </c>
      <c r="D2704" s="0" t="n">
        <f aca="false">INDEX(Intent_Analysis!$E$5:$E$81,MATCH(B2704,Intent_Analysis!$A$5:$A$81,0))</f>
        <v>2</v>
      </c>
    </row>
    <row r="2705" customFormat="false" ht="15" hidden="false" customHeight="false" outlineLevel="0" collapsed="false">
      <c r="A2705" s="0" t="s">
        <v>3029</v>
      </c>
      <c r="B2705" s="0" t="s">
        <v>111</v>
      </c>
      <c r="C2705" s="0" t="str">
        <f aca="false">INDEX(Intent_Analysis!$B$5:$B$81,MATCH(B2705,Intent_Analysis!$A$5:$A$81,0))</f>
        <v>Transfers</v>
      </c>
      <c r="D2705" s="0" t="n">
        <f aca="false">INDEX(Intent_Analysis!$E$5:$E$81,MATCH(B2705,Intent_Analysis!$A$5:$A$81,0))</f>
        <v>2</v>
      </c>
    </row>
    <row r="2706" customFormat="false" ht="15" hidden="false" customHeight="false" outlineLevel="0" collapsed="false">
      <c r="A2706" s="0" t="s">
        <v>3030</v>
      </c>
      <c r="B2706" s="0" t="s">
        <v>111</v>
      </c>
      <c r="C2706" s="0" t="str">
        <f aca="false">INDEX(Intent_Analysis!$B$5:$B$81,MATCH(B2706,Intent_Analysis!$A$5:$A$81,0))</f>
        <v>Transfers</v>
      </c>
      <c r="D2706" s="0" t="n">
        <f aca="false">INDEX(Intent_Analysis!$E$5:$E$81,MATCH(B2706,Intent_Analysis!$A$5:$A$81,0))</f>
        <v>2</v>
      </c>
    </row>
    <row r="2707" customFormat="false" ht="15" hidden="false" customHeight="false" outlineLevel="0" collapsed="false">
      <c r="A2707" s="0" t="s">
        <v>3031</v>
      </c>
      <c r="B2707" s="0" t="s">
        <v>111</v>
      </c>
      <c r="C2707" s="0" t="str">
        <f aca="false">INDEX(Intent_Analysis!$B$5:$B$81,MATCH(B2707,Intent_Analysis!$A$5:$A$81,0))</f>
        <v>Transfers</v>
      </c>
      <c r="D2707" s="0" t="n">
        <f aca="false">INDEX(Intent_Analysis!$E$5:$E$81,MATCH(B2707,Intent_Analysis!$A$5:$A$81,0))</f>
        <v>2</v>
      </c>
    </row>
    <row r="2708" customFormat="false" ht="15" hidden="false" customHeight="false" outlineLevel="0" collapsed="false">
      <c r="A2708" s="0" t="s">
        <v>3032</v>
      </c>
      <c r="B2708" s="0" t="s">
        <v>111</v>
      </c>
      <c r="C2708" s="0" t="str">
        <f aca="false">INDEX(Intent_Analysis!$B$5:$B$81,MATCH(B2708,Intent_Analysis!$A$5:$A$81,0))</f>
        <v>Transfers</v>
      </c>
      <c r="D2708" s="0" t="n">
        <f aca="false">INDEX(Intent_Analysis!$E$5:$E$81,MATCH(B2708,Intent_Analysis!$A$5:$A$81,0))</f>
        <v>2</v>
      </c>
    </row>
    <row r="2709" customFormat="false" ht="15" hidden="false" customHeight="false" outlineLevel="0" collapsed="false">
      <c r="A2709" s="0" t="s">
        <v>3033</v>
      </c>
      <c r="B2709" s="0" t="s">
        <v>111</v>
      </c>
      <c r="C2709" s="0" t="str">
        <f aca="false">INDEX(Intent_Analysis!$B$5:$B$81,MATCH(B2709,Intent_Analysis!$A$5:$A$81,0))</f>
        <v>Transfers</v>
      </c>
      <c r="D2709" s="0" t="n">
        <f aca="false">INDEX(Intent_Analysis!$E$5:$E$81,MATCH(B2709,Intent_Analysis!$A$5:$A$81,0))</f>
        <v>2</v>
      </c>
    </row>
    <row r="2710" customFormat="false" ht="15" hidden="false" customHeight="false" outlineLevel="0" collapsed="false">
      <c r="A2710" s="0" t="s">
        <v>3034</v>
      </c>
      <c r="B2710" s="0" t="s">
        <v>111</v>
      </c>
      <c r="C2710" s="0" t="str">
        <f aca="false">INDEX(Intent_Analysis!$B$5:$B$81,MATCH(B2710,Intent_Analysis!$A$5:$A$81,0))</f>
        <v>Transfers</v>
      </c>
      <c r="D2710" s="0" t="n">
        <f aca="false">INDEX(Intent_Analysis!$E$5:$E$81,MATCH(B2710,Intent_Analysis!$A$5:$A$81,0))</f>
        <v>2</v>
      </c>
    </row>
    <row r="2711" customFormat="false" ht="15" hidden="false" customHeight="false" outlineLevel="0" collapsed="false">
      <c r="A2711" s="0" t="s">
        <v>3035</v>
      </c>
      <c r="B2711" s="0" t="s">
        <v>111</v>
      </c>
      <c r="C2711" s="0" t="str">
        <f aca="false">INDEX(Intent_Analysis!$B$5:$B$81,MATCH(B2711,Intent_Analysis!$A$5:$A$81,0))</f>
        <v>Transfers</v>
      </c>
      <c r="D2711" s="0" t="n">
        <f aca="false">INDEX(Intent_Analysis!$E$5:$E$81,MATCH(B2711,Intent_Analysis!$A$5:$A$81,0))</f>
        <v>2</v>
      </c>
    </row>
    <row r="2712" customFormat="false" ht="15" hidden="false" customHeight="false" outlineLevel="0" collapsed="false">
      <c r="A2712" s="0" t="s">
        <v>3036</v>
      </c>
      <c r="B2712" s="0" t="s">
        <v>111</v>
      </c>
      <c r="C2712" s="0" t="str">
        <f aca="false">INDEX(Intent_Analysis!$B$5:$B$81,MATCH(B2712,Intent_Analysis!$A$5:$A$81,0))</f>
        <v>Transfers</v>
      </c>
      <c r="D2712" s="0" t="n">
        <f aca="false">INDEX(Intent_Analysis!$E$5:$E$81,MATCH(B2712,Intent_Analysis!$A$5:$A$81,0))</f>
        <v>2</v>
      </c>
    </row>
    <row r="2713" customFormat="false" ht="15" hidden="false" customHeight="false" outlineLevel="0" collapsed="false">
      <c r="A2713" s="0" t="s">
        <v>3037</v>
      </c>
      <c r="B2713" s="0" t="s">
        <v>111</v>
      </c>
      <c r="C2713" s="0" t="str">
        <f aca="false">INDEX(Intent_Analysis!$B$5:$B$81,MATCH(B2713,Intent_Analysis!$A$5:$A$81,0))</f>
        <v>Transfers</v>
      </c>
      <c r="D2713" s="0" t="n">
        <f aca="false">INDEX(Intent_Analysis!$E$5:$E$81,MATCH(B2713,Intent_Analysis!$A$5:$A$81,0))</f>
        <v>2</v>
      </c>
    </row>
    <row r="2714" customFormat="false" ht="15" hidden="false" customHeight="false" outlineLevel="0" collapsed="false">
      <c r="A2714" s="0" t="s">
        <v>3038</v>
      </c>
      <c r="B2714" s="0" t="s">
        <v>111</v>
      </c>
      <c r="C2714" s="0" t="str">
        <f aca="false">INDEX(Intent_Analysis!$B$5:$B$81,MATCH(B2714,Intent_Analysis!$A$5:$A$81,0))</f>
        <v>Transfers</v>
      </c>
      <c r="D2714" s="0" t="n">
        <f aca="false">INDEX(Intent_Analysis!$E$5:$E$81,MATCH(B2714,Intent_Analysis!$A$5:$A$81,0))</f>
        <v>2</v>
      </c>
    </row>
    <row r="2715" customFormat="false" ht="15" hidden="false" customHeight="false" outlineLevel="0" collapsed="false">
      <c r="A2715" s="0" t="s">
        <v>3039</v>
      </c>
      <c r="B2715" s="0" t="s">
        <v>111</v>
      </c>
      <c r="C2715" s="0" t="str">
        <f aca="false">INDEX(Intent_Analysis!$B$5:$B$81,MATCH(B2715,Intent_Analysis!$A$5:$A$81,0))</f>
        <v>Transfers</v>
      </c>
      <c r="D2715" s="0" t="n">
        <f aca="false">INDEX(Intent_Analysis!$E$5:$E$81,MATCH(B2715,Intent_Analysis!$A$5:$A$81,0))</f>
        <v>2</v>
      </c>
    </row>
    <row r="2716" customFormat="false" ht="15" hidden="false" customHeight="false" outlineLevel="0" collapsed="false">
      <c r="A2716" s="0" t="s">
        <v>3040</v>
      </c>
      <c r="B2716" s="0" t="s">
        <v>111</v>
      </c>
      <c r="C2716" s="0" t="str">
        <f aca="false">INDEX(Intent_Analysis!$B$5:$B$81,MATCH(B2716,Intent_Analysis!$A$5:$A$81,0))</f>
        <v>Transfers</v>
      </c>
      <c r="D2716" s="0" t="n">
        <f aca="false">INDEX(Intent_Analysis!$E$5:$E$81,MATCH(B2716,Intent_Analysis!$A$5:$A$81,0))</f>
        <v>2</v>
      </c>
    </row>
    <row r="2717" customFormat="false" ht="15" hidden="false" customHeight="false" outlineLevel="0" collapsed="false">
      <c r="A2717" s="0" t="s">
        <v>3041</v>
      </c>
      <c r="B2717" s="0" t="s">
        <v>111</v>
      </c>
      <c r="C2717" s="0" t="str">
        <f aca="false">INDEX(Intent_Analysis!$B$5:$B$81,MATCH(B2717,Intent_Analysis!$A$5:$A$81,0))</f>
        <v>Transfers</v>
      </c>
      <c r="D2717" s="0" t="n">
        <f aca="false">INDEX(Intent_Analysis!$E$5:$E$81,MATCH(B2717,Intent_Analysis!$A$5:$A$81,0))</f>
        <v>2</v>
      </c>
    </row>
    <row r="2718" customFormat="false" ht="15" hidden="false" customHeight="false" outlineLevel="0" collapsed="false">
      <c r="A2718" s="0" t="s">
        <v>3042</v>
      </c>
      <c r="B2718" s="0" t="s">
        <v>111</v>
      </c>
      <c r="C2718" s="0" t="str">
        <f aca="false">INDEX(Intent_Analysis!$B$5:$B$81,MATCH(B2718,Intent_Analysis!$A$5:$A$81,0))</f>
        <v>Transfers</v>
      </c>
      <c r="D2718" s="0" t="n">
        <f aca="false">INDEX(Intent_Analysis!$E$5:$E$81,MATCH(B2718,Intent_Analysis!$A$5:$A$81,0))</f>
        <v>2</v>
      </c>
    </row>
    <row r="2719" customFormat="false" ht="15" hidden="false" customHeight="false" outlineLevel="0" collapsed="false">
      <c r="A2719" s="0" t="s">
        <v>3043</v>
      </c>
      <c r="B2719" s="0" t="s">
        <v>111</v>
      </c>
      <c r="C2719" s="0" t="str">
        <f aca="false">INDEX(Intent_Analysis!$B$5:$B$81,MATCH(B2719,Intent_Analysis!$A$5:$A$81,0))</f>
        <v>Transfers</v>
      </c>
      <c r="D2719" s="0" t="n">
        <f aca="false">INDEX(Intent_Analysis!$E$5:$E$81,MATCH(B2719,Intent_Analysis!$A$5:$A$81,0))</f>
        <v>2</v>
      </c>
    </row>
    <row r="2720" customFormat="false" ht="15" hidden="false" customHeight="false" outlineLevel="0" collapsed="false">
      <c r="A2720" s="0" t="s">
        <v>3044</v>
      </c>
      <c r="B2720" s="0" t="s">
        <v>111</v>
      </c>
      <c r="C2720" s="0" t="str">
        <f aca="false">INDEX(Intent_Analysis!$B$5:$B$81,MATCH(B2720,Intent_Analysis!$A$5:$A$81,0))</f>
        <v>Transfers</v>
      </c>
      <c r="D2720" s="0" t="n">
        <f aca="false">INDEX(Intent_Analysis!$E$5:$E$81,MATCH(B2720,Intent_Analysis!$A$5:$A$81,0))</f>
        <v>2</v>
      </c>
    </row>
    <row r="2721" customFormat="false" ht="15" hidden="false" customHeight="false" outlineLevel="0" collapsed="false">
      <c r="A2721" s="0" t="s">
        <v>3045</v>
      </c>
      <c r="B2721" s="0" t="s">
        <v>111</v>
      </c>
      <c r="C2721" s="0" t="str">
        <f aca="false">INDEX(Intent_Analysis!$B$5:$B$81,MATCH(B2721,Intent_Analysis!$A$5:$A$81,0))</f>
        <v>Transfers</v>
      </c>
      <c r="D2721" s="0" t="n">
        <f aca="false">INDEX(Intent_Analysis!$E$5:$E$81,MATCH(B2721,Intent_Analysis!$A$5:$A$81,0))</f>
        <v>2</v>
      </c>
    </row>
    <row r="2722" customFormat="false" ht="15" hidden="false" customHeight="false" outlineLevel="0" collapsed="false">
      <c r="A2722" s="0" t="s">
        <v>3046</v>
      </c>
      <c r="B2722" s="0" t="s">
        <v>111</v>
      </c>
      <c r="C2722" s="0" t="str">
        <f aca="false">INDEX(Intent_Analysis!$B$5:$B$81,MATCH(B2722,Intent_Analysis!$A$5:$A$81,0))</f>
        <v>Transfers</v>
      </c>
      <c r="D2722" s="0" t="n">
        <f aca="false">INDEX(Intent_Analysis!$E$5:$E$81,MATCH(B2722,Intent_Analysis!$A$5:$A$81,0))</f>
        <v>2</v>
      </c>
    </row>
    <row r="2723" customFormat="false" ht="15" hidden="false" customHeight="false" outlineLevel="0" collapsed="false">
      <c r="A2723" s="0" t="s">
        <v>3047</v>
      </c>
      <c r="B2723" s="0" t="s">
        <v>111</v>
      </c>
      <c r="C2723" s="0" t="str">
        <f aca="false">INDEX(Intent_Analysis!$B$5:$B$81,MATCH(B2723,Intent_Analysis!$A$5:$A$81,0))</f>
        <v>Transfers</v>
      </c>
      <c r="D2723" s="0" t="n">
        <f aca="false">INDEX(Intent_Analysis!$E$5:$E$81,MATCH(B2723,Intent_Analysis!$A$5:$A$81,0))</f>
        <v>2</v>
      </c>
    </row>
    <row r="2724" customFormat="false" ht="15" hidden="false" customHeight="false" outlineLevel="0" collapsed="false">
      <c r="A2724" s="0" t="s">
        <v>3048</v>
      </c>
      <c r="B2724" s="0" t="s">
        <v>111</v>
      </c>
      <c r="C2724" s="0" t="str">
        <f aca="false">INDEX(Intent_Analysis!$B$5:$B$81,MATCH(B2724,Intent_Analysis!$A$5:$A$81,0))</f>
        <v>Transfers</v>
      </c>
      <c r="D2724" s="0" t="n">
        <f aca="false">INDEX(Intent_Analysis!$E$5:$E$81,MATCH(B2724,Intent_Analysis!$A$5:$A$81,0))</f>
        <v>2</v>
      </c>
    </row>
    <row r="2725" customFormat="false" ht="15" hidden="false" customHeight="false" outlineLevel="0" collapsed="false">
      <c r="A2725" s="0" t="s">
        <v>3049</v>
      </c>
      <c r="B2725" s="0" t="s">
        <v>111</v>
      </c>
      <c r="C2725" s="0" t="str">
        <f aca="false">INDEX(Intent_Analysis!$B$5:$B$81,MATCH(B2725,Intent_Analysis!$A$5:$A$81,0))</f>
        <v>Transfers</v>
      </c>
      <c r="D2725" s="0" t="n">
        <f aca="false">INDEX(Intent_Analysis!$E$5:$E$81,MATCH(B2725,Intent_Analysis!$A$5:$A$81,0))</f>
        <v>2</v>
      </c>
    </row>
    <row r="2726" customFormat="false" ht="15" hidden="false" customHeight="false" outlineLevel="0" collapsed="false">
      <c r="A2726" s="0" t="s">
        <v>3050</v>
      </c>
      <c r="B2726" s="0" t="s">
        <v>111</v>
      </c>
      <c r="C2726" s="0" t="str">
        <f aca="false">INDEX(Intent_Analysis!$B$5:$B$81,MATCH(B2726,Intent_Analysis!$A$5:$A$81,0))</f>
        <v>Transfers</v>
      </c>
      <c r="D2726" s="0" t="n">
        <f aca="false">INDEX(Intent_Analysis!$E$5:$E$81,MATCH(B2726,Intent_Analysis!$A$5:$A$81,0))</f>
        <v>2</v>
      </c>
    </row>
    <row r="2727" customFormat="false" ht="15" hidden="false" customHeight="false" outlineLevel="0" collapsed="false">
      <c r="A2727" s="0" t="s">
        <v>3051</v>
      </c>
      <c r="B2727" s="0" t="s">
        <v>111</v>
      </c>
      <c r="C2727" s="0" t="str">
        <f aca="false">INDEX(Intent_Analysis!$B$5:$B$81,MATCH(B2727,Intent_Analysis!$A$5:$A$81,0))</f>
        <v>Transfers</v>
      </c>
      <c r="D2727" s="0" t="n">
        <f aca="false">INDEX(Intent_Analysis!$E$5:$E$81,MATCH(B2727,Intent_Analysis!$A$5:$A$81,0))</f>
        <v>2</v>
      </c>
    </row>
    <row r="2728" customFormat="false" ht="15" hidden="false" customHeight="false" outlineLevel="0" collapsed="false">
      <c r="A2728" s="0" t="s">
        <v>3052</v>
      </c>
      <c r="B2728" s="0" t="s">
        <v>111</v>
      </c>
      <c r="C2728" s="0" t="str">
        <f aca="false">INDEX(Intent_Analysis!$B$5:$B$81,MATCH(B2728,Intent_Analysis!$A$5:$A$81,0))</f>
        <v>Transfers</v>
      </c>
      <c r="D2728" s="0" t="n">
        <f aca="false">INDEX(Intent_Analysis!$E$5:$E$81,MATCH(B2728,Intent_Analysis!$A$5:$A$81,0))</f>
        <v>2</v>
      </c>
    </row>
    <row r="2729" customFormat="false" ht="15" hidden="false" customHeight="false" outlineLevel="0" collapsed="false">
      <c r="A2729" s="0" t="s">
        <v>3053</v>
      </c>
      <c r="B2729" s="0" t="s">
        <v>111</v>
      </c>
      <c r="C2729" s="0" t="str">
        <f aca="false">INDEX(Intent_Analysis!$B$5:$B$81,MATCH(B2729,Intent_Analysis!$A$5:$A$81,0))</f>
        <v>Transfers</v>
      </c>
      <c r="D2729" s="0" t="n">
        <f aca="false">INDEX(Intent_Analysis!$E$5:$E$81,MATCH(B2729,Intent_Analysis!$A$5:$A$81,0))</f>
        <v>2</v>
      </c>
    </row>
    <row r="2730" customFormat="false" ht="15" hidden="false" customHeight="false" outlineLevel="0" collapsed="false">
      <c r="A2730" s="0" t="s">
        <v>3054</v>
      </c>
      <c r="B2730" s="0" t="s">
        <v>111</v>
      </c>
      <c r="C2730" s="0" t="str">
        <f aca="false">INDEX(Intent_Analysis!$B$5:$B$81,MATCH(B2730,Intent_Analysis!$A$5:$A$81,0))</f>
        <v>Transfers</v>
      </c>
      <c r="D2730" s="0" t="n">
        <f aca="false">INDEX(Intent_Analysis!$E$5:$E$81,MATCH(B2730,Intent_Analysis!$A$5:$A$81,0))</f>
        <v>2</v>
      </c>
    </row>
    <row r="2731" customFormat="false" ht="15" hidden="false" customHeight="false" outlineLevel="0" collapsed="false">
      <c r="A2731" s="0" t="s">
        <v>3055</v>
      </c>
      <c r="B2731" s="0" t="s">
        <v>111</v>
      </c>
      <c r="C2731" s="0" t="str">
        <f aca="false">INDEX(Intent_Analysis!$B$5:$B$81,MATCH(B2731,Intent_Analysis!$A$5:$A$81,0))</f>
        <v>Transfers</v>
      </c>
      <c r="D2731" s="0" t="n">
        <f aca="false">INDEX(Intent_Analysis!$E$5:$E$81,MATCH(B2731,Intent_Analysis!$A$5:$A$81,0))</f>
        <v>2</v>
      </c>
    </row>
    <row r="2732" customFormat="false" ht="15" hidden="false" customHeight="false" outlineLevel="0" collapsed="false">
      <c r="A2732" s="0" t="s">
        <v>3056</v>
      </c>
      <c r="B2732" s="0" t="s">
        <v>111</v>
      </c>
      <c r="C2732" s="0" t="str">
        <f aca="false">INDEX(Intent_Analysis!$B$5:$B$81,MATCH(B2732,Intent_Analysis!$A$5:$A$81,0))</f>
        <v>Transfers</v>
      </c>
      <c r="D2732" s="0" t="n">
        <f aca="false">INDEX(Intent_Analysis!$E$5:$E$81,MATCH(B2732,Intent_Analysis!$A$5:$A$81,0))</f>
        <v>2</v>
      </c>
    </row>
    <row r="2733" customFormat="false" ht="15" hidden="false" customHeight="false" outlineLevel="0" collapsed="false">
      <c r="A2733" s="0" t="s">
        <v>3057</v>
      </c>
      <c r="B2733" s="0" t="s">
        <v>111</v>
      </c>
      <c r="C2733" s="0" t="str">
        <f aca="false">INDEX(Intent_Analysis!$B$5:$B$81,MATCH(B2733,Intent_Analysis!$A$5:$A$81,0))</f>
        <v>Transfers</v>
      </c>
      <c r="D2733" s="0" t="n">
        <f aca="false">INDEX(Intent_Analysis!$E$5:$E$81,MATCH(B2733,Intent_Analysis!$A$5:$A$81,0))</f>
        <v>2</v>
      </c>
    </row>
    <row r="2734" customFormat="false" ht="15" hidden="false" customHeight="false" outlineLevel="0" collapsed="false">
      <c r="A2734" s="0" t="s">
        <v>3058</v>
      </c>
      <c r="B2734" s="0" t="s">
        <v>111</v>
      </c>
      <c r="C2734" s="0" t="str">
        <f aca="false">INDEX(Intent_Analysis!$B$5:$B$81,MATCH(B2734,Intent_Analysis!$A$5:$A$81,0))</f>
        <v>Transfers</v>
      </c>
      <c r="D2734" s="0" t="n">
        <f aca="false">INDEX(Intent_Analysis!$E$5:$E$81,MATCH(B2734,Intent_Analysis!$A$5:$A$81,0))</f>
        <v>2</v>
      </c>
    </row>
    <row r="2735" customFormat="false" ht="15" hidden="false" customHeight="false" outlineLevel="0" collapsed="false">
      <c r="A2735" s="0" t="s">
        <v>3059</v>
      </c>
      <c r="B2735" s="0" t="s">
        <v>111</v>
      </c>
      <c r="C2735" s="0" t="str">
        <f aca="false">INDEX(Intent_Analysis!$B$5:$B$81,MATCH(B2735,Intent_Analysis!$A$5:$A$81,0))</f>
        <v>Transfers</v>
      </c>
      <c r="D2735" s="0" t="n">
        <f aca="false">INDEX(Intent_Analysis!$E$5:$E$81,MATCH(B2735,Intent_Analysis!$A$5:$A$81,0))</f>
        <v>2</v>
      </c>
    </row>
    <row r="2736" customFormat="false" ht="15" hidden="false" customHeight="false" outlineLevel="0" collapsed="false">
      <c r="A2736" s="0" t="s">
        <v>3060</v>
      </c>
      <c r="B2736" s="0" t="s">
        <v>111</v>
      </c>
      <c r="C2736" s="0" t="str">
        <f aca="false">INDEX(Intent_Analysis!$B$5:$B$81,MATCH(B2736,Intent_Analysis!$A$5:$A$81,0))</f>
        <v>Transfers</v>
      </c>
      <c r="D2736" s="0" t="n">
        <f aca="false">INDEX(Intent_Analysis!$E$5:$E$81,MATCH(B2736,Intent_Analysis!$A$5:$A$81,0))</f>
        <v>2</v>
      </c>
    </row>
    <row r="2737" customFormat="false" ht="15" hidden="false" customHeight="false" outlineLevel="0" collapsed="false">
      <c r="A2737" s="0" t="s">
        <v>3061</v>
      </c>
      <c r="B2737" s="0" t="s">
        <v>111</v>
      </c>
      <c r="C2737" s="0" t="str">
        <f aca="false">INDEX(Intent_Analysis!$B$5:$B$81,MATCH(B2737,Intent_Analysis!$A$5:$A$81,0))</f>
        <v>Transfers</v>
      </c>
      <c r="D2737" s="0" t="n">
        <f aca="false">INDEX(Intent_Analysis!$E$5:$E$81,MATCH(B2737,Intent_Analysis!$A$5:$A$81,0))</f>
        <v>2</v>
      </c>
    </row>
    <row r="2738" customFormat="false" ht="15" hidden="false" customHeight="false" outlineLevel="0" collapsed="false">
      <c r="A2738" s="0" t="s">
        <v>3062</v>
      </c>
      <c r="B2738" s="0" t="s">
        <v>111</v>
      </c>
      <c r="C2738" s="0" t="str">
        <f aca="false">INDEX(Intent_Analysis!$B$5:$B$81,MATCH(B2738,Intent_Analysis!$A$5:$A$81,0))</f>
        <v>Transfers</v>
      </c>
      <c r="D2738" s="0" t="n">
        <f aca="false">INDEX(Intent_Analysis!$E$5:$E$81,MATCH(B2738,Intent_Analysis!$A$5:$A$81,0))</f>
        <v>2</v>
      </c>
    </row>
    <row r="2739" customFormat="false" ht="15" hidden="false" customHeight="false" outlineLevel="0" collapsed="false">
      <c r="A2739" s="0" t="s">
        <v>3063</v>
      </c>
      <c r="B2739" s="0" t="s">
        <v>111</v>
      </c>
      <c r="C2739" s="0" t="str">
        <f aca="false">INDEX(Intent_Analysis!$B$5:$B$81,MATCH(B2739,Intent_Analysis!$A$5:$A$81,0))</f>
        <v>Transfers</v>
      </c>
      <c r="D2739" s="0" t="n">
        <f aca="false">INDEX(Intent_Analysis!$E$5:$E$81,MATCH(B2739,Intent_Analysis!$A$5:$A$81,0))</f>
        <v>2</v>
      </c>
    </row>
    <row r="2740" customFormat="false" ht="15" hidden="false" customHeight="false" outlineLevel="0" collapsed="false">
      <c r="A2740" s="0" t="s">
        <v>3064</v>
      </c>
      <c r="B2740" s="0" t="s">
        <v>111</v>
      </c>
      <c r="C2740" s="0" t="str">
        <f aca="false">INDEX(Intent_Analysis!$B$5:$B$81,MATCH(B2740,Intent_Analysis!$A$5:$A$81,0))</f>
        <v>Transfers</v>
      </c>
      <c r="D2740" s="0" t="n">
        <f aca="false">INDEX(Intent_Analysis!$E$5:$E$81,MATCH(B2740,Intent_Analysis!$A$5:$A$81,0))</f>
        <v>2</v>
      </c>
    </row>
    <row r="2741" customFormat="false" ht="15" hidden="false" customHeight="false" outlineLevel="0" collapsed="false">
      <c r="A2741" s="0" t="s">
        <v>3065</v>
      </c>
      <c r="B2741" s="0" t="s">
        <v>111</v>
      </c>
      <c r="C2741" s="0" t="str">
        <f aca="false">INDEX(Intent_Analysis!$B$5:$B$81,MATCH(B2741,Intent_Analysis!$A$5:$A$81,0))</f>
        <v>Transfers</v>
      </c>
      <c r="D2741" s="0" t="n">
        <f aca="false">INDEX(Intent_Analysis!$E$5:$E$81,MATCH(B2741,Intent_Analysis!$A$5:$A$81,0))</f>
        <v>2</v>
      </c>
    </row>
    <row r="2742" customFormat="false" ht="15" hidden="false" customHeight="false" outlineLevel="0" collapsed="false">
      <c r="A2742" s="0" t="s">
        <v>3066</v>
      </c>
      <c r="B2742" s="0" t="s">
        <v>111</v>
      </c>
      <c r="C2742" s="0" t="str">
        <f aca="false">INDEX(Intent_Analysis!$B$5:$B$81,MATCH(B2742,Intent_Analysis!$A$5:$A$81,0))</f>
        <v>Transfers</v>
      </c>
      <c r="D2742" s="0" t="n">
        <f aca="false">INDEX(Intent_Analysis!$E$5:$E$81,MATCH(B2742,Intent_Analysis!$A$5:$A$81,0))</f>
        <v>2</v>
      </c>
    </row>
    <row r="2743" customFormat="false" ht="15" hidden="false" customHeight="false" outlineLevel="0" collapsed="false">
      <c r="A2743" s="0" t="s">
        <v>3067</v>
      </c>
      <c r="B2743" s="0" t="s">
        <v>111</v>
      </c>
      <c r="C2743" s="0" t="str">
        <f aca="false">INDEX(Intent_Analysis!$B$5:$B$81,MATCH(B2743,Intent_Analysis!$A$5:$A$81,0))</f>
        <v>Transfers</v>
      </c>
      <c r="D2743" s="0" t="n">
        <f aca="false">INDEX(Intent_Analysis!$E$5:$E$81,MATCH(B2743,Intent_Analysis!$A$5:$A$81,0))</f>
        <v>2</v>
      </c>
    </row>
    <row r="2744" customFormat="false" ht="15" hidden="false" customHeight="false" outlineLevel="0" collapsed="false">
      <c r="A2744" s="0" t="s">
        <v>3068</v>
      </c>
      <c r="B2744" s="0" t="s">
        <v>111</v>
      </c>
      <c r="C2744" s="0" t="str">
        <f aca="false">INDEX(Intent_Analysis!$B$5:$B$81,MATCH(B2744,Intent_Analysis!$A$5:$A$81,0))</f>
        <v>Transfers</v>
      </c>
      <c r="D2744" s="0" t="n">
        <f aca="false">INDEX(Intent_Analysis!$E$5:$E$81,MATCH(B2744,Intent_Analysis!$A$5:$A$81,0))</f>
        <v>2</v>
      </c>
    </row>
    <row r="2745" customFormat="false" ht="15" hidden="false" customHeight="false" outlineLevel="0" collapsed="false">
      <c r="A2745" s="0" t="s">
        <v>3069</v>
      </c>
      <c r="B2745" s="0" t="s">
        <v>111</v>
      </c>
      <c r="C2745" s="0" t="str">
        <f aca="false">INDEX(Intent_Analysis!$B$5:$B$81,MATCH(B2745,Intent_Analysis!$A$5:$A$81,0))</f>
        <v>Transfers</v>
      </c>
      <c r="D2745" s="0" t="n">
        <f aca="false">INDEX(Intent_Analysis!$E$5:$E$81,MATCH(B2745,Intent_Analysis!$A$5:$A$81,0))</f>
        <v>2</v>
      </c>
    </row>
    <row r="2746" customFormat="false" ht="15" hidden="false" customHeight="false" outlineLevel="0" collapsed="false">
      <c r="A2746" s="0" t="s">
        <v>3070</v>
      </c>
      <c r="B2746" s="0" t="s">
        <v>111</v>
      </c>
      <c r="C2746" s="0" t="str">
        <f aca="false">INDEX(Intent_Analysis!$B$5:$B$81,MATCH(B2746,Intent_Analysis!$A$5:$A$81,0))</f>
        <v>Transfers</v>
      </c>
      <c r="D2746" s="0" t="n">
        <f aca="false">INDEX(Intent_Analysis!$E$5:$E$81,MATCH(B2746,Intent_Analysis!$A$5:$A$81,0))</f>
        <v>2</v>
      </c>
    </row>
    <row r="2747" customFormat="false" ht="15" hidden="false" customHeight="false" outlineLevel="0" collapsed="false">
      <c r="A2747" s="0" t="s">
        <v>3071</v>
      </c>
      <c r="B2747" s="0" t="s">
        <v>111</v>
      </c>
      <c r="C2747" s="0" t="str">
        <f aca="false">INDEX(Intent_Analysis!$B$5:$B$81,MATCH(B2747,Intent_Analysis!$A$5:$A$81,0))</f>
        <v>Transfers</v>
      </c>
      <c r="D2747" s="0" t="n">
        <f aca="false">INDEX(Intent_Analysis!$E$5:$E$81,MATCH(B2747,Intent_Analysis!$A$5:$A$81,0))</f>
        <v>2</v>
      </c>
    </row>
    <row r="2748" customFormat="false" ht="15" hidden="false" customHeight="false" outlineLevel="0" collapsed="false">
      <c r="A2748" s="0" t="s">
        <v>3072</v>
      </c>
      <c r="B2748" s="0" t="s">
        <v>111</v>
      </c>
      <c r="C2748" s="0" t="str">
        <f aca="false">INDEX(Intent_Analysis!$B$5:$B$81,MATCH(B2748,Intent_Analysis!$A$5:$A$81,0))</f>
        <v>Transfers</v>
      </c>
      <c r="D2748" s="0" t="n">
        <f aca="false">INDEX(Intent_Analysis!$E$5:$E$81,MATCH(B2748,Intent_Analysis!$A$5:$A$81,0))</f>
        <v>2</v>
      </c>
    </row>
    <row r="2749" customFormat="false" ht="15" hidden="false" customHeight="false" outlineLevel="0" collapsed="false">
      <c r="A2749" s="0" t="s">
        <v>3073</v>
      </c>
      <c r="B2749" s="0" t="s">
        <v>111</v>
      </c>
      <c r="C2749" s="0" t="str">
        <f aca="false">INDEX(Intent_Analysis!$B$5:$B$81,MATCH(B2749,Intent_Analysis!$A$5:$A$81,0))</f>
        <v>Transfers</v>
      </c>
      <c r="D2749" s="0" t="n">
        <f aca="false">INDEX(Intent_Analysis!$E$5:$E$81,MATCH(B2749,Intent_Analysis!$A$5:$A$81,0))</f>
        <v>2</v>
      </c>
    </row>
    <row r="2750" customFormat="false" ht="15" hidden="false" customHeight="false" outlineLevel="0" collapsed="false">
      <c r="A2750" s="0" t="s">
        <v>3074</v>
      </c>
      <c r="B2750" s="0" t="s">
        <v>111</v>
      </c>
      <c r="C2750" s="0" t="str">
        <f aca="false">INDEX(Intent_Analysis!$B$5:$B$81,MATCH(B2750,Intent_Analysis!$A$5:$A$81,0))</f>
        <v>Transfers</v>
      </c>
      <c r="D2750" s="0" t="n">
        <f aca="false">INDEX(Intent_Analysis!$E$5:$E$81,MATCH(B2750,Intent_Analysis!$A$5:$A$81,0))</f>
        <v>2</v>
      </c>
    </row>
    <row r="2751" customFormat="false" ht="15" hidden="false" customHeight="false" outlineLevel="0" collapsed="false">
      <c r="A2751" s="0" t="s">
        <v>3075</v>
      </c>
      <c r="B2751" s="0" t="s">
        <v>111</v>
      </c>
      <c r="C2751" s="0" t="str">
        <f aca="false">INDEX(Intent_Analysis!$B$5:$B$81,MATCH(B2751,Intent_Analysis!$A$5:$A$81,0))</f>
        <v>Transfers</v>
      </c>
      <c r="D2751" s="0" t="n">
        <f aca="false">INDEX(Intent_Analysis!$E$5:$E$81,MATCH(B2751,Intent_Analysis!$A$5:$A$81,0))</f>
        <v>2</v>
      </c>
    </row>
    <row r="2752" customFormat="false" ht="15" hidden="false" customHeight="false" outlineLevel="0" collapsed="false">
      <c r="A2752" s="0" t="s">
        <v>3076</v>
      </c>
      <c r="B2752" s="0" t="s">
        <v>111</v>
      </c>
      <c r="C2752" s="0" t="str">
        <f aca="false">INDEX(Intent_Analysis!$B$5:$B$81,MATCH(B2752,Intent_Analysis!$A$5:$A$81,0))</f>
        <v>Transfers</v>
      </c>
      <c r="D2752" s="0" t="n">
        <f aca="false">INDEX(Intent_Analysis!$E$5:$E$81,MATCH(B2752,Intent_Analysis!$A$5:$A$81,0))</f>
        <v>2</v>
      </c>
    </row>
    <row r="2753" customFormat="false" ht="15" hidden="false" customHeight="false" outlineLevel="0" collapsed="false">
      <c r="A2753" s="0" t="s">
        <v>3077</v>
      </c>
      <c r="B2753" s="0" t="s">
        <v>111</v>
      </c>
      <c r="C2753" s="0" t="str">
        <f aca="false">INDEX(Intent_Analysis!$B$5:$B$81,MATCH(B2753,Intent_Analysis!$A$5:$A$81,0))</f>
        <v>Transfers</v>
      </c>
      <c r="D2753" s="0" t="n">
        <f aca="false">INDEX(Intent_Analysis!$E$5:$E$81,MATCH(B2753,Intent_Analysis!$A$5:$A$81,0))</f>
        <v>2</v>
      </c>
    </row>
    <row r="2754" customFormat="false" ht="15" hidden="false" customHeight="false" outlineLevel="0" collapsed="false">
      <c r="A2754" s="0" t="s">
        <v>3078</v>
      </c>
      <c r="B2754" s="0" t="s">
        <v>111</v>
      </c>
      <c r="C2754" s="0" t="str">
        <f aca="false">INDEX(Intent_Analysis!$B$5:$B$81,MATCH(B2754,Intent_Analysis!$A$5:$A$81,0))</f>
        <v>Transfers</v>
      </c>
      <c r="D2754" s="0" t="n">
        <f aca="false">INDEX(Intent_Analysis!$E$5:$E$81,MATCH(B2754,Intent_Analysis!$A$5:$A$81,0))</f>
        <v>2</v>
      </c>
    </row>
    <row r="2755" customFormat="false" ht="15" hidden="false" customHeight="false" outlineLevel="0" collapsed="false">
      <c r="A2755" s="0" t="s">
        <v>3079</v>
      </c>
      <c r="B2755" s="0" t="s">
        <v>111</v>
      </c>
      <c r="C2755" s="0" t="str">
        <f aca="false">INDEX(Intent_Analysis!$B$5:$B$81,MATCH(B2755,Intent_Analysis!$A$5:$A$81,0))</f>
        <v>Transfers</v>
      </c>
      <c r="D2755" s="0" t="n">
        <f aca="false">INDEX(Intent_Analysis!$E$5:$E$81,MATCH(B2755,Intent_Analysis!$A$5:$A$81,0))</f>
        <v>2</v>
      </c>
    </row>
    <row r="2756" customFormat="false" ht="15" hidden="false" customHeight="false" outlineLevel="0" collapsed="false">
      <c r="A2756" s="0" t="s">
        <v>3080</v>
      </c>
      <c r="B2756" s="0" t="s">
        <v>111</v>
      </c>
      <c r="C2756" s="0" t="str">
        <f aca="false">INDEX(Intent_Analysis!$B$5:$B$81,MATCH(B2756,Intent_Analysis!$A$5:$A$81,0))</f>
        <v>Transfers</v>
      </c>
      <c r="D2756" s="0" t="n">
        <f aca="false">INDEX(Intent_Analysis!$E$5:$E$81,MATCH(B2756,Intent_Analysis!$A$5:$A$81,0))</f>
        <v>2</v>
      </c>
    </row>
    <row r="2757" customFormat="false" ht="15" hidden="false" customHeight="false" outlineLevel="0" collapsed="false">
      <c r="A2757" s="0" t="s">
        <v>3081</v>
      </c>
      <c r="B2757" s="0" t="s">
        <v>111</v>
      </c>
      <c r="C2757" s="0" t="str">
        <f aca="false">INDEX(Intent_Analysis!$B$5:$B$81,MATCH(B2757,Intent_Analysis!$A$5:$A$81,0))</f>
        <v>Transfers</v>
      </c>
      <c r="D2757" s="0" t="n">
        <f aca="false">INDEX(Intent_Analysis!$E$5:$E$81,MATCH(B2757,Intent_Analysis!$A$5:$A$81,0))</f>
        <v>2</v>
      </c>
    </row>
    <row r="2758" customFormat="false" ht="15" hidden="false" customHeight="false" outlineLevel="0" collapsed="false">
      <c r="A2758" s="0" t="s">
        <v>3082</v>
      </c>
      <c r="B2758" s="0" t="s">
        <v>111</v>
      </c>
      <c r="C2758" s="0" t="str">
        <f aca="false">INDEX(Intent_Analysis!$B$5:$B$81,MATCH(B2758,Intent_Analysis!$A$5:$A$81,0))</f>
        <v>Transfers</v>
      </c>
      <c r="D2758" s="0" t="n">
        <f aca="false">INDEX(Intent_Analysis!$E$5:$E$81,MATCH(B2758,Intent_Analysis!$A$5:$A$81,0))</f>
        <v>2</v>
      </c>
    </row>
    <row r="2759" customFormat="false" ht="15" hidden="false" customHeight="false" outlineLevel="0" collapsed="false">
      <c r="A2759" s="0" t="s">
        <v>3083</v>
      </c>
      <c r="B2759" s="0" t="s">
        <v>111</v>
      </c>
      <c r="C2759" s="0" t="str">
        <f aca="false">INDEX(Intent_Analysis!$B$5:$B$81,MATCH(B2759,Intent_Analysis!$A$5:$A$81,0))</f>
        <v>Transfers</v>
      </c>
      <c r="D2759" s="0" t="n">
        <f aca="false">INDEX(Intent_Analysis!$E$5:$E$81,MATCH(B2759,Intent_Analysis!$A$5:$A$81,0))</f>
        <v>2</v>
      </c>
    </row>
    <row r="2760" customFormat="false" ht="15" hidden="false" customHeight="false" outlineLevel="0" collapsed="false">
      <c r="A2760" s="0" t="s">
        <v>3084</v>
      </c>
      <c r="B2760" s="0" t="s">
        <v>111</v>
      </c>
      <c r="C2760" s="0" t="str">
        <f aca="false">INDEX(Intent_Analysis!$B$5:$B$81,MATCH(B2760,Intent_Analysis!$A$5:$A$81,0))</f>
        <v>Transfers</v>
      </c>
      <c r="D2760" s="0" t="n">
        <f aca="false">INDEX(Intent_Analysis!$E$5:$E$81,MATCH(B2760,Intent_Analysis!$A$5:$A$81,0))</f>
        <v>2</v>
      </c>
    </row>
    <row r="2761" customFormat="false" ht="15" hidden="false" customHeight="false" outlineLevel="0" collapsed="false">
      <c r="A2761" s="0" t="s">
        <v>3085</v>
      </c>
      <c r="B2761" s="0" t="s">
        <v>111</v>
      </c>
      <c r="C2761" s="0" t="str">
        <f aca="false">INDEX(Intent_Analysis!$B$5:$B$81,MATCH(B2761,Intent_Analysis!$A$5:$A$81,0))</f>
        <v>Transfers</v>
      </c>
      <c r="D2761" s="0" t="n">
        <f aca="false">INDEX(Intent_Analysis!$E$5:$E$81,MATCH(B2761,Intent_Analysis!$A$5:$A$81,0))</f>
        <v>2</v>
      </c>
    </row>
    <row r="2762" customFormat="false" ht="15" hidden="false" customHeight="false" outlineLevel="0" collapsed="false">
      <c r="A2762" s="0" t="s">
        <v>3086</v>
      </c>
      <c r="B2762" s="0" t="s">
        <v>111</v>
      </c>
      <c r="C2762" s="0" t="str">
        <f aca="false">INDEX(Intent_Analysis!$B$5:$B$81,MATCH(B2762,Intent_Analysis!$A$5:$A$81,0))</f>
        <v>Transfers</v>
      </c>
      <c r="D2762" s="0" t="n">
        <f aca="false">INDEX(Intent_Analysis!$E$5:$E$81,MATCH(B2762,Intent_Analysis!$A$5:$A$81,0))</f>
        <v>2</v>
      </c>
    </row>
    <row r="2763" customFormat="false" ht="15" hidden="false" customHeight="false" outlineLevel="0" collapsed="false">
      <c r="A2763" s="0" t="s">
        <v>3087</v>
      </c>
      <c r="B2763" s="0" t="s">
        <v>111</v>
      </c>
      <c r="C2763" s="0" t="str">
        <f aca="false">INDEX(Intent_Analysis!$B$5:$B$81,MATCH(B2763,Intent_Analysis!$A$5:$A$81,0))</f>
        <v>Transfers</v>
      </c>
      <c r="D2763" s="0" t="n">
        <f aca="false">INDEX(Intent_Analysis!$E$5:$E$81,MATCH(B2763,Intent_Analysis!$A$5:$A$81,0))</f>
        <v>2</v>
      </c>
    </row>
    <row r="2764" customFormat="false" ht="15" hidden="false" customHeight="false" outlineLevel="0" collapsed="false">
      <c r="A2764" s="0" t="s">
        <v>3088</v>
      </c>
      <c r="B2764" s="0" t="s">
        <v>111</v>
      </c>
      <c r="C2764" s="0" t="str">
        <f aca="false">INDEX(Intent_Analysis!$B$5:$B$81,MATCH(B2764,Intent_Analysis!$A$5:$A$81,0))</f>
        <v>Transfers</v>
      </c>
      <c r="D2764" s="0" t="n">
        <f aca="false">INDEX(Intent_Analysis!$E$5:$E$81,MATCH(B2764,Intent_Analysis!$A$5:$A$81,0))</f>
        <v>2</v>
      </c>
    </row>
    <row r="2765" customFormat="false" ht="15" hidden="false" customHeight="false" outlineLevel="0" collapsed="false">
      <c r="A2765" s="0" t="s">
        <v>3089</v>
      </c>
      <c r="B2765" s="0" t="s">
        <v>111</v>
      </c>
      <c r="C2765" s="0" t="str">
        <f aca="false">INDEX(Intent_Analysis!$B$5:$B$81,MATCH(B2765,Intent_Analysis!$A$5:$A$81,0))</f>
        <v>Transfers</v>
      </c>
      <c r="D2765" s="0" t="n">
        <f aca="false">INDEX(Intent_Analysis!$E$5:$E$81,MATCH(B2765,Intent_Analysis!$A$5:$A$81,0))</f>
        <v>2</v>
      </c>
    </row>
    <row r="2766" customFormat="false" ht="15" hidden="false" customHeight="false" outlineLevel="0" collapsed="false">
      <c r="A2766" s="0" t="s">
        <v>3090</v>
      </c>
      <c r="B2766" s="0" t="s">
        <v>111</v>
      </c>
      <c r="C2766" s="0" t="str">
        <f aca="false">INDEX(Intent_Analysis!$B$5:$B$81,MATCH(B2766,Intent_Analysis!$A$5:$A$81,0))</f>
        <v>Transfers</v>
      </c>
      <c r="D2766" s="0" t="n">
        <f aca="false">INDEX(Intent_Analysis!$E$5:$E$81,MATCH(B2766,Intent_Analysis!$A$5:$A$81,0))</f>
        <v>2</v>
      </c>
    </row>
    <row r="2767" customFormat="false" ht="15" hidden="false" customHeight="false" outlineLevel="0" collapsed="false">
      <c r="A2767" s="0" t="s">
        <v>3091</v>
      </c>
      <c r="B2767" s="0" t="s">
        <v>111</v>
      </c>
      <c r="C2767" s="0" t="str">
        <f aca="false">INDEX(Intent_Analysis!$B$5:$B$81,MATCH(B2767,Intent_Analysis!$A$5:$A$81,0))</f>
        <v>Transfers</v>
      </c>
      <c r="D2767" s="0" t="n">
        <f aca="false">INDEX(Intent_Analysis!$E$5:$E$81,MATCH(B2767,Intent_Analysis!$A$5:$A$81,0))</f>
        <v>2</v>
      </c>
    </row>
    <row r="2768" customFormat="false" ht="15" hidden="false" customHeight="false" outlineLevel="0" collapsed="false">
      <c r="A2768" s="0" t="s">
        <v>3092</v>
      </c>
      <c r="B2768" s="0" t="s">
        <v>111</v>
      </c>
      <c r="C2768" s="0" t="str">
        <f aca="false">INDEX(Intent_Analysis!$B$5:$B$81,MATCH(B2768,Intent_Analysis!$A$5:$A$81,0))</f>
        <v>Transfers</v>
      </c>
      <c r="D2768" s="0" t="n">
        <f aca="false">INDEX(Intent_Analysis!$E$5:$E$81,MATCH(B2768,Intent_Analysis!$A$5:$A$81,0))</f>
        <v>2</v>
      </c>
    </row>
    <row r="2769" customFormat="false" ht="15" hidden="false" customHeight="false" outlineLevel="0" collapsed="false">
      <c r="A2769" s="0" t="s">
        <v>3093</v>
      </c>
      <c r="B2769" s="0" t="s">
        <v>111</v>
      </c>
      <c r="C2769" s="0" t="str">
        <f aca="false">INDEX(Intent_Analysis!$B$5:$B$81,MATCH(B2769,Intent_Analysis!$A$5:$A$81,0))</f>
        <v>Transfers</v>
      </c>
      <c r="D2769" s="0" t="n">
        <f aca="false">INDEX(Intent_Analysis!$E$5:$E$81,MATCH(B2769,Intent_Analysis!$A$5:$A$81,0))</f>
        <v>2</v>
      </c>
    </row>
    <row r="2770" customFormat="false" ht="15" hidden="false" customHeight="false" outlineLevel="0" collapsed="false">
      <c r="A2770" s="0" t="s">
        <v>3094</v>
      </c>
      <c r="B2770" s="0" t="s">
        <v>111</v>
      </c>
      <c r="C2770" s="0" t="str">
        <f aca="false">INDEX(Intent_Analysis!$B$5:$B$81,MATCH(B2770,Intent_Analysis!$A$5:$A$81,0))</f>
        <v>Transfers</v>
      </c>
      <c r="D2770" s="0" t="n">
        <f aca="false">INDEX(Intent_Analysis!$E$5:$E$81,MATCH(B2770,Intent_Analysis!$A$5:$A$81,0))</f>
        <v>2</v>
      </c>
    </row>
    <row r="2771" customFormat="false" ht="15" hidden="false" customHeight="false" outlineLevel="0" collapsed="false">
      <c r="A2771" s="0" t="s">
        <v>3095</v>
      </c>
      <c r="B2771" s="0" t="s">
        <v>111</v>
      </c>
      <c r="C2771" s="0" t="str">
        <f aca="false">INDEX(Intent_Analysis!$B$5:$B$81,MATCH(B2771,Intent_Analysis!$A$5:$A$81,0))</f>
        <v>Transfers</v>
      </c>
      <c r="D2771" s="0" t="n">
        <f aca="false">INDEX(Intent_Analysis!$E$5:$E$81,MATCH(B2771,Intent_Analysis!$A$5:$A$81,0))</f>
        <v>2</v>
      </c>
    </row>
    <row r="2772" customFormat="false" ht="15" hidden="false" customHeight="false" outlineLevel="0" collapsed="false">
      <c r="A2772" s="0" t="s">
        <v>3096</v>
      </c>
      <c r="B2772" s="0" t="s">
        <v>111</v>
      </c>
      <c r="C2772" s="0" t="str">
        <f aca="false">INDEX(Intent_Analysis!$B$5:$B$81,MATCH(B2772,Intent_Analysis!$A$5:$A$81,0))</f>
        <v>Transfers</v>
      </c>
      <c r="D2772" s="0" t="n">
        <f aca="false">INDEX(Intent_Analysis!$E$5:$E$81,MATCH(B2772,Intent_Analysis!$A$5:$A$81,0))</f>
        <v>2</v>
      </c>
    </row>
    <row r="2773" customFormat="false" ht="15" hidden="false" customHeight="false" outlineLevel="0" collapsed="false">
      <c r="A2773" s="0" t="s">
        <v>3097</v>
      </c>
      <c r="B2773" s="0" t="s">
        <v>111</v>
      </c>
      <c r="C2773" s="0" t="str">
        <f aca="false">INDEX(Intent_Analysis!$B$5:$B$81,MATCH(B2773,Intent_Analysis!$A$5:$A$81,0))</f>
        <v>Transfers</v>
      </c>
      <c r="D2773" s="0" t="n">
        <f aca="false">INDEX(Intent_Analysis!$E$5:$E$81,MATCH(B2773,Intent_Analysis!$A$5:$A$81,0))</f>
        <v>2</v>
      </c>
    </row>
    <row r="2774" customFormat="false" ht="15" hidden="false" customHeight="false" outlineLevel="0" collapsed="false">
      <c r="A2774" s="0" t="s">
        <v>3098</v>
      </c>
      <c r="B2774" s="0" t="s">
        <v>111</v>
      </c>
      <c r="C2774" s="0" t="str">
        <f aca="false">INDEX(Intent_Analysis!$B$5:$B$81,MATCH(B2774,Intent_Analysis!$A$5:$A$81,0))</f>
        <v>Transfers</v>
      </c>
      <c r="D2774" s="0" t="n">
        <f aca="false">INDEX(Intent_Analysis!$E$5:$E$81,MATCH(B2774,Intent_Analysis!$A$5:$A$81,0))</f>
        <v>2</v>
      </c>
    </row>
    <row r="2775" customFormat="false" ht="15" hidden="false" customHeight="false" outlineLevel="0" collapsed="false">
      <c r="A2775" s="0" t="s">
        <v>3099</v>
      </c>
      <c r="B2775" s="0" t="s">
        <v>111</v>
      </c>
      <c r="C2775" s="0" t="str">
        <f aca="false">INDEX(Intent_Analysis!$B$5:$B$81,MATCH(B2775,Intent_Analysis!$A$5:$A$81,0))</f>
        <v>Transfers</v>
      </c>
      <c r="D2775" s="0" t="n">
        <f aca="false">INDEX(Intent_Analysis!$E$5:$E$81,MATCH(B2775,Intent_Analysis!$A$5:$A$81,0))</f>
        <v>2</v>
      </c>
    </row>
    <row r="2776" customFormat="false" ht="15" hidden="false" customHeight="false" outlineLevel="0" collapsed="false">
      <c r="A2776" s="0" t="s">
        <v>3100</v>
      </c>
      <c r="B2776" s="0" t="s">
        <v>111</v>
      </c>
      <c r="C2776" s="0" t="str">
        <f aca="false">INDEX(Intent_Analysis!$B$5:$B$81,MATCH(B2776,Intent_Analysis!$A$5:$A$81,0))</f>
        <v>Transfers</v>
      </c>
      <c r="D2776" s="0" t="n">
        <f aca="false">INDEX(Intent_Analysis!$E$5:$E$81,MATCH(B2776,Intent_Analysis!$A$5:$A$81,0))</f>
        <v>2</v>
      </c>
    </row>
    <row r="2777" customFormat="false" ht="15" hidden="false" customHeight="false" outlineLevel="0" collapsed="false">
      <c r="A2777" s="0" t="s">
        <v>3101</v>
      </c>
      <c r="B2777" s="0" t="s">
        <v>111</v>
      </c>
      <c r="C2777" s="0" t="str">
        <f aca="false">INDEX(Intent_Analysis!$B$5:$B$81,MATCH(B2777,Intent_Analysis!$A$5:$A$81,0))</f>
        <v>Transfers</v>
      </c>
      <c r="D2777" s="0" t="n">
        <f aca="false">INDEX(Intent_Analysis!$E$5:$E$81,MATCH(B2777,Intent_Analysis!$A$5:$A$81,0))</f>
        <v>2</v>
      </c>
    </row>
    <row r="2778" customFormat="false" ht="15" hidden="false" customHeight="false" outlineLevel="0" collapsed="false">
      <c r="A2778" s="0" t="s">
        <v>3102</v>
      </c>
      <c r="B2778" s="0" t="s">
        <v>111</v>
      </c>
      <c r="C2778" s="0" t="str">
        <f aca="false">INDEX(Intent_Analysis!$B$5:$B$81,MATCH(B2778,Intent_Analysis!$A$5:$A$81,0))</f>
        <v>Transfers</v>
      </c>
      <c r="D2778" s="0" t="n">
        <f aca="false">INDEX(Intent_Analysis!$E$5:$E$81,MATCH(B2778,Intent_Analysis!$A$5:$A$81,0))</f>
        <v>2</v>
      </c>
    </row>
    <row r="2779" customFormat="false" ht="15" hidden="false" customHeight="false" outlineLevel="0" collapsed="false">
      <c r="A2779" s="0" t="s">
        <v>3103</v>
      </c>
      <c r="B2779" s="0" t="s">
        <v>111</v>
      </c>
      <c r="C2779" s="0" t="str">
        <f aca="false">INDEX(Intent_Analysis!$B$5:$B$81,MATCH(B2779,Intent_Analysis!$A$5:$A$81,0))</f>
        <v>Transfers</v>
      </c>
      <c r="D2779" s="0" t="n">
        <f aca="false">INDEX(Intent_Analysis!$E$5:$E$81,MATCH(B2779,Intent_Analysis!$A$5:$A$81,0))</f>
        <v>2</v>
      </c>
    </row>
    <row r="2780" customFormat="false" ht="15" hidden="false" customHeight="false" outlineLevel="0" collapsed="false">
      <c r="A2780" s="0" t="s">
        <v>3104</v>
      </c>
      <c r="B2780" s="0" t="s">
        <v>111</v>
      </c>
      <c r="C2780" s="0" t="str">
        <f aca="false">INDEX(Intent_Analysis!$B$5:$B$81,MATCH(B2780,Intent_Analysis!$A$5:$A$81,0))</f>
        <v>Transfers</v>
      </c>
      <c r="D2780" s="0" t="n">
        <f aca="false">INDEX(Intent_Analysis!$E$5:$E$81,MATCH(B2780,Intent_Analysis!$A$5:$A$81,0))</f>
        <v>2</v>
      </c>
    </row>
    <row r="2781" customFormat="false" ht="15" hidden="false" customHeight="false" outlineLevel="0" collapsed="false">
      <c r="A2781" s="0" t="s">
        <v>3105</v>
      </c>
      <c r="B2781" s="0" t="s">
        <v>111</v>
      </c>
      <c r="C2781" s="0" t="str">
        <f aca="false">INDEX(Intent_Analysis!$B$5:$B$81,MATCH(B2781,Intent_Analysis!$A$5:$A$81,0))</f>
        <v>Transfers</v>
      </c>
      <c r="D2781" s="0" t="n">
        <f aca="false">INDEX(Intent_Analysis!$E$5:$E$81,MATCH(B2781,Intent_Analysis!$A$5:$A$81,0))</f>
        <v>2</v>
      </c>
    </row>
    <row r="2782" customFormat="false" ht="15" hidden="false" customHeight="false" outlineLevel="0" collapsed="false">
      <c r="A2782" s="0" t="s">
        <v>3106</v>
      </c>
      <c r="B2782" s="0" t="s">
        <v>111</v>
      </c>
      <c r="C2782" s="0" t="str">
        <f aca="false">INDEX(Intent_Analysis!$B$5:$B$81,MATCH(B2782,Intent_Analysis!$A$5:$A$81,0))</f>
        <v>Transfers</v>
      </c>
      <c r="D2782" s="0" t="n">
        <f aca="false">INDEX(Intent_Analysis!$E$5:$E$81,MATCH(B2782,Intent_Analysis!$A$5:$A$81,0))</f>
        <v>2</v>
      </c>
    </row>
    <row r="2783" customFormat="false" ht="15" hidden="false" customHeight="false" outlineLevel="0" collapsed="false">
      <c r="A2783" s="0" t="s">
        <v>3107</v>
      </c>
      <c r="B2783" s="0" t="s">
        <v>111</v>
      </c>
      <c r="C2783" s="0" t="str">
        <f aca="false">INDEX(Intent_Analysis!$B$5:$B$81,MATCH(B2783,Intent_Analysis!$A$5:$A$81,0))</f>
        <v>Transfers</v>
      </c>
      <c r="D2783" s="0" t="n">
        <f aca="false">INDEX(Intent_Analysis!$E$5:$E$81,MATCH(B2783,Intent_Analysis!$A$5:$A$81,0))</f>
        <v>2</v>
      </c>
    </row>
    <row r="2784" customFormat="false" ht="15" hidden="false" customHeight="false" outlineLevel="0" collapsed="false">
      <c r="A2784" s="0" t="s">
        <v>3108</v>
      </c>
      <c r="B2784" s="0" t="s">
        <v>111</v>
      </c>
      <c r="C2784" s="0" t="str">
        <f aca="false">INDEX(Intent_Analysis!$B$5:$B$81,MATCH(B2784,Intent_Analysis!$A$5:$A$81,0))</f>
        <v>Transfers</v>
      </c>
      <c r="D2784" s="0" t="n">
        <f aca="false">INDEX(Intent_Analysis!$E$5:$E$81,MATCH(B2784,Intent_Analysis!$A$5:$A$81,0))</f>
        <v>2</v>
      </c>
    </row>
    <row r="2785" customFormat="false" ht="15" hidden="false" customHeight="false" outlineLevel="0" collapsed="false">
      <c r="A2785" s="0" t="s">
        <v>3109</v>
      </c>
      <c r="B2785" s="0" t="s">
        <v>111</v>
      </c>
      <c r="C2785" s="0" t="str">
        <f aca="false">INDEX(Intent_Analysis!$B$5:$B$81,MATCH(B2785,Intent_Analysis!$A$5:$A$81,0))</f>
        <v>Transfers</v>
      </c>
      <c r="D2785" s="0" t="n">
        <f aca="false">INDEX(Intent_Analysis!$E$5:$E$81,MATCH(B2785,Intent_Analysis!$A$5:$A$81,0))</f>
        <v>2</v>
      </c>
    </row>
    <row r="2786" customFormat="false" ht="15" hidden="false" customHeight="false" outlineLevel="0" collapsed="false">
      <c r="A2786" s="0" t="s">
        <v>3110</v>
      </c>
      <c r="B2786" s="0" t="s">
        <v>111</v>
      </c>
      <c r="C2786" s="0" t="str">
        <f aca="false">INDEX(Intent_Analysis!$B$5:$B$81,MATCH(B2786,Intent_Analysis!$A$5:$A$81,0))</f>
        <v>Transfers</v>
      </c>
      <c r="D2786" s="0" t="n">
        <f aca="false">INDEX(Intent_Analysis!$E$5:$E$81,MATCH(B2786,Intent_Analysis!$A$5:$A$81,0))</f>
        <v>2</v>
      </c>
    </row>
    <row r="2787" customFormat="false" ht="15" hidden="false" customHeight="false" outlineLevel="0" collapsed="false">
      <c r="A2787" s="0" t="s">
        <v>3111</v>
      </c>
      <c r="B2787" s="0" t="s">
        <v>111</v>
      </c>
      <c r="C2787" s="0" t="str">
        <f aca="false">INDEX(Intent_Analysis!$B$5:$B$81,MATCH(B2787,Intent_Analysis!$A$5:$A$81,0))</f>
        <v>Transfers</v>
      </c>
      <c r="D2787" s="0" t="n">
        <f aca="false">INDEX(Intent_Analysis!$E$5:$E$81,MATCH(B2787,Intent_Analysis!$A$5:$A$81,0))</f>
        <v>2</v>
      </c>
    </row>
    <row r="2788" customFormat="false" ht="15" hidden="false" customHeight="false" outlineLevel="0" collapsed="false">
      <c r="A2788" s="0" t="s">
        <v>3112</v>
      </c>
      <c r="B2788" s="0" t="s">
        <v>111</v>
      </c>
      <c r="C2788" s="0" t="str">
        <f aca="false">INDEX(Intent_Analysis!$B$5:$B$81,MATCH(B2788,Intent_Analysis!$A$5:$A$81,0))</f>
        <v>Transfers</v>
      </c>
      <c r="D2788" s="0" t="n">
        <f aca="false">INDEX(Intent_Analysis!$E$5:$E$81,MATCH(B2788,Intent_Analysis!$A$5:$A$81,0))</f>
        <v>2</v>
      </c>
    </row>
    <row r="2789" customFormat="false" ht="15" hidden="false" customHeight="false" outlineLevel="0" collapsed="false">
      <c r="A2789" s="0" t="s">
        <v>3113</v>
      </c>
      <c r="B2789" s="0" t="s">
        <v>111</v>
      </c>
      <c r="C2789" s="0" t="str">
        <f aca="false">INDEX(Intent_Analysis!$B$5:$B$81,MATCH(B2789,Intent_Analysis!$A$5:$A$81,0))</f>
        <v>Transfers</v>
      </c>
      <c r="D2789" s="0" t="n">
        <f aca="false">INDEX(Intent_Analysis!$E$5:$E$81,MATCH(B2789,Intent_Analysis!$A$5:$A$81,0))</f>
        <v>2</v>
      </c>
    </row>
    <row r="2790" customFormat="false" ht="15" hidden="false" customHeight="false" outlineLevel="0" collapsed="false">
      <c r="A2790" s="0" t="s">
        <v>3114</v>
      </c>
      <c r="B2790" s="0" t="s">
        <v>111</v>
      </c>
      <c r="C2790" s="0" t="str">
        <f aca="false">INDEX(Intent_Analysis!$B$5:$B$81,MATCH(B2790,Intent_Analysis!$A$5:$A$81,0))</f>
        <v>Transfers</v>
      </c>
      <c r="D2790" s="0" t="n">
        <f aca="false">INDEX(Intent_Analysis!$E$5:$E$81,MATCH(B2790,Intent_Analysis!$A$5:$A$81,0))</f>
        <v>2</v>
      </c>
    </row>
    <row r="2791" customFormat="false" ht="15" hidden="false" customHeight="false" outlineLevel="0" collapsed="false">
      <c r="A2791" s="0" t="s">
        <v>3115</v>
      </c>
      <c r="B2791" s="0" t="s">
        <v>111</v>
      </c>
      <c r="C2791" s="0" t="str">
        <f aca="false">INDEX(Intent_Analysis!$B$5:$B$81,MATCH(B2791,Intent_Analysis!$A$5:$A$81,0))</f>
        <v>Transfers</v>
      </c>
      <c r="D2791" s="0" t="n">
        <f aca="false">INDEX(Intent_Analysis!$E$5:$E$81,MATCH(B2791,Intent_Analysis!$A$5:$A$81,0))</f>
        <v>2</v>
      </c>
    </row>
    <row r="2792" customFormat="false" ht="15" hidden="false" customHeight="false" outlineLevel="0" collapsed="false">
      <c r="A2792" s="0" t="s">
        <v>3116</v>
      </c>
      <c r="B2792" s="0" t="s">
        <v>111</v>
      </c>
      <c r="C2792" s="0" t="str">
        <f aca="false">INDEX(Intent_Analysis!$B$5:$B$81,MATCH(B2792,Intent_Analysis!$A$5:$A$81,0))</f>
        <v>Transfers</v>
      </c>
      <c r="D2792" s="0" t="n">
        <f aca="false">INDEX(Intent_Analysis!$E$5:$E$81,MATCH(B2792,Intent_Analysis!$A$5:$A$81,0))</f>
        <v>2</v>
      </c>
    </row>
    <row r="2793" customFormat="false" ht="15" hidden="false" customHeight="false" outlineLevel="0" collapsed="false">
      <c r="A2793" s="0" t="s">
        <v>3117</v>
      </c>
      <c r="B2793" s="0" t="s">
        <v>111</v>
      </c>
      <c r="C2793" s="0" t="str">
        <f aca="false">INDEX(Intent_Analysis!$B$5:$B$81,MATCH(B2793,Intent_Analysis!$A$5:$A$81,0))</f>
        <v>Transfers</v>
      </c>
      <c r="D2793" s="0" t="n">
        <f aca="false">INDEX(Intent_Analysis!$E$5:$E$81,MATCH(B2793,Intent_Analysis!$A$5:$A$81,0))</f>
        <v>2</v>
      </c>
    </row>
    <row r="2794" customFormat="false" ht="15" hidden="false" customHeight="false" outlineLevel="0" collapsed="false">
      <c r="A2794" s="0" t="s">
        <v>3118</v>
      </c>
      <c r="B2794" s="0" t="s">
        <v>111</v>
      </c>
      <c r="C2794" s="0" t="str">
        <f aca="false">INDEX(Intent_Analysis!$B$5:$B$81,MATCH(B2794,Intent_Analysis!$A$5:$A$81,0))</f>
        <v>Transfers</v>
      </c>
      <c r="D2794" s="0" t="n">
        <f aca="false">INDEX(Intent_Analysis!$E$5:$E$81,MATCH(B2794,Intent_Analysis!$A$5:$A$81,0))</f>
        <v>2</v>
      </c>
    </row>
    <row r="2795" customFormat="false" ht="15" hidden="false" customHeight="false" outlineLevel="0" collapsed="false">
      <c r="A2795" s="0" t="s">
        <v>3119</v>
      </c>
      <c r="B2795" s="0" t="s">
        <v>111</v>
      </c>
      <c r="C2795" s="0" t="str">
        <f aca="false">INDEX(Intent_Analysis!$B$5:$B$81,MATCH(B2795,Intent_Analysis!$A$5:$A$81,0))</f>
        <v>Transfers</v>
      </c>
      <c r="D2795" s="0" t="n">
        <f aca="false">INDEX(Intent_Analysis!$E$5:$E$81,MATCH(B2795,Intent_Analysis!$A$5:$A$81,0))</f>
        <v>2</v>
      </c>
    </row>
    <row r="2796" customFormat="false" ht="15" hidden="false" customHeight="false" outlineLevel="0" collapsed="false">
      <c r="A2796" s="0" t="s">
        <v>3120</v>
      </c>
      <c r="B2796" s="0" t="s">
        <v>111</v>
      </c>
      <c r="C2796" s="0" t="str">
        <f aca="false">INDEX(Intent_Analysis!$B$5:$B$81,MATCH(B2796,Intent_Analysis!$A$5:$A$81,0))</f>
        <v>Transfers</v>
      </c>
      <c r="D2796" s="0" t="n">
        <f aca="false">INDEX(Intent_Analysis!$E$5:$E$81,MATCH(B2796,Intent_Analysis!$A$5:$A$81,0))</f>
        <v>2</v>
      </c>
    </row>
    <row r="2797" customFormat="false" ht="15" hidden="false" customHeight="false" outlineLevel="0" collapsed="false">
      <c r="A2797" s="0" t="s">
        <v>3121</v>
      </c>
      <c r="B2797" s="0" t="s">
        <v>111</v>
      </c>
      <c r="C2797" s="0" t="str">
        <f aca="false">INDEX(Intent_Analysis!$B$5:$B$81,MATCH(B2797,Intent_Analysis!$A$5:$A$81,0))</f>
        <v>Transfers</v>
      </c>
      <c r="D2797" s="0" t="n">
        <f aca="false">INDEX(Intent_Analysis!$E$5:$E$81,MATCH(B2797,Intent_Analysis!$A$5:$A$81,0))</f>
        <v>2</v>
      </c>
    </row>
    <row r="2798" customFormat="false" ht="15" hidden="false" customHeight="false" outlineLevel="0" collapsed="false">
      <c r="A2798" s="0" t="s">
        <v>3122</v>
      </c>
      <c r="B2798" s="0" t="s">
        <v>111</v>
      </c>
      <c r="C2798" s="0" t="str">
        <f aca="false">INDEX(Intent_Analysis!$B$5:$B$81,MATCH(B2798,Intent_Analysis!$A$5:$A$81,0))</f>
        <v>Transfers</v>
      </c>
      <c r="D2798" s="0" t="n">
        <f aca="false">INDEX(Intent_Analysis!$E$5:$E$81,MATCH(B2798,Intent_Analysis!$A$5:$A$81,0))</f>
        <v>2</v>
      </c>
    </row>
    <row r="2799" customFormat="false" ht="15" hidden="false" customHeight="false" outlineLevel="0" collapsed="false">
      <c r="A2799" s="0" t="s">
        <v>3123</v>
      </c>
      <c r="B2799" s="0" t="s">
        <v>111</v>
      </c>
      <c r="C2799" s="0" t="str">
        <f aca="false">INDEX(Intent_Analysis!$B$5:$B$81,MATCH(B2799,Intent_Analysis!$A$5:$A$81,0))</f>
        <v>Transfers</v>
      </c>
      <c r="D2799" s="0" t="n">
        <f aca="false">INDEX(Intent_Analysis!$E$5:$E$81,MATCH(B2799,Intent_Analysis!$A$5:$A$81,0))</f>
        <v>2</v>
      </c>
    </row>
    <row r="2800" customFormat="false" ht="15" hidden="false" customHeight="false" outlineLevel="0" collapsed="false">
      <c r="A2800" s="0" t="s">
        <v>3124</v>
      </c>
      <c r="B2800" s="0" t="s">
        <v>111</v>
      </c>
      <c r="C2800" s="0" t="str">
        <f aca="false">INDEX(Intent_Analysis!$B$5:$B$81,MATCH(B2800,Intent_Analysis!$A$5:$A$81,0))</f>
        <v>Transfers</v>
      </c>
      <c r="D2800" s="0" t="n">
        <f aca="false">INDEX(Intent_Analysis!$E$5:$E$81,MATCH(B2800,Intent_Analysis!$A$5:$A$81,0))</f>
        <v>2</v>
      </c>
    </row>
    <row r="2801" customFormat="false" ht="15" hidden="false" customHeight="false" outlineLevel="0" collapsed="false">
      <c r="A2801" s="0" t="s">
        <v>3125</v>
      </c>
      <c r="B2801" s="0" t="s">
        <v>111</v>
      </c>
      <c r="C2801" s="0" t="str">
        <f aca="false">INDEX(Intent_Analysis!$B$5:$B$81,MATCH(B2801,Intent_Analysis!$A$5:$A$81,0))</f>
        <v>Transfers</v>
      </c>
      <c r="D2801" s="0" t="n">
        <f aca="false">INDEX(Intent_Analysis!$E$5:$E$81,MATCH(B2801,Intent_Analysis!$A$5:$A$81,0))</f>
        <v>2</v>
      </c>
    </row>
    <row r="2802" customFormat="false" ht="15" hidden="false" customHeight="false" outlineLevel="0" collapsed="false">
      <c r="A2802" s="0" t="s">
        <v>3126</v>
      </c>
      <c r="B2802" s="0" t="s">
        <v>111</v>
      </c>
      <c r="C2802" s="0" t="str">
        <f aca="false">INDEX(Intent_Analysis!$B$5:$B$81,MATCH(B2802,Intent_Analysis!$A$5:$A$81,0))</f>
        <v>Transfers</v>
      </c>
      <c r="D2802" s="0" t="n">
        <f aca="false">INDEX(Intent_Analysis!$E$5:$E$81,MATCH(B2802,Intent_Analysis!$A$5:$A$81,0))</f>
        <v>2</v>
      </c>
    </row>
    <row r="2803" customFormat="false" ht="15" hidden="false" customHeight="false" outlineLevel="0" collapsed="false">
      <c r="A2803" s="0" t="s">
        <v>3127</v>
      </c>
      <c r="B2803" s="0" t="s">
        <v>111</v>
      </c>
      <c r="C2803" s="0" t="str">
        <f aca="false">INDEX(Intent_Analysis!$B$5:$B$81,MATCH(B2803,Intent_Analysis!$A$5:$A$81,0))</f>
        <v>Transfers</v>
      </c>
      <c r="D2803" s="0" t="n">
        <f aca="false">INDEX(Intent_Analysis!$E$5:$E$81,MATCH(B2803,Intent_Analysis!$A$5:$A$81,0))</f>
        <v>2</v>
      </c>
    </row>
    <row r="2804" customFormat="false" ht="15" hidden="false" customHeight="false" outlineLevel="0" collapsed="false">
      <c r="A2804" s="0" t="s">
        <v>3128</v>
      </c>
      <c r="B2804" s="0" t="s">
        <v>111</v>
      </c>
      <c r="C2804" s="0" t="str">
        <f aca="false">INDEX(Intent_Analysis!$B$5:$B$81,MATCH(B2804,Intent_Analysis!$A$5:$A$81,0))</f>
        <v>Transfers</v>
      </c>
      <c r="D2804" s="0" t="n">
        <f aca="false">INDEX(Intent_Analysis!$E$5:$E$81,MATCH(B2804,Intent_Analysis!$A$5:$A$81,0))</f>
        <v>2</v>
      </c>
    </row>
    <row r="2805" customFormat="false" ht="15" hidden="false" customHeight="false" outlineLevel="0" collapsed="false">
      <c r="A2805" s="0" t="s">
        <v>3129</v>
      </c>
      <c r="B2805" s="0" t="s">
        <v>111</v>
      </c>
      <c r="C2805" s="0" t="str">
        <f aca="false">INDEX(Intent_Analysis!$B$5:$B$81,MATCH(B2805,Intent_Analysis!$A$5:$A$81,0))</f>
        <v>Transfers</v>
      </c>
      <c r="D2805" s="0" t="n">
        <f aca="false">INDEX(Intent_Analysis!$E$5:$E$81,MATCH(B2805,Intent_Analysis!$A$5:$A$81,0))</f>
        <v>2</v>
      </c>
    </row>
    <row r="2806" customFormat="false" ht="15" hidden="false" customHeight="false" outlineLevel="0" collapsed="false">
      <c r="A2806" s="0" t="s">
        <v>3130</v>
      </c>
      <c r="B2806" s="0" t="s">
        <v>111</v>
      </c>
      <c r="C2806" s="0" t="str">
        <f aca="false">INDEX(Intent_Analysis!$B$5:$B$81,MATCH(B2806,Intent_Analysis!$A$5:$A$81,0))</f>
        <v>Transfers</v>
      </c>
      <c r="D2806" s="0" t="n">
        <f aca="false">INDEX(Intent_Analysis!$E$5:$E$81,MATCH(B2806,Intent_Analysis!$A$5:$A$81,0))</f>
        <v>2</v>
      </c>
    </row>
    <row r="2807" customFormat="false" ht="15" hidden="false" customHeight="false" outlineLevel="0" collapsed="false">
      <c r="A2807" s="0" t="s">
        <v>3131</v>
      </c>
      <c r="B2807" s="0" t="s">
        <v>111</v>
      </c>
      <c r="C2807" s="0" t="str">
        <f aca="false">INDEX(Intent_Analysis!$B$5:$B$81,MATCH(B2807,Intent_Analysis!$A$5:$A$81,0))</f>
        <v>Transfers</v>
      </c>
      <c r="D2807" s="0" t="n">
        <f aca="false">INDEX(Intent_Analysis!$E$5:$E$81,MATCH(B2807,Intent_Analysis!$A$5:$A$81,0))</f>
        <v>2</v>
      </c>
    </row>
    <row r="2808" customFormat="false" ht="15" hidden="false" customHeight="false" outlineLevel="0" collapsed="false">
      <c r="A2808" s="0" t="s">
        <v>3132</v>
      </c>
      <c r="B2808" s="0" t="s">
        <v>111</v>
      </c>
      <c r="C2808" s="0" t="str">
        <f aca="false">INDEX(Intent_Analysis!$B$5:$B$81,MATCH(B2808,Intent_Analysis!$A$5:$A$81,0))</f>
        <v>Transfers</v>
      </c>
      <c r="D2808" s="0" t="n">
        <f aca="false">INDEX(Intent_Analysis!$E$5:$E$81,MATCH(B2808,Intent_Analysis!$A$5:$A$81,0))</f>
        <v>2</v>
      </c>
    </row>
    <row r="2809" customFormat="false" ht="15" hidden="false" customHeight="false" outlineLevel="0" collapsed="false">
      <c r="A2809" s="0" t="s">
        <v>3133</v>
      </c>
      <c r="B2809" s="0" t="s">
        <v>111</v>
      </c>
      <c r="C2809" s="0" t="str">
        <f aca="false">INDEX(Intent_Analysis!$B$5:$B$81,MATCH(B2809,Intent_Analysis!$A$5:$A$81,0))</f>
        <v>Transfers</v>
      </c>
      <c r="D2809" s="0" t="n">
        <f aca="false">INDEX(Intent_Analysis!$E$5:$E$81,MATCH(B2809,Intent_Analysis!$A$5:$A$81,0))</f>
        <v>2</v>
      </c>
    </row>
    <row r="2810" customFormat="false" ht="15" hidden="false" customHeight="false" outlineLevel="0" collapsed="false">
      <c r="A2810" s="0" t="s">
        <v>3134</v>
      </c>
      <c r="B2810" s="0" t="s">
        <v>111</v>
      </c>
      <c r="C2810" s="0" t="str">
        <f aca="false">INDEX(Intent_Analysis!$B$5:$B$81,MATCH(B2810,Intent_Analysis!$A$5:$A$81,0))</f>
        <v>Transfers</v>
      </c>
      <c r="D2810" s="0" t="n">
        <f aca="false">INDEX(Intent_Analysis!$E$5:$E$81,MATCH(B2810,Intent_Analysis!$A$5:$A$81,0))</f>
        <v>2</v>
      </c>
    </row>
    <row r="2811" customFormat="false" ht="15" hidden="false" customHeight="false" outlineLevel="0" collapsed="false">
      <c r="A2811" s="0" t="s">
        <v>3135</v>
      </c>
      <c r="B2811" s="0" t="s">
        <v>111</v>
      </c>
      <c r="C2811" s="0" t="str">
        <f aca="false">INDEX(Intent_Analysis!$B$5:$B$81,MATCH(B2811,Intent_Analysis!$A$5:$A$81,0))</f>
        <v>Transfers</v>
      </c>
      <c r="D2811" s="0" t="n">
        <f aca="false">INDEX(Intent_Analysis!$E$5:$E$81,MATCH(B2811,Intent_Analysis!$A$5:$A$81,0))</f>
        <v>2</v>
      </c>
    </row>
    <row r="2812" customFormat="false" ht="15" hidden="false" customHeight="false" outlineLevel="0" collapsed="false">
      <c r="A2812" s="0" t="s">
        <v>3136</v>
      </c>
      <c r="B2812" s="0" t="s">
        <v>111</v>
      </c>
      <c r="C2812" s="0" t="str">
        <f aca="false">INDEX(Intent_Analysis!$B$5:$B$81,MATCH(B2812,Intent_Analysis!$A$5:$A$81,0))</f>
        <v>Transfers</v>
      </c>
      <c r="D2812" s="0" t="n">
        <f aca="false">INDEX(Intent_Analysis!$E$5:$E$81,MATCH(B2812,Intent_Analysis!$A$5:$A$81,0))</f>
        <v>2</v>
      </c>
    </row>
    <row r="2813" customFormat="false" ht="15" hidden="false" customHeight="false" outlineLevel="0" collapsed="false">
      <c r="A2813" s="0" t="s">
        <v>3137</v>
      </c>
      <c r="B2813" s="0" t="s">
        <v>111</v>
      </c>
      <c r="C2813" s="0" t="str">
        <f aca="false">INDEX(Intent_Analysis!$B$5:$B$81,MATCH(B2813,Intent_Analysis!$A$5:$A$81,0))</f>
        <v>Transfers</v>
      </c>
      <c r="D2813" s="0" t="n">
        <f aca="false">INDEX(Intent_Analysis!$E$5:$E$81,MATCH(B2813,Intent_Analysis!$A$5:$A$81,0))</f>
        <v>2</v>
      </c>
    </row>
    <row r="2814" customFormat="false" ht="15" hidden="false" customHeight="false" outlineLevel="0" collapsed="false">
      <c r="A2814" s="0" t="s">
        <v>3138</v>
      </c>
      <c r="B2814" s="0" t="s">
        <v>111</v>
      </c>
      <c r="C2814" s="0" t="str">
        <f aca="false">INDEX(Intent_Analysis!$B$5:$B$81,MATCH(B2814,Intent_Analysis!$A$5:$A$81,0))</f>
        <v>Transfers</v>
      </c>
      <c r="D2814" s="0" t="n">
        <f aca="false">INDEX(Intent_Analysis!$E$5:$E$81,MATCH(B2814,Intent_Analysis!$A$5:$A$81,0))</f>
        <v>2</v>
      </c>
    </row>
    <row r="2815" customFormat="false" ht="15" hidden="false" customHeight="false" outlineLevel="0" collapsed="false">
      <c r="A2815" s="0" t="s">
        <v>3139</v>
      </c>
      <c r="B2815" s="0" t="s">
        <v>111</v>
      </c>
      <c r="C2815" s="0" t="str">
        <f aca="false">INDEX(Intent_Analysis!$B$5:$B$81,MATCH(B2815,Intent_Analysis!$A$5:$A$81,0))</f>
        <v>Transfers</v>
      </c>
      <c r="D2815" s="0" t="n">
        <f aca="false">INDEX(Intent_Analysis!$E$5:$E$81,MATCH(B2815,Intent_Analysis!$A$5:$A$81,0))</f>
        <v>2</v>
      </c>
    </row>
    <row r="2816" customFormat="false" ht="15" hidden="false" customHeight="false" outlineLevel="0" collapsed="false">
      <c r="A2816" s="0" t="s">
        <v>3140</v>
      </c>
      <c r="B2816" s="0" t="s">
        <v>111</v>
      </c>
      <c r="C2816" s="0" t="str">
        <f aca="false">INDEX(Intent_Analysis!$B$5:$B$81,MATCH(B2816,Intent_Analysis!$A$5:$A$81,0))</f>
        <v>Transfers</v>
      </c>
      <c r="D2816" s="0" t="n">
        <f aca="false">INDEX(Intent_Analysis!$E$5:$E$81,MATCH(B2816,Intent_Analysis!$A$5:$A$81,0))</f>
        <v>2</v>
      </c>
    </row>
    <row r="2817" customFormat="false" ht="15" hidden="false" customHeight="false" outlineLevel="0" collapsed="false">
      <c r="A2817" s="0" t="s">
        <v>3141</v>
      </c>
      <c r="B2817" s="0" t="s">
        <v>111</v>
      </c>
      <c r="C2817" s="0" t="str">
        <f aca="false">INDEX(Intent_Analysis!$B$5:$B$81,MATCH(B2817,Intent_Analysis!$A$5:$A$81,0))</f>
        <v>Transfers</v>
      </c>
      <c r="D2817" s="0" t="n">
        <f aca="false">INDEX(Intent_Analysis!$E$5:$E$81,MATCH(B2817,Intent_Analysis!$A$5:$A$81,0))</f>
        <v>2</v>
      </c>
    </row>
    <row r="2818" customFormat="false" ht="15" hidden="false" customHeight="false" outlineLevel="0" collapsed="false">
      <c r="A2818" s="0" t="s">
        <v>3142</v>
      </c>
      <c r="B2818" s="0" t="s">
        <v>111</v>
      </c>
      <c r="C2818" s="0" t="str">
        <f aca="false">INDEX(Intent_Analysis!$B$5:$B$81,MATCH(B2818,Intent_Analysis!$A$5:$A$81,0))</f>
        <v>Transfers</v>
      </c>
      <c r="D2818" s="0" t="n">
        <f aca="false">INDEX(Intent_Analysis!$E$5:$E$81,MATCH(B2818,Intent_Analysis!$A$5:$A$81,0))</f>
        <v>2</v>
      </c>
    </row>
    <row r="2819" customFormat="false" ht="15" hidden="false" customHeight="false" outlineLevel="0" collapsed="false">
      <c r="A2819" s="0" t="s">
        <v>3143</v>
      </c>
      <c r="B2819" s="0" t="s">
        <v>111</v>
      </c>
      <c r="C2819" s="0" t="str">
        <f aca="false">INDEX(Intent_Analysis!$B$5:$B$81,MATCH(B2819,Intent_Analysis!$A$5:$A$81,0))</f>
        <v>Transfers</v>
      </c>
      <c r="D2819" s="0" t="n">
        <f aca="false">INDEX(Intent_Analysis!$E$5:$E$81,MATCH(B2819,Intent_Analysis!$A$5:$A$81,0))</f>
        <v>2</v>
      </c>
    </row>
    <row r="2820" customFormat="false" ht="15" hidden="false" customHeight="false" outlineLevel="0" collapsed="false">
      <c r="A2820" s="0" t="s">
        <v>3144</v>
      </c>
      <c r="B2820" s="0" t="s">
        <v>111</v>
      </c>
      <c r="C2820" s="0" t="str">
        <f aca="false">INDEX(Intent_Analysis!$B$5:$B$81,MATCH(B2820,Intent_Analysis!$A$5:$A$81,0))</f>
        <v>Transfers</v>
      </c>
      <c r="D2820" s="0" t="n">
        <f aca="false">INDEX(Intent_Analysis!$E$5:$E$81,MATCH(B2820,Intent_Analysis!$A$5:$A$81,0))</f>
        <v>2</v>
      </c>
    </row>
    <row r="2821" customFormat="false" ht="15" hidden="false" customHeight="false" outlineLevel="0" collapsed="false">
      <c r="A2821" s="0" t="s">
        <v>3145</v>
      </c>
      <c r="B2821" s="0" t="s">
        <v>111</v>
      </c>
      <c r="C2821" s="0" t="str">
        <f aca="false">INDEX(Intent_Analysis!$B$5:$B$81,MATCH(B2821,Intent_Analysis!$A$5:$A$81,0))</f>
        <v>Transfers</v>
      </c>
      <c r="D2821" s="0" t="n">
        <f aca="false">INDEX(Intent_Analysis!$E$5:$E$81,MATCH(B2821,Intent_Analysis!$A$5:$A$81,0))</f>
        <v>2</v>
      </c>
    </row>
    <row r="2822" customFormat="false" ht="15" hidden="false" customHeight="false" outlineLevel="0" collapsed="false">
      <c r="A2822" s="0" t="s">
        <v>3146</v>
      </c>
      <c r="B2822" s="0" t="s">
        <v>111</v>
      </c>
      <c r="C2822" s="0" t="str">
        <f aca="false">INDEX(Intent_Analysis!$B$5:$B$81,MATCH(B2822,Intent_Analysis!$A$5:$A$81,0))</f>
        <v>Transfers</v>
      </c>
      <c r="D2822" s="0" t="n">
        <f aca="false">INDEX(Intent_Analysis!$E$5:$E$81,MATCH(B2822,Intent_Analysis!$A$5:$A$81,0))</f>
        <v>2</v>
      </c>
    </row>
    <row r="2823" customFormat="false" ht="15" hidden="false" customHeight="false" outlineLevel="0" collapsed="false">
      <c r="A2823" s="0" t="s">
        <v>3147</v>
      </c>
      <c r="B2823" s="0" t="s">
        <v>111</v>
      </c>
      <c r="C2823" s="0" t="str">
        <f aca="false">INDEX(Intent_Analysis!$B$5:$B$81,MATCH(B2823,Intent_Analysis!$A$5:$A$81,0))</f>
        <v>Transfers</v>
      </c>
      <c r="D2823" s="0" t="n">
        <f aca="false">INDEX(Intent_Analysis!$E$5:$E$81,MATCH(B2823,Intent_Analysis!$A$5:$A$81,0))</f>
        <v>2</v>
      </c>
    </row>
    <row r="2824" customFormat="false" ht="15" hidden="false" customHeight="false" outlineLevel="0" collapsed="false">
      <c r="A2824" s="0" t="s">
        <v>3148</v>
      </c>
      <c r="B2824" s="0" t="s">
        <v>111</v>
      </c>
      <c r="C2824" s="0" t="str">
        <f aca="false">INDEX(Intent_Analysis!$B$5:$B$81,MATCH(B2824,Intent_Analysis!$A$5:$A$81,0))</f>
        <v>Transfers</v>
      </c>
      <c r="D2824" s="0" t="n">
        <f aca="false">INDEX(Intent_Analysis!$E$5:$E$81,MATCH(B2824,Intent_Analysis!$A$5:$A$81,0))</f>
        <v>2</v>
      </c>
    </row>
    <row r="2825" customFormat="false" ht="15" hidden="false" customHeight="false" outlineLevel="0" collapsed="false">
      <c r="A2825" s="0" t="s">
        <v>3149</v>
      </c>
      <c r="B2825" s="0" t="s">
        <v>111</v>
      </c>
      <c r="C2825" s="0" t="str">
        <f aca="false">INDEX(Intent_Analysis!$B$5:$B$81,MATCH(B2825,Intent_Analysis!$A$5:$A$81,0))</f>
        <v>Transfers</v>
      </c>
      <c r="D2825" s="0" t="n">
        <f aca="false">INDEX(Intent_Analysis!$E$5:$E$81,MATCH(B2825,Intent_Analysis!$A$5:$A$81,0))</f>
        <v>2</v>
      </c>
    </row>
    <row r="2826" customFormat="false" ht="15" hidden="false" customHeight="false" outlineLevel="0" collapsed="false">
      <c r="A2826" s="0" t="s">
        <v>3150</v>
      </c>
      <c r="B2826" s="0" t="s">
        <v>111</v>
      </c>
      <c r="C2826" s="0" t="str">
        <f aca="false">INDEX(Intent_Analysis!$B$5:$B$81,MATCH(B2826,Intent_Analysis!$A$5:$A$81,0))</f>
        <v>Transfers</v>
      </c>
      <c r="D2826" s="0" t="n">
        <f aca="false">INDEX(Intent_Analysis!$E$5:$E$81,MATCH(B2826,Intent_Analysis!$A$5:$A$81,0))</f>
        <v>2</v>
      </c>
    </row>
    <row r="2827" customFormat="false" ht="15" hidden="false" customHeight="false" outlineLevel="0" collapsed="false">
      <c r="A2827" s="0" t="s">
        <v>3151</v>
      </c>
      <c r="B2827" s="0" t="s">
        <v>111</v>
      </c>
      <c r="C2827" s="0" t="str">
        <f aca="false">INDEX(Intent_Analysis!$B$5:$B$81,MATCH(B2827,Intent_Analysis!$A$5:$A$81,0))</f>
        <v>Transfers</v>
      </c>
      <c r="D2827" s="0" t="n">
        <f aca="false">INDEX(Intent_Analysis!$E$5:$E$81,MATCH(B2827,Intent_Analysis!$A$5:$A$81,0))</f>
        <v>2</v>
      </c>
    </row>
    <row r="2828" customFormat="false" ht="15" hidden="false" customHeight="false" outlineLevel="0" collapsed="false">
      <c r="A2828" s="0" t="s">
        <v>3152</v>
      </c>
      <c r="B2828" s="0" t="s">
        <v>111</v>
      </c>
      <c r="C2828" s="0" t="str">
        <f aca="false">INDEX(Intent_Analysis!$B$5:$B$81,MATCH(B2828,Intent_Analysis!$A$5:$A$81,0))</f>
        <v>Transfers</v>
      </c>
      <c r="D2828" s="0" t="n">
        <f aca="false">INDEX(Intent_Analysis!$E$5:$E$81,MATCH(B2828,Intent_Analysis!$A$5:$A$81,0))</f>
        <v>2</v>
      </c>
    </row>
    <row r="2829" customFormat="false" ht="15" hidden="false" customHeight="false" outlineLevel="0" collapsed="false">
      <c r="A2829" s="0" t="s">
        <v>3153</v>
      </c>
      <c r="B2829" s="0" t="s">
        <v>111</v>
      </c>
      <c r="C2829" s="0" t="str">
        <f aca="false">INDEX(Intent_Analysis!$B$5:$B$81,MATCH(B2829,Intent_Analysis!$A$5:$A$81,0))</f>
        <v>Transfers</v>
      </c>
      <c r="D2829" s="0" t="n">
        <f aca="false">INDEX(Intent_Analysis!$E$5:$E$81,MATCH(B2829,Intent_Analysis!$A$5:$A$81,0))</f>
        <v>2</v>
      </c>
    </row>
    <row r="2830" customFormat="false" ht="15" hidden="false" customHeight="false" outlineLevel="0" collapsed="false">
      <c r="A2830" s="0" t="s">
        <v>3154</v>
      </c>
      <c r="B2830" s="0" t="s">
        <v>111</v>
      </c>
      <c r="C2830" s="0" t="str">
        <f aca="false">INDEX(Intent_Analysis!$B$5:$B$81,MATCH(B2830,Intent_Analysis!$A$5:$A$81,0))</f>
        <v>Transfers</v>
      </c>
      <c r="D2830" s="0" t="n">
        <f aca="false">INDEX(Intent_Analysis!$E$5:$E$81,MATCH(B2830,Intent_Analysis!$A$5:$A$81,0))</f>
        <v>2</v>
      </c>
    </row>
    <row r="2831" customFormat="false" ht="15" hidden="false" customHeight="false" outlineLevel="0" collapsed="false">
      <c r="A2831" s="0" t="s">
        <v>3155</v>
      </c>
      <c r="B2831" s="0" t="s">
        <v>111</v>
      </c>
      <c r="C2831" s="0" t="str">
        <f aca="false">INDEX(Intent_Analysis!$B$5:$B$81,MATCH(B2831,Intent_Analysis!$A$5:$A$81,0))</f>
        <v>Transfers</v>
      </c>
      <c r="D2831" s="0" t="n">
        <f aca="false">INDEX(Intent_Analysis!$E$5:$E$81,MATCH(B2831,Intent_Analysis!$A$5:$A$81,0))</f>
        <v>2</v>
      </c>
    </row>
    <row r="2832" customFormat="false" ht="15" hidden="false" customHeight="false" outlineLevel="0" collapsed="false">
      <c r="A2832" s="0" t="s">
        <v>3156</v>
      </c>
      <c r="B2832" s="0" t="s">
        <v>111</v>
      </c>
      <c r="C2832" s="0" t="str">
        <f aca="false">INDEX(Intent_Analysis!$B$5:$B$81,MATCH(B2832,Intent_Analysis!$A$5:$A$81,0))</f>
        <v>Transfers</v>
      </c>
      <c r="D2832" s="0" t="n">
        <f aca="false">INDEX(Intent_Analysis!$E$5:$E$81,MATCH(B2832,Intent_Analysis!$A$5:$A$81,0))</f>
        <v>2</v>
      </c>
    </row>
    <row r="2833" customFormat="false" ht="15" hidden="false" customHeight="false" outlineLevel="0" collapsed="false">
      <c r="A2833" s="0" t="s">
        <v>3157</v>
      </c>
      <c r="B2833" s="0" t="s">
        <v>111</v>
      </c>
      <c r="C2833" s="0" t="str">
        <f aca="false">INDEX(Intent_Analysis!$B$5:$B$81,MATCH(B2833,Intent_Analysis!$A$5:$A$81,0))</f>
        <v>Transfers</v>
      </c>
      <c r="D2833" s="0" t="n">
        <f aca="false">INDEX(Intent_Analysis!$E$5:$E$81,MATCH(B2833,Intent_Analysis!$A$5:$A$81,0))</f>
        <v>2</v>
      </c>
    </row>
    <row r="2834" customFormat="false" ht="15" hidden="false" customHeight="false" outlineLevel="0" collapsed="false">
      <c r="A2834" s="0" t="s">
        <v>3158</v>
      </c>
      <c r="B2834" s="0" t="s">
        <v>111</v>
      </c>
      <c r="C2834" s="0" t="str">
        <f aca="false">INDEX(Intent_Analysis!$B$5:$B$81,MATCH(B2834,Intent_Analysis!$A$5:$A$81,0))</f>
        <v>Transfers</v>
      </c>
      <c r="D2834" s="0" t="n">
        <f aca="false">INDEX(Intent_Analysis!$E$5:$E$81,MATCH(B2834,Intent_Analysis!$A$5:$A$81,0))</f>
        <v>2</v>
      </c>
    </row>
    <row r="2835" customFormat="false" ht="15" hidden="false" customHeight="false" outlineLevel="0" collapsed="false">
      <c r="A2835" s="0" t="s">
        <v>3159</v>
      </c>
      <c r="B2835" s="0" t="s">
        <v>111</v>
      </c>
      <c r="C2835" s="0" t="str">
        <f aca="false">INDEX(Intent_Analysis!$B$5:$B$81,MATCH(B2835,Intent_Analysis!$A$5:$A$81,0))</f>
        <v>Transfers</v>
      </c>
      <c r="D2835" s="0" t="n">
        <f aca="false">INDEX(Intent_Analysis!$E$5:$E$81,MATCH(B2835,Intent_Analysis!$A$5:$A$81,0))</f>
        <v>2</v>
      </c>
    </row>
    <row r="2836" customFormat="false" ht="15" hidden="false" customHeight="false" outlineLevel="0" collapsed="false">
      <c r="A2836" s="0" t="s">
        <v>3160</v>
      </c>
      <c r="B2836" s="0" t="s">
        <v>111</v>
      </c>
      <c r="C2836" s="0" t="str">
        <f aca="false">INDEX(Intent_Analysis!$B$5:$B$81,MATCH(B2836,Intent_Analysis!$A$5:$A$81,0))</f>
        <v>Transfers</v>
      </c>
      <c r="D2836" s="0" t="n">
        <f aca="false">INDEX(Intent_Analysis!$E$5:$E$81,MATCH(B2836,Intent_Analysis!$A$5:$A$81,0))</f>
        <v>2</v>
      </c>
    </row>
    <row r="2837" customFormat="false" ht="15" hidden="false" customHeight="false" outlineLevel="0" collapsed="false">
      <c r="A2837" s="0" t="s">
        <v>3161</v>
      </c>
      <c r="B2837" s="0" t="s">
        <v>111</v>
      </c>
      <c r="C2837" s="0" t="str">
        <f aca="false">INDEX(Intent_Analysis!$B$5:$B$81,MATCH(B2837,Intent_Analysis!$A$5:$A$81,0))</f>
        <v>Transfers</v>
      </c>
      <c r="D2837" s="0" t="n">
        <f aca="false">INDEX(Intent_Analysis!$E$5:$E$81,MATCH(B2837,Intent_Analysis!$A$5:$A$81,0))</f>
        <v>2</v>
      </c>
    </row>
    <row r="2838" customFormat="false" ht="15" hidden="false" customHeight="false" outlineLevel="0" collapsed="false">
      <c r="A2838" s="0" t="s">
        <v>3162</v>
      </c>
      <c r="B2838" s="0" t="s">
        <v>111</v>
      </c>
      <c r="C2838" s="0" t="str">
        <f aca="false">INDEX(Intent_Analysis!$B$5:$B$81,MATCH(B2838,Intent_Analysis!$A$5:$A$81,0))</f>
        <v>Transfers</v>
      </c>
      <c r="D2838" s="0" t="n">
        <f aca="false">INDEX(Intent_Analysis!$E$5:$E$81,MATCH(B2838,Intent_Analysis!$A$5:$A$81,0))</f>
        <v>2</v>
      </c>
    </row>
    <row r="2839" customFormat="false" ht="15" hidden="false" customHeight="false" outlineLevel="0" collapsed="false">
      <c r="A2839" s="0" t="s">
        <v>3163</v>
      </c>
      <c r="B2839" s="0" t="s">
        <v>111</v>
      </c>
      <c r="C2839" s="0" t="str">
        <f aca="false">INDEX(Intent_Analysis!$B$5:$B$81,MATCH(B2839,Intent_Analysis!$A$5:$A$81,0))</f>
        <v>Transfers</v>
      </c>
      <c r="D2839" s="0" t="n">
        <f aca="false">INDEX(Intent_Analysis!$E$5:$E$81,MATCH(B2839,Intent_Analysis!$A$5:$A$81,0))</f>
        <v>2</v>
      </c>
    </row>
    <row r="2840" customFormat="false" ht="15" hidden="false" customHeight="false" outlineLevel="0" collapsed="false">
      <c r="A2840" s="0" t="s">
        <v>3164</v>
      </c>
      <c r="B2840" s="0" t="s">
        <v>111</v>
      </c>
      <c r="C2840" s="0" t="str">
        <f aca="false">INDEX(Intent_Analysis!$B$5:$B$81,MATCH(B2840,Intent_Analysis!$A$5:$A$81,0))</f>
        <v>Transfers</v>
      </c>
      <c r="D2840" s="0" t="n">
        <f aca="false">INDEX(Intent_Analysis!$E$5:$E$81,MATCH(B2840,Intent_Analysis!$A$5:$A$81,0))</f>
        <v>2</v>
      </c>
    </row>
    <row r="2841" customFormat="false" ht="15" hidden="false" customHeight="false" outlineLevel="0" collapsed="false">
      <c r="A2841" s="0" t="s">
        <v>3165</v>
      </c>
      <c r="B2841" s="0" t="s">
        <v>111</v>
      </c>
      <c r="C2841" s="0" t="str">
        <f aca="false">INDEX(Intent_Analysis!$B$5:$B$81,MATCH(B2841,Intent_Analysis!$A$5:$A$81,0))</f>
        <v>Transfers</v>
      </c>
      <c r="D2841" s="0" t="n">
        <f aca="false">INDEX(Intent_Analysis!$E$5:$E$81,MATCH(B2841,Intent_Analysis!$A$5:$A$81,0))</f>
        <v>2</v>
      </c>
    </row>
    <row r="2842" customFormat="false" ht="15" hidden="false" customHeight="false" outlineLevel="0" collapsed="false">
      <c r="A2842" s="0" t="s">
        <v>3166</v>
      </c>
      <c r="B2842" s="0" t="s">
        <v>111</v>
      </c>
      <c r="C2842" s="0" t="str">
        <f aca="false">INDEX(Intent_Analysis!$B$5:$B$81,MATCH(B2842,Intent_Analysis!$A$5:$A$81,0))</f>
        <v>Transfers</v>
      </c>
      <c r="D2842" s="0" t="n">
        <f aca="false">INDEX(Intent_Analysis!$E$5:$E$81,MATCH(B2842,Intent_Analysis!$A$5:$A$81,0))</f>
        <v>2</v>
      </c>
    </row>
    <row r="2843" customFormat="false" ht="15" hidden="false" customHeight="false" outlineLevel="0" collapsed="false">
      <c r="A2843" s="0" t="s">
        <v>3167</v>
      </c>
      <c r="B2843" s="0" t="s">
        <v>111</v>
      </c>
      <c r="C2843" s="0" t="str">
        <f aca="false">INDEX(Intent_Analysis!$B$5:$B$81,MATCH(B2843,Intent_Analysis!$A$5:$A$81,0))</f>
        <v>Transfers</v>
      </c>
      <c r="D2843" s="0" t="n">
        <f aca="false">INDEX(Intent_Analysis!$E$5:$E$81,MATCH(B2843,Intent_Analysis!$A$5:$A$81,0))</f>
        <v>2</v>
      </c>
    </row>
    <row r="2844" customFormat="false" ht="15" hidden="false" customHeight="false" outlineLevel="0" collapsed="false">
      <c r="A2844" s="0" t="s">
        <v>3168</v>
      </c>
      <c r="B2844" s="0" t="s">
        <v>111</v>
      </c>
      <c r="C2844" s="0" t="str">
        <f aca="false">INDEX(Intent_Analysis!$B$5:$B$81,MATCH(B2844,Intent_Analysis!$A$5:$A$81,0))</f>
        <v>Transfers</v>
      </c>
      <c r="D2844" s="0" t="n">
        <f aca="false">INDEX(Intent_Analysis!$E$5:$E$81,MATCH(B2844,Intent_Analysis!$A$5:$A$81,0))</f>
        <v>2</v>
      </c>
    </row>
    <row r="2845" customFormat="false" ht="15" hidden="false" customHeight="false" outlineLevel="0" collapsed="false">
      <c r="A2845" s="0" t="s">
        <v>3169</v>
      </c>
      <c r="B2845" s="0" t="s">
        <v>111</v>
      </c>
      <c r="C2845" s="0" t="str">
        <f aca="false">INDEX(Intent_Analysis!$B$5:$B$81,MATCH(B2845,Intent_Analysis!$A$5:$A$81,0))</f>
        <v>Transfers</v>
      </c>
      <c r="D2845" s="0" t="n">
        <f aca="false">INDEX(Intent_Analysis!$E$5:$E$81,MATCH(B2845,Intent_Analysis!$A$5:$A$81,0))</f>
        <v>2</v>
      </c>
    </row>
    <row r="2846" customFormat="false" ht="15" hidden="false" customHeight="false" outlineLevel="0" collapsed="false">
      <c r="A2846" s="0" t="s">
        <v>3170</v>
      </c>
      <c r="B2846" s="0" t="s">
        <v>111</v>
      </c>
      <c r="C2846" s="0" t="str">
        <f aca="false">INDEX(Intent_Analysis!$B$5:$B$81,MATCH(B2846,Intent_Analysis!$A$5:$A$81,0))</f>
        <v>Transfers</v>
      </c>
      <c r="D2846" s="0" t="n">
        <f aca="false">INDEX(Intent_Analysis!$E$5:$E$81,MATCH(B2846,Intent_Analysis!$A$5:$A$81,0))</f>
        <v>2</v>
      </c>
    </row>
    <row r="2847" customFormat="false" ht="15" hidden="false" customHeight="false" outlineLevel="0" collapsed="false">
      <c r="A2847" s="0" t="s">
        <v>3171</v>
      </c>
      <c r="B2847" s="0" t="s">
        <v>111</v>
      </c>
      <c r="C2847" s="0" t="str">
        <f aca="false">INDEX(Intent_Analysis!$B$5:$B$81,MATCH(B2847,Intent_Analysis!$A$5:$A$81,0))</f>
        <v>Transfers</v>
      </c>
      <c r="D2847" s="0" t="n">
        <f aca="false">INDEX(Intent_Analysis!$E$5:$E$81,MATCH(B2847,Intent_Analysis!$A$5:$A$81,0))</f>
        <v>2</v>
      </c>
    </row>
    <row r="2848" customFormat="false" ht="15" hidden="false" customHeight="false" outlineLevel="0" collapsed="false">
      <c r="A2848" s="0" t="s">
        <v>3172</v>
      </c>
      <c r="B2848" s="0" t="s">
        <v>111</v>
      </c>
      <c r="C2848" s="0" t="str">
        <f aca="false">INDEX(Intent_Analysis!$B$5:$B$81,MATCH(B2848,Intent_Analysis!$A$5:$A$81,0))</f>
        <v>Transfers</v>
      </c>
      <c r="D2848" s="0" t="n">
        <f aca="false">INDEX(Intent_Analysis!$E$5:$E$81,MATCH(B2848,Intent_Analysis!$A$5:$A$81,0))</f>
        <v>2</v>
      </c>
    </row>
    <row r="2849" customFormat="false" ht="15" hidden="false" customHeight="false" outlineLevel="0" collapsed="false">
      <c r="A2849" s="0" t="s">
        <v>3173</v>
      </c>
      <c r="B2849" s="0" t="s">
        <v>111</v>
      </c>
      <c r="C2849" s="0" t="str">
        <f aca="false">INDEX(Intent_Analysis!$B$5:$B$81,MATCH(B2849,Intent_Analysis!$A$5:$A$81,0))</f>
        <v>Transfers</v>
      </c>
      <c r="D2849" s="0" t="n">
        <f aca="false">INDEX(Intent_Analysis!$E$5:$E$81,MATCH(B2849,Intent_Analysis!$A$5:$A$81,0))</f>
        <v>2</v>
      </c>
    </row>
    <row r="2850" customFormat="false" ht="15" hidden="false" customHeight="false" outlineLevel="0" collapsed="false">
      <c r="A2850" s="0" t="s">
        <v>3174</v>
      </c>
      <c r="B2850" s="0" t="s">
        <v>111</v>
      </c>
      <c r="C2850" s="0" t="str">
        <f aca="false">INDEX(Intent_Analysis!$B$5:$B$81,MATCH(B2850,Intent_Analysis!$A$5:$A$81,0))</f>
        <v>Transfers</v>
      </c>
      <c r="D2850" s="0" t="n">
        <f aca="false">INDEX(Intent_Analysis!$E$5:$E$81,MATCH(B2850,Intent_Analysis!$A$5:$A$81,0))</f>
        <v>2</v>
      </c>
    </row>
    <row r="2851" customFormat="false" ht="15" hidden="false" customHeight="false" outlineLevel="0" collapsed="false">
      <c r="A2851" s="0" t="s">
        <v>3175</v>
      </c>
      <c r="B2851" s="0" t="s">
        <v>111</v>
      </c>
      <c r="C2851" s="0" t="str">
        <f aca="false">INDEX(Intent_Analysis!$B$5:$B$81,MATCH(B2851,Intent_Analysis!$A$5:$A$81,0))</f>
        <v>Transfers</v>
      </c>
      <c r="D2851" s="0" t="n">
        <f aca="false">INDEX(Intent_Analysis!$E$5:$E$81,MATCH(B2851,Intent_Analysis!$A$5:$A$81,0))</f>
        <v>2</v>
      </c>
    </row>
    <row r="2852" customFormat="false" ht="15" hidden="false" customHeight="false" outlineLevel="0" collapsed="false">
      <c r="A2852" s="0" t="s">
        <v>3176</v>
      </c>
      <c r="B2852" s="0" t="s">
        <v>111</v>
      </c>
      <c r="C2852" s="0" t="str">
        <f aca="false">INDEX(Intent_Analysis!$B$5:$B$81,MATCH(B2852,Intent_Analysis!$A$5:$A$81,0))</f>
        <v>Transfers</v>
      </c>
      <c r="D2852" s="0" t="n">
        <f aca="false">INDEX(Intent_Analysis!$E$5:$E$81,MATCH(B2852,Intent_Analysis!$A$5:$A$81,0))</f>
        <v>2</v>
      </c>
    </row>
    <row r="2853" customFormat="false" ht="15" hidden="false" customHeight="false" outlineLevel="0" collapsed="false">
      <c r="A2853" s="0" t="s">
        <v>3177</v>
      </c>
      <c r="B2853" s="0" t="s">
        <v>111</v>
      </c>
      <c r="C2853" s="0" t="str">
        <f aca="false">INDEX(Intent_Analysis!$B$5:$B$81,MATCH(B2853,Intent_Analysis!$A$5:$A$81,0))</f>
        <v>Transfers</v>
      </c>
      <c r="D2853" s="0" t="n">
        <f aca="false">INDEX(Intent_Analysis!$E$5:$E$81,MATCH(B2853,Intent_Analysis!$A$5:$A$81,0))</f>
        <v>2</v>
      </c>
    </row>
    <row r="2854" customFormat="false" ht="15" hidden="false" customHeight="false" outlineLevel="0" collapsed="false">
      <c r="A2854" s="0" t="s">
        <v>3178</v>
      </c>
      <c r="B2854" s="0" t="s">
        <v>111</v>
      </c>
      <c r="C2854" s="0" t="str">
        <f aca="false">INDEX(Intent_Analysis!$B$5:$B$81,MATCH(B2854,Intent_Analysis!$A$5:$A$81,0))</f>
        <v>Transfers</v>
      </c>
      <c r="D2854" s="0" t="n">
        <f aca="false">INDEX(Intent_Analysis!$E$5:$E$81,MATCH(B2854,Intent_Analysis!$A$5:$A$81,0))</f>
        <v>2</v>
      </c>
    </row>
    <row r="2855" customFormat="false" ht="15" hidden="false" customHeight="false" outlineLevel="0" collapsed="false">
      <c r="A2855" s="0" t="s">
        <v>3179</v>
      </c>
      <c r="B2855" s="0" t="s">
        <v>111</v>
      </c>
      <c r="C2855" s="0" t="str">
        <f aca="false">INDEX(Intent_Analysis!$B$5:$B$81,MATCH(B2855,Intent_Analysis!$A$5:$A$81,0))</f>
        <v>Transfers</v>
      </c>
      <c r="D2855" s="0" t="n">
        <f aca="false">INDEX(Intent_Analysis!$E$5:$E$81,MATCH(B2855,Intent_Analysis!$A$5:$A$81,0))</f>
        <v>2</v>
      </c>
    </row>
    <row r="2856" customFormat="false" ht="15" hidden="false" customHeight="false" outlineLevel="0" collapsed="false">
      <c r="A2856" s="0" t="s">
        <v>3180</v>
      </c>
      <c r="B2856" s="0" t="s">
        <v>111</v>
      </c>
      <c r="C2856" s="0" t="str">
        <f aca="false">INDEX(Intent_Analysis!$B$5:$B$81,MATCH(B2856,Intent_Analysis!$A$5:$A$81,0))</f>
        <v>Transfers</v>
      </c>
      <c r="D2856" s="0" t="n">
        <f aca="false">INDEX(Intent_Analysis!$E$5:$E$81,MATCH(B2856,Intent_Analysis!$A$5:$A$81,0))</f>
        <v>2</v>
      </c>
    </row>
    <row r="2857" customFormat="false" ht="15" hidden="false" customHeight="false" outlineLevel="0" collapsed="false">
      <c r="A2857" s="0" t="s">
        <v>3181</v>
      </c>
      <c r="B2857" s="0" t="s">
        <v>111</v>
      </c>
      <c r="C2857" s="0" t="str">
        <f aca="false">INDEX(Intent_Analysis!$B$5:$B$81,MATCH(B2857,Intent_Analysis!$A$5:$A$81,0))</f>
        <v>Transfers</v>
      </c>
      <c r="D2857" s="0" t="n">
        <f aca="false">INDEX(Intent_Analysis!$E$5:$E$81,MATCH(B2857,Intent_Analysis!$A$5:$A$81,0))</f>
        <v>2</v>
      </c>
    </row>
    <row r="2858" customFormat="false" ht="15" hidden="false" customHeight="false" outlineLevel="0" collapsed="false">
      <c r="A2858" s="0" t="s">
        <v>3182</v>
      </c>
      <c r="B2858" s="0" t="s">
        <v>111</v>
      </c>
      <c r="C2858" s="0" t="str">
        <f aca="false">INDEX(Intent_Analysis!$B$5:$B$81,MATCH(B2858,Intent_Analysis!$A$5:$A$81,0))</f>
        <v>Transfers</v>
      </c>
      <c r="D2858" s="0" t="n">
        <f aca="false">INDEX(Intent_Analysis!$E$5:$E$81,MATCH(B2858,Intent_Analysis!$A$5:$A$81,0))</f>
        <v>2</v>
      </c>
    </row>
    <row r="2859" customFormat="false" ht="15" hidden="false" customHeight="false" outlineLevel="0" collapsed="false">
      <c r="A2859" s="0" t="s">
        <v>3183</v>
      </c>
      <c r="B2859" s="0" t="s">
        <v>111</v>
      </c>
      <c r="C2859" s="0" t="str">
        <f aca="false">INDEX(Intent_Analysis!$B$5:$B$81,MATCH(B2859,Intent_Analysis!$A$5:$A$81,0))</f>
        <v>Transfers</v>
      </c>
      <c r="D2859" s="0" t="n">
        <f aca="false">INDEX(Intent_Analysis!$E$5:$E$81,MATCH(B2859,Intent_Analysis!$A$5:$A$81,0))</f>
        <v>2</v>
      </c>
    </row>
    <row r="2860" customFormat="false" ht="15" hidden="false" customHeight="false" outlineLevel="0" collapsed="false">
      <c r="A2860" s="0" t="s">
        <v>3184</v>
      </c>
      <c r="B2860" s="0" t="s">
        <v>111</v>
      </c>
      <c r="C2860" s="0" t="str">
        <f aca="false">INDEX(Intent_Analysis!$B$5:$B$81,MATCH(B2860,Intent_Analysis!$A$5:$A$81,0))</f>
        <v>Transfers</v>
      </c>
      <c r="D2860" s="0" t="n">
        <f aca="false">INDEX(Intent_Analysis!$E$5:$E$81,MATCH(B2860,Intent_Analysis!$A$5:$A$81,0))</f>
        <v>2</v>
      </c>
    </row>
    <row r="2861" customFormat="false" ht="15" hidden="false" customHeight="false" outlineLevel="0" collapsed="false">
      <c r="A2861" s="0" t="s">
        <v>3185</v>
      </c>
      <c r="B2861" s="0" t="s">
        <v>111</v>
      </c>
      <c r="C2861" s="0" t="str">
        <f aca="false">INDEX(Intent_Analysis!$B$5:$B$81,MATCH(B2861,Intent_Analysis!$A$5:$A$81,0))</f>
        <v>Transfers</v>
      </c>
      <c r="D2861" s="0" t="n">
        <f aca="false">INDEX(Intent_Analysis!$E$5:$E$81,MATCH(B2861,Intent_Analysis!$A$5:$A$81,0))</f>
        <v>2</v>
      </c>
    </row>
    <row r="2862" customFormat="false" ht="15" hidden="false" customHeight="false" outlineLevel="0" collapsed="false">
      <c r="A2862" s="0" t="s">
        <v>3186</v>
      </c>
      <c r="B2862" s="0" t="s">
        <v>111</v>
      </c>
      <c r="C2862" s="0" t="str">
        <f aca="false">INDEX(Intent_Analysis!$B$5:$B$81,MATCH(B2862,Intent_Analysis!$A$5:$A$81,0))</f>
        <v>Transfers</v>
      </c>
      <c r="D2862" s="0" t="n">
        <f aca="false">INDEX(Intent_Analysis!$E$5:$E$81,MATCH(B2862,Intent_Analysis!$A$5:$A$81,0))</f>
        <v>2</v>
      </c>
    </row>
    <row r="2863" customFormat="false" ht="15" hidden="false" customHeight="false" outlineLevel="0" collapsed="false">
      <c r="A2863" s="0" t="s">
        <v>3187</v>
      </c>
      <c r="B2863" s="0" t="s">
        <v>111</v>
      </c>
      <c r="C2863" s="0" t="str">
        <f aca="false">INDEX(Intent_Analysis!$B$5:$B$81,MATCH(B2863,Intent_Analysis!$A$5:$A$81,0))</f>
        <v>Transfers</v>
      </c>
      <c r="D2863" s="0" t="n">
        <f aca="false">INDEX(Intent_Analysis!$E$5:$E$81,MATCH(B2863,Intent_Analysis!$A$5:$A$81,0))</f>
        <v>2</v>
      </c>
    </row>
    <row r="2864" customFormat="false" ht="15" hidden="false" customHeight="false" outlineLevel="0" collapsed="false">
      <c r="A2864" s="0" t="s">
        <v>3188</v>
      </c>
      <c r="B2864" s="0" t="s">
        <v>111</v>
      </c>
      <c r="C2864" s="0" t="str">
        <f aca="false">INDEX(Intent_Analysis!$B$5:$B$81,MATCH(B2864,Intent_Analysis!$A$5:$A$81,0))</f>
        <v>Transfers</v>
      </c>
      <c r="D2864" s="0" t="n">
        <f aca="false">INDEX(Intent_Analysis!$E$5:$E$81,MATCH(B2864,Intent_Analysis!$A$5:$A$81,0))</f>
        <v>2</v>
      </c>
    </row>
    <row r="2865" customFormat="false" ht="15" hidden="false" customHeight="false" outlineLevel="0" collapsed="false">
      <c r="A2865" s="0" t="s">
        <v>3189</v>
      </c>
      <c r="B2865" s="0" t="s">
        <v>111</v>
      </c>
      <c r="C2865" s="0" t="str">
        <f aca="false">INDEX(Intent_Analysis!$B$5:$B$81,MATCH(B2865,Intent_Analysis!$A$5:$A$81,0))</f>
        <v>Transfers</v>
      </c>
      <c r="D2865" s="0" t="n">
        <f aca="false">INDEX(Intent_Analysis!$E$5:$E$81,MATCH(B2865,Intent_Analysis!$A$5:$A$81,0))</f>
        <v>2</v>
      </c>
    </row>
    <row r="2866" customFormat="false" ht="15" hidden="false" customHeight="false" outlineLevel="0" collapsed="false">
      <c r="A2866" s="0" t="s">
        <v>3190</v>
      </c>
      <c r="B2866" s="0" t="s">
        <v>111</v>
      </c>
      <c r="C2866" s="0" t="str">
        <f aca="false">INDEX(Intent_Analysis!$B$5:$B$81,MATCH(B2866,Intent_Analysis!$A$5:$A$81,0))</f>
        <v>Transfers</v>
      </c>
      <c r="D2866" s="0" t="n">
        <f aca="false">INDEX(Intent_Analysis!$E$5:$E$81,MATCH(B2866,Intent_Analysis!$A$5:$A$81,0))</f>
        <v>2</v>
      </c>
    </row>
    <row r="2867" customFormat="false" ht="15" hidden="false" customHeight="false" outlineLevel="0" collapsed="false">
      <c r="A2867" s="0" t="s">
        <v>3191</v>
      </c>
      <c r="B2867" s="0" t="s">
        <v>111</v>
      </c>
      <c r="C2867" s="0" t="str">
        <f aca="false">INDEX(Intent_Analysis!$B$5:$B$81,MATCH(B2867,Intent_Analysis!$A$5:$A$81,0))</f>
        <v>Transfers</v>
      </c>
      <c r="D2867" s="0" t="n">
        <f aca="false">INDEX(Intent_Analysis!$E$5:$E$81,MATCH(B2867,Intent_Analysis!$A$5:$A$81,0))</f>
        <v>2</v>
      </c>
    </row>
    <row r="2868" customFormat="false" ht="15" hidden="false" customHeight="false" outlineLevel="0" collapsed="false">
      <c r="A2868" s="0" t="s">
        <v>3192</v>
      </c>
      <c r="B2868" s="0" t="s">
        <v>111</v>
      </c>
      <c r="C2868" s="0" t="str">
        <f aca="false">INDEX(Intent_Analysis!$B$5:$B$81,MATCH(B2868,Intent_Analysis!$A$5:$A$81,0))</f>
        <v>Transfers</v>
      </c>
      <c r="D2868" s="0" t="n">
        <f aca="false">INDEX(Intent_Analysis!$E$5:$E$81,MATCH(B2868,Intent_Analysis!$A$5:$A$81,0))</f>
        <v>2</v>
      </c>
    </row>
    <row r="2869" customFormat="false" ht="15" hidden="false" customHeight="false" outlineLevel="0" collapsed="false">
      <c r="A2869" s="0" t="s">
        <v>3193</v>
      </c>
      <c r="B2869" s="0" t="s">
        <v>111</v>
      </c>
      <c r="C2869" s="0" t="str">
        <f aca="false">INDEX(Intent_Analysis!$B$5:$B$81,MATCH(B2869,Intent_Analysis!$A$5:$A$81,0))</f>
        <v>Transfers</v>
      </c>
      <c r="D2869" s="0" t="n">
        <f aca="false">INDEX(Intent_Analysis!$E$5:$E$81,MATCH(B2869,Intent_Analysis!$A$5:$A$81,0))</f>
        <v>2</v>
      </c>
    </row>
    <row r="2870" customFormat="false" ht="15" hidden="false" customHeight="false" outlineLevel="0" collapsed="false">
      <c r="A2870" s="0" t="s">
        <v>3194</v>
      </c>
      <c r="B2870" s="0" t="s">
        <v>111</v>
      </c>
      <c r="C2870" s="0" t="str">
        <f aca="false">INDEX(Intent_Analysis!$B$5:$B$81,MATCH(B2870,Intent_Analysis!$A$5:$A$81,0))</f>
        <v>Transfers</v>
      </c>
      <c r="D2870" s="0" t="n">
        <f aca="false">INDEX(Intent_Analysis!$E$5:$E$81,MATCH(B2870,Intent_Analysis!$A$5:$A$81,0))</f>
        <v>2</v>
      </c>
    </row>
    <row r="2871" customFormat="false" ht="15" hidden="false" customHeight="false" outlineLevel="0" collapsed="false">
      <c r="A2871" s="0" t="s">
        <v>3195</v>
      </c>
      <c r="B2871" s="0" t="s">
        <v>62</v>
      </c>
      <c r="C2871" s="0" t="str">
        <f aca="false">INDEX(Intent_Analysis!$B$5:$B$81,MATCH(B2871,Intent_Analysis!$A$5:$A$81,0))</f>
        <v>Card usage &amp; features</v>
      </c>
      <c r="D2871" s="0" t="n">
        <f aca="false">INDEX(Intent_Analysis!$E$5:$E$81,MATCH(B2871,Intent_Analysis!$A$5:$A$81,0))</f>
        <v>1</v>
      </c>
    </row>
    <row r="2872" customFormat="false" ht="15" hidden="false" customHeight="false" outlineLevel="0" collapsed="false">
      <c r="A2872" s="0" t="s">
        <v>3196</v>
      </c>
      <c r="B2872" s="0" t="s">
        <v>62</v>
      </c>
      <c r="C2872" s="0" t="str">
        <f aca="false">INDEX(Intent_Analysis!$B$5:$B$81,MATCH(B2872,Intent_Analysis!$A$5:$A$81,0))</f>
        <v>Card usage &amp; features</v>
      </c>
      <c r="D2872" s="0" t="n">
        <f aca="false">INDEX(Intent_Analysis!$E$5:$E$81,MATCH(B2872,Intent_Analysis!$A$5:$A$81,0))</f>
        <v>1</v>
      </c>
    </row>
    <row r="2873" customFormat="false" ht="15" hidden="false" customHeight="false" outlineLevel="0" collapsed="false">
      <c r="A2873" s="0" t="s">
        <v>3197</v>
      </c>
      <c r="B2873" s="0" t="s">
        <v>62</v>
      </c>
      <c r="C2873" s="0" t="str">
        <f aca="false">INDEX(Intent_Analysis!$B$5:$B$81,MATCH(B2873,Intent_Analysis!$A$5:$A$81,0))</f>
        <v>Card usage &amp; features</v>
      </c>
      <c r="D2873" s="0" t="n">
        <f aca="false">INDEX(Intent_Analysis!$E$5:$E$81,MATCH(B2873,Intent_Analysis!$A$5:$A$81,0))</f>
        <v>1</v>
      </c>
    </row>
    <row r="2874" customFormat="false" ht="15" hidden="false" customHeight="false" outlineLevel="0" collapsed="false">
      <c r="A2874" s="0" t="s">
        <v>3198</v>
      </c>
      <c r="B2874" s="0" t="s">
        <v>62</v>
      </c>
      <c r="C2874" s="0" t="str">
        <f aca="false">INDEX(Intent_Analysis!$B$5:$B$81,MATCH(B2874,Intent_Analysis!$A$5:$A$81,0))</f>
        <v>Card usage &amp; features</v>
      </c>
      <c r="D2874" s="0" t="n">
        <f aca="false">INDEX(Intent_Analysis!$E$5:$E$81,MATCH(B2874,Intent_Analysis!$A$5:$A$81,0))</f>
        <v>1</v>
      </c>
    </row>
    <row r="2875" customFormat="false" ht="15" hidden="false" customHeight="false" outlineLevel="0" collapsed="false">
      <c r="A2875" s="0" t="s">
        <v>3199</v>
      </c>
      <c r="B2875" s="0" t="s">
        <v>62</v>
      </c>
      <c r="C2875" s="0" t="str">
        <f aca="false">INDEX(Intent_Analysis!$B$5:$B$81,MATCH(B2875,Intent_Analysis!$A$5:$A$81,0))</f>
        <v>Card usage &amp; features</v>
      </c>
      <c r="D2875" s="0" t="n">
        <f aca="false">INDEX(Intent_Analysis!$E$5:$E$81,MATCH(B2875,Intent_Analysis!$A$5:$A$81,0))</f>
        <v>1</v>
      </c>
    </row>
    <row r="2876" customFormat="false" ht="15" hidden="false" customHeight="false" outlineLevel="0" collapsed="false">
      <c r="A2876" s="0" t="s">
        <v>3200</v>
      </c>
      <c r="B2876" s="0" t="s">
        <v>62</v>
      </c>
      <c r="C2876" s="0" t="str">
        <f aca="false">INDEX(Intent_Analysis!$B$5:$B$81,MATCH(B2876,Intent_Analysis!$A$5:$A$81,0))</f>
        <v>Card usage &amp; features</v>
      </c>
      <c r="D2876" s="0" t="n">
        <f aca="false">INDEX(Intent_Analysis!$E$5:$E$81,MATCH(B2876,Intent_Analysis!$A$5:$A$81,0))</f>
        <v>1</v>
      </c>
    </row>
    <row r="2877" customFormat="false" ht="15" hidden="false" customHeight="false" outlineLevel="0" collapsed="false">
      <c r="A2877" s="0" t="s">
        <v>3201</v>
      </c>
      <c r="B2877" s="0" t="s">
        <v>62</v>
      </c>
      <c r="C2877" s="0" t="str">
        <f aca="false">INDEX(Intent_Analysis!$B$5:$B$81,MATCH(B2877,Intent_Analysis!$A$5:$A$81,0))</f>
        <v>Card usage &amp; features</v>
      </c>
      <c r="D2877" s="0" t="n">
        <f aca="false">INDEX(Intent_Analysis!$E$5:$E$81,MATCH(B2877,Intent_Analysis!$A$5:$A$81,0))</f>
        <v>1</v>
      </c>
    </row>
    <row r="2878" customFormat="false" ht="15" hidden="false" customHeight="false" outlineLevel="0" collapsed="false">
      <c r="A2878" s="0" t="s">
        <v>3202</v>
      </c>
      <c r="B2878" s="0" t="s">
        <v>62</v>
      </c>
      <c r="C2878" s="0" t="str">
        <f aca="false">INDEX(Intent_Analysis!$B$5:$B$81,MATCH(B2878,Intent_Analysis!$A$5:$A$81,0))</f>
        <v>Card usage &amp; features</v>
      </c>
      <c r="D2878" s="0" t="n">
        <f aca="false">INDEX(Intent_Analysis!$E$5:$E$81,MATCH(B2878,Intent_Analysis!$A$5:$A$81,0))</f>
        <v>1</v>
      </c>
    </row>
    <row r="2879" customFormat="false" ht="15" hidden="false" customHeight="false" outlineLevel="0" collapsed="false">
      <c r="A2879" s="0" t="s">
        <v>3203</v>
      </c>
      <c r="B2879" s="0" t="s">
        <v>62</v>
      </c>
      <c r="C2879" s="0" t="str">
        <f aca="false">INDEX(Intent_Analysis!$B$5:$B$81,MATCH(B2879,Intent_Analysis!$A$5:$A$81,0))</f>
        <v>Card usage &amp; features</v>
      </c>
      <c r="D2879" s="0" t="n">
        <f aca="false">INDEX(Intent_Analysis!$E$5:$E$81,MATCH(B2879,Intent_Analysis!$A$5:$A$81,0))</f>
        <v>1</v>
      </c>
    </row>
    <row r="2880" customFormat="false" ht="15" hidden="false" customHeight="false" outlineLevel="0" collapsed="false">
      <c r="A2880" s="0" t="s">
        <v>3204</v>
      </c>
      <c r="B2880" s="0" t="s">
        <v>62</v>
      </c>
      <c r="C2880" s="0" t="str">
        <f aca="false">INDEX(Intent_Analysis!$B$5:$B$81,MATCH(B2880,Intent_Analysis!$A$5:$A$81,0))</f>
        <v>Card usage &amp; features</v>
      </c>
      <c r="D2880" s="0" t="n">
        <f aca="false">INDEX(Intent_Analysis!$E$5:$E$81,MATCH(B2880,Intent_Analysis!$A$5:$A$81,0))</f>
        <v>1</v>
      </c>
    </row>
    <row r="2881" customFormat="false" ht="15" hidden="false" customHeight="false" outlineLevel="0" collapsed="false">
      <c r="A2881" s="0" t="s">
        <v>3205</v>
      </c>
      <c r="B2881" s="0" t="s">
        <v>62</v>
      </c>
      <c r="C2881" s="0" t="str">
        <f aca="false">INDEX(Intent_Analysis!$B$5:$B$81,MATCH(B2881,Intent_Analysis!$A$5:$A$81,0))</f>
        <v>Card usage &amp; features</v>
      </c>
      <c r="D2881" s="0" t="n">
        <f aca="false">INDEX(Intent_Analysis!$E$5:$E$81,MATCH(B2881,Intent_Analysis!$A$5:$A$81,0))</f>
        <v>1</v>
      </c>
    </row>
    <row r="2882" customFormat="false" ht="15" hidden="false" customHeight="false" outlineLevel="0" collapsed="false">
      <c r="A2882" s="0" t="s">
        <v>3206</v>
      </c>
      <c r="B2882" s="0" t="s">
        <v>62</v>
      </c>
      <c r="C2882" s="0" t="str">
        <f aca="false">INDEX(Intent_Analysis!$B$5:$B$81,MATCH(B2882,Intent_Analysis!$A$5:$A$81,0))</f>
        <v>Card usage &amp; features</v>
      </c>
      <c r="D2882" s="0" t="n">
        <f aca="false">INDEX(Intent_Analysis!$E$5:$E$81,MATCH(B2882,Intent_Analysis!$A$5:$A$81,0))</f>
        <v>1</v>
      </c>
    </row>
    <row r="2883" customFormat="false" ht="15" hidden="false" customHeight="false" outlineLevel="0" collapsed="false">
      <c r="A2883" s="0" t="s">
        <v>3207</v>
      </c>
      <c r="B2883" s="0" t="s">
        <v>62</v>
      </c>
      <c r="C2883" s="0" t="str">
        <f aca="false">INDEX(Intent_Analysis!$B$5:$B$81,MATCH(B2883,Intent_Analysis!$A$5:$A$81,0))</f>
        <v>Card usage &amp; features</v>
      </c>
      <c r="D2883" s="0" t="n">
        <f aca="false">INDEX(Intent_Analysis!$E$5:$E$81,MATCH(B2883,Intent_Analysis!$A$5:$A$81,0))</f>
        <v>1</v>
      </c>
    </row>
    <row r="2884" customFormat="false" ht="15" hidden="false" customHeight="false" outlineLevel="0" collapsed="false">
      <c r="A2884" s="0" t="s">
        <v>3208</v>
      </c>
      <c r="B2884" s="0" t="s">
        <v>62</v>
      </c>
      <c r="C2884" s="0" t="str">
        <f aca="false">INDEX(Intent_Analysis!$B$5:$B$81,MATCH(B2884,Intent_Analysis!$A$5:$A$81,0))</f>
        <v>Card usage &amp; features</v>
      </c>
      <c r="D2884" s="0" t="n">
        <f aca="false">INDEX(Intent_Analysis!$E$5:$E$81,MATCH(B2884,Intent_Analysis!$A$5:$A$81,0))</f>
        <v>1</v>
      </c>
    </row>
    <row r="2885" customFormat="false" ht="15" hidden="false" customHeight="false" outlineLevel="0" collapsed="false">
      <c r="A2885" s="0" t="s">
        <v>3209</v>
      </c>
      <c r="B2885" s="0" t="s">
        <v>62</v>
      </c>
      <c r="C2885" s="0" t="str">
        <f aca="false">INDEX(Intent_Analysis!$B$5:$B$81,MATCH(B2885,Intent_Analysis!$A$5:$A$81,0))</f>
        <v>Card usage &amp; features</v>
      </c>
      <c r="D2885" s="0" t="n">
        <f aca="false">INDEX(Intent_Analysis!$E$5:$E$81,MATCH(B2885,Intent_Analysis!$A$5:$A$81,0))</f>
        <v>1</v>
      </c>
    </row>
    <row r="2886" customFormat="false" ht="15" hidden="false" customHeight="false" outlineLevel="0" collapsed="false">
      <c r="A2886" s="0" t="s">
        <v>3210</v>
      </c>
      <c r="B2886" s="0" t="s">
        <v>62</v>
      </c>
      <c r="C2886" s="0" t="str">
        <f aca="false">INDEX(Intent_Analysis!$B$5:$B$81,MATCH(B2886,Intent_Analysis!$A$5:$A$81,0))</f>
        <v>Card usage &amp; features</v>
      </c>
      <c r="D2886" s="0" t="n">
        <f aca="false">INDEX(Intent_Analysis!$E$5:$E$81,MATCH(B2886,Intent_Analysis!$A$5:$A$81,0))</f>
        <v>1</v>
      </c>
    </row>
    <row r="2887" customFormat="false" ht="15" hidden="false" customHeight="false" outlineLevel="0" collapsed="false">
      <c r="A2887" s="0" t="s">
        <v>3211</v>
      </c>
      <c r="B2887" s="0" t="s">
        <v>62</v>
      </c>
      <c r="C2887" s="0" t="str">
        <f aca="false">INDEX(Intent_Analysis!$B$5:$B$81,MATCH(B2887,Intent_Analysis!$A$5:$A$81,0))</f>
        <v>Card usage &amp; features</v>
      </c>
      <c r="D2887" s="0" t="n">
        <f aca="false">INDEX(Intent_Analysis!$E$5:$E$81,MATCH(B2887,Intent_Analysis!$A$5:$A$81,0))</f>
        <v>1</v>
      </c>
    </row>
    <row r="2888" customFormat="false" ht="15" hidden="false" customHeight="false" outlineLevel="0" collapsed="false">
      <c r="A2888" s="0" t="s">
        <v>3212</v>
      </c>
      <c r="B2888" s="0" t="s">
        <v>62</v>
      </c>
      <c r="C2888" s="0" t="str">
        <f aca="false">INDEX(Intent_Analysis!$B$5:$B$81,MATCH(B2888,Intent_Analysis!$A$5:$A$81,0))</f>
        <v>Card usage &amp; features</v>
      </c>
      <c r="D2888" s="0" t="n">
        <f aca="false">INDEX(Intent_Analysis!$E$5:$E$81,MATCH(B2888,Intent_Analysis!$A$5:$A$81,0))</f>
        <v>1</v>
      </c>
    </row>
    <row r="2889" customFormat="false" ht="15" hidden="false" customHeight="false" outlineLevel="0" collapsed="false">
      <c r="A2889" s="0" t="s">
        <v>3213</v>
      </c>
      <c r="B2889" s="0" t="s">
        <v>62</v>
      </c>
      <c r="C2889" s="0" t="str">
        <f aca="false">INDEX(Intent_Analysis!$B$5:$B$81,MATCH(B2889,Intent_Analysis!$A$5:$A$81,0))</f>
        <v>Card usage &amp; features</v>
      </c>
      <c r="D2889" s="0" t="n">
        <f aca="false">INDEX(Intent_Analysis!$E$5:$E$81,MATCH(B2889,Intent_Analysis!$A$5:$A$81,0))</f>
        <v>1</v>
      </c>
    </row>
    <row r="2890" customFormat="false" ht="15" hidden="false" customHeight="false" outlineLevel="0" collapsed="false">
      <c r="A2890" s="0" t="s">
        <v>3214</v>
      </c>
      <c r="B2890" s="0" t="s">
        <v>62</v>
      </c>
      <c r="C2890" s="0" t="str">
        <f aca="false">INDEX(Intent_Analysis!$B$5:$B$81,MATCH(B2890,Intent_Analysis!$A$5:$A$81,0))</f>
        <v>Card usage &amp; features</v>
      </c>
      <c r="D2890" s="0" t="n">
        <f aca="false">INDEX(Intent_Analysis!$E$5:$E$81,MATCH(B2890,Intent_Analysis!$A$5:$A$81,0))</f>
        <v>1</v>
      </c>
    </row>
    <row r="2891" customFormat="false" ht="15" hidden="false" customHeight="false" outlineLevel="0" collapsed="false">
      <c r="A2891" s="0" t="s">
        <v>3215</v>
      </c>
      <c r="B2891" s="0" t="s">
        <v>62</v>
      </c>
      <c r="C2891" s="0" t="str">
        <f aca="false">INDEX(Intent_Analysis!$B$5:$B$81,MATCH(B2891,Intent_Analysis!$A$5:$A$81,0))</f>
        <v>Card usage &amp; features</v>
      </c>
      <c r="D2891" s="0" t="n">
        <f aca="false">INDEX(Intent_Analysis!$E$5:$E$81,MATCH(B2891,Intent_Analysis!$A$5:$A$81,0))</f>
        <v>1</v>
      </c>
    </row>
    <row r="2892" customFormat="false" ht="15" hidden="false" customHeight="false" outlineLevel="0" collapsed="false">
      <c r="A2892" s="0" t="s">
        <v>3216</v>
      </c>
      <c r="B2892" s="0" t="s">
        <v>62</v>
      </c>
      <c r="C2892" s="0" t="str">
        <f aca="false">INDEX(Intent_Analysis!$B$5:$B$81,MATCH(B2892,Intent_Analysis!$A$5:$A$81,0))</f>
        <v>Card usage &amp; features</v>
      </c>
      <c r="D2892" s="0" t="n">
        <f aca="false">INDEX(Intent_Analysis!$E$5:$E$81,MATCH(B2892,Intent_Analysis!$A$5:$A$81,0))</f>
        <v>1</v>
      </c>
    </row>
    <row r="2893" customFormat="false" ht="15" hidden="false" customHeight="false" outlineLevel="0" collapsed="false">
      <c r="A2893" s="0" t="s">
        <v>3217</v>
      </c>
      <c r="B2893" s="0" t="s">
        <v>62</v>
      </c>
      <c r="C2893" s="0" t="str">
        <f aca="false">INDEX(Intent_Analysis!$B$5:$B$81,MATCH(B2893,Intent_Analysis!$A$5:$A$81,0))</f>
        <v>Card usage &amp; features</v>
      </c>
      <c r="D2893" s="0" t="n">
        <f aca="false">INDEX(Intent_Analysis!$E$5:$E$81,MATCH(B2893,Intent_Analysis!$A$5:$A$81,0))</f>
        <v>1</v>
      </c>
    </row>
    <row r="2894" customFormat="false" ht="15" hidden="false" customHeight="false" outlineLevel="0" collapsed="false">
      <c r="A2894" s="0" t="s">
        <v>3218</v>
      </c>
      <c r="B2894" s="0" t="s">
        <v>62</v>
      </c>
      <c r="C2894" s="0" t="str">
        <f aca="false">INDEX(Intent_Analysis!$B$5:$B$81,MATCH(B2894,Intent_Analysis!$A$5:$A$81,0))</f>
        <v>Card usage &amp; features</v>
      </c>
      <c r="D2894" s="0" t="n">
        <f aca="false">INDEX(Intent_Analysis!$E$5:$E$81,MATCH(B2894,Intent_Analysis!$A$5:$A$81,0))</f>
        <v>1</v>
      </c>
    </row>
    <row r="2895" customFormat="false" ht="15" hidden="false" customHeight="false" outlineLevel="0" collapsed="false">
      <c r="A2895" s="0" t="s">
        <v>3219</v>
      </c>
      <c r="B2895" s="0" t="s">
        <v>62</v>
      </c>
      <c r="C2895" s="0" t="str">
        <f aca="false">INDEX(Intent_Analysis!$B$5:$B$81,MATCH(B2895,Intent_Analysis!$A$5:$A$81,0))</f>
        <v>Card usage &amp; features</v>
      </c>
      <c r="D2895" s="0" t="n">
        <f aca="false">INDEX(Intent_Analysis!$E$5:$E$81,MATCH(B2895,Intent_Analysis!$A$5:$A$81,0))</f>
        <v>1</v>
      </c>
    </row>
    <row r="2896" customFormat="false" ht="15" hidden="false" customHeight="false" outlineLevel="0" collapsed="false">
      <c r="A2896" s="0" t="s">
        <v>3220</v>
      </c>
      <c r="B2896" s="0" t="s">
        <v>62</v>
      </c>
      <c r="C2896" s="0" t="str">
        <f aca="false">INDEX(Intent_Analysis!$B$5:$B$81,MATCH(B2896,Intent_Analysis!$A$5:$A$81,0))</f>
        <v>Card usage &amp; features</v>
      </c>
      <c r="D2896" s="0" t="n">
        <f aca="false">INDEX(Intent_Analysis!$E$5:$E$81,MATCH(B2896,Intent_Analysis!$A$5:$A$81,0))</f>
        <v>1</v>
      </c>
    </row>
    <row r="2897" customFormat="false" ht="15" hidden="false" customHeight="false" outlineLevel="0" collapsed="false">
      <c r="A2897" s="0" t="s">
        <v>3221</v>
      </c>
      <c r="B2897" s="0" t="s">
        <v>62</v>
      </c>
      <c r="C2897" s="0" t="str">
        <f aca="false">INDEX(Intent_Analysis!$B$5:$B$81,MATCH(B2897,Intent_Analysis!$A$5:$A$81,0))</f>
        <v>Card usage &amp; features</v>
      </c>
      <c r="D2897" s="0" t="n">
        <f aca="false">INDEX(Intent_Analysis!$E$5:$E$81,MATCH(B2897,Intent_Analysis!$A$5:$A$81,0))</f>
        <v>1</v>
      </c>
    </row>
    <row r="2898" customFormat="false" ht="15" hidden="false" customHeight="false" outlineLevel="0" collapsed="false">
      <c r="A2898" s="0" t="s">
        <v>3222</v>
      </c>
      <c r="B2898" s="0" t="s">
        <v>62</v>
      </c>
      <c r="C2898" s="0" t="str">
        <f aca="false">INDEX(Intent_Analysis!$B$5:$B$81,MATCH(B2898,Intent_Analysis!$A$5:$A$81,0))</f>
        <v>Card usage &amp; features</v>
      </c>
      <c r="D2898" s="0" t="n">
        <f aca="false">INDEX(Intent_Analysis!$E$5:$E$81,MATCH(B2898,Intent_Analysis!$A$5:$A$81,0))</f>
        <v>1</v>
      </c>
    </row>
    <row r="2899" customFormat="false" ht="15" hidden="false" customHeight="false" outlineLevel="0" collapsed="false">
      <c r="A2899" s="0" t="s">
        <v>3223</v>
      </c>
      <c r="B2899" s="0" t="s">
        <v>62</v>
      </c>
      <c r="C2899" s="0" t="str">
        <f aca="false">INDEX(Intent_Analysis!$B$5:$B$81,MATCH(B2899,Intent_Analysis!$A$5:$A$81,0))</f>
        <v>Card usage &amp; features</v>
      </c>
      <c r="D2899" s="0" t="n">
        <f aca="false">INDEX(Intent_Analysis!$E$5:$E$81,MATCH(B2899,Intent_Analysis!$A$5:$A$81,0))</f>
        <v>1</v>
      </c>
    </row>
    <row r="2900" customFormat="false" ht="15" hidden="false" customHeight="false" outlineLevel="0" collapsed="false">
      <c r="A2900" s="0" t="s">
        <v>3224</v>
      </c>
      <c r="B2900" s="0" t="s">
        <v>62</v>
      </c>
      <c r="C2900" s="0" t="str">
        <f aca="false">INDEX(Intent_Analysis!$B$5:$B$81,MATCH(B2900,Intent_Analysis!$A$5:$A$81,0))</f>
        <v>Card usage &amp; features</v>
      </c>
      <c r="D2900" s="0" t="n">
        <f aca="false">INDEX(Intent_Analysis!$E$5:$E$81,MATCH(B2900,Intent_Analysis!$A$5:$A$81,0))</f>
        <v>1</v>
      </c>
    </row>
    <row r="2901" customFormat="false" ht="15" hidden="false" customHeight="false" outlineLevel="0" collapsed="false">
      <c r="A2901" s="0" t="s">
        <v>3225</v>
      </c>
      <c r="B2901" s="0" t="s">
        <v>62</v>
      </c>
      <c r="C2901" s="0" t="str">
        <f aca="false">INDEX(Intent_Analysis!$B$5:$B$81,MATCH(B2901,Intent_Analysis!$A$5:$A$81,0))</f>
        <v>Card usage &amp; features</v>
      </c>
      <c r="D2901" s="0" t="n">
        <f aca="false">INDEX(Intent_Analysis!$E$5:$E$81,MATCH(B2901,Intent_Analysis!$A$5:$A$81,0))</f>
        <v>1</v>
      </c>
    </row>
    <row r="2902" customFormat="false" ht="15" hidden="false" customHeight="false" outlineLevel="0" collapsed="false">
      <c r="A2902" s="0" t="s">
        <v>3226</v>
      </c>
      <c r="B2902" s="0" t="s">
        <v>62</v>
      </c>
      <c r="C2902" s="0" t="str">
        <f aca="false">INDEX(Intent_Analysis!$B$5:$B$81,MATCH(B2902,Intent_Analysis!$A$5:$A$81,0))</f>
        <v>Card usage &amp; features</v>
      </c>
      <c r="D2902" s="0" t="n">
        <f aca="false">INDEX(Intent_Analysis!$E$5:$E$81,MATCH(B2902,Intent_Analysis!$A$5:$A$81,0))</f>
        <v>1</v>
      </c>
    </row>
    <row r="2903" customFormat="false" ht="15" hidden="false" customHeight="false" outlineLevel="0" collapsed="false">
      <c r="A2903" s="0" t="s">
        <v>3227</v>
      </c>
      <c r="B2903" s="0" t="s">
        <v>62</v>
      </c>
      <c r="C2903" s="0" t="str">
        <f aca="false">INDEX(Intent_Analysis!$B$5:$B$81,MATCH(B2903,Intent_Analysis!$A$5:$A$81,0))</f>
        <v>Card usage &amp; features</v>
      </c>
      <c r="D2903" s="0" t="n">
        <f aca="false">INDEX(Intent_Analysis!$E$5:$E$81,MATCH(B2903,Intent_Analysis!$A$5:$A$81,0))</f>
        <v>1</v>
      </c>
    </row>
    <row r="2904" customFormat="false" ht="15" hidden="false" customHeight="false" outlineLevel="0" collapsed="false">
      <c r="A2904" s="0" t="s">
        <v>3228</v>
      </c>
      <c r="B2904" s="0" t="s">
        <v>62</v>
      </c>
      <c r="C2904" s="0" t="str">
        <f aca="false">INDEX(Intent_Analysis!$B$5:$B$81,MATCH(B2904,Intent_Analysis!$A$5:$A$81,0))</f>
        <v>Card usage &amp; features</v>
      </c>
      <c r="D2904" s="0" t="n">
        <f aca="false">INDEX(Intent_Analysis!$E$5:$E$81,MATCH(B2904,Intent_Analysis!$A$5:$A$81,0))</f>
        <v>1</v>
      </c>
    </row>
    <row r="2905" customFormat="false" ht="15" hidden="false" customHeight="false" outlineLevel="0" collapsed="false">
      <c r="A2905" s="0" t="s">
        <v>3229</v>
      </c>
      <c r="B2905" s="0" t="s">
        <v>62</v>
      </c>
      <c r="C2905" s="0" t="str">
        <f aca="false">INDEX(Intent_Analysis!$B$5:$B$81,MATCH(B2905,Intent_Analysis!$A$5:$A$81,0))</f>
        <v>Card usage &amp; features</v>
      </c>
      <c r="D2905" s="0" t="n">
        <f aca="false">INDEX(Intent_Analysis!$E$5:$E$81,MATCH(B2905,Intent_Analysis!$A$5:$A$81,0))</f>
        <v>1</v>
      </c>
    </row>
    <row r="2906" customFormat="false" ht="15" hidden="false" customHeight="false" outlineLevel="0" collapsed="false">
      <c r="A2906" s="0" t="s">
        <v>3230</v>
      </c>
      <c r="B2906" s="0" t="s">
        <v>62</v>
      </c>
      <c r="C2906" s="0" t="str">
        <f aca="false">INDEX(Intent_Analysis!$B$5:$B$81,MATCH(B2906,Intent_Analysis!$A$5:$A$81,0))</f>
        <v>Card usage &amp; features</v>
      </c>
      <c r="D2906" s="0" t="n">
        <f aca="false">INDEX(Intent_Analysis!$E$5:$E$81,MATCH(B2906,Intent_Analysis!$A$5:$A$81,0))</f>
        <v>1</v>
      </c>
    </row>
    <row r="2907" customFormat="false" ht="15" hidden="false" customHeight="false" outlineLevel="0" collapsed="false">
      <c r="A2907" s="0" t="s">
        <v>3231</v>
      </c>
      <c r="B2907" s="0" t="s">
        <v>62</v>
      </c>
      <c r="C2907" s="0" t="str">
        <f aca="false">INDEX(Intent_Analysis!$B$5:$B$81,MATCH(B2907,Intent_Analysis!$A$5:$A$81,0))</f>
        <v>Card usage &amp; features</v>
      </c>
      <c r="D2907" s="0" t="n">
        <f aca="false">INDEX(Intent_Analysis!$E$5:$E$81,MATCH(B2907,Intent_Analysis!$A$5:$A$81,0))</f>
        <v>1</v>
      </c>
    </row>
    <row r="2908" customFormat="false" ht="15" hidden="false" customHeight="false" outlineLevel="0" collapsed="false">
      <c r="A2908" s="0" t="s">
        <v>3232</v>
      </c>
      <c r="B2908" s="0" t="s">
        <v>62</v>
      </c>
      <c r="C2908" s="0" t="str">
        <f aca="false">INDEX(Intent_Analysis!$B$5:$B$81,MATCH(B2908,Intent_Analysis!$A$5:$A$81,0))</f>
        <v>Card usage &amp; features</v>
      </c>
      <c r="D2908" s="0" t="n">
        <f aca="false">INDEX(Intent_Analysis!$E$5:$E$81,MATCH(B2908,Intent_Analysis!$A$5:$A$81,0))</f>
        <v>1</v>
      </c>
    </row>
    <row r="2909" customFormat="false" ht="15" hidden="false" customHeight="false" outlineLevel="0" collapsed="false">
      <c r="A2909" s="0" t="s">
        <v>3233</v>
      </c>
      <c r="B2909" s="0" t="s">
        <v>62</v>
      </c>
      <c r="C2909" s="0" t="str">
        <f aca="false">INDEX(Intent_Analysis!$B$5:$B$81,MATCH(B2909,Intent_Analysis!$A$5:$A$81,0))</f>
        <v>Card usage &amp; features</v>
      </c>
      <c r="D2909" s="0" t="n">
        <f aca="false">INDEX(Intent_Analysis!$E$5:$E$81,MATCH(B2909,Intent_Analysis!$A$5:$A$81,0))</f>
        <v>1</v>
      </c>
    </row>
    <row r="2910" customFormat="false" ht="15" hidden="false" customHeight="false" outlineLevel="0" collapsed="false">
      <c r="A2910" s="0" t="s">
        <v>3234</v>
      </c>
      <c r="B2910" s="0" t="s">
        <v>62</v>
      </c>
      <c r="C2910" s="0" t="str">
        <f aca="false">INDEX(Intent_Analysis!$B$5:$B$81,MATCH(B2910,Intent_Analysis!$A$5:$A$81,0))</f>
        <v>Card usage &amp; features</v>
      </c>
      <c r="D2910" s="0" t="n">
        <f aca="false">INDEX(Intent_Analysis!$E$5:$E$81,MATCH(B2910,Intent_Analysis!$A$5:$A$81,0))</f>
        <v>1</v>
      </c>
    </row>
    <row r="2911" customFormat="false" ht="15" hidden="false" customHeight="false" outlineLevel="0" collapsed="false">
      <c r="A2911" s="0" t="s">
        <v>3235</v>
      </c>
      <c r="B2911" s="0" t="s">
        <v>62</v>
      </c>
      <c r="C2911" s="0" t="str">
        <f aca="false">INDEX(Intent_Analysis!$B$5:$B$81,MATCH(B2911,Intent_Analysis!$A$5:$A$81,0))</f>
        <v>Card usage &amp; features</v>
      </c>
      <c r="D2911" s="0" t="n">
        <f aca="false">INDEX(Intent_Analysis!$E$5:$E$81,MATCH(B2911,Intent_Analysis!$A$5:$A$81,0))</f>
        <v>1</v>
      </c>
    </row>
    <row r="2912" customFormat="false" ht="15" hidden="false" customHeight="false" outlineLevel="0" collapsed="false">
      <c r="A2912" s="0" t="s">
        <v>3236</v>
      </c>
      <c r="B2912" s="0" t="s">
        <v>62</v>
      </c>
      <c r="C2912" s="0" t="str">
        <f aca="false">INDEX(Intent_Analysis!$B$5:$B$81,MATCH(B2912,Intent_Analysis!$A$5:$A$81,0))</f>
        <v>Card usage &amp; features</v>
      </c>
      <c r="D2912" s="0" t="n">
        <f aca="false">INDEX(Intent_Analysis!$E$5:$E$81,MATCH(B2912,Intent_Analysis!$A$5:$A$81,0))</f>
        <v>1</v>
      </c>
    </row>
    <row r="2913" customFormat="false" ht="15" hidden="false" customHeight="false" outlineLevel="0" collapsed="false">
      <c r="A2913" s="0" t="s">
        <v>3237</v>
      </c>
      <c r="B2913" s="0" t="s">
        <v>62</v>
      </c>
      <c r="C2913" s="0" t="str">
        <f aca="false">INDEX(Intent_Analysis!$B$5:$B$81,MATCH(B2913,Intent_Analysis!$A$5:$A$81,0))</f>
        <v>Card usage &amp; features</v>
      </c>
      <c r="D2913" s="0" t="n">
        <f aca="false">INDEX(Intent_Analysis!$E$5:$E$81,MATCH(B2913,Intent_Analysis!$A$5:$A$81,0))</f>
        <v>1</v>
      </c>
    </row>
    <row r="2914" customFormat="false" ht="15" hidden="false" customHeight="false" outlineLevel="0" collapsed="false">
      <c r="A2914" s="0" t="s">
        <v>3238</v>
      </c>
      <c r="B2914" s="0" t="s">
        <v>62</v>
      </c>
      <c r="C2914" s="0" t="str">
        <f aca="false">INDEX(Intent_Analysis!$B$5:$B$81,MATCH(B2914,Intent_Analysis!$A$5:$A$81,0))</f>
        <v>Card usage &amp; features</v>
      </c>
      <c r="D2914" s="0" t="n">
        <f aca="false">INDEX(Intent_Analysis!$E$5:$E$81,MATCH(B2914,Intent_Analysis!$A$5:$A$81,0))</f>
        <v>1</v>
      </c>
    </row>
    <row r="2915" customFormat="false" ht="15" hidden="false" customHeight="false" outlineLevel="0" collapsed="false">
      <c r="A2915" s="0" t="s">
        <v>3239</v>
      </c>
      <c r="B2915" s="0" t="s">
        <v>62</v>
      </c>
      <c r="C2915" s="0" t="str">
        <f aca="false">INDEX(Intent_Analysis!$B$5:$B$81,MATCH(B2915,Intent_Analysis!$A$5:$A$81,0))</f>
        <v>Card usage &amp; features</v>
      </c>
      <c r="D2915" s="0" t="n">
        <f aca="false">INDEX(Intent_Analysis!$E$5:$E$81,MATCH(B2915,Intent_Analysis!$A$5:$A$81,0))</f>
        <v>1</v>
      </c>
    </row>
    <row r="2916" customFormat="false" ht="15" hidden="false" customHeight="false" outlineLevel="0" collapsed="false">
      <c r="A2916" s="0" t="s">
        <v>3240</v>
      </c>
      <c r="B2916" s="0" t="s">
        <v>62</v>
      </c>
      <c r="C2916" s="0" t="str">
        <f aca="false">INDEX(Intent_Analysis!$B$5:$B$81,MATCH(B2916,Intent_Analysis!$A$5:$A$81,0))</f>
        <v>Card usage &amp; features</v>
      </c>
      <c r="D2916" s="0" t="n">
        <f aca="false">INDEX(Intent_Analysis!$E$5:$E$81,MATCH(B2916,Intent_Analysis!$A$5:$A$81,0))</f>
        <v>1</v>
      </c>
    </row>
    <row r="2917" customFormat="false" ht="15" hidden="false" customHeight="false" outlineLevel="0" collapsed="false">
      <c r="A2917" s="0" t="s">
        <v>3241</v>
      </c>
      <c r="B2917" s="0" t="s">
        <v>62</v>
      </c>
      <c r="C2917" s="0" t="str">
        <f aca="false">INDEX(Intent_Analysis!$B$5:$B$81,MATCH(B2917,Intent_Analysis!$A$5:$A$81,0))</f>
        <v>Card usage &amp; features</v>
      </c>
      <c r="D2917" s="0" t="n">
        <f aca="false">INDEX(Intent_Analysis!$E$5:$E$81,MATCH(B2917,Intent_Analysis!$A$5:$A$81,0))</f>
        <v>1</v>
      </c>
    </row>
    <row r="2918" customFormat="false" ht="15" hidden="false" customHeight="false" outlineLevel="0" collapsed="false">
      <c r="A2918" s="0" t="s">
        <v>3242</v>
      </c>
      <c r="B2918" s="0" t="s">
        <v>62</v>
      </c>
      <c r="C2918" s="0" t="str">
        <f aca="false">INDEX(Intent_Analysis!$B$5:$B$81,MATCH(B2918,Intent_Analysis!$A$5:$A$81,0))</f>
        <v>Card usage &amp; features</v>
      </c>
      <c r="D2918" s="0" t="n">
        <f aca="false">INDEX(Intent_Analysis!$E$5:$E$81,MATCH(B2918,Intent_Analysis!$A$5:$A$81,0))</f>
        <v>1</v>
      </c>
    </row>
    <row r="2919" customFormat="false" ht="15" hidden="false" customHeight="false" outlineLevel="0" collapsed="false">
      <c r="A2919" s="0" t="s">
        <v>3243</v>
      </c>
      <c r="B2919" s="0" t="s">
        <v>62</v>
      </c>
      <c r="C2919" s="0" t="str">
        <f aca="false">INDEX(Intent_Analysis!$B$5:$B$81,MATCH(B2919,Intent_Analysis!$A$5:$A$81,0))</f>
        <v>Card usage &amp; features</v>
      </c>
      <c r="D2919" s="0" t="n">
        <f aca="false">INDEX(Intent_Analysis!$E$5:$E$81,MATCH(B2919,Intent_Analysis!$A$5:$A$81,0))</f>
        <v>1</v>
      </c>
    </row>
    <row r="2920" customFormat="false" ht="15" hidden="false" customHeight="false" outlineLevel="0" collapsed="false">
      <c r="A2920" s="0" t="s">
        <v>3244</v>
      </c>
      <c r="B2920" s="0" t="s">
        <v>62</v>
      </c>
      <c r="C2920" s="0" t="str">
        <f aca="false">INDEX(Intent_Analysis!$B$5:$B$81,MATCH(B2920,Intent_Analysis!$A$5:$A$81,0))</f>
        <v>Card usage &amp; features</v>
      </c>
      <c r="D2920" s="0" t="n">
        <f aca="false">INDEX(Intent_Analysis!$E$5:$E$81,MATCH(B2920,Intent_Analysis!$A$5:$A$81,0))</f>
        <v>1</v>
      </c>
    </row>
    <row r="2921" customFormat="false" ht="15" hidden="false" customHeight="false" outlineLevel="0" collapsed="false">
      <c r="A2921" s="0" t="s">
        <v>3245</v>
      </c>
      <c r="B2921" s="0" t="s">
        <v>62</v>
      </c>
      <c r="C2921" s="0" t="str">
        <f aca="false">INDEX(Intent_Analysis!$B$5:$B$81,MATCH(B2921,Intent_Analysis!$A$5:$A$81,0))</f>
        <v>Card usage &amp; features</v>
      </c>
      <c r="D2921" s="0" t="n">
        <f aca="false">INDEX(Intent_Analysis!$E$5:$E$81,MATCH(B2921,Intent_Analysis!$A$5:$A$81,0))</f>
        <v>1</v>
      </c>
    </row>
    <row r="2922" customFormat="false" ht="15" hidden="false" customHeight="false" outlineLevel="0" collapsed="false">
      <c r="A2922" s="0" t="s">
        <v>3246</v>
      </c>
      <c r="B2922" s="0" t="s">
        <v>62</v>
      </c>
      <c r="C2922" s="0" t="str">
        <f aca="false">INDEX(Intent_Analysis!$B$5:$B$81,MATCH(B2922,Intent_Analysis!$A$5:$A$81,0))</f>
        <v>Card usage &amp; features</v>
      </c>
      <c r="D2922" s="0" t="n">
        <f aca="false">INDEX(Intent_Analysis!$E$5:$E$81,MATCH(B2922,Intent_Analysis!$A$5:$A$81,0))</f>
        <v>1</v>
      </c>
    </row>
    <row r="2923" customFormat="false" ht="15" hidden="false" customHeight="false" outlineLevel="0" collapsed="false">
      <c r="A2923" s="0" t="s">
        <v>3247</v>
      </c>
      <c r="B2923" s="0" t="s">
        <v>62</v>
      </c>
      <c r="C2923" s="0" t="str">
        <f aca="false">INDEX(Intent_Analysis!$B$5:$B$81,MATCH(B2923,Intent_Analysis!$A$5:$A$81,0))</f>
        <v>Card usage &amp; features</v>
      </c>
      <c r="D2923" s="0" t="n">
        <f aca="false">INDEX(Intent_Analysis!$E$5:$E$81,MATCH(B2923,Intent_Analysis!$A$5:$A$81,0))</f>
        <v>1</v>
      </c>
    </row>
    <row r="2924" customFormat="false" ht="15" hidden="false" customHeight="false" outlineLevel="0" collapsed="false">
      <c r="A2924" s="0" t="s">
        <v>3248</v>
      </c>
      <c r="B2924" s="0" t="s">
        <v>62</v>
      </c>
      <c r="C2924" s="0" t="str">
        <f aca="false">INDEX(Intent_Analysis!$B$5:$B$81,MATCH(B2924,Intent_Analysis!$A$5:$A$81,0))</f>
        <v>Card usage &amp; features</v>
      </c>
      <c r="D2924" s="0" t="n">
        <f aca="false">INDEX(Intent_Analysis!$E$5:$E$81,MATCH(B2924,Intent_Analysis!$A$5:$A$81,0))</f>
        <v>1</v>
      </c>
    </row>
    <row r="2925" customFormat="false" ht="15" hidden="false" customHeight="false" outlineLevel="0" collapsed="false">
      <c r="A2925" s="0" t="s">
        <v>3249</v>
      </c>
      <c r="B2925" s="0" t="s">
        <v>62</v>
      </c>
      <c r="C2925" s="0" t="str">
        <f aca="false">INDEX(Intent_Analysis!$B$5:$B$81,MATCH(B2925,Intent_Analysis!$A$5:$A$81,0))</f>
        <v>Card usage &amp; features</v>
      </c>
      <c r="D2925" s="0" t="n">
        <f aca="false">INDEX(Intent_Analysis!$E$5:$E$81,MATCH(B2925,Intent_Analysis!$A$5:$A$81,0))</f>
        <v>1</v>
      </c>
    </row>
    <row r="2926" customFormat="false" ht="15" hidden="false" customHeight="false" outlineLevel="0" collapsed="false">
      <c r="A2926" s="0" t="s">
        <v>3250</v>
      </c>
      <c r="B2926" s="0" t="s">
        <v>62</v>
      </c>
      <c r="C2926" s="0" t="str">
        <f aca="false">INDEX(Intent_Analysis!$B$5:$B$81,MATCH(B2926,Intent_Analysis!$A$5:$A$81,0))</f>
        <v>Card usage &amp; features</v>
      </c>
      <c r="D2926" s="0" t="n">
        <f aca="false">INDEX(Intent_Analysis!$E$5:$E$81,MATCH(B2926,Intent_Analysis!$A$5:$A$81,0))</f>
        <v>1</v>
      </c>
    </row>
    <row r="2927" customFormat="false" ht="15" hidden="false" customHeight="false" outlineLevel="0" collapsed="false">
      <c r="A2927" s="0" t="s">
        <v>3251</v>
      </c>
      <c r="B2927" s="0" t="s">
        <v>62</v>
      </c>
      <c r="C2927" s="0" t="str">
        <f aca="false">INDEX(Intent_Analysis!$B$5:$B$81,MATCH(B2927,Intent_Analysis!$A$5:$A$81,0))</f>
        <v>Card usage &amp; features</v>
      </c>
      <c r="D2927" s="0" t="n">
        <f aca="false">INDEX(Intent_Analysis!$E$5:$E$81,MATCH(B2927,Intent_Analysis!$A$5:$A$81,0))</f>
        <v>1</v>
      </c>
    </row>
    <row r="2928" customFormat="false" ht="15" hidden="false" customHeight="false" outlineLevel="0" collapsed="false">
      <c r="A2928" s="0" t="s">
        <v>3252</v>
      </c>
      <c r="B2928" s="0" t="s">
        <v>62</v>
      </c>
      <c r="C2928" s="0" t="str">
        <f aca="false">INDEX(Intent_Analysis!$B$5:$B$81,MATCH(B2928,Intent_Analysis!$A$5:$A$81,0))</f>
        <v>Card usage &amp; features</v>
      </c>
      <c r="D2928" s="0" t="n">
        <f aca="false">INDEX(Intent_Analysis!$E$5:$E$81,MATCH(B2928,Intent_Analysis!$A$5:$A$81,0))</f>
        <v>1</v>
      </c>
    </row>
    <row r="2929" customFormat="false" ht="15" hidden="false" customHeight="false" outlineLevel="0" collapsed="false">
      <c r="A2929" s="0" t="s">
        <v>3253</v>
      </c>
      <c r="B2929" s="0" t="s">
        <v>62</v>
      </c>
      <c r="C2929" s="0" t="str">
        <f aca="false">INDEX(Intent_Analysis!$B$5:$B$81,MATCH(B2929,Intent_Analysis!$A$5:$A$81,0))</f>
        <v>Card usage &amp; features</v>
      </c>
      <c r="D2929" s="0" t="n">
        <f aca="false">INDEX(Intent_Analysis!$E$5:$E$81,MATCH(B2929,Intent_Analysis!$A$5:$A$81,0))</f>
        <v>1</v>
      </c>
    </row>
    <row r="2930" customFormat="false" ht="15" hidden="false" customHeight="false" outlineLevel="0" collapsed="false">
      <c r="A2930" s="0" t="s">
        <v>3254</v>
      </c>
      <c r="B2930" s="0" t="s">
        <v>62</v>
      </c>
      <c r="C2930" s="0" t="str">
        <f aca="false">INDEX(Intent_Analysis!$B$5:$B$81,MATCH(B2930,Intent_Analysis!$A$5:$A$81,0))</f>
        <v>Card usage &amp; features</v>
      </c>
      <c r="D2930" s="0" t="n">
        <f aca="false">INDEX(Intent_Analysis!$E$5:$E$81,MATCH(B2930,Intent_Analysis!$A$5:$A$81,0))</f>
        <v>1</v>
      </c>
    </row>
    <row r="2931" customFormat="false" ht="15" hidden="false" customHeight="false" outlineLevel="0" collapsed="false">
      <c r="A2931" s="0" t="s">
        <v>3255</v>
      </c>
      <c r="B2931" s="0" t="s">
        <v>62</v>
      </c>
      <c r="C2931" s="0" t="str">
        <f aca="false">INDEX(Intent_Analysis!$B$5:$B$81,MATCH(B2931,Intent_Analysis!$A$5:$A$81,0))</f>
        <v>Card usage &amp; features</v>
      </c>
      <c r="D2931" s="0" t="n">
        <f aca="false">INDEX(Intent_Analysis!$E$5:$E$81,MATCH(B2931,Intent_Analysis!$A$5:$A$81,0))</f>
        <v>1</v>
      </c>
    </row>
    <row r="2932" customFormat="false" ht="15" hidden="false" customHeight="false" outlineLevel="0" collapsed="false">
      <c r="A2932" s="0" t="s">
        <v>3256</v>
      </c>
      <c r="B2932" s="0" t="s">
        <v>62</v>
      </c>
      <c r="C2932" s="0" t="str">
        <f aca="false">INDEX(Intent_Analysis!$B$5:$B$81,MATCH(B2932,Intent_Analysis!$A$5:$A$81,0))</f>
        <v>Card usage &amp; features</v>
      </c>
      <c r="D2932" s="0" t="n">
        <f aca="false">INDEX(Intent_Analysis!$E$5:$E$81,MATCH(B2932,Intent_Analysis!$A$5:$A$81,0))</f>
        <v>1</v>
      </c>
    </row>
    <row r="2933" customFormat="false" ht="15" hidden="false" customHeight="false" outlineLevel="0" collapsed="false">
      <c r="A2933" s="0" t="s">
        <v>3257</v>
      </c>
      <c r="B2933" s="0" t="s">
        <v>62</v>
      </c>
      <c r="C2933" s="0" t="str">
        <f aca="false">INDEX(Intent_Analysis!$B$5:$B$81,MATCH(B2933,Intent_Analysis!$A$5:$A$81,0))</f>
        <v>Card usage &amp; features</v>
      </c>
      <c r="D2933" s="0" t="n">
        <f aca="false">INDEX(Intent_Analysis!$E$5:$E$81,MATCH(B2933,Intent_Analysis!$A$5:$A$81,0))</f>
        <v>1</v>
      </c>
    </row>
    <row r="2934" customFormat="false" ht="15" hidden="false" customHeight="false" outlineLevel="0" collapsed="false">
      <c r="A2934" s="0" t="s">
        <v>3258</v>
      </c>
      <c r="B2934" s="0" t="s">
        <v>62</v>
      </c>
      <c r="C2934" s="0" t="str">
        <f aca="false">INDEX(Intent_Analysis!$B$5:$B$81,MATCH(B2934,Intent_Analysis!$A$5:$A$81,0))</f>
        <v>Card usage &amp; features</v>
      </c>
      <c r="D2934" s="0" t="n">
        <f aca="false">INDEX(Intent_Analysis!$E$5:$E$81,MATCH(B2934,Intent_Analysis!$A$5:$A$81,0))</f>
        <v>1</v>
      </c>
    </row>
    <row r="2935" customFormat="false" ht="15" hidden="false" customHeight="false" outlineLevel="0" collapsed="false">
      <c r="A2935" s="0" t="s">
        <v>3259</v>
      </c>
      <c r="B2935" s="0" t="s">
        <v>62</v>
      </c>
      <c r="C2935" s="0" t="str">
        <f aca="false">INDEX(Intent_Analysis!$B$5:$B$81,MATCH(B2935,Intent_Analysis!$A$5:$A$81,0))</f>
        <v>Card usage &amp; features</v>
      </c>
      <c r="D2935" s="0" t="n">
        <f aca="false">INDEX(Intent_Analysis!$E$5:$E$81,MATCH(B2935,Intent_Analysis!$A$5:$A$81,0))</f>
        <v>1</v>
      </c>
    </row>
    <row r="2936" customFormat="false" ht="15" hidden="false" customHeight="false" outlineLevel="0" collapsed="false">
      <c r="A2936" s="0" t="s">
        <v>3260</v>
      </c>
      <c r="B2936" s="0" t="s">
        <v>62</v>
      </c>
      <c r="C2936" s="0" t="str">
        <f aca="false">INDEX(Intent_Analysis!$B$5:$B$81,MATCH(B2936,Intent_Analysis!$A$5:$A$81,0))</f>
        <v>Card usage &amp; features</v>
      </c>
      <c r="D2936" s="0" t="n">
        <f aca="false">INDEX(Intent_Analysis!$E$5:$E$81,MATCH(B2936,Intent_Analysis!$A$5:$A$81,0))</f>
        <v>1</v>
      </c>
    </row>
    <row r="2937" customFormat="false" ht="15" hidden="false" customHeight="false" outlineLevel="0" collapsed="false">
      <c r="A2937" s="0" t="s">
        <v>3261</v>
      </c>
      <c r="B2937" s="0" t="s">
        <v>62</v>
      </c>
      <c r="C2937" s="0" t="str">
        <f aca="false">INDEX(Intent_Analysis!$B$5:$B$81,MATCH(B2937,Intent_Analysis!$A$5:$A$81,0))</f>
        <v>Card usage &amp; features</v>
      </c>
      <c r="D2937" s="0" t="n">
        <f aca="false">INDEX(Intent_Analysis!$E$5:$E$81,MATCH(B2937,Intent_Analysis!$A$5:$A$81,0))</f>
        <v>1</v>
      </c>
    </row>
    <row r="2938" customFormat="false" ht="15" hidden="false" customHeight="false" outlineLevel="0" collapsed="false">
      <c r="A2938" s="0" t="s">
        <v>3262</v>
      </c>
      <c r="B2938" s="0" t="s">
        <v>62</v>
      </c>
      <c r="C2938" s="0" t="str">
        <f aca="false">INDEX(Intent_Analysis!$B$5:$B$81,MATCH(B2938,Intent_Analysis!$A$5:$A$81,0))</f>
        <v>Card usage &amp; features</v>
      </c>
      <c r="D2938" s="0" t="n">
        <f aca="false">INDEX(Intent_Analysis!$E$5:$E$81,MATCH(B2938,Intent_Analysis!$A$5:$A$81,0))</f>
        <v>1</v>
      </c>
    </row>
    <row r="2939" customFormat="false" ht="15" hidden="false" customHeight="false" outlineLevel="0" collapsed="false">
      <c r="A2939" s="0" t="s">
        <v>3263</v>
      </c>
      <c r="B2939" s="0" t="s">
        <v>62</v>
      </c>
      <c r="C2939" s="0" t="str">
        <f aca="false">INDEX(Intent_Analysis!$B$5:$B$81,MATCH(B2939,Intent_Analysis!$A$5:$A$81,0))</f>
        <v>Card usage &amp; features</v>
      </c>
      <c r="D2939" s="0" t="n">
        <f aca="false">INDEX(Intent_Analysis!$E$5:$E$81,MATCH(B2939,Intent_Analysis!$A$5:$A$81,0))</f>
        <v>1</v>
      </c>
    </row>
    <row r="2940" customFormat="false" ht="15" hidden="false" customHeight="false" outlineLevel="0" collapsed="false">
      <c r="A2940" s="0" t="s">
        <v>3264</v>
      </c>
      <c r="B2940" s="0" t="s">
        <v>62</v>
      </c>
      <c r="C2940" s="0" t="str">
        <f aca="false">INDEX(Intent_Analysis!$B$5:$B$81,MATCH(B2940,Intent_Analysis!$A$5:$A$81,0))</f>
        <v>Card usage &amp; features</v>
      </c>
      <c r="D2940" s="0" t="n">
        <f aca="false">INDEX(Intent_Analysis!$E$5:$E$81,MATCH(B2940,Intent_Analysis!$A$5:$A$81,0))</f>
        <v>1</v>
      </c>
    </row>
    <row r="2941" customFormat="false" ht="15" hidden="false" customHeight="false" outlineLevel="0" collapsed="false">
      <c r="A2941" s="0" t="s">
        <v>3265</v>
      </c>
      <c r="B2941" s="0" t="s">
        <v>62</v>
      </c>
      <c r="C2941" s="0" t="str">
        <f aca="false">INDEX(Intent_Analysis!$B$5:$B$81,MATCH(B2941,Intent_Analysis!$A$5:$A$81,0))</f>
        <v>Card usage &amp; features</v>
      </c>
      <c r="D2941" s="0" t="n">
        <f aca="false">INDEX(Intent_Analysis!$E$5:$E$81,MATCH(B2941,Intent_Analysis!$A$5:$A$81,0))</f>
        <v>1</v>
      </c>
    </row>
    <row r="2942" customFormat="false" ht="15" hidden="false" customHeight="false" outlineLevel="0" collapsed="false">
      <c r="A2942" s="0" t="s">
        <v>3266</v>
      </c>
      <c r="B2942" s="0" t="s">
        <v>62</v>
      </c>
      <c r="C2942" s="0" t="str">
        <f aca="false">INDEX(Intent_Analysis!$B$5:$B$81,MATCH(B2942,Intent_Analysis!$A$5:$A$81,0))</f>
        <v>Card usage &amp; features</v>
      </c>
      <c r="D2942" s="0" t="n">
        <f aca="false">INDEX(Intent_Analysis!$E$5:$E$81,MATCH(B2942,Intent_Analysis!$A$5:$A$81,0))</f>
        <v>1</v>
      </c>
    </row>
    <row r="2943" customFormat="false" ht="15" hidden="false" customHeight="false" outlineLevel="0" collapsed="false">
      <c r="A2943" s="0" t="s">
        <v>3267</v>
      </c>
      <c r="B2943" s="0" t="s">
        <v>62</v>
      </c>
      <c r="C2943" s="0" t="str">
        <f aca="false">INDEX(Intent_Analysis!$B$5:$B$81,MATCH(B2943,Intent_Analysis!$A$5:$A$81,0))</f>
        <v>Card usage &amp; features</v>
      </c>
      <c r="D2943" s="0" t="n">
        <f aca="false">INDEX(Intent_Analysis!$E$5:$E$81,MATCH(B2943,Intent_Analysis!$A$5:$A$81,0))</f>
        <v>1</v>
      </c>
    </row>
    <row r="2944" customFormat="false" ht="15" hidden="false" customHeight="false" outlineLevel="0" collapsed="false">
      <c r="A2944" s="0" t="s">
        <v>3268</v>
      </c>
      <c r="B2944" s="0" t="s">
        <v>62</v>
      </c>
      <c r="C2944" s="0" t="str">
        <f aca="false">INDEX(Intent_Analysis!$B$5:$B$81,MATCH(B2944,Intent_Analysis!$A$5:$A$81,0))</f>
        <v>Card usage &amp; features</v>
      </c>
      <c r="D2944" s="0" t="n">
        <f aca="false">INDEX(Intent_Analysis!$E$5:$E$81,MATCH(B2944,Intent_Analysis!$A$5:$A$81,0))</f>
        <v>1</v>
      </c>
    </row>
    <row r="2945" customFormat="false" ht="15" hidden="false" customHeight="false" outlineLevel="0" collapsed="false">
      <c r="A2945" s="0" t="s">
        <v>3269</v>
      </c>
      <c r="B2945" s="0" t="s">
        <v>62</v>
      </c>
      <c r="C2945" s="0" t="str">
        <f aca="false">INDEX(Intent_Analysis!$B$5:$B$81,MATCH(B2945,Intent_Analysis!$A$5:$A$81,0))</f>
        <v>Card usage &amp; features</v>
      </c>
      <c r="D2945" s="0" t="n">
        <f aca="false">INDEX(Intent_Analysis!$E$5:$E$81,MATCH(B2945,Intent_Analysis!$A$5:$A$81,0))</f>
        <v>1</v>
      </c>
    </row>
    <row r="2946" customFormat="false" ht="15" hidden="false" customHeight="false" outlineLevel="0" collapsed="false">
      <c r="A2946" s="0" t="s">
        <v>3270</v>
      </c>
      <c r="B2946" s="0" t="s">
        <v>62</v>
      </c>
      <c r="C2946" s="0" t="str">
        <f aca="false">INDEX(Intent_Analysis!$B$5:$B$81,MATCH(B2946,Intent_Analysis!$A$5:$A$81,0))</f>
        <v>Card usage &amp; features</v>
      </c>
      <c r="D2946" s="0" t="n">
        <f aca="false">INDEX(Intent_Analysis!$E$5:$E$81,MATCH(B2946,Intent_Analysis!$A$5:$A$81,0))</f>
        <v>1</v>
      </c>
    </row>
    <row r="2947" customFormat="false" ht="15" hidden="false" customHeight="false" outlineLevel="0" collapsed="false">
      <c r="A2947" s="0" t="s">
        <v>3271</v>
      </c>
      <c r="B2947" s="0" t="s">
        <v>62</v>
      </c>
      <c r="C2947" s="0" t="str">
        <f aca="false">INDEX(Intent_Analysis!$B$5:$B$81,MATCH(B2947,Intent_Analysis!$A$5:$A$81,0))</f>
        <v>Card usage &amp; features</v>
      </c>
      <c r="D2947" s="0" t="n">
        <f aca="false">INDEX(Intent_Analysis!$E$5:$E$81,MATCH(B2947,Intent_Analysis!$A$5:$A$81,0))</f>
        <v>1</v>
      </c>
    </row>
    <row r="2948" customFormat="false" ht="15" hidden="false" customHeight="false" outlineLevel="0" collapsed="false">
      <c r="A2948" s="0" t="s">
        <v>3272</v>
      </c>
      <c r="B2948" s="0" t="s">
        <v>62</v>
      </c>
      <c r="C2948" s="0" t="str">
        <f aca="false">INDEX(Intent_Analysis!$B$5:$B$81,MATCH(B2948,Intent_Analysis!$A$5:$A$81,0))</f>
        <v>Card usage &amp; features</v>
      </c>
      <c r="D2948" s="0" t="n">
        <f aca="false">INDEX(Intent_Analysis!$E$5:$E$81,MATCH(B2948,Intent_Analysis!$A$5:$A$81,0))</f>
        <v>1</v>
      </c>
    </row>
    <row r="2949" customFormat="false" ht="15" hidden="false" customHeight="false" outlineLevel="0" collapsed="false">
      <c r="A2949" s="0" t="s">
        <v>3273</v>
      </c>
      <c r="B2949" s="0" t="s">
        <v>62</v>
      </c>
      <c r="C2949" s="0" t="str">
        <f aca="false">INDEX(Intent_Analysis!$B$5:$B$81,MATCH(B2949,Intent_Analysis!$A$5:$A$81,0))</f>
        <v>Card usage &amp; features</v>
      </c>
      <c r="D2949" s="0" t="n">
        <f aca="false">INDEX(Intent_Analysis!$E$5:$E$81,MATCH(B2949,Intent_Analysis!$A$5:$A$81,0))</f>
        <v>1</v>
      </c>
    </row>
    <row r="2950" customFormat="false" ht="15" hidden="false" customHeight="false" outlineLevel="0" collapsed="false">
      <c r="A2950" s="0" t="s">
        <v>3274</v>
      </c>
      <c r="B2950" s="0" t="s">
        <v>62</v>
      </c>
      <c r="C2950" s="0" t="str">
        <f aca="false">INDEX(Intent_Analysis!$B$5:$B$81,MATCH(B2950,Intent_Analysis!$A$5:$A$81,0))</f>
        <v>Card usage &amp; features</v>
      </c>
      <c r="D2950" s="0" t="n">
        <f aca="false">INDEX(Intent_Analysis!$E$5:$E$81,MATCH(B2950,Intent_Analysis!$A$5:$A$81,0))</f>
        <v>1</v>
      </c>
    </row>
    <row r="2951" customFormat="false" ht="15" hidden="false" customHeight="false" outlineLevel="0" collapsed="false">
      <c r="A2951" s="0" t="s">
        <v>3275</v>
      </c>
      <c r="B2951" s="0" t="s">
        <v>62</v>
      </c>
      <c r="C2951" s="0" t="str">
        <f aca="false">INDEX(Intent_Analysis!$B$5:$B$81,MATCH(B2951,Intent_Analysis!$A$5:$A$81,0))</f>
        <v>Card usage &amp; features</v>
      </c>
      <c r="D2951" s="0" t="n">
        <f aca="false">INDEX(Intent_Analysis!$E$5:$E$81,MATCH(B2951,Intent_Analysis!$A$5:$A$81,0))</f>
        <v>1</v>
      </c>
    </row>
    <row r="2952" customFormat="false" ht="15" hidden="false" customHeight="false" outlineLevel="0" collapsed="false">
      <c r="A2952" s="0" t="s">
        <v>3276</v>
      </c>
      <c r="B2952" s="0" t="s">
        <v>62</v>
      </c>
      <c r="C2952" s="0" t="str">
        <f aca="false">INDEX(Intent_Analysis!$B$5:$B$81,MATCH(B2952,Intent_Analysis!$A$5:$A$81,0))</f>
        <v>Card usage &amp; features</v>
      </c>
      <c r="D2952" s="0" t="n">
        <f aca="false">INDEX(Intent_Analysis!$E$5:$E$81,MATCH(B2952,Intent_Analysis!$A$5:$A$81,0))</f>
        <v>1</v>
      </c>
    </row>
    <row r="2953" customFormat="false" ht="15" hidden="false" customHeight="false" outlineLevel="0" collapsed="false">
      <c r="A2953" s="0" t="s">
        <v>3277</v>
      </c>
      <c r="B2953" s="0" t="s">
        <v>62</v>
      </c>
      <c r="C2953" s="0" t="str">
        <f aca="false">INDEX(Intent_Analysis!$B$5:$B$81,MATCH(B2953,Intent_Analysis!$A$5:$A$81,0))</f>
        <v>Card usage &amp; features</v>
      </c>
      <c r="D2953" s="0" t="n">
        <f aca="false">INDEX(Intent_Analysis!$E$5:$E$81,MATCH(B2953,Intent_Analysis!$A$5:$A$81,0))</f>
        <v>1</v>
      </c>
    </row>
    <row r="2954" customFormat="false" ht="15" hidden="false" customHeight="false" outlineLevel="0" collapsed="false">
      <c r="A2954" s="0" t="s">
        <v>3278</v>
      </c>
      <c r="B2954" s="0" t="s">
        <v>62</v>
      </c>
      <c r="C2954" s="0" t="str">
        <f aca="false">INDEX(Intent_Analysis!$B$5:$B$81,MATCH(B2954,Intent_Analysis!$A$5:$A$81,0))</f>
        <v>Card usage &amp; features</v>
      </c>
      <c r="D2954" s="0" t="n">
        <f aca="false">INDEX(Intent_Analysis!$E$5:$E$81,MATCH(B2954,Intent_Analysis!$A$5:$A$81,0))</f>
        <v>1</v>
      </c>
    </row>
    <row r="2955" customFormat="false" ht="15" hidden="false" customHeight="false" outlineLevel="0" collapsed="false">
      <c r="A2955" s="0" t="s">
        <v>3279</v>
      </c>
      <c r="B2955" s="0" t="s">
        <v>62</v>
      </c>
      <c r="C2955" s="0" t="str">
        <f aca="false">INDEX(Intent_Analysis!$B$5:$B$81,MATCH(B2955,Intent_Analysis!$A$5:$A$81,0))</f>
        <v>Card usage &amp; features</v>
      </c>
      <c r="D2955" s="0" t="n">
        <f aca="false">INDEX(Intent_Analysis!$E$5:$E$81,MATCH(B2955,Intent_Analysis!$A$5:$A$81,0))</f>
        <v>1</v>
      </c>
    </row>
    <row r="2956" customFormat="false" ht="15" hidden="false" customHeight="false" outlineLevel="0" collapsed="false">
      <c r="A2956" s="0" t="s">
        <v>3280</v>
      </c>
      <c r="B2956" s="0" t="s">
        <v>62</v>
      </c>
      <c r="C2956" s="0" t="str">
        <f aca="false">INDEX(Intent_Analysis!$B$5:$B$81,MATCH(B2956,Intent_Analysis!$A$5:$A$81,0))</f>
        <v>Card usage &amp; features</v>
      </c>
      <c r="D2956" s="0" t="n">
        <f aca="false">INDEX(Intent_Analysis!$E$5:$E$81,MATCH(B2956,Intent_Analysis!$A$5:$A$81,0))</f>
        <v>1</v>
      </c>
    </row>
    <row r="2957" customFormat="false" ht="15" hidden="false" customHeight="false" outlineLevel="0" collapsed="false">
      <c r="A2957" s="0" t="s">
        <v>3281</v>
      </c>
      <c r="B2957" s="0" t="s">
        <v>62</v>
      </c>
      <c r="C2957" s="0" t="str">
        <f aca="false">INDEX(Intent_Analysis!$B$5:$B$81,MATCH(B2957,Intent_Analysis!$A$5:$A$81,0))</f>
        <v>Card usage &amp; features</v>
      </c>
      <c r="D2957" s="0" t="n">
        <f aca="false">INDEX(Intent_Analysis!$E$5:$E$81,MATCH(B2957,Intent_Analysis!$A$5:$A$81,0))</f>
        <v>1</v>
      </c>
    </row>
    <row r="2958" customFormat="false" ht="15" hidden="false" customHeight="false" outlineLevel="0" collapsed="false">
      <c r="A2958" s="0" t="s">
        <v>3282</v>
      </c>
      <c r="B2958" s="0" t="s">
        <v>62</v>
      </c>
      <c r="C2958" s="0" t="str">
        <f aca="false">INDEX(Intent_Analysis!$B$5:$B$81,MATCH(B2958,Intent_Analysis!$A$5:$A$81,0))</f>
        <v>Card usage &amp; features</v>
      </c>
      <c r="D2958" s="0" t="n">
        <f aca="false">INDEX(Intent_Analysis!$E$5:$E$81,MATCH(B2958,Intent_Analysis!$A$5:$A$81,0))</f>
        <v>1</v>
      </c>
    </row>
    <row r="2959" customFormat="false" ht="15" hidden="false" customHeight="false" outlineLevel="0" collapsed="false">
      <c r="A2959" s="0" t="s">
        <v>3283</v>
      </c>
      <c r="B2959" s="0" t="s">
        <v>62</v>
      </c>
      <c r="C2959" s="0" t="str">
        <f aca="false">INDEX(Intent_Analysis!$B$5:$B$81,MATCH(B2959,Intent_Analysis!$A$5:$A$81,0))</f>
        <v>Card usage &amp; features</v>
      </c>
      <c r="D2959" s="0" t="n">
        <f aca="false">INDEX(Intent_Analysis!$E$5:$E$81,MATCH(B2959,Intent_Analysis!$A$5:$A$81,0))</f>
        <v>1</v>
      </c>
    </row>
    <row r="2960" customFormat="false" ht="15" hidden="false" customHeight="false" outlineLevel="0" collapsed="false">
      <c r="A2960" s="0" t="s">
        <v>3284</v>
      </c>
      <c r="B2960" s="0" t="s">
        <v>62</v>
      </c>
      <c r="C2960" s="0" t="str">
        <f aca="false">INDEX(Intent_Analysis!$B$5:$B$81,MATCH(B2960,Intent_Analysis!$A$5:$A$81,0))</f>
        <v>Card usage &amp; features</v>
      </c>
      <c r="D2960" s="0" t="n">
        <f aca="false">INDEX(Intent_Analysis!$E$5:$E$81,MATCH(B2960,Intent_Analysis!$A$5:$A$81,0))</f>
        <v>1</v>
      </c>
    </row>
    <row r="2961" customFormat="false" ht="15" hidden="false" customHeight="false" outlineLevel="0" collapsed="false">
      <c r="A2961" s="0" t="s">
        <v>3285</v>
      </c>
      <c r="B2961" s="0" t="s">
        <v>62</v>
      </c>
      <c r="C2961" s="0" t="str">
        <f aca="false">INDEX(Intent_Analysis!$B$5:$B$81,MATCH(B2961,Intent_Analysis!$A$5:$A$81,0))</f>
        <v>Card usage &amp; features</v>
      </c>
      <c r="D2961" s="0" t="n">
        <f aca="false">INDEX(Intent_Analysis!$E$5:$E$81,MATCH(B2961,Intent_Analysis!$A$5:$A$81,0))</f>
        <v>1</v>
      </c>
    </row>
    <row r="2962" customFormat="false" ht="15" hidden="false" customHeight="false" outlineLevel="0" collapsed="false">
      <c r="A2962" s="0" t="s">
        <v>3286</v>
      </c>
      <c r="B2962" s="0" t="s">
        <v>62</v>
      </c>
      <c r="C2962" s="0" t="str">
        <f aca="false">INDEX(Intent_Analysis!$B$5:$B$81,MATCH(B2962,Intent_Analysis!$A$5:$A$81,0))</f>
        <v>Card usage &amp; features</v>
      </c>
      <c r="D2962" s="0" t="n">
        <f aca="false">INDEX(Intent_Analysis!$E$5:$E$81,MATCH(B2962,Intent_Analysis!$A$5:$A$81,0))</f>
        <v>1</v>
      </c>
    </row>
    <row r="2963" customFormat="false" ht="15" hidden="false" customHeight="false" outlineLevel="0" collapsed="false">
      <c r="A2963" s="0" t="s">
        <v>3287</v>
      </c>
      <c r="B2963" s="0" t="s">
        <v>62</v>
      </c>
      <c r="C2963" s="0" t="str">
        <f aca="false">INDEX(Intent_Analysis!$B$5:$B$81,MATCH(B2963,Intent_Analysis!$A$5:$A$81,0))</f>
        <v>Card usage &amp; features</v>
      </c>
      <c r="D2963" s="0" t="n">
        <f aca="false">INDEX(Intent_Analysis!$E$5:$E$81,MATCH(B2963,Intent_Analysis!$A$5:$A$81,0))</f>
        <v>1</v>
      </c>
    </row>
    <row r="2964" customFormat="false" ht="15" hidden="false" customHeight="false" outlineLevel="0" collapsed="false">
      <c r="A2964" s="0" t="s">
        <v>3288</v>
      </c>
      <c r="B2964" s="0" t="s">
        <v>62</v>
      </c>
      <c r="C2964" s="0" t="str">
        <f aca="false">INDEX(Intent_Analysis!$B$5:$B$81,MATCH(B2964,Intent_Analysis!$A$5:$A$81,0))</f>
        <v>Card usage &amp; features</v>
      </c>
      <c r="D2964" s="0" t="n">
        <f aca="false">INDEX(Intent_Analysis!$E$5:$E$81,MATCH(B2964,Intent_Analysis!$A$5:$A$81,0))</f>
        <v>1</v>
      </c>
    </row>
    <row r="2965" customFormat="false" ht="15" hidden="false" customHeight="false" outlineLevel="0" collapsed="false">
      <c r="A2965" s="0" t="s">
        <v>3289</v>
      </c>
      <c r="B2965" s="0" t="s">
        <v>62</v>
      </c>
      <c r="C2965" s="0" t="str">
        <f aca="false">INDEX(Intent_Analysis!$B$5:$B$81,MATCH(B2965,Intent_Analysis!$A$5:$A$81,0))</f>
        <v>Card usage &amp; features</v>
      </c>
      <c r="D2965" s="0" t="n">
        <f aca="false">INDEX(Intent_Analysis!$E$5:$E$81,MATCH(B2965,Intent_Analysis!$A$5:$A$81,0))</f>
        <v>1</v>
      </c>
    </row>
    <row r="2966" customFormat="false" ht="15" hidden="false" customHeight="false" outlineLevel="0" collapsed="false">
      <c r="A2966" s="0" t="s">
        <v>3290</v>
      </c>
      <c r="B2966" s="0" t="s">
        <v>62</v>
      </c>
      <c r="C2966" s="0" t="str">
        <f aca="false">INDEX(Intent_Analysis!$B$5:$B$81,MATCH(B2966,Intent_Analysis!$A$5:$A$81,0))</f>
        <v>Card usage &amp; features</v>
      </c>
      <c r="D2966" s="0" t="n">
        <f aca="false">INDEX(Intent_Analysis!$E$5:$E$81,MATCH(B2966,Intent_Analysis!$A$5:$A$81,0))</f>
        <v>1</v>
      </c>
    </row>
    <row r="2967" customFormat="false" ht="15" hidden="false" customHeight="false" outlineLevel="0" collapsed="false">
      <c r="A2967" s="0" t="s">
        <v>3291</v>
      </c>
      <c r="B2967" s="0" t="s">
        <v>62</v>
      </c>
      <c r="C2967" s="0" t="str">
        <f aca="false">INDEX(Intent_Analysis!$B$5:$B$81,MATCH(B2967,Intent_Analysis!$A$5:$A$81,0))</f>
        <v>Card usage &amp; features</v>
      </c>
      <c r="D2967" s="0" t="n">
        <f aca="false">INDEX(Intent_Analysis!$E$5:$E$81,MATCH(B2967,Intent_Analysis!$A$5:$A$81,0))</f>
        <v>1</v>
      </c>
    </row>
    <row r="2968" customFormat="false" ht="15" hidden="false" customHeight="false" outlineLevel="0" collapsed="false">
      <c r="A2968" s="0" t="s">
        <v>3292</v>
      </c>
      <c r="B2968" s="0" t="s">
        <v>62</v>
      </c>
      <c r="C2968" s="0" t="str">
        <f aca="false">INDEX(Intent_Analysis!$B$5:$B$81,MATCH(B2968,Intent_Analysis!$A$5:$A$81,0))</f>
        <v>Card usage &amp; features</v>
      </c>
      <c r="D2968" s="0" t="n">
        <f aca="false">INDEX(Intent_Analysis!$E$5:$E$81,MATCH(B2968,Intent_Analysis!$A$5:$A$81,0))</f>
        <v>1</v>
      </c>
    </row>
    <row r="2969" customFormat="false" ht="15" hidden="false" customHeight="false" outlineLevel="0" collapsed="false">
      <c r="A2969" s="0" t="s">
        <v>3293</v>
      </c>
      <c r="B2969" s="0" t="s">
        <v>62</v>
      </c>
      <c r="C2969" s="0" t="str">
        <f aca="false">INDEX(Intent_Analysis!$B$5:$B$81,MATCH(B2969,Intent_Analysis!$A$5:$A$81,0))</f>
        <v>Card usage &amp; features</v>
      </c>
      <c r="D2969" s="0" t="n">
        <f aca="false">INDEX(Intent_Analysis!$E$5:$E$81,MATCH(B2969,Intent_Analysis!$A$5:$A$81,0))</f>
        <v>1</v>
      </c>
    </row>
    <row r="2970" customFormat="false" ht="15" hidden="false" customHeight="false" outlineLevel="0" collapsed="false">
      <c r="A2970" s="0" t="s">
        <v>3294</v>
      </c>
      <c r="B2970" s="0" t="s">
        <v>62</v>
      </c>
      <c r="C2970" s="0" t="str">
        <f aca="false">INDEX(Intent_Analysis!$B$5:$B$81,MATCH(B2970,Intent_Analysis!$A$5:$A$81,0))</f>
        <v>Card usage &amp; features</v>
      </c>
      <c r="D2970" s="0" t="n">
        <f aca="false">INDEX(Intent_Analysis!$E$5:$E$81,MATCH(B2970,Intent_Analysis!$A$5:$A$81,0))</f>
        <v>1</v>
      </c>
    </row>
    <row r="2971" customFormat="false" ht="15" hidden="false" customHeight="false" outlineLevel="0" collapsed="false">
      <c r="A2971" s="0" t="s">
        <v>3295</v>
      </c>
      <c r="B2971" s="0" t="s">
        <v>62</v>
      </c>
      <c r="C2971" s="0" t="str">
        <f aca="false">INDEX(Intent_Analysis!$B$5:$B$81,MATCH(B2971,Intent_Analysis!$A$5:$A$81,0))</f>
        <v>Card usage &amp; features</v>
      </c>
      <c r="D2971" s="0" t="n">
        <f aca="false">INDEX(Intent_Analysis!$E$5:$E$81,MATCH(B2971,Intent_Analysis!$A$5:$A$81,0))</f>
        <v>1</v>
      </c>
    </row>
    <row r="2972" customFormat="false" ht="15" hidden="false" customHeight="false" outlineLevel="0" collapsed="false">
      <c r="A2972" s="0" t="s">
        <v>3296</v>
      </c>
      <c r="B2972" s="0" t="s">
        <v>62</v>
      </c>
      <c r="C2972" s="0" t="str">
        <f aca="false">INDEX(Intent_Analysis!$B$5:$B$81,MATCH(B2972,Intent_Analysis!$A$5:$A$81,0))</f>
        <v>Card usage &amp; features</v>
      </c>
      <c r="D2972" s="0" t="n">
        <f aca="false">INDEX(Intent_Analysis!$E$5:$E$81,MATCH(B2972,Intent_Analysis!$A$5:$A$81,0))</f>
        <v>1</v>
      </c>
    </row>
    <row r="2973" customFormat="false" ht="15" hidden="false" customHeight="false" outlineLevel="0" collapsed="false">
      <c r="A2973" s="0" t="s">
        <v>3297</v>
      </c>
      <c r="B2973" s="0" t="s">
        <v>62</v>
      </c>
      <c r="C2973" s="0" t="str">
        <f aca="false">INDEX(Intent_Analysis!$B$5:$B$81,MATCH(B2973,Intent_Analysis!$A$5:$A$81,0))</f>
        <v>Card usage &amp; features</v>
      </c>
      <c r="D2973" s="0" t="n">
        <f aca="false">INDEX(Intent_Analysis!$E$5:$E$81,MATCH(B2973,Intent_Analysis!$A$5:$A$81,0))</f>
        <v>1</v>
      </c>
    </row>
    <row r="2974" customFormat="false" ht="15" hidden="false" customHeight="false" outlineLevel="0" collapsed="false">
      <c r="A2974" s="0" t="s">
        <v>3298</v>
      </c>
      <c r="B2974" s="0" t="s">
        <v>62</v>
      </c>
      <c r="C2974" s="0" t="str">
        <f aca="false">INDEX(Intent_Analysis!$B$5:$B$81,MATCH(B2974,Intent_Analysis!$A$5:$A$81,0))</f>
        <v>Card usage &amp; features</v>
      </c>
      <c r="D2974" s="0" t="n">
        <f aca="false">INDEX(Intent_Analysis!$E$5:$E$81,MATCH(B2974,Intent_Analysis!$A$5:$A$81,0))</f>
        <v>1</v>
      </c>
    </row>
    <row r="2975" customFormat="false" ht="15" hidden="false" customHeight="false" outlineLevel="0" collapsed="false">
      <c r="A2975" s="0" t="s">
        <v>3299</v>
      </c>
      <c r="B2975" s="0" t="s">
        <v>62</v>
      </c>
      <c r="C2975" s="0" t="str">
        <f aca="false">INDEX(Intent_Analysis!$B$5:$B$81,MATCH(B2975,Intent_Analysis!$A$5:$A$81,0))</f>
        <v>Card usage &amp; features</v>
      </c>
      <c r="D2975" s="0" t="n">
        <f aca="false">INDEX(Intent_Analysis!$E$5:$E$81,MATCH(B2975,Intent_Analysis!$A$5:$A$81,0))</f>
        <v>1</v>
      </c>
    </row>
    <row r="2976" customFormat="false" ht="15" hidden="false" customHeight="false" outlineLevel="0" collapsed="false">
      <c r="A2976" s="0" t="s">
        <v>3300</v>
      </c>
      <c r="B2976" s="0" t="s">
        <v>62</v>
      </c>
      <c r="C2976" s="0" t="str">
        <f aca="false">INDEX(Intent_Analysis!$B$5:$B$81,MATCH(B2976,Intent_Analysis!$A$5:$A$81,0))</f>
        <v>Card usage &amp; features</v>
      </c>
      <c r="D2976" s="0" t="n">
        <f aca="false">INDEX(Intent_Analysis!$E$5:$E$81,MATCH(B2976,Intent_Analysis!$A$5:$A$81,0))</f>
        <v>1</v>
      </c>
    </row>
    <row r="2977" customFormat="false" ht="15" hidden="false" customHeight="false" outlineLevel="0" collapsed="false">
      <c r="A2977" s="0" t="s">
        <v>3301</v>
      </c>
      <c r="B2977" s="0" t="s">
        <v>62</v>
      </c>
      <c r="C2977" s="0" t="str">
        <f aca="false">INDEX(Intent_Analysis!$B$5:$B$81,MATCH(B2977,Intent_Analysis!$A$5:$A$81,0))</f>
        <v>Card usage &amp; features</v>
      </c>
      <c r="D2977" s="0" t="n">
        <f aca="false">INDEX(Intent_Analysis!$E$5:$E$81,MATCH(B2977,Intent_Analysis!$A$5:$A$81,0))</f>
        <v>1</v>
      </c>
    </row>
    <row r="2978" customFormat="false" ht="15" hidden="false" customHeight="false" outlineLevel="0" collapsed="false">
      <c r="A2978" s="0" t="s">
        <v>3302</v>
      </c>
      <c r="B2978" s="0" t="s">
        <v>62</v>
      </c>
      <c r="C2978" s="0" t="str">
        <f aca="false">INDEX(Intent_Analysis!$B$5:$B$81,MATCH(B2978,Intent_Analysis!$A$5:$A$81,0))</f>
        <v>Card usage &amp; features</v>
      </c>
      <c r="D2978" s="0" t="n">
        <f aca="false">INDEX(Intent_Analysis!$E$5:$E$81,MATCH(B2978,Intent_Analysis!$A$5:$A$81,0))</f>
        <v>1</v>
      </c>
    </row>
    <row r="2979" customFormat="false" ht="15" hidden="false" customHeight="false" outlineLevel="0" collapsed="false">
      <c r="A2979" s="0" t="s">
        <v>3303</v>
      </c>
      <c r="B2979" s="0" t="s">
        <v>62</v>
      </c>
      <c r="C2979" s="0" t="str">
        <f aca="false">INDEX(Intent_Analysis!$B$5:$B$81,MATCH(B2979,Intent_Analysis!$A$5:$A$81,0))</f>
        <v>Card usage &amp; features</v>
      </c>
      <c r="D2979" s="0" t="n">
        <f aca="false">INDEX(Intent_Analysis!$E$5:$E$81,MATCH(B2979,Intent_Analysis!$A$5:$A$81,0))</f>
        <v>1</v>
      </c>
    </row>
    <row r="2980" customFormat="false" ht="15" hidden="false" customHeight="false" outlineLevel="0" collapsed="false">
      <c r="A2980" s="0" t="s">
        <v>3304</v>
      </c>
      <c r="B2980" s="0" t="s">
        <v>62</v>
      </c>
      <c r="C2980" s="0" t="str">
        <f aca="false">INDEX(Intent_Analysis!$B$5:$B$81,MATCH(B2980,Intent_Analysis!$A$5:$A$81,0))</f>
        <v>Card usage &amp; features</v>
      </c>
      <c r="D2980" s="0" t="n">
        <f aca="false">INDEX(Intent_Analysis!$E$5:$E$81,MATCH(B2980,Intent_Analysis!$A$5:$A$81,0))</f>
        <v>1</v>
      </c>
    </row>
    <row r="2981" customFormat="false" ht="15" hidden="false" customHeight="false" outlineLevel="0" collapsed="false">
      <c r="A2981" s="0" t="s">
        <v>3305</v>
      </c>
      <c r="B2981" s="0" t="s">
        <v>62</v>
      </c>
      <c r="C2981" s="0" t="str">
        <f aca="false">INDEX(Intent_Analysis!$B$5:$B$81,MATCH(B2981,Intent_Analysis!$A$5:$A$81,0))</f>
        <v>Card usage &amp; features</v>
      </c>
      <c r="D2981" s="0" t="n">
        <f aca="false">INDEX(Intent_Analysis!$E$5:$E$81,MATCH(B2981,Intent_Analysis!$A$5:$A$81,0))</f>
        <v>1</v>
      </c>
    </row>
    <row r="2982" customFormat="false" ht="15" hidden="false" customHeight="false" outlineLevel="0" collapsed="false">
      <c r="A2982" s="0" t="s">
        <v>3306</v>
      </c>
      <c r="B2982" s="0" t="s">
        <v>62</v>
      </c>
      <c r="C2982" s="0" t="str">
        <f aca="false">INDEX(Intent_Analysis!$B$5:$B$81,MATCH(B2982,Intent_Analysis!$A$5:$A$81,0))</f>
        <v>Card usage &amp; features</v>
      </c>
      <c r="D2982" s="0" t="n">
        <f aca="false">INDEX(Intent_Analysis!$E$5:$E$81,MATCH(B2982,Intent_Analysis!$A$5:$A$81,0))</f>
        <v>1</v>
      </c>
    </row>
    <row r="2983" customFormat="false" ht="15" hidden="false" customHeight="false" outlineLevel="0" collapsed="false">
      <c r="A2983" s="0" t="s">
        <v>3307</v>
      </c>
      <c r="B2983" s="0" t="s">
        <v>62</v>
      </c>
      <c r="C2983" s="0" t="str">
        <f aca="false">INDEX(Intent_Analysis!$B$5:$B$81,MATCH(B2983,Intent_Analysis!$A$5:$A$81,0))</f>
        <v>Card usage &amp; features</v>
      </c>
      <c r="D2983" s="0" t="n">
        <f aca="false">INDEX(Intent_Analysis!$E$5:$E$81,MATCH(B2983,Intent_Analysis!$A$5:$A$81,0))</f>
        <v>1</v>
      </c>
    </row>
    <row r="2984" customFormat="false" ht="15" hidden="false" customHeight="false" outlineLevel="0" collapsed="false">
      <c r="A2984" s="0" t="s">
        <v>3308</v>
      </c>
      <c r="B2984" s="0" t="s">
        <v>62</v>
      </c>
      <c r="C2984" s="0" t="str">
        <f aca="false">INDEX(Intent_Analysis!$B$5:$B$81,MATCH(B2984,Intent_Analysis!$A$5:$A$81,0))</f>
        <v>Card usage &amp; features</v>
      </c>
      <c r="D2984" s="0" t="n">
        <f aca="false">INDEX(Intent_Analysis!$E$5:$E$81,MATCH(B2984,Intent_Analysis!$A$5:$A$81,0))</f>
        <v>1</v>
      </c>
    </row>
    <row r="2985" customFormat="false" ht="15" hidden="false" customHeight="false" outlineLevel="0" collapsed="false">
      <c r="A2985" s="0" t="s">
        <v>3309</v>
      </c>
      <c r="B2985" s="0" t="s">
        <v>62</v>
      </c>
      <c r="C2985" s="0" t="str">
        <f aca="false">INDEX(Intent_Analysis!$B$5:$B$81,MATCH(B2985,Intent_Analysis!$A$5:$A$81,0))</f>
        <v>Card usage &amp; features</v>
      </c>
      <c r="D2985" s="0" t="n">
        <f aca="false">INDEX(Intent_Analysis!$E$5:$E$81,MATCH(B2985,Intent_Analysis!$A$5:$A$81,0))</f>
        <v>1</v>
      </c>
    </row>
    <row r="2986" customFormat="false" ht="15" hidden="false" customHeight="false" outlineLevel="0" collapsed="false">
      <c r="A2986" s="0" t="s">
        <v>3310</v>
      </c>
      <c r="B2986" s="0" t="s">
        <v>62</v>
      </c>
      <c r="C2986" s="0" t="str">
        <f aca="false">INDEX(Intent_Analysis!$B$5:$B$81,MATCH(B2986,Intent_Analysis!$A$5:$A$81,0))</f>
        <v>Card usage &amp; features</v>
      </c>
      <c r="D2986" s="0" t="n">
        <f aca="false">INDEX(Intent_Analysis!$E$5:$E$81,MATCH(B2986,Intent_Analysis!$A$5:$A$81,0))</f>
        <v>1</v>
      </c>
    </row>
    <row r="2987" customFormat="false" ht="15" hidden="false" customHeight="false" outlineLevel="0" collapsed="false">
      <c r="A2987" s="0" t="s">
        <v>3311</v>
      </c>
      <c r="B2987" s="0" t="s">
        <v>62</v>
      </c>
      <c r="C2987" s="0" t="str">
        <f aca="false">INDEX(Intent_Analysis!$B$5:$B$81,MATCH(B2987,Intent_Analysis!$A$5:$A$81,0))</f>
        <v>Card usage &amp; features</v>
      </c>
      <c r="D2987" s="0" t="n">
        <f aca="false">INDEX(Intent_Analysis!$E$5:$E$81,MATCH(B2987,Intent_Analysis!$A$5:$A$81,0))</f>
        <v>1</v>
      </c>
    </row>
    <row r="2988" customFormat="false" ht="15" hidden="false" customHeight="false" outlineLevel="0" collapsed="false">
      <c r="A2988" s="0" t="s">
        <v>3312</v>
      </c>
      <c r="B2988" s="0" t="s">
        <v>62</v>
      </c>
      <c r="C2988" s="0" t="str">
        <f aca="false">INDEX(Intent_Analysis!$B$5:$B$81,MATCH(B2988,Intent_Analysis!$A$5:$A$81,0))</f>
        <v>Card usage &amp; features</v>
      </c>
      <c r="D2988" s="0" t="n">
        <f aca="false">INDEX(Intent_Analysis!$E$5:$E$81,MATCH(B2988,Intent_Analysis!$A$5:$A$81,0))</f>
        <v>1</v>
      </c>
    </row>
    <row r="2989" customFormat="false" ht="15" hidden="false" customHeight="false" outlineLevel="0" collapsed="false">
      <c r="A2989" s="0" t="s">
        <v>3313</v>
      </c>
      <c r="B2989" s="0" t="s">
        <v>62</v>
      </c>
      <c r="C2989" s="0" t="str">
        <f aca="false">INDEX(Intent_Analysis!$B$5:$B$81,MATCH(B2989,Intent_Analysis!$A$5:$A$81,0))</f>
        <v>Card usage &amp; features</v>
      </c>
      <c r="D2989" s="0" t="n">
        <f aca="false">INDEX(Intent_Analysis!$E$5:$E$81,MATCH(B2989,Intent_Analysis!$A$5:$A$81,0))</f>
        <v>1</v>
      </c>
    </row>
    <row r="2990" customFormat="false" ht="15" hidden="false" customHeight="false" outlineLevel="0" collapsed="false">
      <c r="A2990" s="0" t="s">
        <v>3314</v>
      </c>
      <c r="B2990" s="0" t="s">
        <v>62</v>
      </c>
      <c r="C2990" s="0" t="str">
        <f aca="false">INDEX(Intent_Analysis!$B$5:$B$81,MATCH(B2990,Intent_Analysis!$A$5:$A$81,0))</f>
        <v>Card usage &amp; features</v>
      </c>
      <c r="D2990" s="0" t="n">
        <f aca="false">INDEX(Intent_Analysis!$E$5:$E$81,MATCH(B2990,Intent_Analysis!$A$5:$A$81,0))</f>
        <v>1</v>
      </c>
    </row>
    <row r="2991" customFormat="false" ht="15" hidden="false" customHeight="false" outlineLevel="0" collapsed="false">
      <c r="A2991" s="0" t="s">
        <v>3315</v>
      </c>
      <c r="B2991" s="0" t="s">
        <v>62</v>
      </c>
      <c r="C2991" s="0" t="str">
        <f aca="false">INDEX(Intent_Analysis!$B$5:$B$81,MATCH(B2991,Intent_Analysis!$A$5:$A$81,0))</f>
        <v>Card usage &amp; features</v>
      </c>
      <c r="D2991" s="0" t="n">
        <f aca="false">INDEX(Intent_Analysis!$E$5:$E$81,MATCH(B2991,Intent_Analysis!$A$5:$A$81,0))</f>
        <v>1</v>
      </c>
    </row>
    <row r="2992" customFormat="false" ht="15" hidden="false" customHeight="false" outlineLevel="0" collapsed="false">
      <c r="A2992" s="0" t="s">
        <v>3316</v>
      </c>
      <c r="B2992" s="0" t="s">
        <v>62</v>
      </c>
      <c r="C2992" s="0" t="str">
        <f aca="false">INDEX(Intent_Analysis!$B$5:$B$81,MATCH(B2992,Intent_Analysis!$A$5:$A$81,0))</f>
        <v>Card usage &amp; features</v>
      </c>
      <c r="D2992" s="0" t="n">
        <f aca="false">INDEX(Intent_Analysis!$E$5:$E$81,MATCH(B2992,Intent_Analysis!$A$5:$A$81,0))</f>
        <v>1</v>
      </c>
    </row>
    <row r="2993" customFormat="false" ht="15" hidden="false" customHeight="false" outlineLevel="0" collapsed="false">
      <c r="A2993" s="0" t="s">
        <v>3317</v>
      </c>
      <c r="B2993" s="0" t="s">
        <v>62</v>
      </c>
      <c r="C2993" s="0" t="str">
        <f aca="false">INDEX(Intent_Analysis!$B$5:$B$81,MATCH(B2993,Intent_Analysis!$A$5:$A$81,0))</f>
        <v>Card usage &amp; features</v>
      </c>
      <c r="D2993" s="0" t="n">
        <f aca="false">INDEX(Intent_Analysis!$E$5:$E$81,MATCH(B2993,Intent_Analysis!$A$5:$A$81,0))</f>
        <v>1</v>
      </c>
    </row>
    <row r="2994" customFormat="false" ht="15" hidden="false" customHeight="false" outlineLevel="0" collapsed="false">
      <c r="A2994" s="0" t="s">
        <v>3318</v>
      </c>
      <c r="B2994" s="0" t="s">
        <v>62</v>
      </c>
      <c r="C2994" s="0" t="str">
        <f aca="false">INDEX(Intent_Analysis!$B$5:$B$81,MATCH(B2994,Intent_Analysis!$A$5:$A$81,0))</f>
        <v>Card usage &amp; features</v>
      </c>
      <c r="D2994" s="0" t="n">
        <f aca="false">INDEX(Intent_Analysis!$E$5:$E$81,MATCH(B2994,Intent_Analysis!$A$5:$A$81,0))</f>
        <v>1</v>
      </c>
    </row>
    <row r="2995" customFormat="false" ht="15" hidden="false" customHeight="false" outlineLevel="0" collapsed="false">
      <c r="A2995" s="0" t="s">
        <v>3319</v>
      </c>
      <c r="B2995" s="0" t="s">
        <v>62</v>
      </c>
      <c r="C2995" s="0" t="str">
        <f aca="false">INDEX(Intent_Analysis!$B$5:$B$81,MATCH(B2995,Intent_Analysis!$A$5:$A$81,0))</f>
        <v>Card usage &amp; features</v>
      </c>
      <c r="D2995" s="0" t="n">
        <f aca="false">INDEX(Intent_Analysis!$E$5:$E$81,MATCH(B2995,Intent_Analysis!$A$5:$A$81,0))</f>
        <v>1</v>
      </c>
    </row>
    <row r="2996" customFormat="false" ht="15" hidden="false" customHeight="false" outlineLevel="0" collapsed="false">
      <c r="A2996" s="0" t="s">
        <v>3320</v>
      </c>
      <c r="B2996" s="0" t="s">
        <v>62</v>
      </c>
      <c r="C2996" s="0" t="str">
        <f aca="false">INDEX(Intent_Analysis!$B$5:$B$81,MATCH(B2996,Intent_Analysis!$A$5:$A$81,0))</f>
        <v>Card usage &amp; features</v>
      </c>
      <c r="D2996" s="0" t="n">
        <f aca="false">INDEX(Intent_Analysis!$E$5:$E$81,MATCH(B2996,Intent_Analysis!$A$5:$A$81,0))</f>
        <v>1</v>
      </c>
    </row>
    <row r="2997" customFormat="false" ht="15" hidden="false" customHeight="false" outlineLevel="0" collapsed="false">
      <c r="A2997" s="0" t="s">
        <v>3321</v>
      </c>
      <c r="B2997" s="0" t="s">
        <v>62</v>
      </c>
      <c r="C2997" s="0" t="str">
        <f aca="false">INDEX(Intent_Analysis!$B$5:$B$81,MATCH(B2997,Intent_Analysis!$A$5:$A$81,0))</f>
        <v>Card usage &amp; features</v>
      </c>
      <c r="D2997" s="0" t="n">
        <f aca="false">INDEX(Intent_Analysis!$E$5:$E$81,MATCH(B2997,Intent_Analysis!$A$5:$A$81,0))</f>
        <v>1</v>
      </c>
    </row>
    <row r="2998" customFormat="false" ht="15" hidden="false" customHeight="false" outlineLevel="0" collapsed="false">
      <c r="A2998" s="0" t="s">
        <v>3322</v>
      </c>
      <c r="B2998" s="0" t="s">
        <v>62</v>
      </c>
      <c r="C2998" s="0" t="str">
        <f aca="false">INDEX(Intent_Analysis!$B$5:$B$81,MATCH(B2998,Intent_Analysis!$A$5:$A$81,0))</f>
        <v>Card usage &amp; features</v>
      </c>
      <c r="D2998" s="0" t="n">
        <f aca="false">INDEX(Intent_Analysis!$E$5:$E$81,MATCH(B2998,Intent_Analysis!$A$5:$A$81,0))</f>
        <v>1</v>
      </c>
    </row>
    <row r="2999" customFormat="false" ht="15" hidden="false" customHeight="false" outlineLevel="0" collapsed="false">
      <c r="A2999" s="0" t="s">
        <v>3323</v>
      </c>
      <c r="B2999" s="0" t="s">
        <v>62</v>
      </c>
      <c r="C2999" s="0" t="str">
        <f aca="false">INDEX(Intent_Analysis!$B$5:$B$81,MATCH(B2999,Intent_Analysis!$A$5:$A$81,0))</f>
        <v>Card usage &amp; features</v>
      </c>
      <c r="D2999" s="0" t="n">
        <f aca="false">INDEX(Intent_Analysis!$E$5:$E$81,MATCH(B2999,Intent_Analysis!$A$5:$A$81,0))</f>
        <v>1</v>
      </c>
    </row>
    <row r="3000" customFormat="false" ht="15" hidden="false" customHeight="false" outlineLevel="0" collapsed="false">
      <c r="A3000" s="0" t="s">
        <v>3324</v>
      </c>
      <c r="B3000" s="0" t="s">
        <v>68</v>
      </c>
      <c r="C3000" s="0" t="str">
        <f aca="false">INDEX(Intent_Analysis!$B$5:$B$81,MATCH(B3000,Intent_Analysis!$A$5:$A$81,0))</f>
        <v>Card usage &amp; features</v>
      </c>
      <c r="D3000" s="0" t="n">
        <f aca="false">INDEX(Intent_Analysis!$E$5:$E$81,MATCH(B3000,Intent_Analysis!$A$5:$A$81,0))</f>
        <v>1</v>
      </c>
    </row>
    <row r="3001" customFormat="false" ht="15" hidden="false" customHeight="false" outlineLevel="0" collapsed="false">
      <c r="A3001" s="0" t="s">
        <v>3325</v>
      </c>
      <c r="B3001" s="0" t="s">
        <v>68</v>
      </c>
      <c r="C3001" s="0" t="str">
        <f aca="false">INDEX(Intent_Analysis!$B$5:$B$81,MATCH(B3001,Intent_Analysis!$A$5:$A$81,0))</f>
        <v>Card usage &amp; features</v>
      </c>
      <c r="D3001" s="0" t="n">
        <f aca="false">INDEX(Intent_Analysis!$E$5:$E$81,MATCH(B3001,Intent_Analysis!$A$5:$A$81,0))</f>
        <v>1</v>
      </c>
    </row>
    <row r="3002" customFormat="false" ht="15" hidden="false" customHeight="false" outlineLevel="0" collapsed="false">
      <c r="A3002" s="0" t="s">
        <v>3326</v>
      </c>
      <c r="B3002" s="0" t="s">
        <v>68</v>
      </c>
      <c r="C3002" s="0" t="str">
        <f aca="false">INDEX(Intent_Analysis!$B$5:$B$81,MATCH(B3002,Intent_Analysis!$A$5:$A$81,0))</f>
        <v>Card usage &amp; features</v>
      </c>
      <c r="D3002" s="0" t="n">
        <f aca="false">INDEX(Intent_Analysis!$E$5:$E$81,MATCH(B3002,Intent_Analysis!$A$5:$A$81,0))</f>
        <v>1</v>
      </c>
    </row>
    <row r="3003" customFormat="false" ht="15" hidden="false" customHeight="false" outlineLevel="0" collapsed="false">
      <c r="A3003" s="0" t="s">
        <v>3327</v>
      </c>
      <c r="B3003" s="0" t="s">
        <v>68</v>
      </c>
      <c r="C3003" s="0" t="str">
        <f aca="false">INDEX(Intent_Analysis!$B$5:$B$81,MATCH(B3003,Intent_Analysis!$A$5:$A$81,0))</f>
        <v>Card usage &amp; features</v>
      </c>
      <c r="D3003" s="0" t="n">
        <f aca="false">INDEX(Intent_Analysis!$E$5:$E$81,MATCH(B3003,Intent_Analysis!$A$5:$A$81,0))</f>
        <v>1</v>
      </c>
    </row>
    <row r="3004" customFormat="false" ht="15" hidden="false" customHeight="false" outlineLevel="0" collapsed="false">
      <c r="A3004" s="0" t="s">
        <v>3328</v>
      </c>
      <c r="B3004" s="0" t="s">
        <v>68</v>
      </c>
      <c r="C3004" s="0" t="str">
        <f aca="false">INDEX(Intent_Analysis!$B$5:$B$81,MATCH(B3004,Intent_Analysis!$A$5:$A$81,0))</f>
        <v>Card usage &amp; features</v>
      </c>
      <c r="D3004" s="0" t="n">
        <f aca="false">INDEX(Intent_Analysis!$E$5:$E$81,MATCH(B3004,Intent_Analysis!$A$5:$A$81,0))</f>
        <v>1</v>
      </c>
    </row>
    <row r="3005" customFormat="false" ht="15" hidden="false" customHeight="false" outlineLevel="0" collapsed="false">
      <c r="A3005" s="0" t="s">
        <v>3329</v>
      </c>
      <c r="B3005" s="0" t="s">
        <v>68</v>
      </c>
      <c r="C3005" s="0" t="str">
        <f aca="false">INDEX(Intent_Analysis!$B$5:$B$81,MATCH(B3005,Intent_Analysis!$A$5:$A$81,0))</f>
        <v>Card usage &amp; features</v>
      </c>
      <c r="D3005" s="0" t="n">
        <f aca="false">INDEX(Intent_Analysis!$E$5:$E$81,MATCH(B3005,Intent_Analysis!$A$5:$A$81,0))</f>
        <v>1</v>
      </c>
    </row>
    <row r="3006" customFormat="false" ht="15" hidden="false" customHeight="false" outlineLevel="0" collapsed="false">
      <c r="A3006" s="0" t="s">
        <v>3330</v>
      </c>
      <c r="B3006" s="0" t="s">
        <v>68</v>
      </c>
      <c r="C3006" s="0" t="str">
        <f aca="false">INDEX(Intent_Analysis!$B$5:$B$81,MATCH(B3006,Intent_Analysis!$A$5:$A$81,0))</f>
        <v>Card usage &amp; features</v>
      </c>
      <c r="D3006" s="0" t="n">
        <f aca="false">INDEX(Intent_Analysis!$E$5:$E$81,MATCH(B3006,Intent_Analysis!$A$5:$A$81,0))</f>
        <v>1</v>
      </c>
    </row>
    <row r="3007" customFormat="false" ht="15" hidden="false" customHeight="false" outlineLevel="0" collapsed="false">
      <c r="A3007" s="0" t="s">
        <v>3331</v>
      </c>
      <c r="B3007" s="0" t="s">
        <v>68</v>
      </c>
      <c r="C3007" s="0" t="str">
        <f aca="false">INDEX(Intent_Analysis!$B$5:$B$81,MATCH(B3007,Intent_Analysis!$A$5:$A$81,0))</f>
        <v>Card usage &amp; features</v>
      </c>
      <c r="D3007" s="0" t="n">
        <f aca="false">INDEX(Intent_Analysis!$E$5:$E$81,MATCH(B3007,Intent_Analysis!$A$5:$A$81,0))</f>
        <v>1</v>
      </c>
    </row>
    <row r="3008" customFormat="false" ht="15" hidden="false" customHeight="false" outlineLevel="0" collapsed="false">
      <c r="A3008" s="0" t="s">
        <v>3332</v>
      </c>
      <c r="B3008" s="0" t="s">
        <v>68</v>
      </c>
      <c r="C3008" s="0" t="str">
        <f aca="false">INDEX(Intent_Analysis!$B$5:$B$81,MATCH(B3008,Intent_Analysis!$A$5:$A$81,0))</f>
        <v>Card usage &amp; features</v>
      </c>
      <c r="D3008" s="0" t="n">
        <f aca="false">INDEX(Intent_Analysis!$E$5:$E$81,MATCH(B3008,Intent_Analysis!$A$5:$A$81,0))</f>
        <v>1</v>
      </c>
    </row>
    <row r="3009" customFormat="false" ht="15" hidden="false" customHeight="false" outlineLevel="0" collapsed="false">
      <c r="A3009" s="0" t="s">
        <v>3333</v>
      </c>
      <c r="B3009" s="0" t="s">
        <v>68</v>
      </c>
      <c r="C3009" s="0" t="str">
        <f aca="false">INDEX(Intent_Analysis!$B$5:$B$81,MATCH(B3009,Intent_Analysis!$A$5:$A$81,0))</f>
        <v>Card usage &amp; features</v>
      </c>
      <c r="D3009" s="0" t="n">
        <f aca="false">INDEX(Intent_Analysis!$E$5:$E$81,MATCH(B3009,Intent_Analysis!$A$5:$A$81,0))</f>
        <v>1</v>
      </c>
    </row>
    <row r="3010" customFormat="false" ht="15" hidden="false" customHeight="false" outlineLevel="0" collapsed="false">
      <c r="A3010" s="0" t="s">
        <v>3334</v>
      </c>
      <c r="B3010" s="0" t="s">
        <v>68</v>
      </c>
      <c r="C3010" s="0" t="str">
        <f aca="false">INDEX(Intent_Analysis!$B$5:$B$81,MATCH(B3010,Intent_Analysis!$A$5:$A$81,0))</f>
        <v>Card usage &amp; features</v>
      </c>
      <c r="D3010" s="0" t="n">
        <f aca="false">INDEX(Intent_Analysis!$E$5:$E$81,MATCH(B3010,Intent_Analysis!$A$5:$A$81,0))</f>
        <v>1</v>
      </c>
    </row>
    <row r="3011" customFormat="false" ht="15" hidden="false" customHeight="false" outlineLevel="0" collapsed="false">
      <c r="A3011" s="0" t="s">
        <v>3335</v>
      </c>
      <c r="B3011" s="0" t="s">
        <v>68</v>
      </c>
      <c r="C3011" s="0" t="str">
        <f aca="false">INDEX(Intent_Analysis!$B$5:$B$81,MATCH(B3011,Intent_Analysis!$A$5:$A$81,0))</f>
        <v>Card usage &amp; features</v>
      </c>
      <c r="D3011" s="0" t="n">
        <f aca="false">INDEX(Intent_Analysis!$E$5:$E$81,MATCH(B3011,Intent_Analysis!$A$5:$A$81,0))</f>
        <v>1</v>
      </c>
    </row>
    <row r="3012" customFormat="false" ht="15" hidden="false" customHeight="false" outlineLevel="0" collapsed="false">
      <c r="A3012" s="0" t="s">
        <v>3336</v>
      </c>
      <c r="B3012" s="0" t="s">
        <v>68</v>
      </c>
      <c r="C3012" s="0" t="str">
        <f aca="false">INDEX(Intent_Analysis!$B$5:$B$81,MATCH(B3012,Intent_Analysis!$A$5:$A$81,0))</f>
        <v>Card usage &amp; features</v>
      </c>
      <c r="D3012" s="0" t="n">
        <f aca="false">INDEX(Intent_Analysis!$E$5:$E$81,MATCH(B3012,Intent_Analysis!$A$5:$A$81,0))</f>
        <v>1</v>
      </c>
    </row>
    <row r="3013" customFormat="false" ht="15" hidden="false" customHeight="false" outlineLevel="0" collapsed="false">
      <c r="A3013" s="0" t="s">
        <v>3337</v>
      </c>
      <c r="B3013" s="0" t="s">
        <v>68</v>
      </c>
      <c r="C3013" s="0" t="str">
        <f aca="false">INDEX(Intent_Analysis!$B$5:$B$81,MATCH(B3013,Intent_Analysis!$A$5:$A$81,0))</f>
        <v>Card usage &amp; features</v>
      </c>
      <c r="D3013" s="0" t="n">
        <f aca="false">INDEX(Intent_Analysis!$E$5:$E$81,MATCH(B3013,Intent_Analysis!$A$5:$A$81,0))</f>
        <v>1</v>
      </c>
    </row>
    <row r="3014" customFormat="false" ht="15" hidden="false" customHeight="false" outlineLevel="0" collapsed="false">
      <c r="A3014" s="0" t="s">
        <v>3338</v>
      </c>
      <c r="B3014" s="0" t="s">
        <v>68</v>
      </c>
      <c r="C3014" s="0" t="str">
        <f aca="false">INDEX(Intent_Analysis!$B$5:$B$81,MATCH(B3014,Intent_Analysis!$A$5:$A$81,0))</f>
        <v>Card usage &amp; features</v>
      </c>
      <c r="D3014" s="0" t="n">
        <f aca="false">INDEX(Intent_Analysis!$E$5:$E$81,MATCH(B3014,Intent_Analysis!$A$5:$A$81,0))</f>
        <v>1</v>
      </c>
    </row>
    <row r="3015" customFormat="false" ht="15" hidden="false" customHeight="false" outlineLevel="0" collapsed="false">
      <c r="A3015" s="0" t="s">
        <v>3339</v>
      </c>
      <c r="B3015" s="0" t="s">
        <v>68</v>
      </c>
      <c r="C3015" s="0" t="str">
        <f aca="false">INDEX(Intent_Analysis!$B$5:$B$81,MATCH(B3015,Intent_Analysis!$A$5:$A$81,0))</f>
        <v>Card usage &amp; features</v>
      </c>
      <c r="D3015" s="0" t="n">
        <f aca="false">INDEX(Intent_Analysis!$E$5:$E$81,MATCH(B3015,Intent_Analysis!$A$5:$A$81,0))</f>
        <v>1</v>
      </c>
    </row>
    <row r="3016" customFormat="false" ht="15" hidden="false" customHeight="false" outlineLevel="0" collapsed="false">
      <c r="A3016" s="0" t="s">
        <v>3340</v>
      </c>
      <c r="B3016" s="0" t="s">
        <v>68</v>
      </c>
      <c r="C3016" s="0" t="str">
        <f aca="false">INDEX(Intent_Analysis!$B$5:$B$81,MATCH(B3016,Intent_Analysis!$A$5:$A$81,0))</f>
        <v>Card usage &amp; features</v>
      </c>
      <c r="D3016" s="0" t="n">
        <f aca="false">INDEX(Intent_Analysis!$E$5:$E$81,MATCH(B3016,Intent_Analysis!$A$5:$A$81,0))</f>
        <v>1</v>
      </c>
    </row>
    <row r="3017" customFormat="false" ht="15" hidden="false" customHeight="false" outlineLevel="0" collapsed="false">
      <c r="A3017" s="0" t="s">
        <v>3341</v>
      </c>
      <c r="B3017" s="0" t="s">
        <v>68</v>
      </c>
      <c r="C3017" s="0" t="str">
        <f aca="false">INDEX(Intent_Analysis!$B$5:$B$81,MATCH(B3017,Intent_Analysis!$A$5:$A$81,0))</f>
        <v>Card usage &amp; features</v>
      </c>
      <c r="D3017" s="0" t="n">
        <f aca="false">INDEX(Intent_Analysis!$E$5:$E$81,MATCH(B3017,Intent_Analysis!$A$5:$A$81,0))</f>
        <v>1</v>
      </c>
    </row>
    <row r="3018" customFormat="false" ht="15" hidden="false" customHeight="false" outlineLevel="0" collapsed="false">
      <c r="A3018" s="0" t="s">
        <v>3342</v>
      </c>
      <c r="B3018" s="0" t="s">
        <v>68</v>
      </c>
      <c r="C3018" s="0" t="str">
        <f aca="false">INDEX(Intent_Analysis!$B$5:$B$81,MATCH(B3018,Intent_Analysis!$A$5:$A$81,0))</f>
        <v>Card usage &amp; features</v>
      </c>
      <c r="D3018" s="0" t="n">
        <f aca="false">INDEX(Intent_Analysis!$E$5:$E$81,MATCH(B3018,Intent_Analysis!$A$5:$A$81,0))</f>
        <v>1</v>
      </c>
    </row>
    <row r="3019" customFormat="false" ht="15" hidden="false" customHeight="false" outlineLevel="0" collapsed="false">
      <c r="A3019" s="0" t="s">
        <v>3343</v>
      </c>
      <c r="B3019" s="0" t="s">
        <v>68</v>
      </c>
      <c r="C3019" s="0" t="str">
        <f aca="false">INDEX(Intent_Analysis!$B$5:$B$81,MATCH(B3019,Intent_Analysis!$A$5:$A$81,0))</f>
        <v>Card usage &amp; features</v>
      </c>
      <c r="D3019" s="0" t="n">
        <f aca="false">INDEX(Intent_Analysis!$E$5:$E$81,MATCH(B3019,Intent_Analysis!$A$5:$A$81,0))</f>
        <v>1</v>
      </c>
    </row>
    <row r="3020" customFormat="false" ht="15" hidden="false" customHeight="false" outlineLevel="0" collapsed="false">
      <c r="A3020" s="0" t="s">
        <v>3344</v>
      </c>
      <c r="B3020" s="0" t="s">
        <v>68</v>
      </c>
      <c r="C3020" s="0" t="str">
        <f aca="false">INDEX(Intent_Analysis!$B$5:$B$81,MATCH(B3020,Intent_Analysis!$A$5:$A$81,0))</f>
        <v>Card usage &amp; features</v>
      </c>
      <c r="D3020" s="0" t="n">
        <f aca="false">INDEX(Intent_Analysis!$E$5:$E$81,MATCH(B3020,Intent_Analysis!$A$5:$A$81,0))</f>
        <v>1</v>
      </c>
    </row>
    <row r="3021" customFormat="false" ht="15" hidden="false" customHeight="false" outlineLevel="0" collapsed="false">
      <c r="A3021" s="0" t="s">
        <v>3345</v>
      </c>
      <c r="B3021" s="0" t="s">
        <v>68</v>
      </c>
      <c r="C3021" s="0" t="str">
        <f aca="false">INDEX(Intent_Analysis!$B$5:$B$81,MATCH(B3021,Intent_Analysis!$A$5:$A$81,0))</f>
        <v>Card usage &amp; features</v>
      </c>
      <c r="D3021" s="0" t="n">
        <f aca="false">INDEX(Intent_Analysis!$E$5:$E$81,MATCH(B3021,Intent_Analysis!$A$5:$A$81,0))</f>
        <v>1</v>
      </c>
    </row>
    <row r="3022" customFormat="false" ht="15" hidden="false" customHeight="false" outlineLevel="0" collapsed="false">
      <c r="A3022" s="0" t="s">
        <v>3346</v>
      </c>
      <c r="B3022" s="0" t="s">
        <v>68</v>
      </c>
      <c r="C3022" s="0" t="str">
        <f aca="false">INDEX(Intent_Analysis!$B$5:$B$81,MATCH(B3022,Intent_Analysis!$A$5:$A$81,0))</f>
        <v>Card usage &amp; features</v>
      </c>
      <c r="D3022" s="0" t="n">
        <f aca="false">INDEX(Intent_Analysis!$E$5:$E$81,MATCH(B3022,Intent_Analysis!$A$5:$A$81,0))</f>
        <v>1</v>
      </c>
    </row>
    <row r="3023" customFormat="false" ht="15" hidden="false" customHeight="false" outlineLevel="0" collapsed="false">
      <c r="A3023" s="0" t="s">
        <v>3347</v>
      </c>
      <c r="B3023" s="0" t="s">
        <v>68</v>
      </c>
      <c r="C3023" s="0" t="str">
        <f aca="false">INDEX(Intent_Analysis!$B$5:$B$81,MATCH(B3023,Intent_Analysis!$A$5:$A$81,0))</f>
        <v>Card usage &amp; features</v>
      </c>
      <c r="D3023" s="0" t="n">
        <f aca="false">INDEX(Intent_Analysis!$E$5:$E$81,MATCH(B3023,Intent_Analysis!$A$5:$A$81,0))</f>
        <v>1</v>
      </c>
    </row>
    <row r="3024" customFormat="false" ht="15" hidden="false" customHeight="false" outlineLevel="0" collapsed="false">
      <c r="A3024" s="0" t="s">
        <v>3348</v>
      </c>
      <c r="B3024" s="0" t="s">
        <v>68</v>
      </c>
      <c r="C3024" s="0" t="str">
        <f aca="false">INDEX(Intent_Analysis!$B$5:$B$81,MATCH(B3024,Intent_Analysis!$A$5:$A$81,0))</f>
        <v>Card usage &amp; features</v>
      </c>
      <c r="D3024" s="0" t="n">
        <f aca="false">INDEX(Intent_Analysis!$E$5:$E$81,MATCH(B3024,Intent_Analysis!$A$5:$A$81,0))</f>
        <v>1</v>
      </c>
    </row>
    <row r="3025" customFormat="false" ht="15" hidden="false" customHeight="false" outlineLevel="0" collapsed="false">
      <c r="A3025" s="0" t="s">
        <v>3349</v>
      </c>
      <c r="B3025" s="0" t="s">
        <v>68</v>
      </c>
      <c r="C3025" s="0" t="str">
        <f aca="false">INDEX(Intent_Analysis!$B$5:$B$81,MATCH(B3025,Intent_Analysis!$A$5:$A$81,0))</f>
        <v>Card usage &amp; features</v>
      </c>
      <c r="D3025" s="0" t="n">
        <f aca="false">INDEX(Intent_Analysis!$E$5:$E$81,MATCH(B3025,Intent_Analysis!$A$5:$A$81,0))</f>
        <v>1</v>
      </c>
    </row>
    <row r="3026" customFormat="false" ht="15" hidden="false" customHeight="false" outlineLevel="0" collapsed="false">
      <c r="A3026" s="0" t="s">
        <v>3350</v>
      </c>
      <c r="B3026" s="0" t="s">
        <v>68</v>
      </c>
      <c r="C3026" s="0" t="str">
        <f aca="false">INDEX(Intent_Analysis!$B$5:$B$81,MATCH(B3026,Intent_Analysis!$A$5:$A$81,0))</f>
        <v>Card usage &amp; features</v>
      </c>
      <c r="D3026" s="0" t="n">
        <f aca="false">INDEX(Intent_Analysis!$E$5:$E$81,MATCH(B3026,Intent_Analysis!$A$5:$A$81,0))</f>
        <v>1</v>
      </c>
    </row>
    <row r="3027" customFormat="false" ht="15" hidden="false" customHeight="false" outlineLevel="0" collapsed="false">
      <c r="A3027" s="0" t="s">
        <v>3351</v>
      </c>
      <c r="B3027" s="0" t="s">
        <v>68</v>
      </c>
      <c r="C3027" s="0" t="str">
        <f aca="false">INDEX(Intent_Analysis!$B$5:$B$81,MATCH(B3027,Intent_Analysis!$A$5:$A$81,0))</f>
        <v>Card usage &amp; features</v>
      </c>
      <c r="D3027" s="0" t="n">
        <f aca="false">INDEX(Intent_Analysis!$E$5:$E$81,MATCH(B3027,Intent_Analysis!$A$5:$A$81,0))</f>
        <v>1</v>
      </c>
    </row>
    <row r="3028" customFormat="false" ht="15" hidden="false" customHeight="false" outlineLevel="0" collapsed="false">
      <c r="A3028" s="0" t="s">
        <v>3352</v>
      </c>
      <c r="B3028" s="0" t="s">
        <v>68</v>
      </c>
      <c r="C3028" s="0" t="str">
        <f aca="false">INDEX(Intent_Analysis!$B$5:$B$81,MATCH(B3028,Intent_Analysis!$A$5:$A$81,0))</f>
        <v>Card usage &amp; features</v>
      </c>
      <c r="D3028" s="0" t="n">
        <f aca="false">INDEX(Intent_Analysis!$E$5:$E$81,MATCH(B3028,Intent_Analysis!$A$5:$A$81,0))</f>
        <v>1</v>
      </c>
    </row>
    <row r="3029" customFormat="false" ht="15" hidden="false" customHeight="false" outlineLevel="0" collapsed="false">
      <c r="A3029" s="0" t="s">
        <v>3353</v>
      </c>
      <c r="B3029" s="0" t="s">
        <v>68</v>
      </c>
      <c r="C3029" s="0" t="str">
        <f aca="false">INDEX(Intent_Analysis!$B$5:$B$81,MATCH(B3029,Intent_Analysis!$A$5:$A$81,0))</f>
        <v>Card usage &amp; features</v>
      </c>
      <c r="D3029" s="0" t="n">
        <f aca="false">INDEX(Intent_Analysis!$E$5:$E$81,MATCH(B3029,Intent_Analysis!$A$5:$A$81,0))</f>
        <v>1</v>
      </c>
    </row>
    <row r="3030" customFormat="false" ht="15" hidden="false" customHeight="false" outlineLevel="0" collapsed="false">
      <c r="A3030" s="0" t="s">
        <v>3354</v>
      </c>
      <c r="B3030" s="0" t="s">
        <v>68</v>
      </c>
      <c r="C3030" s="0" t="str">
        <f aca="false">INDEX(Intent_Analysis!$B$5:$B$81,MATCH(B3030,Intent_Analysis!$A$5:$A$81,0))</f>
        <v>Card usage &amp; features</v>
      </c>
      <c r="D3030" s="0" t="n">
        <f aca="false">INDEX(Intent_Analysis!$E$5:$E$81,MATCH(B3030,Intent_Analysis!$A$5:$A$81,0))</f>
        <v>1</v>
      </c>
    </row>
    <row r="3031" customFormat="false" ht="15" hidden="false" customHeight="false" outlineLevel="0" collapsed="false">
      <c r="A3031" s="0" t="s">
        <v>3355</v>
      </c>
      <c r="B3031" s="0" t="s">
        <v>68</v>
      </c>
      <c r="C3031" s="0" t="str">
        <f aca="false">INDEX(Intent_Analysis!$B$5:$B$81,MATCH(B3031,Intent_Analysis!$A$5:$A$81,0))</f>
        <v>Card usage &amp; features</v>
      </c>
      <c r="D3031" s="0" t="n">
        <f aca="false">INDEX(Intent_Analysis!$E$5:$E$81,MATCH(B3031,Intent_Analysis!$A$5:$A$81,0))</f>
        <v>1</v>
      </c>
    </row>
    <row r="3032" customFormat="false" ht="15" hidden="false" customHeight="false" outlineLevel="0" collapsed="false">
      <c r="A3032" s="0" t="s">
        <v>3356</v>
      </c>
      <c r="B3032" s="0" t="s">
        <v>68</v>
      </c>
      <c r="C3032" s="0" t="str">
        <f aca="false">INDEX(Intent_Analysis!$B$5:$B$81,MATCH(B3032,Intent_Analysis!$A$5:$A$81,0))</f>
        <v>Card usage &amp; features</v>
      </c>
      <c r="D3032" s="0" t="n">
        <f aca="false">INDEX(Intent_Analysis!$E$5:$E$81,MATCH(B3032,Intent_Analysis!$A$5:$A$81,0))</f>
        <v>1</v>
      </c>
    </row>
    <row r="3033" customFormat="false" ht="15" hidden="false" customHeight="false" outlineLevel="0" collapsed="false">
      <c r="A3033" s="0" t="s">
        <v>3357</v>
      </c>
      <c r="B3033" s="0" t="s">
        <v>68</v>
      </c>
      <c r="C3033" s="0" t="str">
        <f aca="false">INDEX(Intent_Analysis!$B$5:$B$81,MATCH(B3033,Intent_Analysis!$A$5:$A$81,0))</f>
        <v>Card usage &amp; features</v>
      </c>
      <c r="D3033" s="0" t="n">
        <f aca="false">INDEX(Intent_Analysis!$E$5:$E$81,MATCH(B3033,Intent_Analysis!$A$5:$A$81,0))</f>
        <v>1</v>
      </c>
    </row>
    <row r="3034" customFormat="false" ht="15" hidden="false" customHeight="false" outlineLevel="0" collapsed="false">
      <c r="A3034" s="0" t="s">
        <v>3358</v>
      </c>
      <c r="B3034" s="0" t="s">
        <v>68</v>
      </c>
      <c r="C3034" s="0" t="str">
        <f aca="false">INDEX(Intent_Analysis!$B$5:$B$81,MATCH(B3034,Intent_Analysis!$A$5:$A$81,0))</f>
        <v>Card usage &amp; features</v>
      </c>
      <c r="D3034" s="0" t="n">
        <f aca="false">INDEX(Intent_Analysis!$E$5:$E$81,MATCH(B3034,Intent_Analysis!$A$5:$A$81,0))</f>
        <v>1</v>
      </c>
    </row>
    <row r="3035" customFormat="false" ht="15" hidden="false" customHeight="false" outlineLevel="0" collapsed="false">
      <c r="A3035" s="0" t="s">
        <v>3359</v>
      </c>
      <c r="B3035" s="0" t="s">
        <v>68</v>
      </c>
      <c r="C3035" s="0" t="str">
        <f aca="false">INDEX(Intent_Analysis!$B$5:$B$81,MATCH(B3035,Intent_Analysis!$A$5:$A$81,0))</f>
        <v>Card usage &amp; features</v>
      </c>
      <c r="D3035" s="0" t="n">
        <f aca="false">INDEX(Intent_Analysis!$E$5:$E$81,MATCH(B3035,Intent_Analysis!$A$5:$A$81,0))</f>
        <v>1</v>
      </c>
    </row>
    <row r="3036" customFormat="false" ht="15" hidden="false" customHeight="false" outlineLevel="0" collapsed="false">
      <c r="A3036" s="0" t="s">
        <v>3360</v>
      </c>
      <c r="B3036" s="0" t="s">
        <v>68</v>
      </c>
      <c r="C3036" s="0" t="str">
        <f aca="false">INDEX(Intent_Analysis!$B$5:$B$81,MATCH(B3036,Intent_Analysis!$A$5:$A$81,0))</f>
        <v>Card usage &amp; features</v>
      </c>
      <c r="D3036" s="0" t="n">
        <f aca="false">INDEX(Intent_Analysis!$E$5:$E$81,MATCH(B3036,Intent_Analysis!$A$5:$A$81,0))</f>
        <v>1</v>
      </c>
    </row>
    <row r="3037" customFormat="false" ht="15" hidden="false" customHeight="false" outlineLevel="0" collapsed="false">
      <c r="A3037" s="0" t="s">
        <v>3361</v>
      </c>
      <c r="B3037" s="0" t="s">
        <v>68</v>
      </c>
      <c r="C3037" s="0" t="str">
        <f aca="false">INDEX(Intent_Analysis!$B$5:$B$81,MATCH(B3037,Intent_Analysis!$A$5:$A$81,0))</f>
        <v>Card usage &amp; features</v>
      </c>
      <c r="D3037" s="0" t="n">
        <f aca="false">INDEX(Intent_Analysis!$E$5:$E$81,MATCH(B3037,Intent_Analysis!$A$5:$A$81,0))</f>
        <v>1</v>
      </c>
    </row>
    <row r="3038" customFormat="false" ht="15" hidden="false" customHeight="false" outlineLevel="0" collapsed="false">
      <c r="A3038" s="0" t="s">
        <v>3362</v>
      </c>
      <c r="B3038" s="0" t="s">
        <v>68</v>
      </c>
      <c r="C3038" s="0" t="str">
        <f aca="false">INDEX(Intent_Analysis!$B$5:$B$81,MATCH(B3038,Intent_Analysis!$A$5:$A$81,0))</f>
        <v>Card usage &amp; features</v>
      </c>
      <c r="D3038" s="0" t="n">
        <f aca="false">INDEX(Intent_Analysis!$E$5:$E$81,MATCH(B3038,Intent_Analysis!$A$5:$A$81,0))</f>
        <v>1</v>
      </c>
    </row>
    <row r="3039" customFormat="false" ht="15" hidden="false" customHeight="false" outlineLevel="0" collapsed="false">
      <c r="A3039" s="0" t="s">
        <v>3363</v>
      </c>
      <c r="B3039" s="0" t="s">
        <v>68</v>
      </c>
      <c r="C3039" s="0" t="str">
        <f aca="false">INDEX(Intent_Analysis!$B$5:$B$81,MATCH(B3039,Intent_Analysis!$A$5:$A$81,0))</f>
        <v>Card usage &amp; features</v>
      </c>
      <c r="D3039" s="0" t="n">
        <f aca="false">INDEX(Intent_Analysis!$E$5:$E$81,MATCH(B3039,Intent_Analysis!$A$5:$A$81,0))</f>
        <v>1</v>
      </c>
    </row>
    <row r="3040" customFormat="false" ht="15" hidden="false" customHeight="false" outlineLevel="0" collapsed="false">
      <c r="A3040" s="0" t="s">
        <v>3364</v>
      </c>
      <c r="B3040" s="0" t="s">
        <v>68</v>
      </c>
      <c r="C3040" s="0" t="str">
        <f aca="false">INDEX(Intent_Analysis!$B$5:$B$81,MATCH(B3040,Intent_Analysis!$A$5:$A$81,0))</f>
        <v>Card usage &amp; features</v>
      </c>
      <c r="D3040" s="0" t="n">
        <f aca="false">INDEX(Intent_Analysis!$E$5:$E$81,MATCH(B3040,Intent_Analysis!$A$5:$A$81,0))</f>
        <v>1</v>
      </c>
    </row>
    <row r="3041" customFormat="false" ht="15" hidden="false" customHeight="false" outlineLevel="0" collapsed="false">
      <c r="A3041" s="0" t="s">
        <v>3365</v>
      </c>
      <c r="B3041" s="0" t="s">
        <v>68</v>
      </c>
      <c r="C3041" s="0" t="str">
        <f aca="false">INDEX(Intent_Analysis!$B$5:$B$81,MATCH(B3041,Intent_Analysis!$A$5:$A$81,0))</f>
        <v>Card usage &amp; features</v>
      </c>
      <c r="D3041" s="0" t="n">
        <f aca="false">INDEX(Intent_Analysis!$E$5:$E$81,MATCH(B3041,Intent_Analysis!$A$5:$A$81,0))</f>
        <v>1</v>
      </c>
    </row>
    <row r="3042" customFormat="false" ht="15" hidden="false" customHeight="false" outlineLevel="0" collapsed="false">
      <c r="A3042" s="0" t="s">
        <v>3366</v>
      </c>
      <c r="B3042" s="0" t="s">
        <v>68</v>
      </c>
      <c r="C3042" s="0" t="str">
        <f aca="false">INDEX(Intent_Analysis!$B$5:$B$81,MATCH(B3042,Intent_Analysis!$A$5:$A$81,0))</f>
        <v>Card usage &amp; features</v>
      </c>
      <c r="D3042" s="0" t="n">
        <f aca="false">INDEX(Intent_Analysis!$E$5:$E$81,MATCH(B3042,Intent_Analysis!$A$5:$A$81,0))</f>
        <v>1</v>
      </c>
    </row>
    <row r="3043" customFormat="false" ht="15" hidden="false" customHeight="false" outlineLevel="0" collapsed="false">
      <c r="A3043" s="0" t="s">
        <v>3367</v>
      </c>
      <c r="B3043" s="0" t="s">
        <v>68</v>
      </c>
      <c r="C3043" s="0" t="str">
        <f aca="false">INDEX(Intent_Analysis!$B$5:$B$81,MATCH(B3043,Intent_Analysis!$A$5:$A$81,0))</f>
        <v>Card usage &amp; features</v>
      </c>
      <c r="D3043" s="0" t="n">
        <f aca="false">INDEX(Intent_Analysis!$E$5:$E$81,MATCH(B3043,Intent_Analysis!$A$5:$A$81,0))</f>
        <v>1</v>
      </c>
    </row>
    <row r="3044" customFormat="false" ht="15" hidden="false" customHeight="false" outlineLevel="0" collapsed="false">
      <c r="A3044" s="0" t="s">
        <v>3368</v>
      </c>
      <c r="B3044" s="0" t="s">
        <v>68</v>
      </c>
      <c r="C3044" s="0" t="str">
        <f aca="false">INDEX(Intent_Analysis!$B$5:$B$81,MATCH(B3044,Intent_Analysis!$A$5:$A$81,0))</f>
        <v>Card usage &amp; features</v>
      </c>
      <c r="D3044" s="0" t="n">
        <f aca="false">INDEX(Intent_Analysis!$E$5:$E$81,MATCH(B3044,Intent_Analysis!$A$5:$A$81,0))</f>
        <v>1</v>
      </c>
    </row>
    <row r="3045" customFormat="false" ht="15" hidden="false" customHeight="false" outlineLevel="0" collapsed="false">
      <c r="A3045" s="0" t="s">
        <v>3369</v>
      </c>
      <c r="B3045" s="0" t="s">
        <v>68</v>
      </c>
      <c r="C3045" s="0" t="str">
        <f aca="false">INDEX(Intent_Analysis!$B$5:$B$81,MATCH(B3045,Intent_Analysis!$A$5:$A$81,0))</f>
        <v>Card usage &amp; features</v>
      </c>
      <c r="D3045" s="0" t="n">
        <f aca="false">INDEX(Intent_Analysis!$E$5:$E$81,MATCH(B3045,Intent_Analysis!$A$5:$A$81,0))</f>
        <v>1</v>
      </c>
    </row>
    <row r="3046" customFormat="false" ht="15" hidden="false" customHeight="false" outlineLevel="0" collapsed="false">
      <c r="A3046" s="0" t="s">
        <v>3370</v>
      </c>
      <c r="B3046" s="0" t="s">
        <v>68</v>
      </c>
      <c r="C3046" s="0" t="str">
        <f aca="false">INDEX(Intent_Analysis!$B$5:$B$81,MATCH(B3046,Intent_Analysis!$A$5:$A$81,0))</f>
        <v>Card usage &amp; features</v>
      </c>
      <c r="D3046" s="0" t="n">
        <f aca="false">INDEX(Intent_Analysis!$E$5:$E$81,MATCH(B3046,Intent_Analysis!$A$5:$A$81,0))</f>
        <v>1</v>
      </c>
    </row>
    <row r="3047" customFormat="false" ht="15" hidden="false" customHeight="false" outlineLevel="0" collapsed="false">
      <c r="A3047" s="0" t="s">
        <v>3371</v>
      </c>
      <c r="B3047" s="0" t="s">
        <v>68</v>
      </c>
      <c r="C3047" s="0" t="str">
        <f aca="false">INDEX(Intent_Analysis!$B$5:$B$81,MATCH(B3047,Intent_Analysis!$A$5:$A$81,0))</f>
        <v>Card usage &amp; features</v>
      </c>
      <c r="D3047" s="0" t="n">
        <f aca="false">INDEX(Intent_Analysis!$E$5:$E$81,MATCH(B3047,Intent_Analysis!$A$5:$A$81,0))</f>
        <v>1</v>
      </c>
    </row>
    <row r="3048" customFormat="false" ht="15" hidden="false" customHeight="false" outlineLevel="0" collapsed="false">
      <c r="A3048" s="0" t="s">
        <v>3372</v>
      </c>
      <c r="B3048" s="0" t="s">
        <v>68</v>
      </c>
      <c r="C3048" s="0" t="str">
        <f aca="false">INDEX(Intent_Analysis!$B$5:$B$81,MATCH(B3048,Intent_Analysis!$A$5:$A$81,0))</f>
        <v>Card usage &amp; features</v>
      </c>
      <c r="D3048" s="0" t="n">
        <f aca="false">INDEX(Intent_Analysis!$E$5:$E$81,MATCH(B3048,Intent_Analysis!$A$5:$A$81,0))</f>
        <v>1</v>
      </c>
    </row>
    <row r="3049" customFormat="false" ht="15" hidden="false" customHeight="false" outlineLevel="0" collapsed="false">
      <c r="A3049" s="0" t="s">
        <v>3373</v>
      </c>
      <c r="B3049" s="0" t="s">
        <v>68</v>
      </c>
      <c r="C3049" s="0" t="str">
        <f aca="false">INDEX(Intent_Analysis!$B$5:$B$81,MATCH(B3049,Intent_Analysis!$A$5:$A$81,0))</f>
        <v>Card usage &amp; features</v>
      </c>
      <c r="D3049" s="0" t="n">
        <f aca="false">INDEX(Intent_Analysis!$E$5:$E$81,MATCH(B3049,Intent_Analysis!$A$5:$A$81,0))</f>
        <v>1</v>
      </c>
    </row>
    <row r="3050" customFormat="false" ht="15" hidden="false" customHeight="false" outlineLevel="0" collapsed="false">
      <c r="A3050" s="0" t="s">
        <v>3374</v>
      </c>
      <c r="B3050" s="0" t="s">
        <v>68</v>
      </c>
      <c r="C3050" s="0" t="str">
        <f aca="false">INDEX(Intent_Analysis!$B$5:$B$81,MATCH(B3050,Intent_Analysis!$A$5:$A$81,0))</f>
        <v>Card usage &amp; features</v>
      </c>
      <c r="D3050" s="0" t="n">
        <f aca="false">INDEX(Intent_Analysis!$E$5:$E$81,MATCH(B3050,Intent_Analysis!$A$5:$A$81,0))</f>
        <v>1</v>
      </c>
    </row>
    <row r="3051" customFormat="false" ht="15" hidden="false" customHeight="false" outlineLevel="0" collapsed="false">
      <c r="A3051" s="0" t="s">
        <v>3375</v>
      </c>
      <c r="B3051" s="0" t="s">
        <v>68</v>
      </c>
      <c r="C3051" s="0" t="str">
        <f aca="false">INDEX(Intent_Analysis!$B$5:$B$81,MATCH(B3051,Intent_Analysis!$A$5:$A$81,0))</f>
        <v>Card usage &amp; features</v>
      </c>
      <c r="D3051" s="0" t="n">
        <f aca="false">INDEX(Intent_Analysis!$E$5:$E$81,MATCH(B3051,Intent_Analysis!$A$5:$A$81,0))</f>
        <v>1</v>
      </c>
    </row>
    <row r="3052" customFormat="false" ht="15" hidden="false" customHeight="false" outlineLevel="0" collapsed="false">
      <c r="A3052" s="0" t="s">
        <v>3376</v>
      </c>
      <c r="B3052" s="0" t="s">
        <v>68</v>
      </c>
      <c r="C3052" s="0" t="str">
        <f aca="false">INDEX(Intent_Analysis!$B$5:$B$81,MATCH(B3052,Intent_Analysis!$A$5:$A$81,0))</f>
        <v>Card usage &amp; features</v>
      </c>
      <c r="D3052" s="0" t="n">
        <f aca="false">INDEX(Intent_Analysis!$E$5:$E$81,MATCH(B3052,Intent_Analysis!$A$5:$A$81,0))</f>
        <v>1</v>
      </c>
    </row>
    <row r="3053" customFormat="false" ht="15" hidden="false" customHeight="false" outlineLevel="0" collapsed="false">
      <c r="A3053" s="0" t="s">
        <v>3377</v>
      </c>
      <c r="B3053" s="0" t="s">
        <v>68</v>
      </c>
      <c r="C3053" s="0" t="str">
        <f aca="false">INDEX(Intent_Analysis!$B$5:$B$81,MATCH(B3053,Intent_Analysis!$A$5:$A$81,0))</f>
        <v>Card usage &amp; features</v>
      </c>
      <c r="D3053" s="0" t="n">
        <f aca="false">INDEX(Intent_Analysis!$E$5:$E$81,MATCH(B3053,Intent_Analysis!$A$5:$A$81,0))</f>
        <v>1</v>
      </c>
    </row>
    <row r="3054" customFormat="false" ht="15" hidden="false" customHeight="false" outlineLevel="0" collapsed="false">
      <c r="A3054" s="0" t="s">
        <v>3378</v>
      </c>
      <c r="B3054" s="0" t="s">
        <v>68</v>
      </c>
      <c r="C3054" s="0" t="str">
        <f aca="false">INDEX(Intent_Analysis!$B$5:$B$81,MATCH(B3054,Intent_Analysis!$A$5:$A$81,0))</f>
        <v>Card usage &amp; features</v>
      </c>
      <c r="D3054" s="0" t="n">
        <f aca="false">INDEX(Intent_Analysis!$E$5:$E$81,MATCH(B3054,Intent_Analysis!$A$5:$A$81,0))</f>
        <v>1</v>
      </c>
    </row>
    <row r="3055" customFormat="false" ht="15" hidden="false" customHeight="false" outlineLevel="0" collapsed="false">
      <c r="A3055" s="0" t="s">
        <v>3379</v>
      </c>
      <c r="B3055" s="0" t="s">
        <v>68</v>
      </c>
      <c r="C3055" s="0" t="str">
        <f aca="false">INDEX(Intent_Analysis!$B$5:$B$81,MATCH(B3055,Intent_Analysis!$A$5:$A$81,0))</f>
        <v>Card usage &amp; features</v>
      </c>
      <c r="D3055" s="0" t="n">
        <f aca="false">INDEX(Intent_Analysis!$E$5:$E$81,MATCH(B3055,Intent_Analysis!$A$5:$A$81,0))</f>
        <v>1</v>
      </c>
    </row>
    <row r="3056" customFormat="false" ht="15" hidden="false" customHeight="false" outlineLevel="0" collapsed="false">
      <c r="A3056" s="0" t="s">
        <v>3380</v>
      </c>
      <c r="B3056" s="0" t="s">
        <v>68</v>
      </c>
      <c r="C3056" s="0" t="str">
        <f aca="false">INDEX(Intent_Analysis!$B$5:$B$81,MATCH(B3056,Intent_Analysis!$A$5:$A$81,0))</f>
        <v>Card usage &amp; features</v>
      </c>
      <c r="D3056" s="0" t="n">
        <f aca="false">INDEX(Intent_Analysis!$E$5:$E$81,MATCH(B3056,Intent_Analysis!$A$5:$A$81,0))</f>
        <v>1</v>
      </c>
    </row>
    <row r="3057" customFormat="false" ht="15" hidden="false" customHeight="false" outlineLevel="0" collapsed="false">
      <c r="A3057" s="0" t="s">
        <v>3381</v>
      </c>
      <c r="B3057" s="0" t="s">
        <v>68</v>
      </c>
      <c r="C3057" s="0" t="str">
        <f aca="false">INDEX(Intent_Analysis!$B$5:$B$81,MATCH(B3057,Intent_Analysis!$A$5:$A$81,0))</f>
        <v>Card usage &amp; features</v>
      </c>
      <c r="D3057" s="0" t="n">
        <f aca="false">INDEX(Intent_Analysis!$E$5:$E$81,MATCH(B3057,Intent_Analysis!$A$5:$A$81,0))</f>
        <v>1</v>
      </c>
    </row>
    <row r="3058" customFormat="false" ht="15" hidden="false" customHeight="false" outlineLevel="0" collapsed="false">
      <c r="A3058" s="0" t="s">
        <v>3382</v>
      </c>
      <c r="B3058" s="0" t="s">
        <v>68</v>
      </c>
      <c r="C3058" s="0" t="str">
        <f aca="false">INDEX(Intent_Analysis!$B$5:$B$81,MATCH(B3058,Intent_Analysis!$A$5:$A$81,0))</f>
        <v>Card usage &amp; features</v>
      </c>
      <c r="D3058" s="0" t="n">
        <f aca="false">INDEX(Intent_Analysis!$E$5:$E$81,MATCH(B3058,Intent_Analysis!$A$5:$A$81,0))</f>
        <v>1</v>
      </c>
    </row>
    <row r="3059" customFormat="false" ht="15" hidden="false" customHeight="false" outlineLevel="0" collapsed="false">
      <c r="A3059" s="0" t="s">
        <v>3383</v>
      </c>
      <c r="B3059" s="0" t="s">
        <v>68</v>
      </c>
      <c r="C3059" s="0" t="str">
        <f aca="false">INDEX(Intent_Analysis!$B$5:$B$81,MATCH(B3059,Intent_Analysis!$A$5:$A$81,0))</f>
        <v>Card usage &amp; features</v>
      </c>
      <c r="D3059" s="0" t="n">
        <f aca="false">INDEX(Intent_Analysis!$E$5:$E$81,MATCH(B3059,Intent_Analysis!$A$5:$A$81,0))</f>
        <v>1</v>
      </c>
    </row>
    <row r="3060" customFormat="false" ht="15" hidden="false" customHeight="false" outlineLevel="0" collapsed="false">
      <c r="A3060" s="0" t="s">
        <v>3384</v>
      </c>
      <c r="B3060" s="0" t="s">
        <v>68</v>
      </c>
      <c r="C3060" s="0" t="str">
        <f aca="false">INDEX(Intent_Analysis!$B$5:$B$81,MATCH(B3060,Intent_Analysis!$A$5:$A$81,0))</f>
        <v>Card usage &amp; features</v>
      </c>
      <c r="D3060" s="0" t="n">
        <f aca="false">INDEX(Intent_Analysis!$E$5:$E$81,MATCH(B3060,Intent_Analysis!$A$5:$A$81,0))</f>
        <v>1</v>
      </c>
    </row>
    <row r="3061" customFormat="false" ht="15" hidden="false" customHeight="false" outlineLevel="0" collapsed="false">
      <c r="A3061" s="0" t="s">
        <v>3385</v>
      </c>
      <c r="B3061" s="0" t="s">
        <v>68</v>
      </c>
      <c r="C3061" s="0" t="str">
        <f aca="false">INDEX(Intent_Analysis!$B$5:$B$81,MATCH(B3061,Intent_Analysis!$A$5:$A$81,0))</f>
        <v>Card usage &amp; features</v>
      </c>
      <c r="D3061" s="0" t="n">
        <f aca="false">INDEX(Intent_Analysis!$E$5:$E$81,MATCH(B3061,Intent_Analysis!$A$5:$A$81,0))</f>
        <v>1</v>
      </c>
    </row>
    <row r="3062" customFormat="false" ht="15" hidden="false" customHeight="false" outlineLevel="0" collapsed="false">
      <c r="A3062" s="0" t="s">
        <v>3386</v>
      </c>
      <c r="B3062" s="0" t="s">
        <v>68</v>
      </c>
      <c r="C3062" s="0" t="str">
        <f aca="false">INDEX(Intent_Analysis!$B$5:$B$81,MATCH(B3062,Intent_Analysis!$A$5:$A$81,0))</f>
        <v>Card usage &amp; features</v>
      </c>
      <c r="D3062" s="0" t="n">
        <f aca="false">INDEX(Intent_Analysis!$E$5:$E$81,MATCH(B3062,Intent_Analysis!$A$5:$A$81,0))</f>
        <v>1</v>
      </c>
    </row>
    <row r="3063" customFormat="false" ht="15" hidden="false" customHeight="false" outlineLevel="0" collapsed="false">
      <c r="A3063" s="0" t="s">
        <v>3387</v>
      </c>
      <c r="B3063" s="0" t="s">
        <v>68</v>
      </c>
      <c r="C3063" s="0" t="str">
        <f aca="false">INDEX(Intent_Analysis!$B$5:$B$81,MATCH(B3063,Intent_Analysis!$A$5:$A$81,0))</f>
        <v>Card usage &amp; features</v>
      </c>
      <c r="D3063" s="0" t="n">
        <f aca="false">INDEX(Intent_Analysis!$E$5:$E$81,MATCH(B3063,Intent_Analysis!$A$5:$A$81,0))</f>
        <v>1</v>
      </c>
    </row>
    <row r="3064" customFormat="false" ht="15" hidden="false" customHeight="false" outlineLevel="0" collapsed="false">
      <c r="A3064" s="0" t="s">
        <v>3388</v>
      </c>
      <c r="B3064" s="0" t="s">
        <v>68</v>
      </c>
      <c r="C3064" s="0" t="str">
        <f aca="false">INDEX(Intent_Analysis!$B$5:$B$81,MATCH(B3064,Intent_Analysis!$A$5:$A$81,0))</f>
        <v>Card usage &amp; features</v>
      </c>
      <c r="D3064" s="0" t="n">
        <f aca="false">INDEX(Intent_Analysis!$E$5:$E$81,MATCH(B3064,Intent_Analysis!$A$5:$A$81,0))</f>
        <v>1</v>
      </c>
    </row>
    <row r="3065" customFormat="false" ht="15" hidden="false" customHeight="false" outlineLevel="0" collapsed="false">
      <c r="A3065" s="0" t="s">
        <v>3389</v>
      </c>
      <c r="B3065" s="0" t="s">
        <v>68</v>
      </c>
      <c r="C3065" s="0" t="str">
        <f aca="false">INDEX(Intent_Analysis!$B$5:$B$81,MATCH(B3065,Intent_Analysis!$A$5:$A$81,0))</f>
        <v>Card usage &amp; features</v>
      </c>
      <c r="D3065" s="0" t="n">
        <f aca="false">INDEX(Intent_Analysis!$E$5:$E$81,MATCH(B3065,Intent_Analysis!$A$5:$A$81,0))</f>
        <v>1</v>
      </c>
    </row>
    <row r="3066" customFormat="false" ht="15" hidden="false" customHeight="false" outlineLevel="0" collapsed="false">
      <c r="A3066" s="0" t="s">
        <v>3390</v>
      </c>
      <c r="B3066" s="0" t="s">
        <v>68</v>
      </c>
      <c r="C3066" s="0" t="str">
        <f aca="false">INDEX(Intent_Analysis!$B$5:$B$81,MATCH(B3066,Intent_Analysis!$A$5:$A$81,0))</f>
        <v>Card usage &amp; features</v>
      </c>
      <c r="D3066" s="0" t="n">
        <f aca="false">INDEX(Intent_Analysis!$E$5:$E$81,MATCH(B3066,Intent_Analysis!$A$5:$A$81,0))</f>
        <v>1</v>
      </c>
    </row>
    <row r="3067" customFormat="false" ht="15" hidden="false" customHeight="false" outlineLevel="0" collapsed="false">
      <c r="A3067" s="0" t="s">
        <v>3391</v>
      </c>
      <c r="B3067" s="0" t="s">
        <v>68</v>
      </c>
      <c r="C3067" s="0" t="str">
        <f aca="false">INDEX(Intent_Analysis!$B$5:$B$81,MATCH(B3067,Intent_Analysis!$A$5:$A$81,0))</f>
        <v>Card usage &amp; features</v>
      </c>
      <c r="D3067" s="0" t="n">
        <f aca="false">INDEX(Intent_Analysis!$E$5:$E$81,MATCH(B3067,Intent_Analysis!$A$5:$A$81,0))</f>
        <v>1</v>
      </c>
    </row>
    <row r="3068" customFormat="false" ht="15" hidden="false" customHeight="false" outlineLevel="0" collapsed="false">
      <c r="A3068" s="0" t="s">
        <v>3392</v>
      </c>
      <c r="B3068" s="0" t="s">
        <v>68</v>
      </c>
      <c r="C3068" s="0" t="str">
        <f aca="false">INDEX(Intent_Analysis!$B$5:$B$81,MATCH(B3068,Intent_Analysis!$A$5:$A$81,0))</f>
        <v>Card usage &amp; features</v>
      </c>
      <c r="D3068" s="0" t="n">
        <f aca="false">INDEX(Intent_Analysis!$E$5:$E$81,MATCH(B3068,Intent_Analysis!$A$5:$A$81,0))</f>
        <v>1</v>
      </c>
    </row>
    <row r="3069" customFormat="false" ht="15" hidden="false" customHeight="false" outlineLevel="0" collapsed="false">
      <c r="A3069" s="0" t="s">
        <v>3393</v>
      </c>
      <c r="B3069" s="0" t="s">
        <v>68</v>
      </c>
      <c r="C3069" s="0" t="str">
        <f aca="false">INDEX(Intent_Analysis!$B$5:$B$81,MATCH(B3069,Intent_Analysis!$A$5:$A$81,0))</f>
        <v>Card usage &amp; features</v>
      </c>
      <c r="D3069" s="0" t="n">
        <f aca="false">INDEX(Intent_Analysis!$E$5:$E$81,MATCH(B3069,Intent_Analysis!$A$5:$A$81,0))</f>
        <v>1</v>
      </c>
    </row>
    <row r="3070" customFormat="false" ht="15" hidden="false" customHeight="false" outlineLevel="0" collapsed="false">
      <c r="A3070" s="0" t="s">
        <v>3394</v>
      </c>
      <c r="B3070" s="0" t="s">
        <v>68</v>
      </c>
      <c r="C3070" s="0" t="str">
        <f aca="false">INDEX(Intent_Analysis!$B$5:$B$81,MATCH(B3070,Intent_Analysis!$A$5:$A$81,0))</f>
        <v>Card usage &amp; features</v>
      </c>
      <c r="D3070" s="0" t="n">
        <f aca="false">INDEX(Intent_Analysis!$E$5:$E$81,MATCH(B3070,Intent_Analysis!$A$5:$A$81,0))</f>
        <v>1</v>
      </c>
    </row>
    <row r="3071" customFormat="false" ht="15" hidden="false" customHeight="false" outlineLevel="0" collapsed="false">
      <c r="A3071" s="0" t="s">
        <v>3395</v>
      </c>
      <c r="B3071" s="0" t="s">
        <v>68</v>
      </c>
      <c r="C3071" s="0" t="str">
        <f aca="false">INDEX(Intent_Analysis!$B$5:$B$81,MATCH(B3071,Intent_Analysis!$A$5:$A$81,0))</f>
        <v>Card usage &amp; features</v>
      </c>
      <c r="D3071" s="0" t="n">
        <f aca="false">INDEX(Intent_Analysis!$E$5:$E$81,MATCH(B3071,Intent_Analysis!$A$5:$A$81,0))</f>
        <v>1</v>
      </c>
    </row>
    <row r="3072" customFormat="false" ht="15" hidden="false" customHeight="false" outlineLevel="0" collapsed="false">
      <c r="A3072" s="0" t="s">
        <v>3396</v>
      </c>
      <c r="B3072" s="0" t="s">
        <v>68</v>
      </c>
      <c r="C3072" s="0" t="str">
        <f aca="false">INDEX(Intent_Analysis!$B$5:$B$81,MATCH(B3072,Intent_Analysis!$A$5:$A$81,0))</f>
        <v>Card usage &amp; features</v>
      </c>
      <c r="D3072" s="0" t="n">
        <f aca="false">INDEX(Intent_Analysis!$E$5:$E$81,MATCH(B3072,Intent_Analysis!$A$5:$A$81,0))</f>
        <v>1</v>
      </c>
    </row>
    <row r="3073" customFormat="false" ht="15" hidden="false" customHeight="false" outlineLevel="0" collapsed="false">
      <c r="A3073" s="0" t="s">
        <v>3397</v>
      </c>
      <c r="B3073" s="0" t="s">
        <v>68</v>
      </c>
      <c r="C3073" s="0" t="str">
        <f aca="false">INDEX(Intent_Analysis!$B$5:$B$81,MATCH(B3073,Intent_Analysis!$A$5:$A$81,0))</f>
        <v>Card usage &amp; features</v>
      </c>
      <c r="D3073" s="0" t="n">
        <f aca="false">INDEX(Intent_Analysis!$E$5:$E$81,MATCH(B3073,Intent_Analysis!$A$5:$A$81,0))</f>
        <v>1</v>
      </c>
    </row>
    <row r="3074" customFormat="false" ht="15" hidden="false" customHeight="false" outlineLevel="0" collapsed="false">
      <c r="A3074" s="0" t="s">
        <v>3398</v>
      </c>
      <c r="B3074" s="0" t="s">
        <v>68</v>
      </c>
      <c r="C3074" s="0" t="str">
        <f aca="false">INDEX(Intent_Analysis!$B$5:$B$81,MATCH(B3074,Intent_Analysis!$A$5:$A$81,0))</f>
        <v>Card usage &amp; features</v>
      </c>
      <c r="D3074" s="0" t="n">
        <f aca="false">INDEX(Intent_Analysis!$E$5:$E$81,MATCH(B3074,Intent_Analysis!$A$5:$A$81,0))</f>
        <v>1</v>
      </c>
    </row>
    <row r="3075" customFormat="false" ht="15" hidden="false" customHeight="false" outlineLevel="0" collapsed="false">
      <c r="A3075" s="0" t="s">
        <v>3399</v>
      </c>
      <c r="B3075" s="0" t="s">
        <v>68</v>
      </c>
      <c r="C3075" s="0" t="str">
        <f aca="false">INDEX(Intent_Analysis!$B$5:$B$81,MATCH(B3075,Intent_Analysis!$A$5:$A$81,0))</f>
        <v>Card usage &amp; features</v>
      </c>
      <c r="D3075" s="0" t="n">
        <f aca="false">INDEX(Intent_Analysis!$E$5:$E$81,MATCH(B3075,Intent_Analysis!$A$5:$A$81,0))</f>
        <v>1</v>
      </c>
    </row>
    <row r="3076" customFormat="false" ht="15" hidden="false" customHeight="false" outlineLevel="0" collapsed="false">
      <c r="A3076" s="0" t="s">
        <v>3400</v>
      </c>
      <c r="B3076" s="0" t="s">
        <v>68</v>
      </c>
      <c r="C3076" s="0" t="str">
        <f aca="false">INDEX(Intent_Analysis!$B$5:$B$81,MATCH(B3076,Intent_Analysis!$A$5:$A$81,0))</f>
        <v>Card usage &amp; features</v>
      </c>
      <c r="D3076" s="0" t="n">
        <f aca="false">INDEX(Intent_Analysis!$E$5:$E$81,MATCH(B3076,Intent_Analysis!$A$5:$A$81,0))</f>
        <v>1</v>
      </c>
    </row>
    <row r="3077" customFormat="false" ht="15" hidden="false" customHeight="false" outlineLevel="0" collapsed="false">
      <c r="A3077" s="0" t="s">
        <v>3401</v>
      </c>
      <c r="B3077" s="0" t="s">
        <v>68</v>
      </c>
      <c r="C3077" s="0" t="str">
        <f aca="false">INDEX(Intent_Analysis!$B$5:$B$81,MATCH(B3077,Intent_Analysis!$A$5:$A$81,0))</f>
        <v>Card usage &amp; features</v>
      </c>
      <c r="D3077" s="0" t="n">
        <f aca="false">INDEX(Intent_Analysis!$E$5:$E$81,MATCH(B3077,Intent_Analysis!$A$5:$A$81,0))</f>
        <v>1</v>
      </c>
    </row>
    <row r="3078" customFormat="false" ht="15" hidden="false" customHeight="false" outlineLevel="0" collapsed="false">
      <c r="A3078" s="0" t="s">
        <v>3402</v>
      </c>
      <c r="B3078" s="0" t="s">
        <v>68</v>
      </c>
      <c r="C3078" s="0" t="str">
        <f aca="false">INDEX(Intent_Analysis!$B$5:$B$81,MATCH(B3078,Intent_Analysis!$A$5:$A$81,0))</f>
        <v>Card usage &amp; features</v>
      </c>
      <c r="D3078" s="0" t="n">
        <f aca="false">INDEX(Intent_Analysis!$E$5:$E$81,MATCH(B3078,Intent_Analysis!$A$5:$A$81,0))</f>
        <v>1</v>
      </c>
    </row>
    <row r="3079" customFormat="false" ht="15" hidden="false" customHeight="false" outlineLevel="0" collapsed="false">
      <c r="A3079" s="0" t="s">
        <v>3403</v>
      </c>
      <c r="B3079" s="0" t="s">
        <v>68</v>
      </c>
      <c r="C3079" s="0" t="str">
        <f aca="false">INDEX(Intent_Analysis!$B$5:$B$81,MATCH(B3079,Intent_Analysis!$A$5:$A$81,0))</f>
        <v>Card usage &amp; features</v>
      </c>
      <c r="D3079" s="0" t="n">
        <f aca="false">INDEX(Intent_Analysis!$E$5:$E$81,MATCH(B3079,Intent_Analysis!$A$5:$A$81,0))</f>
        <v>1</v>
      </c>
    </row>
    <row r="3080" customFormat="false" ht="15" hidden="false" customHeight="false" outlineLevel="0" collapsed="false">
      <c r="A3080" s="0" t="s">
        <v>3404</v>
      </c>
      <c r="B3080" s="0" t="s">
        <v>68</v>
      </c>
      <c r="C3080" s="0" t="str">
        <f aca="false">INDEX(Intent_Analysis!$B$5:$B$81,MATCH(B3080,Intent_Analysis!$A$5:$A$81,0))</f>
        <v>Card usage &amp; features</v>
      </c>
      <c r="D3080" s="0" t="n">
        <f aca="false">INDEX(Intent_Analysis!$E$5:$E$81,MATCH(B3080,Intent_Analysis!$A$5:$A$81,0))</f>
        <v>1</v>
      </c>
    </row>
    <row r="3081" customFormat="false" ht="15" hidden="false" customHeight="false" outlineLevel="0" collapsed="false">
      <c r="A3081" s="0" t="s">
        <v>3405</v>
      </c>
      <c r="B3081" s="0" t="s">
        <v>68</v>
      </c>
      <c r="C3081" s="0" t="str">
        <f aca="false">INDEX(Intent_Analysis!$B$5:$B$81,MATCH(B3081,Intent_Analysis!$A$5:$A$81,0))</f>
        <v>Card usage &amp; features</v>
      </c>
      <c r="D3081" s="0" t="n">
        <f aca="false">INDEX(Intent_Analysis!$E$5:$E$81,MATCH(B3081,Intent_Analysis!$A$5:$A$81,0))</f>
        <v>1</v>
      </c>
    </row>
    <row r="3082" customFormat="false" ht="15" hidden="false" customHeight="false" outlineLevel="0" collapsed="false">
      <c r="A3082" s="0" t="s">
        <v>3406</v>
      </c>
      <c r="B3082" s="0" t="s">
        <v>68</v>
      </c>
      <c r="C3082" s="0" t="str">
        <f aca="false">INDEX(Intent_Analysis!$B$5:$B$81,MATCH(B3082,Intent_Analysis!$A$5:$A$81,0))</f>
        <v>Card usage &amp; features</v>
      </c>
      <c r="D3082" s="0" t="n">
        <f aca="false">INDEX(Intent_Analysis!$E$5:$E$81,MATCH(B3082,Intent_Analysis!$A$5:$A$81,0))</f>
        <v>1</v>
      </c>
    </row>
    <row r="3083" customFormat="false" ht="15" hidden="false" customHeight="false" outlineLevel="0" collapsed="false">
      <c r="A3083" s="0" t="s">
        <v>3407</v>
      </c>
      <c r="B3083" s="0" t="s">
        <v>68</v>
      </c>
      <c r="C3083" s="0" t="str">
        <f aca="false">INDEX(Intent_Analysis!$B$5:$B$81,MATCH(B3083,Intent_Analysis!$A$5:$A$81,0))</f>
        <v>Card usage &amp; features</v>
      </c>
      <c r="D3083" s="0" t="n">
        <f aca="false">INDEX(Intent_Analysis!$E$5:$E$81,MATCH(B3083,Intent_Analysis!$A$5:$A$81,0))</f>
        <v>1</v>
      </c>
    </row>
    <row r="3084" customFormat="false" ht="15" hidden="false" customHeight="false" outlineLevel="0" collapsed="false">
      <c r="A3084" s="0" t="s">
        <v>3408</v>
      </c>
      <c r="B3084" s="0" t="s">
        <v>68</v>
      </c>
      <c r="C3084" s="0" t="str">
        <f aca="false">INDEX(Intent_Analysis!$B$5:$B$81,MATCH(B3084,Intent_Analysis!$A$5:$A$81,0))</f>
        <v>Card usage &amp; features</v>
      </c>
      <c r="D3084" s="0" t="n">
        <f aca="false">INDEX(Intent_Analysis!$E$5:$E$81,MATCH(B3084,Intent_Analysis!$A$5:$A$81,0))</f>
        <v>1</v>
      </c>
    </row>
    <row r="3085" customFormat="false" ht="15" hidden="false" customHeight="false" outlineLevel="0" collapsed="false">
      <c r="A3085" s="0" t="s">
        <v>3409</v>
      </c>
      <c r="B3085" s="0" t="s">
        <v>68</v>
      </c>
      <c r="C3085" s="0" t="str">
        <f aca="false">INDEX(Intent_Analysis!$B$5:$B$81,MATCH(B3085,Intent_Analysis!$A$5:$A$81,0))</f>
        <v>Card usage &amp; features</v>
      </c>
      <c r="D3085" s="0" t="n">
        <f aca="false">INDEX(Intent_Analysis!$E$5:$E$81,MATCH(B3085,Intent_Analysis!$A$5:$A$81,0))</f>
        <v>1</v>
      </c>
    </row>
    <row r="3086" customFormat="false" ht="15" hidden="false" customHeight="false" outlineLevel="0" collapsed="false">
      <c r="A3086" s="0" t="s">
        <v>3410</v>
      </c>
      <c r="B3086" s="0" t="s">
        <v>68</v>
      </c>
      <c r="C3086" s="0" t="str">
        <f aca="false">INDEX(Intent_Analysis!$B$5:$B$81,MATCH(B3086,Intent_Analysis!$A$5:$A$81,0))</f>
        <v>Card usage &amp; features</v>
      </c>
      <c r="D3086" s="0" t="n">
        <f aca="false">INDEX(Intent_Analysis!$E$5:$E$81,MATCH(B3086,Intent_Analysis!$A$5:$A$81,0))</f>
        <v>1</v>
      </c>
    </row>
    <row r="3087" customFormat="false" ht="15" hidden="false" customHeight="false" outlineLevel="0" collapsed="false">
      <c r="A3087" s="0" t="s">
        <v>3411</v>
      </c>
      <c r="B3087" s="0" t="s">
        <v>68</v>
      </c>
      <c r="C3087" s="0" t="str">
        <f aca="false">INDEX(Intent_Analysis!$B$5:$B$81,MATCH(B3087,Intent_Analysis!$A$5:$A$81,0))</f>
        <v>Card usage &amp; features</v>
      </c>
      <c r="D3087" s="0" t="n">
        <f aca="false">INDEX(Intent_Analysis!$E$5:$E$81,MATCH(B3087,Intent_Analysis!$A$5:$A$81,0))</f>
        <v>1</v>
      </c>
    </row>
    <row r="3088" customFormat="false" ht="15" hidden="false" customHeight="false" outlineLevel="0" collapsed="false">
      <c r="A3088" s="0" t="s">
        <v>3412</v>
      </c>
      <c r="B3088" s="0" t="s">
        <v>68</v>
      </c>
      <c r="C3088" s="0" t="str">
        <f aca="false">INDEX(Intent_Analysis!$B$5:$B$81,MATCH(B3088,Intent_Analysis!$A$5:$A$81,0))</f>
        <v>Card usage &amp; features</v>
      </c>
      <c r="D3088" s="0" t="n">
        <f aca="false">INDEX(Intent_Analysis!$E$5:$E$81,MATCH(B3088,Intent_Analysis!$A$5:$A$81,0))</f>
        <v>1</v>
      </c>
    </row>
    <row r="3089" customFormat="false" ht="15" hidden="false" customHeight="false" outlineLevel="0" collapsed="false">
      <c r="A3089" s="0" t="s">
        <v>3413</v>
      </c>
      <c r="B3089" s="0" t="s">
        <v>68</v>
      </c>
      <c r="C3089" s="0" t="str">
        <f aca="false">INDEX(Intent_Analysis!$B$5:$B$81,MATCH(B3089,Intent_Analysis!$A$5:$A$81,0))</f>
        <v>Card usage &amp; features</v>
      </c>
      <c r="D3089" s="0" t="n">
        <f aca="false">INDEX(Intent_Analysis!$E$5:$E$81,MATCH(B3089,Intent_Analysis!$A$5:$A$81,0))</f>
        <v>1</v>
      </c>
    </row>
    <row r="3090" customFormat="false" ht="15" hidden="false" customHeight="false" outlineLevel="0" collapsed="false">
      <c r="A3090" s="0" t="s">
        <v>3414</v>
      </c>
      <c r="B3090" s="0" t="s">
        <v>68</v>
      </c>
      <c r="C3090" s="0" t="str">
        <f aca="false">INDEX(Intent_Analysis!$B$5:$B$81,MATCH(B3090,Intent_Analysis!$A$5:$A$81,0))</f>
        <v>Card usage &amp; features</v>
      </c>
      <c r="D3090" s="0" t="n">
        <f aca="false">INDEX(Intent_Analysis!$E$5:$E$81,MATCH(B3090,Intent_Analysis!$A$5:$A$81,0))</f>
        <v>1</v>
      </c>
    </row>
    <row r="3091" customFormat="false" ht="15" hidden="false" customHeight="false" outlineLevel="0" collapsed="false">
      <c r="A3091" s="0" t="s">
        <v>3415</v>
      </c>
      <c r="B3091" s="0" t="s">
        <v>68</v>
      </c>
      <c r="C3091" s="0" t="str">
        <f aca="false">INDEX(Intent_Analysis!$B$5:$B$81,MATCH(B3091,Intent_Analysis!$A$5:$A$81,0))</f>
        <v>Card usage &amp; features</v>
      </c>
      <c r="D3091" s="0" t="n">
        <f aca="false">INDEX(Intent_Analysis!$E$5:$E$81,MATCH(B3091,Intent_Analysis!$A$5:$A$81,0))</f>
        <v>1</v>
      </c>
    </row>
    <row r="3092" customFormat="false" ht="15" hidden="false" customHeight="false" outlineLevel="0" collapsed="false">
      <c r="A3092" s="0" t="s">
        <v>3416</v>
      </c>
      <c r="B3092" s="0" t="s">
        <v>68</v>
      </c>
      <c r="C3092" s="0" t="str">
        <f aca="false">INDEX(Intent_Analysis!$B$5:$B$81,MATCH(B3092,Intent_Analysis!$A$5:$A$81,0))</f>
        <v>Card usage &amp; features</v>
      </c>
      <c r="D3092" s="0" t="n">
        <f aca="false">INDEX(Intent_Analysis!$E$5:$E$81,MATCH(B3092,Intent_Analysis!$A$5:$A$81,0))</f>
        <v>1</v>
      </c>
    </row>
    <row r="3093" customFormat="false" ht="15" hidden="false" customHeight="false" outlineLevel="0" collapsed="false">
      <c r="A3093" s="0" t="s">
        <v>3417</v>
      </c>
      <c r="B3093" s="0" t="s">
        <v>68</v>
      </c>
      <c r="C3093" s="0" t="str">
        <f aca="false">INDEX(Intent_Analysis!$B$5:$B$81,MATCH(B3093,Intent_Analysis!$A$5:$A$81,0))</f>
        <v>Card usage &amp; features</v>
      </c>
      <c r="D3093" s="0" t="n">
        <f aca="false">INDEX(Intent_Analysis!$E$5:$E$81,MATCH(B3093,Intent_Analysis!$A$5:$A$81,0))</f>
        <v>1</v>
      </c>
    </row>
    <row r="3094" customFormat="false" ht="15" hidden="false" customHeight="false" outlineLevel="0" collapsed="false">
      <c r="A3094" s="0" t="s">
        <v>3418</v>
      </c>
      <c r="B3094" s="0" t="s">
        <v>68</v>
      </c>
      <c r="C3094" s="0" t="str">
        <f aca="false">INDEX(Intent_Analysis!$B$5:$B$81,MATCH(B3094,Intent_Analysis!$A$5:$A$81,0))</f>
        <v>Card usage &amp; features</v>
      </c>
      <c r="D3094" s="0" t="n">
        <f aca="false">INDEX(Intent_Analysis!$E$5:$E$81,MATCH(B3094,Intent_Analysis!$A$5:$A$81,0))</f>
        <v>1</v>
      </c>
    </row>
    <row r="3095" customFormat="false" ht="15" hidden="false" customHeight="false" outlineLevel="0" collapsed="false">
      <c r="A3095" s="0" t="s">
        <v>3419</v>
      </c>
      <c r="B3095" s="0" t="s">
        <v>68</v>
      </c>
      <c r="C3095" s="0" t="str">
        <f aca="false">INDEX(Intent_Analysis!$B$5:$B$81,MATCH(B3095,Intent_Analysis!$A$5:$A$81,0))</f>
        <v>Card usage &amp; features</v>
      </c>
      <c r="D3095" s="0" t="n">
        <f aca="false">INDEX(Intent_Analysis!$E$5:$E$81,MATCH(B3095,Intent_Analysis!$A$5:$A$81,0))</f>
        <v>1</v>
      </c>
    </row>
    <row r="3096" customFormat="false" ht="15" hidden="false" customHeight="false" outlineLevel="0" collapsed="false">
      <c r="A3096" s="0" t="s">
        <v>3420</v>
      </c>
      <c r="B3096" s="0" t="s">
        <v>68</v>
      </c>
      <c r="C3096" s="0" t="str">
        <f aca="false">INDEX(Intent_Analysis!$B$5:$B$81,MATCH(B3096,Intent_Analysis!$A$5:$A$81,0))</f>
        <v>Card usage &amp; features</v>
      </c>
      <c r="D3096" s="0" t="n">
        <f aca="false">INDEX(Intent_Analysis!$E$5:$E$81,MATCH(B3096,Intent_Analysis!$A$5:$A$81,0))</f>
        <v>1</v>
      </c>
    </row>
    <row r="3097" customFormat="false" ht="15" hidden="false" customHeight="false" outlineLevel="0" collapsed="false">
      <c r="A3097" s="0" t="s">
        <v>3421</v>
      </c>
      <c r="B3097" s="0" t="s">
        <v>68</v>
      </c>
      <c r="C3097" s="0" t="str">
        <f aca="false">INDEX(Intent_Analysis!$B$5:$B$81,MATCH(B3097,Intent_Analysis!$A$5:$A$81,0))</f>
        <v>Card usage &amp; features</v>
      </c>
      <c r="D3097" s="0" t="n">
        <f aca="false">INDEX(Intent_Analysis!$E$5:$E$81,MATCH(B3097,Intent_Analysis!$A$5:$A$81,0))</f>
        <v>1</v>
      </c>
    </row>
    <row r="3098" customFormat="false" ht="15" hidden="false" customHeight="false" outlineLevel="0" collapsed="false">
      <c r="A3098" s="0" t="s">
        <v>3422</v>
      </c>
      <c r="B3098" s="0" t="s">
        <v>72</v>
      </c>
      <c r="C3098" s="0" t="str">
        <f aca="false">INDEX(Intent_Analysis!$B$5:$B$81,MATCH(B3098,Intent_Analysis!$A$5:$A$81,0))</f>
        <v>Card usage &amp; features</v>
      </c>
      <c r="D3098" s="0" t="n">
        <f aca="false">INDEX(Intent_Analysis!$E$5:$E$81,MATCH(B3098,Intent_Analysis!$A$5:$A$81,0))</f>
        <v>1</v>
      </c>
    </row>
    <row r="3099" customFormat="false" ht="15" hidden="false" customHeight="false" outlineLevel="0" collapsed="false">
      <c r="A3099" s="0" t="s">
        <v>3423</v>
      </c>
      <c r="B3099" s="0" t="s">
        <v>72</v>
      </c>
      <c r="C3099" s="0" t="str">
        <f aca="false">INDEX(Intent_Analysis!$B$5:$B$81,MATCH(B3099,Intent_Analysis!$A$5:$A$81,0))</f>
        <v>Card usage &amp; features</v>
      </c>
      <c r="D3099" s="0" t="n">
        <f aca="false">INDEX(Intent_Analysis!$E$5:$E$81,MATCH(B3099,Intent_Analysis!$A$5:$A$81,0))</f>
        <v>1</v>
      </c>
    </row>
    <row r="3100" customFormat="false" ht="15" hidden="false" customHeight="false" outlineLevel="0" collapsed="false">
      <c r="A3100" s="0" t="s">
        <v>3424</v>
      </c>
      <c r="B3100" s="0" t="s">
        <v>72</v>
      </c>
      <c r="C3100" s="0" t="str">
        <f aca="false">INDEX(Intent_Analysis!$B$5:$B$81,MATCH(B3100,Intent_Analysis!$A$5:$A$81,0))</f>
        <v>Card usage &amp; features</v>
      </c>
      <c r="D3100" s="0" t="n">
        <f aca="false">INDEX(Intent_Analysis!$E$5:$E$81,MATCH(B3100,Intent_Analysis!$A$5:$A$81,0))</f>
        <v>1</v>
      </c>
    </row>
    <row r="3101" customFormat="false" ht="15" hidden="false" customHeight="false" outlineLevel="0" collapsed="false">
      <c r="A3101" s="0" t="s">
        <v>3425</v>
      </c>
      <c r="B3101" s="0" t="s">
        <v>72</v>
      </c>
      <c r="C3101" s="0" t="str">
        <f aca="false">INDEX(Intent_Analysis!$B$5:$B$81,MATCH(B3101,Intent_Analysis!$A$5:$A$81,0))</f>
        <v>Card usage &amp; features</v>
      </c>
      <c r="D3101" s="0" t="n">
        <f aca="false">INDEX(Intent_Analysis!$E$5:$E$81,MATCH(B3101,Intent_Analysis!$A$5:$A$81,0))</f>
        <v>1</v>
      </c>
    </row>
    <row r="3102" customFormat="false" ht="15" hidden="false" customHeight="false" outlineLevel="0" collapsed="false">
      <c r="A3102" s="0" t="s">
        <v>3426</v>
      </c>
      <c r="B3102" s="0" t="s">
        <v>72</v>
      </c>
      <c r="C3102" s="0" t="str">
        <f aca="false">INDEX(Intent_Analysis!$B$5:$B$81,MATCH(B3102,Intent_Analysis!$A$5:$A$81,0))</f>
        <v>Card usage &amp; features</v>
      </c>
      <c r="D3102" s="0" t="n">
        <f aca="false">INDEX(Intent_Analysis!$E$5:$E$81,MATCH(B3102,Intent_Analysis!$A$5:$A$81,0))</f>
        <v>1</v>
      </c>
    </row>
    <row r="3103" customFormat="false" ht="15" hidden="false" customHeight="false" outlineLevel="0" collapsed="false">
      <c r="A3103" s="0" t="s">
        <v>3427</v>
      </c>
      <c r="B3103" s="0" t="s">
        <v>72</v>
      </c>
      <c r="C3103" s="0" t="str">
        <f aca="false">INDEX(Intent_Analysis!$B$5:$B$81,MATCH(B3103,Intent_Analysis!$A$5:$A$81,0))</f>
        <v>Card usage &amp; features</v>
      </c>
      <c r="D3103" s="0" t="n">
        <f aca="false">INDEX(Intent_Analysis!$E$5:$E$81,MATCH(B3103,Intent_Analysis!$A$5:$A$81,0))</f>
        <v>1</v>
      </c>
    </row>
    <row r="3104" customFormat="false" ht="15" hidden="false" customHeight="false" outlineLevel="0" collapsed="false">
      <c r="A3104" s="0" t="s">
        <v>3428</v>
      </c>
      <c r="B3104" s="0" t="s">
        <v>72</v>
      </c>
      <c r="C3104" s="0" t="str">
        <f aca="false">INDEX(Intent_Analysis!$B$5:$B$81,MATCH(B3104,Intent_Analysis!$A$5:$A$81,0))</f>
        <v>Card usage &amp; features</v>
      </c>
      <c r="D3104" s="0" t="n">
        <f aca="false">INDEX(Intent_Analysis!$E$5:$E$81,MATCH(B3104,Intent_Analysis!$A$5:$A$81,0))</f>
        <v>1</v>
      </c>
    </row>
    <row r="3105" customFormat="false" ht="15" hidden="false" customHeight="false" outlineLevel="0" collapsed="false">
      <c r="A3105" s="0" t="s">
        <v>3429</v>
      </c>
      <c r="B3105" s="0" t="s">
        <v>72</v>
      </c>
      <c r="C3105" s="0" t="str">
        <f aca="false">INDEX(Intent_Analysis!$B$5:$B$81,MATCH(B3105,Intent_Analysis!$A$5:$A$81,0))</f>
        <v>Card usage &amp; features</v>
      </c>
      <c r="D3105" s="0" t="n">
        <f aca="false">INDEX(Intent_Analysis!$E$5:$E$81,MATCH(B3105,Intent_Analysis!$A$5:$A$81,0))</f>
        <v>1</v>
      </c>
    </row>
    <row r="3106" customFormat="false" ht="15" hidden="false" customHeight="false" outlineLevel="0" collapsed="false">
      <c r="A3106" s="0" t="s">
        <v>3430</v>
      </c>
      <c r="B3106" s="0" t="s">
        <v>72</v>
      </c>
      <c r="C3106" s="0" t="str">
        <f aca="false">INDEX(Intent_Analysis!$B$5:$B$81,MATCH(B3106,Intent_Analysis!$A$5:$A$81,0))</f>
        <v>Card usage &amp; features</v>
      </c>
      <c r="D3106" s="0" t="n">
        <f aca="false">INDEX(Intent_Analysis!$E$5:$E$81,MATCH(B3106,Intent_Analysis!$A$5:$A$81,0))</f>
        <v>1</v>
      </c>
    </row>
    <row r="3107" customFormat="false" ht="15" hidden="false" customHeight="false" outlineLevel="0" collapsed="false">
      <c r="A3107" s="0" t="s">
        <v>3431</v>
      </c>
      <c r="B3107" s="0" t="s">
        <v>72</v>
      </c>
      <c r="C3107" s="0" t="str">
        <f aca="false">INDEX(Intent_Analysis!$B$5:$B$81,MATCH(B3107,Intent_Analysis!$A$5:$A$81,0))</f>
        <v>Card usage &amp; features</v>
      </c>
      <c r="D3107" s="0" t="n">
        <f aca="false">INDEX(Intent_Analysis!$E$5:$E$81,MATCH(B3107,Intent_Analysis!$A$5:$A$81,0))</f>
        <v>1</v>
      </c>
    </row>
    <row r="3108" customFormat="false" ht="15" hidden="false" customHeight="false" outlineLevel="0" collapsed="false">
      <c r="A3108" s="0" t="s">
        <v>3432</v>
      </c>
      <c r="B3108" s="0" t="s">
        <v>72</v>
      </c>
      <c r="C3108" s="0" t="str">
        <f aca="false">INDEX(Intent_Analysis!$B$5:$B$81,MATCH(B3108,Intent_Analysis!$A$5:$A$81,0))</f>
        <v>Card usage &amp; features</v>
      </c>
      <c r="D3108" s="0" t="n">
        <f aca="false">INDEX(Intent_Analysis!$E$5:$E$81,MATCH(B3108,Intent_Analysis!$A$5:$A$81,0))</f>
        <v>1</v>
      </c>
    </row>
    <row r="3109" customFormat="false" ht="15" hidden="false" customHeight="false" outlineLevel="0" collapsed="false">
      <c r="A3109" s="0" t="s">
        <v>3433</v>
      </c>
      <c r="B3109" s="0" t="s">
        <v>72</v>
      </c>
      <c r="C3109" s="0" t="str">
        <f aca="false">INDEX(Intent_Analysis!$B$5:$B$81,MATCH(B3109,Intent_Analysis!$A$5:$A$81,0))</f>
        <v>Card usage &amp; features</v>
      </c>
      <c r="D3109" s="0" t="n">
        <f aca="false">INDEX(Intent_Analysis!$E$5:$E$81,MATCH(B3109,Intent_Analysis!$A$5:$A$81,0))</f>
        <v>1</v>
      </c>
    </row>
    <row r="3110" customFormat="false" ht="15" hidden="false" customHeight="false" outlineLevel="0" collapsed="false">
      <c r="A3110" s="0" t="s">
        <v>3434</v>
      </c>
      <c r="B3110" s="0" t="s">
        <v>72</v>
      </c>
      <c r="C3110" s="0" t="str">
        <f aca="false">INDEX(Intent_Analysis!$B$5:$B$81,MATCH(B3110,Intent_Analysis!$A$5:$A$81,0))</f>
        <v>Card usage &amp; features</v>
      </c>
      <c r="D3110" s="0" t="n">
        <f aca="false">INDEX(Intent_Analysis!$E$5:$E$81,MATCH(B3110,Intent_Analysis!$A$5:$A$81,0))</f>
        <v>1</v>
      </c>
    </row>
    <row r="3111" customFormat="false" ht="15" hidden="false" customHeight="false" outlineLevel="0" collapsed="false">
      <c r="A3111" s="0" t="s">
        <v>3435</v>
      </c>
      <c r="B3111" s="0" t="s">
        <v>72</v>
      </c>
      <c r="C3111" s="0" t="str">
        <f aca="false">INDEX(Intent_Analysis!$B$5:$B$81,MATCH(B3111,Intent_Analysis!$A$5:$A$81,0))</f>
        <v>Card usage &amp; features</v>
      </c>
      <c r="D3111" s="0" t="n">
        <f aca="false">INDEX(Intent_Analysis!$E$5:$E$81,MATCH(B3111,Intent_Analysis!$A$5:$A$81,0))</f>
        <v>1</v>
      </c>
    </row>
    <row r="3112" customFormat="false" ht="15" hidden="false" customHeight="false" outlineLevel="0" collapsed="false">
      <c r="A3112" s="0" t="s">
        <v>3436</v>
      </c>
      <c r="B3112" s="0" t="s">
        <v>72</v>
      </c>
      <c r="C3112" s="0" t="str">
        <f aca="false">INDEX(Intent_Analysis!$B$5:$B$81,MATCH(B3112,Intent_Analysis!$A$5:$A$81,0))</f>
        <v>Card usage &amp; features</v>
      </c>
      <c r="D3112" s="0" t="n">
        <f aca="false">INDEX(Intent_Analysis!$E$5:$E$81,MATCH(B3112,Intent_Analysis!$A$5:$A$81,0))</f>
        <v>1</v>
      </c>
    </row>
    <row r="3113" customFormat="false" ht="15" hidden="false" customHeight="false" outlineLevel="0" collapsed="false">
      <c r="A3113" s="0" t="s">
        <v>3437</v>
      </c>
      <c r="B3113" s="0" t="s">
        <v>72</v>
      </c>
      <c r="C3113" s="0" t="str">
        <f aca="false">INDEX(Intent_Analysis!$B$5:$B$81,MATCH(B3113,Intent_Analysis!$A$5:$A$81,0))</f>
        <v>Card usage &amp; features</v>
      </c>
      <c r="D3113" s="0" t="n">
        <f aca="false">INDEX(Intent_Analysis!$E$5:$E$81,MATCH(B3113,Intent_Analysis!$A$5:$A$81,0))</f>
        <v>1</v>
      </c>
    </row>
    <row r="3114" customFormat="false" ht="15" hidden="false" customHeight="false" outlineLevel="0" collapsed="false">
      <c r="A3114" s="0" t="s">
        <v>3438</v>
      </c>
      <c r="B3114" s="0" t="s">
        <v>72</v>
      </c>
      <c r="C3114" s="0" t="str">
        <f aca="false">INDEX(Intent_Analysis!$B$5:$B$81,MATCH(B3114,Intent_Analysis!$A$5:$A$81,0))</f>
        <v>Card usage &amp; features</v>
      </c>
      <c r="D3114" s="0" t="n">
        <f aca="false">INDEX(Intent_Analysis!$E$5:$E$81,MATCH(B3114,Intent_Analysis!$A$5:$A$81,0))</f>
        <v>1</v>
      </c>
    </row>
    <row r="3115" customFormat="false" ht="15" hidden="false" customHeight="false" outlineLevel="0" collapsed="false">
      <c r="A3115" s="0" t="s">
        <v>3439</v>
      </c>
      <c r="B3115" s="0" t="s">
        <v>72</v>
      </c>
      <c r="C3115" s="0" t="str">
        <f aca="false">INDEX(Intent_Analysis!$B$5:$B$81,MATCH(B3115,Intent_Analysis!$A$5:$A$81,0))</f>
        <v>Card usage &amp; features</v>
      </c>
      <c r="D3115" s="0" t="n">
        <f aca="false">INDEX(Intent_Analysis!$E$5:$E$81,MATCH(B3115,Intent_Analysis!$A$5:$A$81,0))</f>
        <v>1</v>
      </c>
    </row>
    <row r="3116" customFormat="false" ht="15" hidden="false" customHeight="false" outlineLevel="0" collapsed="false">
      <c r="A3116" s="0" t="s">
        <v>3440</v>
      </c>
      <c r="B3116" s="0" t="s">
        <v>72</v>
      </c>
      <c r="C3116" s="0" t="str">
        <f aca="false">INDEX(Intent_Analysis!$B$5:$B$81,MATCH(B3116,Intent_Analysis!$A$5:$A$81,0))</f>
        <v>Card usage &amp; features</v>
      </c>
      <c r="D3116" s="0" t="n">
        <f aca="false">INDEX(Intent_Analysis!$E$5:$E$81,MATCH(B3116,Intent_Analysis!$A$5:$A$81,0))</f>
        <v>1</v>
      </c>
    </row>
    <row r="3117" customFormat="false" ht="15" hidden="false" customHeight="false" outlineLevel="0" collapsed="false">
      <c r="A3117" s="0" t="s">
        <v>3441</v>
      </c>
      <c r="B3117" s="0" t="s">
        <v>72</v>
      </c>
      <c r="C3117" s="0" t="str">
        <f aca="false">INDEX(Intent_Analysis!$B$5:$B$81,MATCH(B3117,Intent_Analysis!$A$5:$A$81,0))</f>
        <v>Card usage &amp; features</v>
      </c>
      <c r="D3117" s="0" t="n">
        <f aca="false">INDEX(Intent_Analysis!$E$5:$E$81,MATCH(B3117,Intent_Analysis!$A$5:$A$81,0))</f>
        <v>1</v>
      </c>
    </row>
    <row r="3118" customFormat="false" ht="28.35" hidden="false" customHeight="false" outlineLevel="0" collapsed="false">
      <c r="A3118" s="25" t="s">
        <v>3442</v>
      </c>
      <c r="B3118" s="0" t="s">
        <v>72</v>
      </c>
      <c r="C3118" s="0" t="str">
        <f aca="false">INDEX(Intent_Analysis!$B$5:$B$81,MATCH(B3118,Intent_Analysis!$A$5:$A$81,0))</f>
        <v>Card usage &amp; features</v>
      </c>
      <c r="D3118" s="0" t="n">
        <f aca="false">INDEX(Intent_Analysis!$E$5:$E$81,MATCH(B3118,Intent_Analysis!$A$5:$A$81,0))</f>
        <v>1</v>
      </c>
    </row>
    <row r="3119" customFormat="false" ht="15" hidden="false" customHeight="false" outlineLevel="0" collapsed="false">
      <c r="A3119" s="0" t="s">
        <v>3443</v>
      </c>
      <c r="B3119" s="0" t="s">
        <v>72</v>
      </c>
      <c r="C3119" s="0" t="str">
        <f aca="false">INDEX(Intent_Analysis!$B$5:$B$81,MATCH(B3119,Intent_Analysis!$A$5:$A$81,0))</f>
        <v>Card usage &amp; features</v>
      </c>
      <c r="D3119" s="0" t="n">
        <f aca="false">INDEX(Intent_Analysis!$E$5:$E$81,MATCH(B3119,Intent_Analysis!$A$5:$A$81,0))</f>
        <v>1</v>
      </c>
    </row>
    <row r="3120" customFormat="false" ht="15" hidden="false" customHeight="false" outlineLevel="0" collapsed="false">
      <c r="A3120" s="0" t="s">
        <v>3444</v>
      </c>
      <c r="B3120" s="0" t="s">
        <v>72</v>
      </c>
      <c r="C3120" s="0" t="str">
        <f aca="false">INDEX(Intent_Analysis!$B$5:$B$81,MATCH(B3120,Intent_Analysis!$A$5:$A$81,0))</f>
        <v>Card usage &amp; features</v>
      </c>
      <c r="D3120" s="0" t="n">
        <f aca="false">INDEX(Intent_Analysis!$E$5:$E$81,MATCH(B3120,Intent_Analysis!$A$5:$A$81,0))</f>
        <v>1</v>
      </c>
    </row>
    <row r="3121" customFormat="false" ht="15" hidden="false" customHeight="false" outlineLevel="0" collapsed="false">
      <c r="A3121" s="0" t="s">
        <v>3445</v>
      </c>
      <c r="B3121" s="0" t="s">
        <v>72</v>
      </c>
      <c r="C3121" s="0" t="str">
        <f aca="false">INDEX(Intent_Analysis!$B$5:$B$81,MATCH(B3121,Intent_Analysis!$A$5:$A$81,0))</f>
        <v>Card usage &amp; features</v>
      </c>
      <c r="D3121" s="0" t="n">
        <f aca="false">INDEX(Intent_Analysis!$E$5:$E$81,MATCH(B3121,Intent_Analysis!$A$5:$A$81,0))</f>
        <v>1</v>
      </c>
    </row>
    <row r="3122" customFormat="false" ht="15" hidden="false" customHeight="false" outlineLevel="0" collapsed="false">
      <c r="A3122" s="0" t="s">
        <v>3446</v>
      </c>
      <c r="B3122" s="0" t="s">
        <v>72</v>
      </c>
      <c r="C3122" s="0" t="str">
        <f aca="false">INDEX(Intent_Analysis!$B$5:$B$81,MATCH(B3122,Intent_Analysis!$A$5:$A$81,0))</f>
        <v>Card usage &amp; features</v>
      </c>
      <c r="D3122" s="0" t="n">
        <f aca="false">INDEX(Intent_Analysis!$E$5:$E$81,MATCH(B3122,Intent_Analysis!$A$5:$A$81,0))</f>
        <v>1</v>
      </c>
    </row>
    <row r="3123" customFormat="false" ht="15" hidden="false" customHeight="false" outlineLevel="0" collapsed="false">
      <c r="A3123" s="0" t="s">
        <v>3447</v>
      </c>
      <c r="B3123" s="0" t="s">
        <v>72</v>
      </c>
      <c r="C3123" s="0" t="str">
        <f aca="false">INDEX(Intent_Analysis!$B$5:$B$81,MATCH(B3123,Intent_Analysis!$A$5:$A$81,0))</f>
        <v>Card usage &amp; features</v>
      </c>
      <c r="D3123" s="0" t="n">
        <f aca="false">INDEX(Intent_Analysis!$E$5:$E$81,MATCH(B3123,Intent_Analysis!$A$5:$A$81,0))</f>
        <v>1</v>
      </c>
    </row>
    <row r="3124" customFormat="false" ht="15" hidden="false" customHeight="false" outlineLevel="0" collapsed="false">
      <c r="A3124" s="0" t="s">
        <v>3448</v>
      </c>
      <c r="B3124" s="0" t="s">
        <v>72</v>
      </c>
      <c r="C3124" s="0" t="str">
        <f aca="false">INDEX(Intent_Analysis!$B$5:$B$81,MATCH(B3124,Intent_Analysis!$A$5:$A$81,0))</f>
        <v>Card usage &amp; features</v>
      </c>
      <c r="D3124" s="0" t="n">
        <f aca="false">INDEX(Intent_Analysis!$E$5:$E$81,MATCH(B3124,Intent_Analysis!$A$5:$A$81,0))</f>
        <v>1</v>
      </c>
    </row>
    <row r="3125" customFormat="false" ht="15" hidden="false" customHeight="false" outlineLevel="0" collapsed="false">
      <c r="A3125" s="0" t="s">
        <v>3449</v>
      </c>
      <c r="B3125" s="0" t="s">
        <v>72</v>
      </c>
      <c r="C3125" s="0" t="str">
        <f aca="false">INDEX(Intent_Analysis!$B$5:$B$81,MATCH(B3125,Intent_Analysis!$A$5:$A$81,0))</f>
        <v>Card usage &amp; features</v>
      </c>
      <c r="D3125" s="0" t="n">
        <f aca="false">INDEX(Intent_Analysis!$E$5:$E$81,MATCH(B3125,Intent_Analysis!$A$5:$A$81,0))</f>
        <v>1</v>
      </c>
    </row>
    <row r="3126" customFormat="false" ht="15" hidden="false" customHeight="false" outlineLevel="0" collapsed="false">
      <c r="A3126" s="0" t="s">
        <v>3450</v>
      </c>
      <c r="B3126" s="0" t="s">
        <v>72</v>
      </c>
      <c r="C3126" s="0" t="str">
        <f aca="false">INDEX(Intent_Analysis!$B$5:$B$81,MATCH(B3126,Intent_Analysis!$A$5:$A$81,0))</f>
        <v>Card usage &amp; features</v>
      </c>
      <c r="D3126" s="0" t="n">
        <f aca="false">INDEX(Intent_Analysis!$E$5:$E$81,MATCH(B3126,Intent_Analysis!$A$5:$A$81,0))</f>
        <v>1</v>
      </c>
    </row>
    <row r="3127" customFormat="false" ht="15" hidden="false" customHeight="false" outlineLevel="0" collapsed="false">
      <c r="A3127" s="0" t="s">
        <v>3451</v>
      </c>
      <c r="B3127" s="0" t="s">
        <v>72</v>
      </c>
      <c r="C3127" s="0" t="str">
        <f aca="false">INDEX(Intent_Analysis!$B$5:$B$81,MATCH(B3127,Intent_Analysis!$A$5:$A$81,0))</f>
        <v>Card usage &amp; features</v>
      </c>
      <c r="D3127" s="0" t="n">
        <f aca="false">INDEX(Intent_Analysis!$E$5:$E$81,MATCH(B3127,Intent_Analysis!$A$5:$A$81,0))</f>
        <v>1</v>
      </c>
    </row>
    <row r="3128" customFormat="false" ht="15" hidden="false" customHeight="false" outlineLevel="0" collapsed="false">
      <c r="A3128" s="0" t="s">
        <v>3452</v>
      </c>
      <c r="B3128" s="0" t="s">
        <v>72</v>
      </c>
      <c r="C3128" s="0" t="str">
        <f aca="false">INDEX(Intent_Analysis!$B$5:$B$81,MATCH(B3128,Intent_Analysis!$A$5:$A$81,0))</f>
        <v>Card usage &amp; features</v>
      </c>
      <c r="D3128" s="0" t="n">
        <f aca="false">INDEX(Intent_Analysis!$E$5:$E$81,MATCH(B3128,Intent_Analysis!$A$5:$A$81,0))</f>
        <v>1</v>
      </c>
    </row>
    <row r="3129" customFormat="false" ht="15" hidden="false" customHeight="false" outlineLevel="0" collapsed="false">
      <c r="A3129" s="0" t="s">
        <v>3453</v>
      </c>
      <c r="B3129" s="0" t="s">
        <v>72</v>
      </c>
      <c r="C3129" s="0" t="str">
        <f aca="false">INDEX(Intent_Analysis!$B$5:$B$81,MATCH(B3129,Intent_Analysis!$A$5:$A$81,0))</f>
        <v>Card usage &amp; features</v>
      </c>
      <c r="D3129" s="0" t="n">
        <f aca="false">INDEX(Intent_Analysis!$E$5:$E$81,MATCH(B3129,Intent_Analysis!$A$5:$A$81,0))</f>
        <v>1</v>
      </c>
    </row>
    <row r="3130" customFormat="false" ht="15" hidden="false" customHeight="false" outlineLevel="0" collapsed="false">
      <c r="A3130" s="0" t="s">
        <v>3454</v>
      </c>
      <c r="B3130" s="0" t="s">
        <v>72</v>
      </c>
      <c r="C3130" s="0" t="str">
        <f aca="false">INDEX(Intent_Analysis!$B$5:$B$81,MATCH(B3130,Intent_Analysis!$A$5:$A$81,0))</f>
        <v>Card usage &amp; features</v>
      </c>
      <c r="D3130" s="0" t="n">
        <f aca="false">INDEX(Intent_Analysis!$E$5:$E$81,MATCH(B3130,Intent_Analysis!$A$5:$A$81,0))</f>
        <v>1</v>
      </c>
    </row>
    <row r="3131" customFormat="false" ht="15" hidden="false" customHeight="false" outlineLevel="0" collapsed="false">
      <c r="A3131" s="0" t="s">
        <v>3455</v>
      </c>
      <c r="B3131" s="0" t="s">
        <v>72</v>
      </c>
      <c r="C3131" s="0" t="str">
        <f aca="false">INDEX(Intent_Analysis!$B$5:$B$81,MATCH(B3131,Intent_Analysis!$A$5:$A$81,0))</f>
        <v>Card usage &amp; features</v>
      </c>
      <c r="D3131" s="0" t="n">
        <f aca="false">INDEX(Intent_Analysis!$E$5:$E$81,MATCH(B3131,Intent_Analysis!$A$5:$A$81,0))</f>
        <v>1</v>
      </c>
    </row>
    <row r="3132" customFormat="false" ht="15" hidden="false" customHeight="false" outlineLevel="0" collapsed="false">
      <c r="A3132" s="0" t="s">
        <v>3456</v>
      </c>
      <c r="B3132" s="0" t="s">
        <v>72</v>
      </c>
      <c r="C3132" s="0" t="str">
        <f aca="false">INDEX(Intent_Analysis!$B$5:$B$81,MATCH(B3132,Intent_Analysis!$A$5:$A$81,0))</f>
        <v>Card usage &amp; features</v>
      </c>
      <c r="D3132" s="0" t="n">
        <f aca="false">INDEX(Intent_Analysis!$E$5:$E$81,MATCH(B3132,Intent_Analysis!$A$5:$A$81,0))</f>
        <v>1</v>
      </c>
    </row>
    <row r="3133" customFormat="false" ht="15" hidden="false" customHeight="false" outlineLevel="0" collapsed="false">
      <c r="A3133" s="0" t="s">
        <v>3457</v>
      </c>
      <c r="B3133" s="0" t="s">
        <v>72</v>
      </c>
      <c r="C3133" s="0" t="str">
        <f aca="false">INDEX(Intent_Analysis!$B$5:$B$81,MATCH(B3133,Intent_Analysis!$A$5:$A$81,0))</f>
        <v>Card usage &amp; features</v>
      </c>
      <c r="D3133" s="0" t="n">
        <f aca="false">INDEX(Intent_Analysis!$E$5:$E$81,MATCH(B3133,Intent_Analysis!$A$5:$A$81,0))</f>
        <v>1</v>
      </c>
    </row>
    <row r="3134" customFormat="false" ht="15" hidden="false" customHeight="false" outlineLevel="0" collapsed="false">
      <c r="A3134" s="0" t="s">
        <v>3458</v>
      </c>
      <c r="B3134" s="0" t="s">
        <v>72</v>
      </c>
      <c r="C3134" s="0" t="str">
        <f aca="false">INDEX(Intent_Analysis!$B$5:$B$81,MATCH(B3134,Intent_Analysis!$A$5:$A$81,0))</f>
        <v>Card usage &amp; features</v>
      </c>
      <c r="D3134" s="0" t="n">
        <f aca="false">INDEX(Intent_Analysis!$E$5:$E$81,MATCH(B3134,Intent_Analysis!$A$5:$A$81,0))</f>
        <v>1</v>
      </c>
    </row>
    <row r="3135" customFormat="false" ht="15" hidden="false" customHeight="false" outlineLevel="0" collapsed="false">
      <c r="A3135" s="0" t="s">
        <v>3459</v>
      </c>
      <c r="B3135" s="0" t="s">
        <v>72</v>
      </c>
      <c r="C3135" s="0" t="str">
        <f aca="false">INDEX(Intent_Analysis!$B$5:$B$81,MATCH(B3135,Intent_Analysis!$A$5:$A$81,0))</f>
        <v>Card usage &amp; features</v>
      </c>
      <c r="D3135" s="0" t="n">
        <f aca="false">INDEX(Intent_Analysis!$E$5:$E$81,MATCH(B3135,Intent_Analysis!$A$5:$A$81,0))</f>
        <v>1</v>
      </c>
    </row>
    <row r="3136" customFormat="false" ht="15" hidden="false" customHeight="false" outlineLevel="0" collapsed="false">
      <c r="A3136" s="0" t="s">
        <v>3460</v>
      </c>
      <c r="B3136" s="0" t="s">
        <v>72</v>
      </c>
      <c r="C3136" s="0" t="str">
        <f aca="false">INDEX(Intent_Analysis!$B$5:$B$81,MATCH(B3136,Intent_Analysis!$A$5:$A$81,0))</f>
        <v>Card usage &amp; features</v>
      </c>
      <c r="D3136" s="0" t="n">
        <f aca="false">INDEX(Intent_Analysis!$E$5:$E$81,MATCH(B3136,Intent_Analysis!$A$5:$A$81,0))</f>
        <v>1</v>
      </c>
    </row>
    <row r="3137" customFormat="false" ht="15" hidden="false" customHeight="false" outlineLevel="0" collapsed="false">
      <c r="A3137" s="0" t="s">
        <v>3461</v>
      </c>
      <c r="B3137" s="0" t="s">
        <v>72</v>
      </c>
      <c r="C3137" s="0" t="str">
        <f aca="false">INDEX(Intent_Analysis!$B$5:$B$81,MATCH(B3137,Intent_Analysis!$A$5:$A$81,0))</f>
        <v>Card usage &amp; features</v>
      </c>
      <c r="D3137" s="0" t="n">
        <f aca="false">INDEX(Intent_Analysis!$E$5:$E$81,MATCH(B3137,Intent_Analysis!$A$5:$A$81,0))</f>
        <v>1</v>
      </c>
    </row>
    <row r="3138" customFormat="false" ht="15" hidden="false" customHeight="false" outlineLevel="0" collapsed="false">
      <c r="A3138" s="0" t="s">
        <v>3462</v>
      </c>
      <c r="B3138" s="0" t="s">
        <v>72</v>
      </c>
      <c r="C3138" s="0" t="str">
        <f aca="false">INDEX(Intent_Analysis!$B$5:$B$81,MATCH(B3138,Intent_Analysis!$A$5:$A$81,0))</f>
        <v>Card usage &amp; features</v>
      </c>
      <c r="D3138" s="0" t="n">
        <f aca="false">INDEX(Intent_Analysis!$E$5:$E$81,MATCH(B3138,Intent_Analysis!$A$5:$A$81,0))</f>
        <v>1</v>
      </c>
    </row>
    <row r="3139" customFormat="false" ht="15" hidden="false" customHeight="false" outlineLevel="0" collapsed="false">
      <c r="A3139" s="0" t="s">
        <v>3463</v>
      </c>
      <c r="B3139" s="0" t="s">
        <v>72</v>
      </c>
      <c r="C3139" s="0" t="str">
        <f aca="false">INDEX(Intent_Analysis!$B$5:$B$81,MATCH(B3139,Intent_Analysis!$A$5:$A$81,0))</f>
        <v>Card usage &amp; features</v>
      </c>
      <c r="D3139" s="0" t="n">
        <f aca="false">INDEX(Intent_Analysis!$E$5:$E$81,MATCH(B3139,Intent_Analysis!$A$5:$A$81,0))</f>
        <v>1</v>
      </c>
    </row>
    <row r="3140" customFormat="false" ht="15" hidden="false" customHeight="false" outlineLevel="0" collapsed="false">
      <c r="A3140" s="0" t="s">
        <v>3464</v>
      </c>
      <c r="B3140" s="0" t="s">
        <v>72</v>
      </c>
      <c r="C3140" s="0" t="str">
        <f aca="false">INDEX(Intent_Analysis!$B$5:$B$81,MATCH(B3140,Intent_Analysis!$A$5:$A$81,0))</f>
        <v>Card usage &amp; features</v>
      </c>
      <c r="D3140" s="0" t="n">
        <f aca="false">INDEX(Intent_Analysis!$E$5:$E$81,MATCH(B3140,Intent_Analysis!$A$5:$A$81,0))</f>
        <v>1</v>
      </c>
    </row>
    <row r="3141" customFormat="false" ht="15" hidden="false" customHeight="false" outlineLevel="0" collapsed="false">
      <c r="A3141" s="0" t="s">
        <v>3465</v>
      </c>
      <c r="B3141" s="0" t="s">
        <v>72</v>
      </c>
      <c r="C3141" s="0" t="str">
        <f aca="false">INDEX(Intent_Analysis!$B$5:$B$81,MATCH(B3141,Intent_Analysis!$A$5:$A$81,0))</f>
        <v>Card usage &amp; features</v>
      </c>
      <c r="D3141" s="0" t="n">
        <f aca="false">INDEX(Intent_Analysis!$E$5:$E$81,MATCH(B3141,Intent_Analysis!$A$5:$A$81,0))</f>
        <v>1</v>
      </c>
    </row>
    <row r="3142" customFormat="false" ht="15" hidden="false" customHeight="false" outlineLevel="0" collapsed="false">
      <c r="A3142" s="0" t="s">
        <v>3466</v>
      </c>
      <c r="B3142" s="0" t="s">
        <v>72</v>
      </c>
      <c r="C3142" s="0" t="str">
        <f aca="false">INDEX(Intent_Analysis!$B$5:$B$81,MATCH(B3142,Intent_Analysis!$A$5:$A$81,0))</f>
        <v>Card usage &amp; features</v>
      </c>
      <c r="D3142" s="0" t="n">
        <f aca="false">INDEX(Intent_Analysis!$E$5:$E$81,MATCH(B3142,Intent_Analysis!$A$5:$A$81,0))</f>
        <v>1</v>
      </c>
    </row>
    <row r="3143" customFormat="false" ht="15" hidden="false" customHeight="false" outlineLevel="0" collapsed="false">
      <c r="A3143" s="0" t="s">
        <v>3467</v>
      </c>
      <c r="B3143" s="0" t="s">
        <v>72</v>
      </c>
      <c r="C3143" s="0" t="str">
        <f aca="false">INDEX(Intent_Analysis!$B$5:$B$81,MATCH(B3143,Intent_Analysis!$A$5:$A$81,0))</f>
        <v>Card usage &amp; features</v>
      </c>
      <c r="D3143" s="0" t="n">
        <f aca="false">INDEX(Intent_Analysis!$E$5:$E$81,MATCH(B3143,Intent_Analysis!$A$5:$A$81,0))</f>
        <v>1</v>
      </c>
    </row>
    <row r="3144" customFormat="false" ht="15" hidden="false" customHeight="false" outlineLevel="0" collapsed="false">
      <c r="A3144" s="0" t="s">
        <v>3468</v>
      </c>
      <c r="B3144" s="0" t="s">
        <v>72</v>
      </c>
      <c r="C3144" s="0" t="str">
        <f aca="false">INDEX(Intent_Analysis!$B$5:$B$81,MATCH(B3144,Intent_Analysis!$A$5:$A$81,0))</f>
        <v>Card usage &amp; features</v>
      </c>
      <c r="D3144" s="0" t="n">
        <f aca="false">INDEX(Intent_Analysis!$E$5:$E$81,MATCH(B3144,Intent_Analysis!$A$5:$A$81,0))</f>
        <v>1</v>
      </c>
    </row>
    <row r="3145" customFormat="false" ht="15" hidden="false" customHeight="false" outlineLevel="0" collapsed="false">
      <c r="A3145" s="0" t="s">
        <v>3469</v>
      </c>
      <c r="B3145" s="0" t="s">
        <v>72</v>
      </c>
      <c r="C3145" s="0" t="str">
        <f aca="false">INDEX(Intent_Analysis!$B$5:$B$81,MATCH(B3145,Intent_Analysis!$A$5:$A$81,0))</f>
        <v>Card usage &amp; features</v>
      </c>
      <c r="D3145" s="0" t="n">
        <f aca="false">INDEX(Intent_Analysis!$E$5:$E$81,MATCH(B3145,Intent_Analysis!$A$5:$A$81,0))</f>
        <v>1</v>
      </c>
    </row>
    <row r="3146" customFormat="false" ht="15" hidden="false" customHeight="false" outlineLevel="0" collapsed="false">
      <c r="A3146" s="0" t="s">
        <v>3470</v>
      </c>
      <c r="B3146" s="0" t="s">
        <v>72</v>
      </c>
      <c r="C3146" s="0" t="str">
        <f aca="false">INDEX(Intent_Analysis!$B$5:$B$81,MATCH(B3146,Intent_Analysis!$A$5:$A$81,0))</f>
        <v>Card usage &amp; features</v>
      </c>
      <c r="D3146" s="0" t="n">
        <f aca="false">INDEX(Intent_Analysis!$E$5:$E$81,MATCH(B3146,Intent_Analysis!$A$5:$A$81,0))</f>
        <v>1</v>
      </c>
    </row>
    <row r="3147" customFormat="false" ht="15" hidden="false" customHeight="false" outlineLevel="0" collapsed="false">
      <c r="A3147" s="0" t="s">
        <v>3471</v>
      </c>
      <c r="B3147" s="0" t="s">
        <v>72</v>
      </c>
      <c r="C3147" s="0" t="str">
        <f aca="false">INDEX(Intent_Analysis!$B$5:$B$81,MATCH(B3147,Intent_Analysis!$A$5:$A$81,0))</f>
        <v>Card usage &amp; features</v>
      </c>
      <c r="D3147" s="0" t="n">
        <f aca="false">INDEX(Intent_Analysis!$E$5:$E$81,MATCH(B3147,Intent_Analysis!$A$5:$A$81,0))</f>
        <v>1</v>
      </c>
    </row>
    <row r="3148" customFormat="false" ht="15" hidden="false" customHeight="false" outlineLevel="0" collapsed="false">
      <c r="A3148" s="0" t="s">
        <v>3472</v>
      </c>
      <c r="B3148" s="0" t="s">
        <v>72</v>
      </c>
      <c r="C3148" s="0" t="str">
        <f aca="false">INDEX(Intent_Analysis!$B$5:$B$81,MATCH(B3148,Intent_Analysis!$A$5:$A$81,0))</f>
        <v>Card usage &amp; features</v>
      </c>
      <c r="D3148" s="0" t="n">
        <f aca="false">INDEX(Intent_Analysis!$E$5:$E$81,MATCH(B3148,Intent_Analysis!$A$5:$A$81,0))</f>
        <v>1</v>
      </c>
    </row>
    <row r="3149" customFormat="false" ht="15" hidden="false" customHeight="false" outlineLevel="0" collapsed="false">
      <c r="A3149" s="0" t="s">
        <v>3473</v>
      </c>
      <c r="B3149" s="0" t="s">
        <v>72</v>
      </c>
      <c r="C3149" s="0" t="str">
        <f aca="false">INDEX(Intent_Analysis!$B$5:$B$81,MATCH(B3149,Intent_Analysis!$A$5:$A$81,0))</f>
        <v>Card usage &amp; features</v>
      </c>
      <c r="D3149" s="0" t="n">
        <f aca="false">INDEX(Intent_Analysis!$E$5:$E$81,MATCH(B3149,Intent_Analysis!$A$5:$A$81,0))</f>
        <v>1</v>
      </c>
    </row>
    <row r="3150" customFormat="false" ht="15" hidden="false" customHeight="false" outlineLevel="0" collapsed="false">
      <c r="A3150" s="0" t="s">
        <v>3474</v>
      </c>
      <c r="B3150" s="0" t="s">
        <v>72</v>
      </c>
      <c r="C3150" s="0" t="str">
        <f aca="false">INDEX(Intent_Analysis!$B$5:$B$81,MATCH(B3150,Intent_Analysis!$A$5:$A$81,0))</f>
        <v>Card usage &amp; features</v>
      </c>
      <c r="D3150" s="0" t="n">
        <f aca="false">INDEX(Intent_Analysis!$E$5:$E$81,MATCH(B3150,Intent_Analysis!$A$5:$A$81,0))</f>
        <v>1</v>
      </c>
    </row>
    <row r="3151" customFormat="false" ht="15" hidden="false" customHeight="false" outlineLevel="0" collapsed="false">
      <c r="A3151" s="0" t="s">
        <v>3475</v>
      </c>
      <c r="B3151" s="0" t="s">
        <v>72</v>
      </c>
      <c r="C3151" s="0" t="str">
        <f aca="false">INDEX(Intent_Analysis!$B$5:$B$81,MATCH(B3151,Intent_Analysis!$A$5:$A$81,0))</f>
        <v>Card usage &amp; features</v>
      </c>
      <c r="D3151" s="0" t="n">
        <f aca="false">INDEX(Intent_Analysis!$E$5:$E$81,MATCH(B3151,Intent_Analysis!$A$5:$A$81,0))</f>
        <v>1</v>
      </c>
    </row>
    <row r="3152" customFormat="false" ht="15" hidden="false" customHeight="false" outlineLevel="0" collapsed="false">
      <c r="A3152" s="0" t="s">
        <v>3476</v>
      </c>
      <c r="B3152" s="0" t="s">
        <v>72</v>
      </c>
      <c r="C3152" s="0" t="str">
        <f aca="false">INDEX(Intent_Analysis!$B$5:$B$81,MATCH(B3152,Intent_Analysis!$A$5:$A$81,0))</f>
        <v>Card usage &amp; features</v>
      </c>
      <c r="D3152" s="0" t="n">
        <f aca="false">INDEX(Intent_Analysis!$E$5:$E$81,MATCH(B3152,Intent_Analysis!$A$5:$A$81,0))</f>
        <v>1</v>
      </c>
    </row>
    <row r="3153" customFormat="false" ht="15" hidden="false" customHeight="false" outlineLevel="0" collapsed="false">
      <c r="A3153" s="0" t="s">
        <v>3477</v>
      </c>
      <c r="B3153" s="0" t="s">
        <v>72</v>
      </c>
      <c r="C3153" s="0" t="str">
        <f aca="false">INDEX(Intent_Analysis!$B$5:$B$81,MATCH(B3153,Intent_Analysis!$A$5:$A$81,0))</f>
        <v>Card usage &amp; features</v>
      </c>
      <c r="D3153" s="0" t="n">
        <f aca="false">INDEX(Intent_Analysis!$E$5:$E$81,MATCH(B3153,Intent_Analysis!$A$5:$A$81,0))</f>
        <v>1</v>
      </c>
    </row>
    <row r="3154" customFormat="false" ht="15" hidden="false" customHeight="false" outlineLevel="0" collapsed="false">
      <c r="A3154" s="0" t="s">
        <v>3478</v>
      </c>
      <c r="B3154" s="0" t="s">
        <v>72</v>
      </c>
      <c r="C3154" s="0" t="str">
        <f aca="false">INDEX(Intent_Analysis!$B$5:$B$81,MATCH(B3154,Intent_Analysis!$A$5:$A$81,0))</f>
        <v>Card usage &amp; features</v>
      </c>
      <c r="D3154" s="0" t="n">
        <f aca="false">INDEX(Intent_Analysis!$E$5:$E$81,MATCH(B3154,Intent_Analysis!$A$5:$A$81,0))</f>
        <v>1</v>
      </c>
    </row>
    <row r="3155" customFormat="false" ht="15" hidden="false" customHeight="false" outlineLevel="0" collapsed="false">
      <c r="A3155" s="0" t="s">
        <v>3479</v>
      </c>
      <c r="B3155" s="0" t="s">
        <v>72</v>
      </c>
      <c r="C3155" s="0" t="str">
        <f aca="false">INDEX(Intent_Analysis!$B$5:$B$81,MATCH(B3155,Intent_Analysis!$A$5:$A$81,0))</f>
        <v>Card usage &amp; features</v>
      </c>
      <c r="D3155" s="0" t="n">
        <f aca="false">INDEX(Intent_Analysis!$E$5:$E$81,MATCH(B3155,Intent_Analysis!$A$5:$A$81,0))</f>
        <v>1</v>
      </c>
    </row>
    <row r="3156" customFormat="false" ht="15" hidden="false" customHeight="false" outlineLevel="0" collapsed="false">
      <c r="A3156" s="0" t="s">
        <v>3480</v>
      </c>
      <c r="B3156" s="0" t="s">
        <v>72</v>
      </c>
      <c r="C3156" s="0" t="str">
        <f aca="false">INDEX(Intent_Analysis!$B$5:$B$81,MATCH(B3156,Intent_Analysis!$A$5:$A$81,0))</f>
        <v>Card usage &amp; features</v>
      </c>
      <c r="D3156" s="0" t="n">
        <f aca="false">INDEX(Intent_Analysis!$E$5:$E$81,MATCH(B3156,Intent_Analysis!$A$5:$A$81,0))</f>
        <v>1</v>
      </c>
    </row>
    <row r="3157" customFormat="false" ht="15" hidden="false" customHeight="false" outlineLevel="0" collapsed="false">
      <c r="A3157" s="0" t="s">
        <v>3481</v>
      </c>
      <c r="B3157" s="0" t="s">
        <v>104</v>
      </c>
      <c r="C3157" s="0" t="str">
        <f aca="false">INDEX(Intent_Analysis!$B$5:$B$81,MATCH(B3157,Intent_Analysis!$A$5:$A$81,0))</f>
        <v>Top-ups</v>
      </c>
      <c r="D3157" s="0" t="n">
        <f aca="false">INDEX(Intent_Analysis!$E$5:$E$81,MATCH(B3157,Intent_Analysis!$A$5:$A$81,0))</f>
        <v>2</v>
      </c>
    </row>
    <row r="3158" customFormat="false" ht="15" hidden="false" customHeight="false" outlineLevel="0" collapsed="false">
      <c r="A3158" s="0" t="s">
        <v>3482</v>
      </c>
      <c r="B3158" s="0" t="s">
        <v>104</v>
      </c>
      <c r="C3158" s="0" t="str">
        <f aca="false">INDEX(Intent_Analysis!$B$5:$B$81,MATCH(B3158,Intent_Analysis!$A$5:$A$81,0))</f>
        <v>Top-ups</v>
      </c>
      <c r="D3158" s="0" t="n">
        <f aca="false">INDEX(Intent_Analysis!$E$5:$E$81,MATCH(B3158,Intent_Analysis!$A$5:$A$81,0))</f>
        <v>2</v>
      </c>
    </row>
    <row r="3159" customFormat="false" ht="15" hidden="false" customHeight="false" outlineLevel="0" collapsed="false">
      <c r="A3159" s="0" t="s">
        <v>3483</v>
      </c>
      <c r="B3159" s="0" t="s">
        <v>104</v>
      </c>
      <c r="C3159" s="0" t="str">
        <f aca="false">INDEX(Intent_Analysis!$B$5:$B$81,MATCH(B3159,Intent_Analysis!$A$5:$A$81,0))</f>
        <v>Top-ups</v>
      </c>
      <c r="D3159" s="0" t="n">
        <f aca="false">INDEX(Intent_Analysis!$E$5:$E$81,MATCH(B3159,Intent_Analysis!$A$5:$A$81,0))</f>
        <v>2</v>
      </c>
    </row>
    <row r="3160" customFormat="false" ht="15" hidden="false" customHeight="false" outlineLevel="0" collapsed="false">
      <c r="A3160" s="0" t="s">
        <v>3484</v>
      </c>
      <c r="B3160" s="0" t="s">
        <v>104</v>
      </c>
      <c r="C3160" s="0" t="str">
        <f aca="false">INDEX(Intent_Analysis!$B$5:$B$81,MATCH(B3160,Intent_Analysis!$A$5:$A$81,0))</f>
        <v>Top-ups</v>
      </c>
      <c r="D3160" s="0" t="n">
        <f aca="false">INDEX(Intent_Analysis!$E$5:$E$81,MATCH(B3160,Intent_Analysis!$A$5:$A$81,0))</f>
        <v>2</v>
      </c>
    </row>
    <row r="3161" customFormat="false" ht="15" hidden="false" customHeight="false" outlineLevel="0" collapsed="false">
      <c r="A3161" s="0" t="s">
        <v>3485</v>
      </c>
      <c r="B3161" s="0" t="s">
        <v>104</v>
      </c>
      <c r="C3161" s="0" t="str">
        <f aca="false">INDEX(Intent_Analysis!$B$5:$B$81,MATCH(B3161,Intent_Analysis!$A$5:$A$81,0))</f>
        <v>Top-ups</v>
      </c>
      <c r="D3161" s="0" t="n">
        <f aca="false">INDEX(Intent_Analysis!$E$5:$E$81,MATCH(B3161,Intent_Analysis!$A$5:$A$81,0))</f>
        <v>2</v>
      </c>
    </row>
    <row r="3162" customFormat="false" ht="15" hidden="false" customHeight="false" outlineLevel="0" collapsed="false">
      <c r="A3162" s="0" t="s">
        <v>3486</v>
      </c>
      <c r="B3162" s="0" t="s">
        <v>104</v>
      </c>
      <c r="C3162" s="0" t="str">
        <f aca="false">INDEX(Intent_Analysis!$B$5:$B$81,MATCH(B3162,Intent_Analysis!$A$5:$A$81,0))</f>
        <v>Top-ups</v>
      </c>
      <c r="D3162" s="0" t="n">
        <f aca="false">INDEX(Intent_Analysis!$E$5:$E$81,MATCH(B3162,Intent_Analysis!$A$5:$A$81,0))</f>
        <v>2</v>
      </c>
    </row>
    <row r="3163" customFormat="false" ht="15" hidden="false" customHeight="false" outlineLevel="0" collapsed="false">
      <c r="A3163" s="0" t="s">
        <v>3487</v>
      </c>
      <c r="B3163" s="0" t="s">
        <v>104</v>
      </c>
      <c r="C3163" s="0" t="str">
        <f aca="false">INDEX(Intent_Analysis!$B$5:$B$81,MATCH(B3163,Intent_Analysis!$A$5:$A$81,0))</f>
        <v>Top-ups</v>
      </c>
      <c r="D3163" s="0" t="n">
        <f aca="false">INDEX(Intent_Analysis!$E$5:$E$81,MATCH(B3163,Intent_Analysis!$A$5:$A$81,0))</f>
        <v>2</v>
      </c>
    </row>
    <row r="3164" customFormat="false" ht="15" hidden="false" customHeight="false" outlineLevel="0" collapsed="false">
      <c r="A3164" s="0" t="s">
        <v>3488</v>
      </c>
      <c r="B3164" s="0" t="s">
        <v>104</v>
      </c>
      <c r="C3164" s="0" t="str">
        <f aca="false">INDEX(Intent_Analysis!$B$5:$B$81,MATCH(B3164,Intent_Analysis!$A$5:$A$81,0))</f>
        <v>Top-ups</v>
      </c>
      <c r="D3164" s="0" t="n">
        <f aca="false">INDEX(Intent_Analysis!$E$5:$E$81,MATCH(B3164,Intent_Analysis!$A$5:$A$81,0))</f>
        <v>2</v>
      </c>
    </row>
    <row r="3165" customFormat="false" ht="15" hidden="false" customHeight="false" outlineLevel="0" collapsed="false">
      <c r="A3165" s="0" t="s">
        <v>3489</v>
      </c>
      <c r="B3165" s="0" t="s">
        <v>104</v>
      </c>
      <c r="C3165" s="0" t="str">
        <f aca="false">INDEX(Intent_Analysis!$B$5:$B$81,MATCH(B3165,Intent_Analysis!$A$5:$A$81,0))</f>
        <v>Top-ups</v>
      </c>
      <c r="D3165" s="0" t="n">
        <f aca="false">INDEX(Intent_Analysis!$E$5:$E$81,MATCH(B3165,Intent_Analysis!$A$5:$A$81,0))</f>
        <v>2</v>
      </c>
    </row>
    <row r="3166" customFormat="false" ht="15" hidden="false" customHeight="false" outlineLevel="0" collapsed="false">
      <c r="A3166" s="0" t="s">
        <v>3490</v>
      </c>
      <c r="B3166" s="0" t="s">
        <v>104</v>
      </c>
      <c r="C3166" s="0" t="str">
        <f aca="false">INDEX(Intent_Analysis!$B$5:$B$81,MATCH(B3166,Intent_Analysis!$A$5:$A$81,0))</f>
        <v>Top-ups</v>
      </c>
      <c r="D3166" s="0" t="n">
        <f aca="false">INDEX(Intent_Analysis!$E$5:$E$81,MATCH(B3166,Intent_Analysis!$A$5:$A$81,0))</f>
        <v>2</v>
      </c>
    </row>
    <row r="3167" customFormat="false" ht="15" hidden="false" customHeight="false" outlineLevel="0" collapsed="false">
      <c r="A3167" s="0" t="s">
        <v>3491</v>
      </c>
      <c r="B3167" s="0" t="s">
        <v>104</v>
      </c>
      <c r="C3167" s="0" t="str">
        <f aca="false">INDEX(Intent_Analysis!$B$5:$B$81,MATCH(B3167,Intent_Analysis!$A$5:$A$81,0))</f>
        <v>Top-ups</v>
      </c>
      <c r="D3167" s="0" t="n">
        <f aca="false">INDEX(Intent_Analysis!$E$5:$E$81,MATCH(B3167,Intent_Analysis!$A$5:$A$81,0))</f>
        <v>2</v>
      </c>
    </row>
    <row r="3168" customFormat="false" ht="15" hidden="false" customHeight="false" outlineLevel="0" collapsed="false">
      <c r="A3168" s="0" t="s">
        <v>3492</v>
      </c>
      <c r="B3168" s="0" t="s">
        <v>104</v>
      </c>
      <c r="C3168" s="0" t="str">
        <f aca="false">INDEX(Intent_Analysis!$B$5:$B$81,MATCH(B3168,Intent_Analysis!$A$5:$A$81,0))</f>
        <v>Top-ups</v>
      </c>
      <c r="D3168" s="0" t="n">
        <f aca="false">INDEX(Intent_Analysis!$E$5:$E$81,MATCH(B3168,Intent_Analysis!$A$5:$A$81,0))</f>
        <v>2</v>
      </c>
    </row>
    <row r="3169" customFormat="false" ht="15" hidden="false" customHeight="false" outlineLevel="0" collapsed="false">
      <c r="A3169" s="0" t="s">
        <v>3493</v>
      </c>
      <c r="B3169" s="0" t="s">
        <v>104</v>
      </c>
      <c r="C3169" s="0" t="str">
        <f aca="false">INDEX(Intent_Analysis!$B$5:$B$81,MATCH(B3169,Intent_Analysis!$A$5:$A$81,0))</f>
        <v>Top-ups</v>
      </c>
      <c r="D3169" s="0" t="n">
        <f aca="false">INDEX(Intent_Analysis!$E$5:$E$81,MATCH(B3169,Intent_Analysis!$A$5:$A$81,0))</f>
        <v>2</v>
      </c>
    </row>
    <row r="3170" customFormat="false" ht="15" hidden="false" customHeight="false" outlineLevel="0" collapsed="false">
      <c r="A3170" s="0" t="s">
        <v>3494</v>
      </c>
      <c r="B3170" s="0" t="s">
        <v>104</v>
      </c>
      <c r="C3170" s="0" t="str">
        <f aca="false">INDEX(Intent_Analysis!$B$5:$B$81,MATCH(B3170,Intent_Analysis!$A$5:$A$81,0))</f>
        <v>Top-ups</v>
      </c>
      <c r="D3170" s="0" t="n">
        <f aca="false">INDEX(Intent_Analysis!$E$5:$E$81,MATCH(B3170,Intent_Analysis!$A$5:$A$81,0))</f>
        <v>2</v>
      </c>
    </row>
    <row r="3171" customFormat="false" ht="15" hidden="false" customHeight="false" outlineLevel="0" collapsed="false">
      <c r="A3171" s="0" t="s">
        <v>3495</v>
      </c>
      <c r="B3171" s="0" t="s">
        <v>104</v>
      </c>
      <c r="C3171" s="0" t="str">
        <f aca="false">INDEX(Intent_Analysis!$B$5:$B$81,MATCH(B3171,Intent_Analysis!$A$5:$A$81,0))</f>
        <v>Top-ups</v>
      </c>
      <c r="D3171" s="0" t="n">
        <f aca="false">INDEX(Intent_Analysis!$E$5:$E$81,MATCH(B3171,Intent_Analysis!$A$5:$A$81,0))</f>
        <v>2</v>
      </c>
    </row>
    <row r="3172" customFormat="false" ht="15" hidden="false" customHeight="false" outlineLevel="0" collapsed="false">
      <c r="A3172" s="0" t="s">
        <v>3496</v>
      </c>
      <c r="B3172" s="0" t="s">
        <v>104</v>
      </c>
      <c r="C3172" s="0" t="str">
        <f aca="false">INDEX(Intent_Analysis!$B$5:$B$81,MATCH(B3172,Intent_Analysis!$A$5:$A$81,0))</f>
        <v>Top-ups</v>
      </c>
      <c r="D3172" s="0" t="n">
        <f aca="false">INDEX(Intent_Analysis!$E$5:$E$81,MATCH(B3172,Intent_Analysis!$A$5:$A$81,0))</f>
        <v>2</v>
      </c>
    </row>
    <row r="3173" customFormat="false" ht="15" hidden="false" customHeight="false" outlineLevel="0" collapsed="false">
      <c r="A3173" s="0" t="s">
        <v>3497</v>
      </c>
      <c r="B3173" s="0" t="s">
        <v>104</v>
      </c>
      <c r="C3173" s="0" t="str">
        <f aca="false">INDEX(Intent_Analysis!$B$5:$B$81,MATCH(B3173,Intent_Analysis!$A$5:$A$81,0))</f>
        <v>Top-ups</v>
      </c>
      <c r="D3173" s="0" t="n">
        <f aca="false">INDEX(Intent_Analysis!$E$5:$E$81,MATCH(B3173,Intent_Analysis!$A$5:$A$81,0))</f>
        <v>2</v>
      </c>
    </row>
    <row r="3174" customFormat="false" ht="15" hidden="false" customHeight="false" outlineLevel="0" collapsed="false">
      <c r="A3174" s="0" t="s">
        <v>3498</v>
      </c>
      <c r="B3174" s="0" t="s">
        <v>104</v>
      </c>
      <c r="C3174" s="0" t="str">
        <f aca="false">INDEX(Intent_Analysis!$B$5:$B$81,MATCH(B3174,Intent_Analysis!$A$5:$A$81,0))</f>
        <v>Top-ups</v>
      </c>
      <c r="D3174" s="0" t="n">
        <f aca="false">INDEX(Intent_Analysis!$E$5:$E$81,MATCH(B3174,Intent_Analysis!$A$5:$A$81,0))</f>
        <v>2</v>
      </c>
    </row>
    <row r="3175" customFormat="false" ht="15" hidden="false" customHeight="false" outlineLevel="0" collapsed="false">
      <c r="A3175" s="0" t="s">
        <v>3499</v>
      </c>
      <c r="B3175" s="0" t="s">
        <v>104</v>
      </c>
      <c r="C3175" s="0" t="str">
        <f aca="false">INDEX(Intent_Analysis!$B$5:$B$81,MATCH(B3175,Intent_Analysis!$A$5:$A$81,0))</f>
        <v>Top-ups</v>
      </c>
      <c r="D3175" s="0" t="n">
        <f aca="false">INDEX(Intent_Analysis!$E$5:$E$81,MATCH(B3175,Intent_Analysis!$A$5:$A$81,0))</f>
        <v>2</v>
      </c>
    </row>
    <row r="3176" customFormat="false" ht="15" hidden="false" customHeight="false" outlineLevel="0" collapsed="false">
      <c r="A3176" s="0" t="s">
        <v>3500</v>
      </c>
      <c r="B3176" s="0" t="s">
        <v>104</v>
      </c>
      <c r="C3176" s="0" t="str">
        <f aca="false">INDEX(Intent_Analysis!$B$5:$B$81,MATCH(B3176,Intent_Analysis!$A$5:$A$81,0))</f>
        <v>Top-ups</v>
      </c>
      <c r="D3176" s="0" t="n">
        <f aca="false">INDEX(Intent_Analysis!$E$5:$E$81,MATCH(B3176,Intent_Analysis!$A$5:$A$81,0))</f>
        <v>2</v>
      </c>
    </row>
    <row r="3177" customFormat="false" ht="15" hidden="false" customHeight="false" outlineLevel="0" collapsed="false">
      <c r="A3177" s="0" t="s">
        <v>3501</v>
      </c>
      <c r="B3177" s="0" t="s">
        <v>104</v>
      </c>
      <c r="C3177" s="0" t="str">
        <f aca="false">INDEX(Intent_Analysis!$B$5:$B$81,MATCH(B3177,Intent_Analysis!$A$5:$A$81,0))</f>
        <v>Top-ups</v>
      </c>
      <c r="D3177" s="0" t="n">
        <f aca="false">INDEX(Intent_Analysis!$E$5:$E$81,MATCH(B3177,Intent_Analysis!$A$5:$A$81,0))</f>
        <v>2</v>
      </c>
    </row>
    <row r="3178" customFormat="false" ht="15" hidden="false" customHeight="false" outlineLevel="0" collapsed="false">
      <c r="A3178" s="0" t="s">
        <v>3502</v>
      </c>
      <c r="B3178" s="0" t="s">
        <v>104</v>
      </c>
      <c r="C3178" s="0" t="str">
        <f aca="false">INDEX(Intent_Analysis!$B$5:$B$81,MATCH(B3178,Intent_Analysis!$A$5:$A$81,0))</f>
        <v>Top-ups</v>
      </c>
      <c r="D3178" s="0" t="n">
        <f aca="false">INDEX(Intent_Analysis!$E$5:$E$81,MATCH(B3178,Intent_Analysis!$A$5:$A$81,0))</f>
        <v>2</v>
      </c>
    </row>
    <row r="3179" customFormat="false" ht="15" hidden="false" customHeight="false" outlineLevel="0" collapsed="false">
      <c r="A3179" s="0" t="s">
        <v>3503</v>
      </c>
      <c r="B3179" s="0" t="s">
        <v>104</v>
      </c>
      <c r="C3179" s="0" t="str">
        <f aca="false">INDEX(Intent_Analysis!$B$5:$B$81,MATCH(B3179,Intent_Analysis!$A$5:$A$81,0))</f>
        <v>Top-ups</v>
      </c>
      <c r="D3179" s="0" t="n">
        <f aca="false">INDEX(Intent_Analysis!$E$5:$E$81,MATCH(B3179,Intent_Analysis!$A$5:$A$81,0))</f>
        <v>2</v>
      </c>
    </row>
    <row r="3180" customFormat="false" ht="15" hidden="false" customHeight="false" outlineLevel="0" collapsed="false">
      <c r="A3180" s="0" t="s">
        <v>3504</v>
      </c>
      <c r="B3180" s="0" t="s">
        <v>104</v>
      </c>
      <c r="C3180" s="0" t="str">
        <f aca="false">INDEX(Intent_Analysis!$B$5:$B$81,MATCH(B3180,Intent_Analysis!$A$5:$A$81,0))</f>
        <v>Top-ups</v>
      </c>
      <c r="D3180" s="0" t="n">
        <f aca="false">INDEX(Intent_Analysis!$E$5:$E$81,MATCH(B3180,Intent_Analysis!$A$5:$A$81,0))</f>
        <v>2</v>
      </c>
    </row>
    <row r="3181" customFormat="false" ht="15" hidden="false" customHeight="false" outlineLevel="0" collapsed="false">
      <c r="A3181" s="0" t="s">
        <v>3505</v>
      </c>
      <c r="B3181" s="0" t="s">
        <v>104</v>
      </c>
      <c r="C3181" s="0" t="str">
        <f aca="false">INDEX(Intent_Analysis!$B$5:$B$81,MATCH(B3181,Intent_Analysis!$A$5:$A$81,0))</f>
        <v>Top-ups</v>
      </c>
      <c r="D3181" s="0" t="n">
        <f aca="false">INDEX(Intent_Analysis!$E$5:$E$81,MATCH(B3181,Intent_Analysis!$A$5:$A$81,0))</f>
        <v>2</v>
      </c>
    </row>
    <row r="3182" customFormat="false" ht="15" hidden="false" customHeight="false" outlineLevel="0" collapsed="false">
      <c r="A3182" s="0" t="s">
        <v>3506</v>
      </c>
      <c r="B3182" s="0" t="s">
        <v>104</v>
      </c>
      <c r="C3182" s="0" t="str">
        <f aca="false">INDEX(Intent_Analysis!$B$5:$B$81,MATCH(B3182,Intent_Analysis!$A$5:$A$81,0))</f>
        <v>Top-ups</v>
      </c>
      <c r="D3182" s="0" t="n">
        <f aca="false">INDEX(Intent_Analysis!$E$5:$E$81,MATCH(B3182,Intent_Analysis!$A$5:$A$81,0))</f>
        <v>2</v>
      </c>
    </row>
    <row r="3183" customFormat="false" ht="15" hidden="false" customHeight="false" outlineLevel="0" collapsed="false">
      <c r="A3183" s="0" t="s">
        <v>3507</v>
      </c>
      <c r="B3183" s="0" t="s">
        <v>104</v>
      </c>
      <c r="C3183" s="0" t="str">
        <f aca="false">INDEX(Intent_Analysis!$B$5:$B$81,MATCH(B3183,Intent_Analysis!$A$5:$A$81,0))</f>
        <v>Top-ups</v>
      </c>
      <c r="D3183" s="0" t="n">
        <f aca="false">INDEX(Intent_Analysis!$E$5:$E$81,MATCH(B3183,Intent_Analysis!$A$5:$A$81,0))</f>
        <v>2</v>
      </c>
    </row>
    <row r="3184" customFormat="false" ht="15" hidden="false" customHeight="false" outlineLevel="0" collapsed="false">
      <c r="A3184" s="0" t="s">
        <v>3508</v>
      </c>
      <c r="B3184" s="0" t="s">
        <v>104</v>
      </c>
      <c r="C3184" s="0" t="str">
        <f aca="false">INDEX(Intent_Analysis!$B$5:$B$81,MATCH(B3184,Intent_Analysis!$A$5:$A$81,0))</f>
        <v>Top-ups</v>
      </c>
      <c r="D3184" s="0" t="n">
        <f aca="false">INDEX(Intent_Analysis!$E$5:$E$81,MATCH(B3184,Intent_Analysis!$A$5:$A$81,0))</f>
        <v>2</v>
      </c>
    </row>
    <row r="3185" customFormat="false" ht="15" hidden="false" customHeight="false" outlineLevel="0" collapsed="false">
      <c r="A3185" s="0" t="s">
        <v>3509</v>
      </c>
      <c r="B3185" s="0" t="s">
        <v>104</v>
      </c>
      <c r="C3185" s="0" t="str">
        <f aca="false">INDEX(Intent_Analysis!$B$5:$B$81,MATCH(B3185,Intent_Analysis!$A$5:$A$81,0))</f>
        <v>Top-ups</v>
      </c>
      <c r="D3185" s="0" t="n">
        <f aca="false">INDEX(Intent_Analysis!$E$5:$E$81,MATCH(B3185,Intent_Analysis!$A$5:$A$81,0))</f>
        <v>2</v>
      </c>
    </row>
    <row r="3186" customFormat="false" ht="15" hidden="false" customHeight="false" outlineLevel="0" collapsed="false">
      <c r="A3186" s="0" t="s">
        <v>3510</v>
      </c>
      <c r="B3186" s="0" t="s">
        <v>104</v>
      </c>
      <c r="C3186" s="0" t="str">
        <f aca="false">INDEX(Intent_Analysis!$B$5:$B$81,MATCH(B3186,Intent_Analysis!$A$5:$A$81,0))</f>
        <v>Top-ups</v>
      </c>
      <c r="D3186" s="0" t="n">
        <f aca="false">INDEX(Intent_Analysis!$E$5:$E$81,MATCH(B3186,Intent_Analysis!$A$5:$A$81,0))</f>
        <v>2</v>
      </c>
    </row>
    <row r="3187" customFormat="false" ht="15" hidden="false" customHeight="false" outlineLevel="0" collapsed="false">
      <c r="A3187" s="0" t="s">
        <v>3511</v>
      </c>
      <c r="B3187" s="0" t="s">
        <v>104</v>
      </c>
      <c r="C3187" s="0" t="str">
        <f aca="false">INDEX(Intent_Analysis!$B$5:$B$81,MATCH(B3187,Intent_Analysis!$A$5:$A$81,0))</f>
        <v>Top-ups</v>
      </c>
      <c r="D3187" s="0" t="n">
        <f aca="false">INDEX(Intent_Analysis!$E$5:$E$81,MATCH(B3187,Intent_Analysis!$A$5:$A$81,0))</f>
        <v>2</v>
      </c>
    </row>
    <row r="3188" customFormat="false" ht="15" hidden="false" customHeight="false" outlineLevel="0" collapsed="false">
      <c r="A3188" s="0" t="s">
        <v>3512</v>
      </c>
      <c r="B3188" s="0" t="s">
        <v>104</v>
      </c>
      <c r="C3188" s="0" t="str">
        <f aca="false">INDEX(Intent_Analysis!$B$5:$B$81,MATCH(B3188,Intent_Analysis!$A$5:$A$81,0))</f>
        <v>Top-ups</v>
      </c>
      <c r="D3188" s="0" t="n">
        <f aca="false">INDEX(Intent_Analysis!$E$5:$E$81,MATCH(B3188,Intent_Analysis!$A$5:$A$81,0))</f>
        <v>2</v>
      </c>
    </row>
    <row r="3189" customFormat="false" ht="15" hidden="false" customHeight="false" outlineLevel="0" collapsed="false">
      <c r="A3189" s="0" t="s">
        <v>3513</v>
      </c>
      <c r="B3189" s="0" t="s">
        <v>104</v>
      </c>
      <c r="C3189" s="0" t="str">
        <f aca="false">INDEX(Intent_Analysis!$B$5:$B$81,MATCH(B3189,Intent_Analysis!$A$5:$A$81,0))</f>
        <v>Top-ups</v>
      </c>
      <c r="D3189" s="0" t="n">
        <f aca="false">INDEX(Intent_Analysis!$E$5:$E$81,MATCH(B3189,Intent_Analysis!$A$5:$A$81,0))</f>
        <v>2</v>
      </c>
    </row>
    <row r="3190" customFormat="false" ht="15" hidden="false" customHeight="false" outlineLevel="0" collapsed="false">
      <c r="A3190" s="0" t="s">
        <v>3514</v>
      </c>
      <c r="B3190" s="0" t="s">
        <v>104</v>
      </c>
      <c r="C3190" s="0" t="str">
        <f aca="false">INDEX(Intent_Analysis!$B$5:$B$81,MATCH(B3190,Intent_Analysis!$A$5:$A$81,0))</f>
        <v>Top-ups</v>
      </c>
      <c r="D3190" s="0" t="n">
        <f aca="false">INDEX(Intent_Analysis!$E$5:$E$81,MATCH(B3190,Intent_Analysis!$A$5:$A$81,0))</f>
        <v>2</v>
      </c>
    </row>
    <row r="3191" customFormat="false" ht="15" hidden="false" customHeight="false" outlineLevel="0" collapsed="false">
      <c r="A3191" s="0" t="s">
        <v>3515</v>
      </c>
      <c r="B3191" s="0" t="s">
        <v>104</v>
      </c>
      <c r="C3191" s="0" t="str">
        <f aca="false">INDEX(Intent_Analysis!$B$5:$B$81,MATCH(B3191,Intent_Analysis!$A$5:$A$81,0))</f>
        <v>Top-ups</v>
      </c>
      <c r="D3191" s="0" t="n">
        <f aca="false">INDEX(Intent_Analysis!$E$5:$E$81,MATCH(B3191,Intent_Analysis!$A$5:$A$81,0))</f>
        <v>2</v>
      </c>
    </row>
    <row r="3192" customFormat="false" ht="15" hidden="false" customHeight="false" outlineLevel="0" collapsed="false">
      <c r="A3192" s="0" t="s">
        <v>3516</v>
      </c>
      <c r="B3192" s="0" t="s">
        <v>104</v>
      </c>
      <c r="C3192" s="0" t="str">
        <f aca="false">INDEX(Intent_Analysis!$B$5:$B$81,MATCH(B3192,Intent_Analysis!$A$5:$A$81,0))</f>
        <v>Top-ups</v>
      </c>
      <c r="D3192" s="0" t="n">
        <f aca="false">INDEX(Intent_Analysis!$E$5:$E$81,MATCH(B3192,Intent_Analysis!$A$5:$A$81,0))</f>
        <v>2</v>
      </c>
    </row>
    <row r="3193" customFormat="false" ht="15" hidden="false" customHeight="false" outlineLevel="0" collapsed="false">
      <c r="A3193" s="0" t="s">
        <v>3517</v>
      </c>
      <c r="B3193" s="0" t="s">
        <v>104</v>
      </c>
      <c r="C3193" s="0" t="str">
        <f aca="false">INDEX(Intent_Analysis!$B$5:$B$81,MATCH(B3193,Intent_Analysis!$A$5:$A$81,0))</f>
        <v>Top-ups</v>
      </c>
      <c r="D3193" s="0" t="n">
        <f aca="false">INDEX(Intent_Analysis!$E$5:$E$81,MATCH(B3193,Intent_Analysis!$A$5:$A$81,0))</f>
        <v>2</v>
      </c>
    </row>
    <row r="3194" customFormat="false" ht="15" hidden="false" customHeight="false" outlineLevel="0" collapsed="false">
      <c r="A3194" s="0" t="s">
        <v>3518</v>
      </c>
      <c r="B3194" s="0" t="s">
        <v>104</v>
      </c>
      <c r="C3194" s="0" t="str">
        <f aca="false">INDEX(Intent_Analysis!$B$5:$B$81,MATCH(B3194,Intent_Analysis!$A$5:$A$81,0))</f>
        <v>Top-ups</v>
      </c>
      <c r="D3194" s="0" t="n">
        <f aca="false">INDEX(Intent_Analysis!$E$5:$E$81,MATCH(B3194,Intent_Analysis!$A$5:$A$81,0))</f>
        <v>2</v>
      </c>
    </row>
    <row r="3195" customFormat="false" ht="15" hidden="false" customHeight="false" outlineLevel="0" collapsed="false">
      <c r="A3195" s="0" t="s">
        <v>3519</v>
      </c>
      <c r="B3195" s="0" t="s">
        <v>104</v>
      </c>
      <c r="C3195" s="0" t="str">
        <f aca="false">INDEX(Intent_Analysis!$B$5:$B$81,MATCH(B3195,Intent_Analysis!$A$5:$A$81,0))</f>
        <v>Top-ups</v>
      </c>
      <c r="D3195" s="0" t="n">
        <f aca="false">INDEX(Intent_Analysis!$E$5:$E$81,MATCH(B3195,Intent_Analysis!$A$5:$A$81,0))</f>
        <v>2</v>
      </c>
    </row>
    <row r="3196" customFormat="false" ht="15" hidden="false" customHeight="false" outlineLevel="0" collapsed="false">
      <c r="A3196" s="0" t="s">
        <v>3520</v>
      </c>
      <c r="B3196" s="0" t="s">
        <v>104</v>
      </c>
      <c r="C3196" s="0" t="str">
        <f aca="false">INDEX(Intent_Analysis!$B$5:$B$81,MATCH(B3196,Intent_Analysis!$A$5:$A$81,0))</f>
        <v>Top-ups</v>
      </c>
      <c r="D3196" s="0" t="n">
        <f aca="false">INDEX(Intent_Analysis!$E$5:$E$81,MATCH(B3196,Intent_Analysis!$A$5:$A$81,0))</f>
        <v>2</v>
      </c>
    </row>
    <row r="3197" customFormat="false" ht="15" hidden="false" customHeight="false" outlineLevel="0" collapsed="false">
      <c r="A3197" s="0" t="s">
        <v>3521</v>
      </c>
      <c r="B3197" s="0" t="s">
        <v>104</v>
      </c>
      <c r="C3197" s="0" t="str">
        <f aca="false">INDEX(Intent_Analysis!$B$5:$B$81,MATCH(B3197,Intent_Analysis!$A$5:$A$81,0))</f>
        <v>Top-ups</v>
      </c>
      <c r="D3197" s="0" t="n">
        <f aca="false">INDEX(Intent_Analysis!$E$5:$E$81,MATCH(B3197,Intent_Analysis!$A$5:$A$81,0))</f>
        <v>2</v>
      </c>
    </row>
    <row r="3198" customFormat="false" ht="15" hidden="false" customHeight="false" outlineLevel="0" collapsed="false">
      <c r="A3198" s="0" t="s">
        <v>3522</v>
      </c>
      <c r="B3198" s="0" t="s">
        <v>104</v>
      </c>
      <c r="C3198" s="0" t="str">
        <f aca="false">INDEX(Intent_Analysis!$B$5:$B$81,MATCH(B3198,Intent_Analysis!$A$5:$A$81,0))</f>
        <v>Top-ups</v>
      </c>
      <c r="D3198" s="0" t="n">
        <f aca="false">INDEX(Intent_Analysis!$E$5:$E$81,MATCH(B3198,Intent_Analysis!$A$5:$A$81,0))</f>
        <v>2</v>
      </c>
    </row>
    <row r="3199" customFormat="false" ht="15" hidden="false" customHeight="false" outlineLevel="0" collapsed="false">
      <c r="A3199" s="0" t="s">
        <v>3523</v>
      </c>
      <c r="B3199" s="0" t="s">
        <v>104</v>
      </c>
      <c r="C3199" s="0" t="str">
        <f aca="false">INDEX(Intent_Analysis!$B$5:$B$81,MATCH(B3199,Intent_Analysis!$A$5:$A$81,0))</f>
        <v>Top-ups</v>
      </c>
      <c r="D3199" s="0" t="n">
        <f aca="false">INDEX(Intent_Analysis!$E$5:$E$81,MATCH(B3199,Intent_Analysis!$A$5:$A$81,0))</f>
        <v>2</v>
      </c>
    </row>
    <row r="3200" customFormat="false" ht="15" hidden="false" customHeight="false" outlineLevel="0" collapsed="false">
      <c r="A3200" s="0" t="s">
        <v>3524</v>
      </c>
      <c r="B3200" s="0" t="s">
        <v>104</v>
      </c>
      <c r="C3200" s="0" t="str">
        <f aca="false">INDEX(Intent_Analysis!$B$5:$B$81,MATCH(B3200,Intent_Analysis!$A$5:$A$81,0))</f>
        <v>Top-ups</v>
      </c>
      <c r="D3200" s="0" t="n">
        <f aca="false">INDEX(Intent_Analysis!$E$5:$E$81,MATCH(B3200,Intent_Analysis!$A$5:$A$81,0))</f>
        <v>2</v>
      </c>
    </row>
    <row r="3201" customFormat="false" ht="15" hidden="false" customHeight="false" outlineLevel="0" collapsed="false">
      <c r="A3201" s="0" t="s">
        <v>3525</v>
      </c>
      <c r="B3201" s="0" t="s">
        <v>104</v>
      </c>
      <c r="C3201" s="0" t="str">
        <f aca="false">INDEX(Intent_Analysis!$B$5:$B$81,MATCH(B3201,Intent_Analysis!$A$5:$A$81,0))</f>
        <v>Top-ups</v>
      </c>
      <c r="D3201" s="0" t="n">
        <f aca="false">INDEX(Intent_Analysis!$E$5:$E$81,MATCH(B3201,Intent_Analysis!$A$5:$A$81,0))</f>
        <v>2</v>
      </c>
    </row>
    <row r="3202" customFormat="false" ht="15" hidden="false" customHeight="false" outlineLevel="0" collapsed="false">
      <c r="A3202" s="0" t="s">
        <v>3526</v>
      </c>
      <c r="B3202" s="0" t="s">
        <v>104</v>
      </c>
      <c r="C3202" s="0" t="str">
        <f aca="false">INDEX(Intent_Analysis!$B$5:$B$81,MATCH(B3202,Intent_Analysis!$A$5:$A$81,0))</f>
        <v>Top-ups</v>
      </c>
      <c r="D3202" s="0" t="n">
        <f aca="false">INDEX(Intent_Analysis!$E$5:$E$81,MATCH(B3202,Intent_Analysis!$A$5:$A$81,0))</f>
        <v>2</v>
      </c>
    </row>
    <row r="3203" customFormat="false" ht="15" hidden="false" customHeight="false" outlineLevel="0" collapsed="false">
      <c r="A3203" s="0" t="s">
        <v>3527</v>
      </c>
      <c r="B3203" s="0" t="s">
        <v>104</v>
      </c>
      <c r="C3203" s="0" t="str">
        <f aca="false">INDEX(Intent_Analysis!$B$5:$B$81,MATCH(B3203,Intent_Analysis!$A$5:$A$81,0))</f>
        <v>Top-ups</v>
      </c>
      <c r="D3203" s="0" t="n">
        <f aca="false">INDEX(Intent_Analysis!$E$5:$E$81,MATCH(B3203,Intent_Analysis!$A$5:$A$81,0))</f>
        <v>2</v>
      </c>
    </row>
    <row r="3204" customFormat="false" ht="15" hidden="false" customHeight="false" outlineLevel="0" collapsed="false">
      <c r="A3204" s="0" t="s">
        <v>3528</v>
      </c>
      <c r="B3204" s="0" t="s">
        <v>104</v>
      </c>
      <c r="C3204" s="0" t="str">
        <f aca="false">INDEX(Intent_Analysis!$B$5:$B$81,MATCH(B3204,Intent_Analysis!$A$5:$A$81,0))</f>
        <v>Top-ups</v>
      </c>
      <c r="D3204" s="0" t="n">
        <f aca="false">INDEX(Intent_Analysis!$E$5:$E$81,MATCH(B3204,Intent_Analysis!$A$5:$A$81,0))</f>
        <v>2</v>
      </c>
    </row>
    <row r="3205" customFormat="false" ht="15" hidden="false" customHeight="false" outlineLevel="0" collapsed="false">
      <c r="A3205" s="0" t="s">
        <v>3529</v>
      </c>
      <c r="B3205" s="0" t="s">
        <v>104</v>
      </c>
      <c r="C3205" s="0" t="str">
        <f aca="false">INDEX(Intent_Analysis!$B$5:$B$81,MATCH(B3205,Intent_Analysis!$A$5:$A$81,0))</f>
        <v>Top-ups</v>
      </c>
      <c r="D3205" s="0" t="n">
        <f aca="false">INDEX(Intent_Analysis!$E$5:$E$81,MATCH(B3205,Intent_Analysis!$A$5:$A$81,0))</f>
        <v>2</v>
      </c>
    </row>
    <row r="3206" customFormat="false" ht="15" hidden="false" customHeight="false" outlineLevel="0" collapsed="false">
      <c r="A3206" s="0" t="s">
        <v>3530</v>
      </c>
      <c r="B3206" s="0" t="s">
        <v>104</v>
      </c>
      <c r="C3206" s="0" t="str">
        <f aca="false">INDEX(Intent_Analysis!$B$5:$B$81,MATCH(B3206,Intent_Analysis!$A$5:$A$81,0))</f>
        <v>Top-ups</v>
      </c>
      <c r="D3206" s="0" t="n">
        <f aca="false">INDEX(Intent_Analysis!$E$5:$E$81,MATCH(B3206,Intent_Analysis!$A$5:$A$81,0))</f>
        <v>2</v>
      </c>
    </row>
    <row r="3207" customFormat="false" ht="15" hidden="false" customHeight="false" outlineLevel="0" collapsed="false">
      <c r="A3207" s="0" t="s">
        <v>3531</v>
      </c>
      <c r="B3207" s="0" t="s">
        <v>104</v>
      </c>
      <c r="C3207" s="0" t="str">
        <f aca="false">INDEX(Intent_Analysis!$B$5:$B$81,MATCH(B3207,Intent_Analysis!$A$5:$A$81,0))</f>
        <v>Top-ups</v>
      </c>
      <c r="D3207" s="0" t="n">
        <f aca="false">INDEX(Intent_Analysis!$E$5:$E$81,MATCH(B3207,Intent_Analysis!$A$5:$A$81,0))</f>
        <v>2</v>
      </c>
    </row>
    <row r="3208" customFormat="false" ht="15" hidden="false" customHeight="false" outlineLevel="0" collapsed="false">
      <c r="A3208" s="0" t="s">
        <v>3532</v>
      </c>
      <c r="B3208" s="0" t="s">
        <v>104</v>
      </c>
      <c r="C3208" s="0" t="str">
        <f aca="false">INDEX(Intent_Analysis!$B$5:$B$81,MATCH(B3208,Intent_Analysis!$A$5:$A$81,0))</f>
        <v>Top-ups</v>
      </c>
      <c r="D3208" s="0" t="n">
        <f aca="false">INDEX(Intent_Analysis!$E$5:$E$81,MATCH(B3208,Intent_Analysis!$A$5:$A$81,0))</f>
        <v>2</v>
      </c>
    </row>
    <row r="3209" customFormat="false" ht="15" hidden="false" customHeight="false" outlineLevel="0" collapsed="false">
      <c r="A3209" s="0" t="s">
        <v>3533</v>
      </c>
      <c r="B3209" s="0" t="s">
        <v>104</v>
      </c>
      <c r="C3209" s="0" t="str">
        <f aca="false">INDEX(Intent_Analysis!$B$5:$B$81,MATCH(B3209,Intent_Analysis!$A$5:$A$81,0))</f>
        <v>Top-ups</v>
      </c>
      <c r="D3209" s="0" t="n">
        <f aca="false">INDEX(Intent_Analysis!$E$5:$E$81,MATCH(B3209,Intent_Analysis!$A$5:$A$81,0))</f>
        <v>2</v>
      </c>
    </row>
    <row r="3210" customFormat="false" ht="15" hidden="false" customHeight="false" outlineLevel="0" collapsed="false">
      <c r="A3210" s="0" t="s">
        <v>3534</v>
      </c>
      <c r="B3210" s="0" t="s">
        <v>104</v>
      </c>
      <c r="C3210" s="0" t="str">
        <f aca="false">INDEX(Intent_Analysis!$B$5:$B$81,MATCH(B3210,Intent_Analysis!$A$5:$A$81,0))</f>
        <v>Top-ups</v>
      </c>
      <c r="D3210" s="0" t="n">
        <f aca="false">INDEX(Intent_Analysis!$E$5:$E$81,MATCH(B3210,Intent_Analysis!$A$5:$A$81,0))</f>
        <v>2</v>
      </c>
    </row>
    <row r="3211" customFormat="false" ht="15" hidden="false" customHeight="false" outlineLevel="0" collapsed="false">
      <c r="A3211" s="0" t="s">
        <v>3535</v>
      </c>
      <c r="B3211" s="0" t="s">
        <v>104</v>
      </c>
      <c r="C3211" s="0" t="str">
        <f aca="false">INDEX(Intent_Analysis!$B$5:$B$81,MATCH(B3211,Intent_Analysis!$A$5:$A$81,0))</f>
        <v>Top-ups</v>
      </c>
      <c r="D3211" s="0" t="n">
        <f aca="false">INDEX(Intent_Analysis!$E$5:$E$81,MATCH(B3211,Intent_Analysis!$A$5:$A$81,0))</f>
        <v>2</v>
      </c>
    </row>
    <row r="3212" customFormat="false" ht="15" hidden="false" customHeight="false" outlineLevel="0" collapsed="false">
      <c r="A3212" s="0" t="s">
        <v>3536</v>
      </c>
      <c r="B3212" s="0" t="s">
        <v>104</v>
      </c>
      <c r="C3212" s="0" t="str">
        <f aca="false">INDEX(Intent_Analysis!$B$5:$B$81,MATCH(B3212,Intent_Analysis!$A$5:$A$81,0))</f>
        <v>Top-ups</v>
      </c>
      <c r="D3212" s="0" t="n">
        <f aca="false">INDEX(Intent_Analysis!$E$5:$E$81,MATCH(B3212,Intent_Analysis!$A$5:$A$81,0))</f>
        <v>2</v>
      </c>
    </row>
    <row r="3213" customFormat="false" ht="15" hidden="false" customHeight="false" outlineLevel="0" collapsed="false">
      <c r="A3213" s="0" t="s">
        <v>3537</v>
      </c>
      <c r="B3213" s="0" t="s">
        <v>104</v>
      </c>
      <c r="C3213" s="0" t="str">
        <f aca="false">INDEX(Intent_Analysis!$B$5:$B$81,MATCH(B3213,Intent_Analysis!$A$5:$A$81,0))</f>
        <v>Top-ups</v>
      </c>
      <c r="D3213" s="0" t="n">
        <f aca="false">INDEX(Intent_Analysis!$E$5:$E$81,MATCH(B3213,Intent_Analysis!$A$5:$A$81,0))</f>
        <v>2</v>
      </c>
    </row>
    <row r="3214" customFormat="false" ht="15" hidden="false" customHeight="false" outlineLevel="0" collapsed="false">
      <c r="A3214" s="0" t="s">
        <v>3538</v>
      </c>
      <c r="B3214" s="0" t="s">
        <v>104</v>
      </c>
      <c r="C3214" s="0" t="str">
        <f aca="false">INDEX(Intent_Analysis!$B$5:$B$81,MATCH(B3214,Intent_Analysis!$A$5:$A$81,0))</f>
        <v>Top-ups</v>
      </c>
      <c r="D3214" s="0" t="n">
        <f aca="false">INDEX(Intent_Analysis!$E$5:$E$81,MATCH(B3214,Intent_Analysis!$A$5:$A$81,0))</f>
        <v>2</v>
      </c>
    </row>
    <row r="3215" customFormat="false" ht="15" hidden="false" customHeight="false" outlineLevel="0" collapsed="false">
      <c r="A3215" s="0" t="s">
        <v>3539</v>
      </c>
      <c r="B3215" s="0" t="s">
        <v>104</v>
      </c>
      <c r="C3215" s="0" t="str">
        <f aca="false">INDEX(Intent_Analysis!$B$5:$B$81,MATCH(B3215,Intent_Analysis!$A$5:$A$81,0))</f>
        <v>Top-ups</v>
      </c>
      <c r="D3215" s="0" t="n">
        <f aca="false">INDEX(Intent_Analysis!$E$5:$E$81,MATCH(B3215,Intent_Analysis!$A$5:$A$81,0))</f>
        <v>2</v>
      </c>
    </row>
    <row r="3216" customFormat="false" ht="15" hidden="false" customHeight="false" outlineLevel="0" collapsed="false">
      <c r="A3216" s="0" t="s">
        <v>3540</v>
      </c>
      <c r="B3216" s="0" t="s">
        <v>104</v>
      </c>
      <c r="C3216" s="0" t="str">
        <f aca="false">INDEX(Intent_Analysis!$B$5:$B$81,MATCH(B3216,Intent_Analysis!$A$5:$A$81,0))</f>
        <v>Top-ups</v>
      </c>
      <c r="D3216" s="0" t="n">
        <f aca="false">INDEX(Intent_Analysis!$E$5:$E$81,MATCH(B3216,Intent_Analysis!$A$5:$A$81,0))</f>
        <v>2</v>
      </c>
    </row>
    <row r="3217" customFormat="false" ht="15" hidden="false" customHeight="false" outlineLevel="0" collapsed="false">
      <c r="A3217" s="0" t="s">
        <v>3541</v>
      </c>
      <c r="B3217" s="0" t="s">
        <v>104</v>
      </c>
      <c r="C3217" s="0" t="str">
        <f aca="false">INDEX(Intent_Analysis!$B$5:$B$81,MATCH(B3217,Intent_Analysis!$A$5:$A$81,0))</f>
        <v>Top-ups</v>
      </c>
      <c r="D3217" s="0" t="n">
        <f aca="false">INDEX(Intent_Analysis!$E$5:$E$81,MATCH(B3217,Intent_Analysis!$A$5:$A$81,0))</f>
        <v>2</v>
      </c>
    </row>
    <row r="3218" customFormat="false" ht="15" hidden="false" customHeight="false" outlineLevel="0" collapsed="false">
      <c r="A3218" s="0" t="s">
        <v>3542</v>
      </c>
      <c r="B3218" s="0" t="s">
        <v>104</v>
      </c>
      <c r="C3218" s="0" t="str">
        <f aca="false">INDEX(Intent_Analysis!$B$5:$B$81,MATCH(B3218,Intent_Analysis!$A$5:$A$81,0))</f>
        <v>Top-ups</v>
      </c>
      <c r="D3218" s="0" t="n">
        <f aca="false">INDEX(Intent_Analysis!$E$5:$E$81,MATCH(B3218,Intent_Analysis!$A$5:$A$81,0))</f>
        <v>2</v>
      </c>
    </row>
    <row r="3219" customFormat="false" ht="15" hidden="false" customHeight="false" outlineLevel="0" collapsed="false">
      <c r="A3219" s="0" t="s">
        <v>3543</v>
      </c>
      <c r="B3219" s="0" t="s">
        <v>104</v>
      </c>
      <c r="C3219" s="0" t="str">
        <f aca="false">INDEX(Intent_Analysis!$B$5:$B$81,MATCH(B3219,Intent_Analysis!$A$5:$A$81,0))</f>
        <v>Top-ups</v>
      </c>
      <c r="D3219" s="0" t="n">
        <f aca="false">INDEX(Intent_Analysis!$E$5:$E$81,MATCH(B3219,Intent_Analysis!$A$5:$A$81,0))</f>
        <v>2</v>
      </c>
    </row>
    <row r="3220" customFormat="false" ht="15" hidden="false" customHeight="false" outlineLevel="0" collapsed="false">
      <c r="A3220" s="0" t="s">
        <v>3544</v>
      </c>
      <c r="B3220" s="0" t="s">
        <v>104</v>
      </c>
      <c r="C3220" s="0" t="str">
        <f aca="false">INDEX(Intent_Analysis!$B$5:$B$81,MATCH(B3220,Intent_Analysis!$A$5:$A$81,0))</f>
        <v>Top-ups</v>
      </c>
      <c r="D3220" s="0" t="n">
        <f aca="false">INDEX(Intent_Analysis!$E$5:$E$81,MATCH(B3220,Intent_Analysis!$A$5:$A$81,0))</f>
        <v>2</v>
      </c>
    </row>
    <row r="3221" customFormat="false" ht="15" hidden="false" customHeight="false" outlineLevel="0" collapsed="false">
      <c r="A3221" s="0" t="s">
        <v>3545</v>
      </c>
      <c r="B3221" s="0" t="s">
        <v>104</v>
      </c>
      <c r="C3221" s="0" t="str">
        <f aca="false">INDEX(Intent_Analysis!$B$5:$B$81,MATCH(B3221,Intent_Analysis!$A$5:$A$81,0))</f>
        <v>Top-ups</v>
      </c>
      <c r="D3221" s="0" t="n">
        <f aca="false">INDEX(Intent_Analysis!$E$5:$E$81,MATCH(B3221,Intent_Analysis!$A$5:$A$81,0))</f>
        <v>2</v>
      </c>
    </row>
    <row r="3222" customFormat="false" ht="15" hidden="false" customHeight="false" outlineLevel="0" collapsed="false">
      <c r="A3222" s="0" t="s">
        <v>3546</v>
      </c>
      <c r="B3222" s="0" t="s">
        <v>104</v>
      </c>
      <c r="C3222" s="0" t="str">
        <f aca="false">INDEX(Intent_Analysis!$B$5:$B$81,MATCH(B3222,Intent_Analysis!$A$5:$A$81,0))</f>
        <v>Top-ups</v>
      </c>
      <c r="D3222" s="0" t="n">
        <f aca="false">INDEX(Intent_Analysis!$E$5:$E$81,MATCH(B3222,Intent_Analysis!$A$5:$A$81,0))</f>
        <v>2</v>
      </c>
    </row>
    <row r="3223" customFormat="false" ht="15" hidden="false" customHeight="false" outlineLevel="0" collapsed="false">
      <c r="A3223" s="0" t="s">
        <v>3547</v>
      </c>
      <c r="B3223" s="0" t="s">
        <v>104</v>
      </c>
      <c r="C3223" s="0" t="str">
        <f aca="false">INDEX(Intent_Analysis!$B$5:$B$81,MATCH(B3223,Intent_Analysis!$A$5:$A$81,0))</f>
        <v>Top-ups</v>
      </c>
      <c r="D3223" s="0" t="n">
        <f aca="false">INDEX(Intent_Analysis!$E$5:$E$81,MATCH(B3223,Intent_Analysis!$A$5:$A$81,0))</f>
        <v>2</v>
      </c>
    </row>
    <row r="3224" customFormat="false" ht="15" hidden="false" customHeight="false" outlineLevel="0" collapsed="false">
      <c r="A3224" s="0" t="s">
        <v>3548</v>
      </c>
      <c r="B3224" s="0" t="s">
        <v>104</v>
      </c>
      <c r="C3224" s="0" t="str">
        <f aca="false">INDEX(Intent_Analysis!$B$5:$B$81,MATCH(B3224,Intent_Analysis!$A$5:$A$81,0))</f>
        <v>Top-ups</v>
      </c>
      <c r="D3224" s="0" t="n">
        <f aca="false">INDEX(Intent_Analysis!$E$5:$E$81,MATCH(B3224,Intent_Analysis!$A$5:$A$81,0))</f>
        <v>2</v>
      </c>
    </row>
    <row r="3225" customFormat="false" ht="15" hidden="false" customHeight="false" outlineLevel="0" collapsed="false">
      <c r="A3225" s="0" t="s">
        <v>3549</v>
      </c>
      <c r="B3225" s="0" t="s">
        <v>104</v>
      </c>
      <c r="C3225" s="0" t="str">
        <f aca="false">INDEX(Intent_Analysis!$B$5:$B$81,MATCH(B3225,Intent_Analysis!$A$5:$A$81,0))</f>
        <v>Top-ups</v>
      </c>
      <c r="D3225" s="0" t="n">
        <f aca="false">INDEX(Intent_Analysis!$E$5:$E$81,MATCH(B3225,Intent_Analysis!$A$5:$A$81,0))</f>
        <v>2</v>
      </c>
    </row>
    <row r="3226" customFormat="false" ht="15" hidden="false" customHeight="false" outlineLevel="0" collapsed="false">
      <c r="A3226" s="0" t="s">
        <v>3550</v>
      </c>
      <c r="B3226" s="0" t="s">
        <v>104</v>
      </c>
      <c r="C3226" s="0" t="str">
        <f aca="false">INDEX(Intent_Analysis!$B$5:$B$81,MATCH(B3226,Intent_Analysis!$A$5:$A$81,0))</f>
        <v>Top-ups</v>
      </c>
      <c r="D3226" s="0" t="n">
        <f aca="false">INDEX(Intent_Analysis!$E$5:$E$81,MATCH(B3226,Intent_Analysis!$A$5:$A$81,0))</f>
        <v>2</v>
      </c>
    </row>
    <row r="3227" customFormat="false" ht="15" hidden="false" customHeight="false" outlineLevel="0" collapsed="false">
      <c r="A3227" s="0" t="s">
        <v>3551</v>
      </c>
      <c r="B3227" s="0" t="s">
        <v>104</v>
      </c>
      <c r="C3227" s="0" t="str">
        <f aca="false">INDEX(Intent_Analysis!$B$5:$B$81,MATCH(B3227,Intent_Analysis!$A$5:$A$81,0))</f>
        <v>Top-ups</v>
      </c>
      <c r="D3227" s="0" t="n">
        <f aca="false">INDEX(Intent_Analysis!$E$5:$E$81,MATCH(B3227,Intent_Analysis!$A$5:$A$81,0))</f>
        <v>2</v>
      </c>
    </row>
    <row r="3228" customFormat="false" ht="15" hidden="false" customHeight="false" outlineLevel="0" collapsed="false">
      <c r="A3228" s="0" t="s">
        <v>3552</v>
      </c>
      <c r="B3228" s="0" t="s">
        <v>104</v>
      </c>
      <c r="C3228" s="0" t="str">
        <f aca="false">INDEX(Intent_Analysis!$B$5:$B$81,MATCH(B3228,Intent_Analysis!$A$5:$A$81,0))</f>
        <v>Top-ups</v>
      </c>
      <c r="D3228" s="0" t="n">
        <f aca="false">INDEX(Intent_Analysis!$E$5:$E$81,MATCH(B3228,Intent_Analysis!$A$5:$A$81,0))</f>
        <v>2</v>
      </c>
    </row>
    <row r="3229" customFormat="false" ht="15" hidden="false" customHeight="false" outlineLevel="0" collapsed="false">
      <c r="A3229" s="0" t="s">
        <v>3553</v>
      </c>
      <c r="B3229" s="0" t="s">
        <v>104</v>
      </c>
      <c r="C3229" s="0" t="str">
        <f aca="false">INDEX(Intent_Analysis!$B$5:$B$81,MATCH(B3229,Intent_Analysis!$A$5:$A$81,0))</f>
        <v>Top-ups</v>
      </c>
      <c r="D3229" s="0" t="n">
        <f aca="false">INDEX(Intent_Analysis!$E$5:$E$81,MATCH(B3229,Intent_Analysis!$A$5:$A$81,0))</f>
        <v>2</v>
      </c>
    </row>
    <row r="3230" customFormat="false" ht="15" hidden="false" customHeight="false" outlineLevel="0" collapsed="false">
      <c r="A3230" s="0" t="s">
        <v>3554</v>
      </c>
      <c r="B3230" s="0" t="s">
        <v>104</v>
      </c>
      <c r="C3230" s="0" t="str">
        <f aca="false">INDEX(Intent_Analysis!$B$5:$B$81,MATCH(B3230,Intent_Analysis!$A$5:$A$81,0))</f>
        <v>Top-ups</v>
      </c>
      <c r="D3230" s="0" t="n">
        <f aca="false">INDEX(Intent_Analysis!$E$5:$E$81,MATCH(B3230,Intent_Analysis!$A$5:$A$81,0))</f>
        <v>2</v>
      </c>
    </row>
    <row r="3231" customFormat="false" ht="15" hidden="false" customHeight="false" outlineLevel="0" collapsed="false">
      <c r="A3231" s="0" t="s">
        <v>3555</v>
      </c>
      <c r="B3231" s="0" t="s">
        <v>104</v>
      </c>
      <c r="C3231" s="0" t="str">
        <f aca="false">INDEX(Intent_Analysis!$B$5:$B$81,MATCH(B3231,Intent_Analysis!$A$5:$A$81,0))</f>
        <v>Top-ups</v>
      </c>
      <c r="D3231" s="0" t="n">
        <f aca="false">INDEX(Intent_Analysis!$E$5:$E$81,MATCH(B3231,Intent_Analysis!$A$5:$A$81,0))</f>
        <v>2</v>
      </c>
    </row>
    <row r="3232" customFormat="false" ht="15" hidden="false" customHeight="false" outlineLevel="0" collapsed="false">
      <c r="A3232" s="0" t="s">
        <v>3556</v>
      </c>
      <c r="B3232" s="0" t="s">
        <v>104</v>
      </c>
      <c r="C3232" s="0" t="str">
        <f aca="false">INDEX(Intent_Analysis!$B$5:$B$81,MATCH(B3232,Intent_Analysis!$A$5:$A$81,0))</f>
        <v>Top-ups</v>
      </c>
      <c r="D3232" s="0" t="n">
        <f aca="false">INDEX(Intent_Analysis!$E$5:$E$81,MATCH(B3232,Intent_Analysis!$A$5:$A$81,0))</f>
        <v>2</v>
      </c>
    </row>
    <row r="3233" customFormat="false" ht="15" hidden="false" customHeight="false" outlineLevel="0" collapsed="false">
      <c r="A3233" s="0" t="s">
        <v>3557</v>
      </c>
      <c r="B3233" s="0" t="s">
        <v>104</v>
      </c>
      <c r="C3233" s="0" t="str">
        <f aca="false">INDEX(Intent_Analysis!$B$5:$B$81,MATCH(B3233,Intent_Analysis!$A$5:$A$81,0))</f>
        <v>Top-ups</v>
      </c>
      <c r="D3233" s="0" t="n">
        <f aca="false">INDEX(Intent_Analysis!$E$5:$E$81,MATCH(B3233,Intent_Analysis!$A$5:$A$81,0))</f>
        <v>2</v>
      </c>
    </row>
    <row r="3234" customFormat="false" ht="15" hidden="false" customHeight="false" outlineLevel="0" collapsed="false">
      <c r="A3234" s="0" t="s">
        <v>3558</v>
      </c>
      <c r="B3234" s="0" t="s">
        <v>104</v>
      </c>
      <c r="C3234" s="0" t="str">
        <f aca="false">INDEX(Intent_Analysis!$B$5:$B$81,MATCH(B3234,Intent_Analysis!$A$5:$A$81,0))</f>
        <v>Top-ups</v>
      </c>
      <c r="D3234" s="0" t="n">
        <f aca="false">INDEX(Intent_Analysis!$E$5:$E$81,MATCH(B3234,Intent_Analysis!$A$5:$A$81,0))</f>
        <v>2</v>
      </c>
    </row>
    <row r="3235" customFormat="false" ht="15" hidden="false" customHeight="false" outlineLevel="0" collapsed="false">
      <c r="A3235" s="0" t="s">
        <v>3559</v>
      </c>
      <c r="B3235" s="0" t="s">
        <v>104</v>
      </c>
      <c r="C3235" s="0" t="str">
        <f aca="false">INDEX(Intent_Analysis!$B$5:$B$81,MATCH(B3235,Intent_Analysis!$A$5:$A$81,0))</f>
        <v>Top-ups</v>
      </c>
      <c r="D3235" s="0" t="n">
        <f aca="false">INDEX(Intent_Analysis!$E$5:$E$81,MATCH(B3235,Intent_Analysis!$A$5:$A$81,0))</f>
        <v>2</v>
      </c>
    </row>
    <row r="3236" customFormat="false" ht="15" hidden="false" customHeight="false" outlineLevel="0" collapsed="false">
      <c r="A3236" s="0" t="s">
        <v>3560</v>
      </c>
      <c r="B3236" s="0" t="s">
        <v>104</v>
      </c>
      <c r="C3236" s="0" t="str">
        <f aca="false">INDEX(Intent_Analysis!$B$5:$B$81,MATCH(B3236,Intent_Analysis!$A$5:$A$81,0))</f>
        <v>Top-ups</v>
      </c>
      <c r="D3236" s="0" t="n">
        <f aca="false">INDEX(Intent_Analysis!$E$5:$E$81,MATCH(B3236,Intent_Analysis!$A$5:$A$81,0))</f>
        <v>2</v>
      </c>
    </row>
    <row r="3237" customFormat="false" ht="15" hidden="false" customHeight="false" outlineLevel="0" collapsed="false">
      <c r="A3237" s="0" t="s">
        <v>3561</v>
      </c>
      <c r="B3237" s="0" t="s">
        <v>104</v>
      </c>
      <c r="C3237" s="0" t="str">
        <f aca="false">INDEX(Intent_Analysis!$B$5:$B$81,MATCH(B3237,Intent_Analysis!$A$5:$A$81,0))</f>
        <v>Top-ups</v>
      </c>
      <c r="D3237" s="0" t="n">
        <f aca="false">INDEX(Intent_Analysis!$E$5:$E$81,MATCH(B3237,Intent_Analysis!$A$5:$A$81,0))</f>
        <v>2</v>
      </c>
    </row>
    <row r="3238" customFormat="false" ht="15" hidden="false" customHeight="false" outlineLevel="0" collapsed="false">
      <c r="A3238" s="0" t="s">
        <v>3562</v>
      </c>
      <c r="B3238" s="0" t="s">
        <v>104</v>
      </c>
      <c r="C3238" s="0" t="str">
        <f aca="false">INDEX(Intent_Analysis!$B$5:$B$81,MATCH(B3238,Intent_Analysis!$A$5:$A$81,0))</f>
        <v>Top-ups</v>
      </c>
      <c r="D3238" s="0" t="n">
        <f aca="false">INDEX(Intent_Analysis!$E$5:$E$81,MATCH(B3238,Intent_Analysis!$A$5:$A$81,0))</f>
        <v>2</v>
      </c>
    </row>
    <row r="3239" customFormat="false" ht="15" hidden="false" customHeight="false" outlineLevel="0" collapsed="false">
      <c r="A3239" s="0" t="s">
        <v>3563</v>
      </c>
      <c r="B3239" s="0" t="s">
        <v>104</v>
      </c>
      <c r="C3239" s="0" t="str">
        <f aca="false">INDEX(Intent_Analysis!$B$5:$B$81,MATCH(B3239,Intent_Analysis!$A$5:$A$81,0))</f>
        <v>Top-ups</v>
      </c>
      <c r="D3239" s="0" t="n">
        <f aca="false">INDEX(Intent_Analysis!$E$5:$E$81,MATCH(B3239,Intent_Analysis!$A$5:$A$81,0))</f>
        <v>2</v>
      </c>
    </row>
    <row r="3240" customFormat="false" ht="15" hidden="false" customHeight="false" outlineLevel="0" collapsed="false">
      <c r="A3240" s="0" t="s">
        <v>3564</v>
      </c>
      <c r="B3240" s="0" t="s">
        <v>104</v>
      </c>
      <c r="C3240" s="0" t="str">
        <f aca="false">INDEX(Intent_Analysis!$B$5:$B$81,MATCH(B3240,Intent_Analysis!$A$5:$A$81,0))</f>
        <v>Top-ups</v>
      </c>
      <c r="D3240" s="0" t="n">
        <f aca="false">INDEX(Intent_Analysis!$E$5:$E$81,MATCH(B3240,Intent_Analysis!$A$5:$A$81,0))</f>
        <v>2</v>
      </c>
    </row>
    <row r="3241" customFormat="false" ht="15" hidden="false" customHeight="false" outlineLevel="0" collapsed="false">
      <c r="A3241" s="0" t="s">
        <v>3565</v>
      </c>
      <c r="B3241" s="0" t="s">
        <v>104</v>
      </c>
      <c r="C3241" s="0" t="str">
        <f aca="false">INDEX(Intent_Analysis!$B$5:$B$81,MATCH(B3241,Intent_Analysis!$A$5:$A$81,0))</f>
        <v>Top-ups</v>
      </c>
      <c r="D3241" s="0" t="n">
        <f aca="false">INDEX(Intent_Analysis!$E$5:$E$81,MATCH(B3241,Intent_Analysis!$A$5:$A$81,0))</f>
        <v>2</v>
      </c>
    </row>
    <row r="3242" customFormat="false" ht="15" hidden="false" customHeight="false" outlineLevel="0" collapsed="false">
      <c r="A3242" s="0" t="s">
        <v>3566</v>
      </c>
      <c r="B3242" s="0" t="s">
        <v>104</v>
      </c>
      <c r="C3242" s="0" t="str">
        <f aca="false">INDEX(Intent_Analysis!$B$5:$B$81,MATCH(B3242,Intent_Analysis!$A$5:$A$81,0))</f>
        <v>Top-ups</v>
      </c>
      <c r="D3242" s="0" t="n">
        <f aca="false">INDEX(Intent_Analysis!$E$5:$E$81,MATCH(B3242,Intent_Analysis!$A$5:$A$81,0))</f>
        <v>2</v>
      </c>
    </row>
    <row r="3243" customFormat="false" ht="15" hidden="false" customHeight="false" outlineLevel="0" collapsed="false">
      <c r="A3243" s="0" t="s">
        <v>3567</v>
      </c>
      <c r="B3243" s="0" t="s">
        <v>104</v>
      </c>
      <c r="C3243" s="0" t="str">
        <f aca="false">INDEX(Intent_Analysis!$B$5:$B$81,MATCH(B3243,Intent_Analysis!$A$5:$A$81,0))</f>
        <v>Top-ups</v>
      </c>
      <c r="D3243" s="0" t="n">
        <f aca="false">INDEX(Intent_Analysis!$E$5:$E$81,MATCH(B3243,Intent_Analysis!$A$5:$A$81,0))</f>
        <v>2</v>
      </c>
    </row>
    <row r="3244" customFormat="false" ht="15" hidden="false" customHeight="false" outlineLevel="0" collapsed="false">
      <c r="A3244" s="0" t="s">
        <v>3568</v>
      </c>
      <c r="B3244" s="0" t="s">
        <v>104</v>
      </c>
      <c r="C3244" s="0" t="str">
        <f aca="false">INDEX(Intent_Analysis!$B$5:$B$81,MATCH(B3244,Intent_Analysis!$A$5:$A$81,0))</f>
        <v>Top-ups</v>
      </c>
      <c r="D3244" s="0" t="n">
        <f aca="false">INDEX(Intent_Analysis!$E$5:$E$81,MATCH(B3244,Intent_Analysis!$A$5:$A$81,0))</f>
        <v>2</v>
      </c>
    </row>
    <row r="3245" customFormat="false" ht="15" hidden="false" customHeight="false" outlineLevel="0" collapsed="false">
      <c r="A3245" s="0" t="s">
        <v>3569</v>
      </c>
      <c r="B3245" s="0" t="s">
        <v>104</v>
      </c>
      <c r="C3245" s="0" t="str">
        <f aca="false">INDEX(Intent_Analysis!$B$5:$B$81,MATCH(B3245,Intent_Analysis!$A$5:$A$81,0))</f>
        <v>Top-ups</v>
      </c>
      <c r="D3245" s="0" t="n">
        <f aca="false">INDEX(Intent_Analysis!$E$5:$E$81,MATCH(B3245,Intent_Analysis!$A$5:$A$81,0))</f>
        <v>2</v>
      </c>
    </row>
    <row r="3246" customFormat="false" ht="15" hidden="false" customHeight="false" outlineLevel="0" collapsed="false">
      <c r="A3246" s="0" t="s">
        <v>3570</v>
      </c>
      <c r="B3246" s="0" t="s">
        <v>104</v>
      </c>
      <c r="C3246" s="0" t="str">
        <f aca="false">INDEX(Intent_Analysis!$B$5:$B$81,MATCH(B3246,Intent_Analysis!$A$5:$A$81,0))</f>
        <v>Top-ups</v>
      </c>
      <c r="D3246" s="0" t="n">
        <f aca="false">INDEX(Intent_Analysis!$E$5:$E$81,MATCH(B3246,Intent_Analysis!$A$5:$A$81,0))</f>
        <v>2</v>
      </c>
    </row>
    <row r="3247" customFormat="false" ht="15" hidden="false" customHeight="false" outlineLevel="0" collapsed="false">
      <c r="A3247" s="0" t="s">
        <v>3571</v>
      </c>
      <c r="B3247" s="0" t="s">
        <v>104</v>
      </c>
      <c r="C3247" s="0" t="str">
        <f aca="false">INDEX(Intent_Analysis!$B$5:$B$81,MATCH(B3247,Intent_Analysis!$A$5:$A$81,0))</f>
        <v>Top-ups</v>
      </c>
      <c r="D3247" s="0" t="n">
        <f aca="false">INDEX(Intent_Analysis!$E$5:$E$81,MATCH(B3247,Intent_Analysis!$A$5:$A$81,0))</f>
        <v>2</v>
      </c>
    </row>
    <row r="3248" customFormat="false" ht="15" hidden="false" customHeight="false" outlineLevel="0" collapsed="false">
      <c r="A3248" s="0" t="s">
        <v>3572</v>
      </c>
      <c r="B3248" s="0" t="s">
        <v>104</v>
      </c>
      <c r="C3248" s="0" t="str">
        <f aca="false">INDEX(Intent_Analysis!$B$5:$B$81,MATCH(B3248,Intent_Analysis!$A$5:$A$81,0))</f>
        <v>Top-ups</v>
      </c>
      <c r="D3248" s="0" t="n">
        <f aca="false">INDEX(Intent_Analysis!$E$5:$E$81,MATCH(B3248,Intent_Analysis!$A$5:$A$81,0))</f>
        <v>2</v>
      </c>
    </row>
    <row r="3249" customFormat="false" ht="15" hidden="false" customHeight="false" outlineLevel="0" collapsed="false">
      <c r="A3249" s="0" t="s">
        <v>3573</v>
      </c>
      <c r="B3249" s="0" t="s">
        <v>104</v>
      </c>
      <c r="C3249" s="0" t="str">
        <f aca="false">INDEX(Intent_Analysis!$B$5:$B$81,MATCH(B3249,Intent_Analysis!$A$5:$A$81,0))</f>
        <v>Top-ups</v>
      </c>
      <c r="D3249" s="0" t="n">
        <f aca="false">INDEX(Intent_Analysis!$E$5:$E$81,MATCH(B3249,Intent_Analysis!$A$5:$A$81,0))</f>
        <v>2</v>
      </c>
    </row>
    <row r="3250" customFormat="false" ht="15" hidden="false" customHeight="false" outlineLevel="0" collapsed="false">
      <c r="A3250" s="0" t="s">
        <v>3574</v>
      </c>
      <c r="B3250" s="0" t="s">
        <v>104</v>
      </c>
      <c r="C3250" s="0" t="str">
        <f aca="false">INDEX(Intent_Analysis!$B$5:$B$81,MATCH(B3250,Intent_Analysis!$A$5:$A$81,0))</f>
        <v>Top-ups</v>
      </c>
      <c r="D3250" s="0" t="n">
        <f aca="false">INDEX(Intent_Analysis!$E$5:$E$81,MATCH(B3250,Intent_Analysis!$A$5:$A$81,0))</f>
        <v>2</v>
      </c>
    </row>
    <row r="3251" customFormat="false" ht="15" hidden="false" customHeight="false" outlineLevel="0" collapsed="false">
      <c r="A3251" s="0" t="s">
        <v>3575</v>
      </c>
      <c r="B3251" s="0" t="s">
        <v>104</v>
      </c>
      <c r="C3251" s="0" t="str">
        <f aca="false">INDEX(Intent_Analysis!$B$5:$B$81,MATCH(B3251,Intent_Analysis!$A$5:$A$81,0))</f>
        <v>Top-ups</v>
      </c>
      <c r="D3251" s="0" t="n">
        <f aca="false">INDEX(Intent_Analysis!$E$5:$E$81,MATCH(B3251,Intent_Analysis!$A$5:$A$81,0))</f>
        <v>2</v>
      </c>
    </row>
    <row r="3252" customFormat="false" ht="15" hidden="false" customHeight="false" outlineLevel="0" collapsed="false">
      <c r="A3252" s="0" t="s">
        <v>3576</v>
      </c>
      <c r="B3252" s="0" t="s">
        <v>104</v>
      </c>
      <c r="C3252" s="0" t="str">
        <f aca="false">INDEX(Intent_Analysis!$B$5:$B$81,MATCH(B3252,Intent_Analysis!$A$5:$A$81,0))</f>
        <v>Top-ups</v>
      </c>
      <c r="D3252" s="0" t="n">
        <f aca="false">INDEX(Intent_Analysis!$E$5:$E$81,MATCH(B3252,Intent_Analysis!$A$5:$A$81,0))</f>
        <v>2</v>
      </c>
    </row>
    <row r="3253" customFormat="false" ht="15" hidden="false" customHeight="false" outlineLevel="0" collapsed="false">
      <c r="A3253" s="0" t="s">
        <v>3577</v>
      </c>
      <c r="B3253" s="0" t="s">
        <v>104</v>
      </c>
      <c r="C3253" s="0" t="str">
        <f aca="false">INDEX(Intent_Analysis!$B$5:$B$81,MATCH(B3253,Intent_Analysis!$A$5:$A$81,0))</f>
        <v>Top-ups</v>
      </c>
      <c r="D3253" s="0" t="n">
        <f aca="false">INDEX(Intent_Analysis!$E$5:$E$81,MATCH(B3253,Intent_Analysis!$A$5:$A$81,0))</f>
        <v>2</v>
      </c>
    </row>
    <row r="3254" customFormat="false" ht="15" hidden="false" customHeight="false" outlineLevel="0" collapsed="false">
      <c r="A3254" s="0" t="s">
        <v>3578</v>
      </c>
      <c r="B3254" s="0" t="s">
        <v>104</v>
      </c>
      <c r="C3254" s="0" t="str">
        <f aca="false">INDEX(Intent_Analysis!$B$5:$B$81,MATCH(B3254,Intent_Analysis!$A$5:$A$81,0))</f>
        <v>Top-ups</v>
      </c>
      <c r="D3254" s="0" t="n">
        <f aca="false">INDEX(Intent_Analysis!$E$5:$E$81,MATCH(B3254,Intent_Analysis!$A$5:$A$81,0))</f>
        <v>2</v>
      </c>
    </row>
    <row r="3255" customFormat="false" ht="15" hidden="false" customHeight="false" outlineLevel="0" collapsed="false">
      <c r="A3255" s="0" t="s">
        <v>3579</v>
      </c>
      <c r="B3255" s="0" t="s">
        <v>104</v>
      </c>
      <c r="C3255" s="0" t="str">
        <f aca="false">INDEX(Intent_Analysis!$B$5:$B$81,MATCH(B3255,Intent_Analysis!$A$5:$A$81,0))</f>
        <v>Top-ups</v>
      </c>
      <c r="D3255" s="0" t="n">
        <f aca="false">INDEX(Intent_Analysis!$E$5:$E$81,MATCH(B3255,Intent_Analysis!$A$5:$A$81,0))</f>
        <v>2</v>
      </c>
    </row>
    <row r="3256" customFormat="false" ht="15" hidden="false" customHeight="false" outlineLevel="0" collapsed="false">
      <c r="A3256" s="0" t="s">
        <v>3580</v>
      </c>
      <c r="B3256" s="0" t="s">
        <v>104</v>
      </c>
      <c r="C3256" s="0" t="str">
        <f aca="false">INDEX(Intent_Analysis!$B$5:$B$81,MATCH(B3256,Intent_Analysis!$A$5:$A$81,0))</f>
        <v>Top-ups</v>
      </c>
      <c r="D3256" s="0" t="n">
        <f aca="false">INDEX(Intent_Analysis!$E$5:$E$81,MATCH(B3256,Intent_Analysis!$A$5:$A$81,0))</f>
        <v>2</v>
      </c>
    </row>
    <row r="3257" customFormat="false" ht="15" hidden="false" customHeight="false" outlineLevel="0" collapsed="false">
      <c r="A3257" s="0" t="s">
        <v>3581</v>
      </c>
      <c r="B3257" s="0" t="s">
        <v>104</v>
      </c>
      <c r="C3257" s="0" t="str">
        <f aca="false">INDEX(Intent_Analysis!$B$5:$B$81,MATCH(B3257,Intent_Analysis!$A$5:$A$81,0))</f>
        <v>Top-ups</v>
      </c>
      <c r="D3257" s="0" t="n">
        <f aca="false">INDEX(Intent_Analysis!$E$5:$E$81,MATCH(B3257,Intent_Analysis!$A$5:$A$81,0))</f>
        <v>2</v>
      </c>
    </row>
    <row r="3258" customFormat="false" ht="15" hidden="false" customHeight="false" outlineLevel="0" collapsed="false">
      <c r="A3258" s="0" t="s">
        <v>3582</v>
      </c>
      <c r="B3258" s="0" t="s">
        <v>104</v>
      </c>
      <c r="C3258" s="0" t="str">
        <f aca="false">INDEX(Intent_Analysis!$B$5:$B$81,MATCH(B3258,Intent_Analysis!$A$5:$A$81,0))</f>
        <v>Top-ups</v>
      </c>
      <c r="D3258" s="0" t="n">
        <f aca="false">INDEX(Intent_Analysis!$E$5:$E$81,MATCH(B3258,Intent_Analysis!$A$5:$A$81,0))</f>
        <v>2</v>
      </c>
    </row>
    <row r="3259" customFormat="false" ht="15" hidden="false" customHeight="false" outlineLevel="0" collapsed="false">
      <c r="A3259" s="0" t="s">
        <v>3583</v>
      </c>
      <c r="B3259" s="0" t="s">
        <v>104</v>
      </c>
      <c r="C3259" s="0" t="str">
        <f aca="false">INDEX(Intent_Analysis!$B$5:$B$81,MATCH(B3259,Intent_Analysis!$A$5:$A$81,0))</f>
        <v>Top-ups</v>
      </c>
      <c r="D3259" s="0" t="n">
        <f aca="false">INDEX(Intent_Analysis!$E$5:$E$81,MATCH(B3259,Intent_Analysis!$A$5:$A$81,0))</f>
        <v>2</v>
      </c>
    </row>
    <row r="3260" customFormat="false" ht="15" hidden="false" customHeight="false" outlineLevel="0" collapsed="false">
      <c r="A3260" s="0" t="s">
        <v>3584</v>
      </c>
      <c r="B3260" s="0" t="s">
        <v>104</v>
      </c>
      <c r="C3260" s="0" t="str">
        <f aca="false">INDEX(Intent_Analysis!$B$5:$B$81,MATCH(B3260,Intent_Analysis!$A$5:$A$81,0))</f>
        <v>Top-ups</v>
      </c>
      <c r="D3260" s="0" t="n">
        <f aca="false">INDEX(Intent_Analysis!$E$5:$E$81,MATCH(B3260,Intent_Analysis!$A$5:$A$81,0))</f>
        <v>2</v>
      </c>
    </row>
    <row r="3261" customFormat="false" ht="15" hidden="false" customHeight="false" outlineLevel="0" collapsed="false">
      <c r="A3261" s="0" t="s">
        <v>3585</v>
      </c>
      <c r="B3261" s="0" t="s">
        <v>104</v>
      </c>
      <c r="C3261" s="0" t="str">
        <f aca="false">INDEX(Intent_Analysis!$B$5:$B$81,MATCH(B3261,Intent_Analysis!$A$5:$A$81,0))</f>
        <v>Top-ups</v>
      </c>
      <c r="D3261" s="0" t="n">
        <f aca="false">INDEX(Intent_Analysis!$E$5:$E$81,MATCH(B3261,Intent_Analysis!$A$5:$A$81,0))</f>
        <v>2</v>
      </c>
    </row>
    <row r="3262" customFormat="false" ht="15" hidden="false" customHeight="false" outlineLevel="0" collapsed="false">
      <c r="A3262" s="0" t="s">
        <v>3586</v>
      </c>
      <c r="B3262" s="0" t="s">
        <v>104</v>
      </c>
      <c r="C3262" s="0" t="str">
        <f aca="false">INDEX(Intent_Analysis!$B$5:$B$81,MATCH(B3262,Intent_Analysis!$A$5:$A$81,0))</f>
        <v>Top-ups</v>
      </c>
      <c r="D3262" s="0" t="n">
        <f aca="false">INDEX(Intent_Analysis!$E$5:$E$81,MATCH(B3262,Intent_Analysis!$A$5:$A$81,0))</f>
        <v>2</v>
      </c>
    </row>
    <row r="3263" customFormat="false" ht="15" hidden="false" customHeight="false" outlineLevel="0" collapsed="false">
      <c r="A3263" s="0" t="s">
        <v>3587</v>
      </c>
      <c r="B3263" s="0" t="s">
        <v>104</v>
      </c>
      <c r="C3263" s="0" t="str">
        <f aca="false">INDEX(Intent_Analysis!$B$5:$B$81,MATCH(B3263,Intent_Analysis!$A$5:$A$81,0))</f>
        <v>Top-ups</v>
      </c>
      <c r="D3263" s="0" t="n">
        <f aca="false">INDEX(Intent_Analysis!$E$5:$E$81,MATCH(B3263,Intent_Analysis!$A$5:$A$81,0))</f>
        <v>2</v>
      </c>
    </row>
    <row r="3264" customFormat="false" ht="15" hidden="false" customHeight="false" outlineLevel="0" collapsed="false">
      <c r="A3264" s="0" t="s">
        <v>3588</v>
      </c>
      <c r="B3264" s="0" t="s">
        <v>104</v>
      </c>
      <c r="C3264" s="0" t="str">
        <f aca="false">INDEX(Intent_Analysis!$B$5:$B$81,MATCH(B3264,Intent_Analysis!$A$5:$A$81,0))</f>
        <v>Top-ups</v>
      </c>
      <c r="D3264" s="0" t="n">
        <f aca="false">INDEX(Intent_Analysis!$E$5:$E$81,MATCH(B3264,Intent_Analysis!$A$5:$A$81,0))</f>
        <v>2</v>
      </c>
    </row>
    <row r="3265" customFormat="false" ht="15" hidden="false" customHeight="false" outlineLevel="0" collapsed="false">
      <c r="A3265" s="0" t="s">
        <v>3589</v>
      </c>
      <c r="B3265" s="0" t="s">
        <v>104</v>
      </c>
      <c r="C3265" s="0" t="str">
        <f aca="false">INDEX(Intent_Analysis!$B$5:$B$81,MATCH(B3265,Intent_Analysis!$A$5:$A$81,0))</f>
        <v>Top-ups</v>
      </c>
      <c r="D3265" s="0" t="n">
        <f aca="false">INDEX(Intent_Analysis!$E$5:$E$81,MATCH(B3265,Intent_Analysis!$A$5:$A$81,0))</f>
        <v>2</v>
      </c>
    </row>
    <row r="3266" customFormat="false" ht="15" hidden="false" customHeight="false" outlineLevel="0" collapsed="false">
      <c r="A3266" s="0" t="s">
        <v>3590</v>
      </c>
      <c r="B3266" s="0" t="s">
        <v>104</v>
      </c>
      <c r="C3266" s="0" t="str">
        <f aca="false">INDEX(Intent_Analysis!$B$5:$B$81,MATCH(B3266,Intent_Analysis!$A$5:$A$81,0))</f>
        <v>Top-ups</v>
      </c>
      <c r="D3266" s="0" t="n">
        <f aca="false">INDEX(Intent_Analysis!$E$5:$E$81,MATCH(B3266,Intent_Analysis!$A$5:$A$81,0))</f>
        <v>2</v>
      </c>
    </row>
    <row r="3267" customFormat="false" ht="15" hidden="false" customHeight="false" outlineLevel="0" collapsed="false">
      <c r="A3267" s="0" t="s">
        <v>3591</v>
      </c>
      <c r="B3267" s="0" t="s">
        <v>104</v>
      </c>
      <c r="C3267" s="0" t="str">
        <f aca="false">INDEX(Intent_Analysis!$B$5:$B$81,MATCH(B3267,Intent_Analysis!$A$5:$A$81,0))</f>
        <v>Top-ups</v>
      </c>
      <c r="D3267" s="0" t="n">
        <f aca="false">INDEX(Intent_Analysis!$E$5:$E$81,MATCH(B3267,Intent_Analysis!$A$5:$A$81,0))</f>
        <v>2</v>
      </c>
    </row>
    <row r="3268" customFormat="false" ht="15" hidden="false" customHeight="false" outlineLevel="0" collapsed="false">
      <c r="A3268" s="0" t="s">
        <v>3592</v>
      </c>
      <c r="B3268" s="0" t="s">
        <v>104</v>
      </c>
      <c r="C3268" s="0" t="str">
        <f aca="false">INDEX(Intent_Analysis!$B$5:$B$81,MATCH(B3268,Intent_Analysis!$A$5:$A$81,0))</f>
        <v>Top-ups</v>
      </c>
      <c r="D3268" s="0" t="n">
        <f aca="false">INDEX(Intent_Analysis!$E$5:$E$81,MATCH(B3268,Intent_Analysis!$A$5:$A$81,0))</f>
        <v>2</v>
      </c>
    </row>
    <row r="3269" customFormat="false" ht="15" hidden="false" customHeight="false" outlineLevel="0" collapsed="false">
      <c r="A3269" s="0" t="s">
        <v>3593</v>
      </c>
      <c r="B3269" s="0" t="s">
        <v>104</v>
      </c>
      <c r="C3269" s="0" t="str">
        <f aca="false">INDEX(Intent_Analysis!$B$5:$B$81,MATCH(B3269,Intent_Analysis!$A$5:$A$81,0))</f>
        <v>Top-ups</v>
      </c>
      <c r="D3269" s="0" t="n">
        <f aca="false">INDEX(Intent_Analysis!$E$5:$E$81,MATCH(B3269,Intent_Analysis!$A$5:$A$81,0))</f>
        <v>2</v>
      </c>
    </row>
    <row r="3270" customFormat="false" ht="15" hidden="false" customHeight="false" outlineLevel="0" collapsed="false">
      <c r="A3270" s="0" t="s">
        <v>3594</v>
      </c>
      <c r="B3270" s="0" t="s">
        <v>104</v>
      </c>
      <c r="C3270" s="0" t="str">
        <f aca="false">INDEX(Intent_Analysis!$B$5:$B$81,MATCH(B3270,Intent_Analysis!$A$5:$A$81,0))</f>
        <v>Top-ups</v>
      </c>
      <c r="D3270" s="0" t="n">
        <f aca="false">INDEX(Intent_Analysis!$E$5:$E$81,MATCH(B3270,Intent_Analysis!$A$5:$A$81,0))</f>
        <v>2</v>
      </c>
    </row>
    <row r="3271" customFormat="false" ht="15" hidden="false" customHeight="false" outlineLevel="0" collapsed="false">
      <c r="A3271" s="0" t="s">
        <v>3595</v>
      </c>
      <c r="B3271" s="0" t="s">
        <v>104</v>
      </c>
      <c r="C3271" s="0" t="str">
        <f aca="false">INDEX(Intent_Analysis!$B$5:$B$81,MATCH(B3271,Intent_Analysis!$A$5:$A$81,0))</f>
        <v>Top-ups</v>
      </c>
      <c r="D3271" s="0" t="n">
        <f aca="false">INDEX(Intent_Analysis!$E$5:$E$81,MATCH(B3271,Intent_Analysis!$A$5:$A$81,0))</f>
        <v>2</v>
      </c>
    </row>
    <row r="3272" customFormat="false" ht="15" hidden="false" customHeight="false" outlineLevel="0" collapsed="false">
      <c r="A3272" s="0" t="s">
        <v>3596</v>
      </c>
      <c r="B3272" s="0" t="s">
        <v>104</v>
      </c>
      <c r="C3272" s="0" t="str">
        <f aca="false">INDEX(Intent_Analysis!$B$5:$B$81,MATCH(B3272,Intent_Analysis!$A$5:$A$81,0))</f>
        <v>Top-ups</v>
      </c>
      <c r="D3272" s="0" t="n">
        <f aca="false">INDEX(Intent_Analysis!$E$5:$E$81,MATCH(B3272,Intent_Analysis!$A$5:$A$81,0))</f>
        <v>2</v>
      </c>
    </row>
    <row r="3273" customFormat="false" ht="15" hidden="false" customHeight="false" outlineLevel="0" collapsed="false">
      <c r="A3273" s="0" t="s">
        <v>3597</v>
      </c>
      <c r="B3273" s="0" t="s">
        <v>104</v>
      </c>
      <c r="C3273" s="0" t="str">
        <f aca="false">INDEX(Intent_Analysis!$B$5:$B$81,MATCH(B3273,Intent_Analysis!$A$5:$A$81,0))</f>
        <v>Top-ups</v>
      </c>
      <c r="D3273" s="0" t="n">
        <f aca="false">INDEX(Intent_Analysis!$E$5:$E$81,MATCH(B3273,Intent_Analysis!$A$5:$A$81,0))</f>
        <v>2</v>
      </c>
    </row>
    <row r="3274" customFormat="false" ht="15" hidden="false" customHeight="false" outlineLevel="0" collapsed="false">
      <c r="A3274" s="0" t="s">
        <v>3598</v>
      </c>
      <c r="B3274" s="0" t="s">
        <v>104</v>
      </c>
      <c r="C3274" s="0" t="str">
        <f aca="false">INDEX(Intent_Analysis!$B$5:$B$81,MATCH(B3274,Intent_Analysis!$A$5:$A$81,0))</f>
        <v>Top-ups</v>
      </c>
      <c r="D3274" s="0" t="n">
        <f aca="false">INDEX(Intent_Analysis!$E$5:$E$81,MATCH(B3274,Intent_Analysis!$A$5:$A$81,0))</f>
        <v>2</v>
      </c>
    </row>
    <row r="3275" customFormat="false" ht="15" hidden="false" customHeight="false" outlineLevel="0" collapsed="false">
      <c r="A3275" s="0" t="s">
        <v>3599</v>
      </c>
      <c r="B3275" s="0" t="s">
        <v>104</v>
      </c>
      <c r="C3275" s="0" t="str">
        <f aca="false">INDEX(Intent_Analysis!$B$5:$B$81,MATCH(B3275,Intent_Analysis!$A$5:$A$81,0))</f>
        <v>Top-ups</v>
      </c>
      <c r="D3275" s="0" t="n">
        <f aca="false">INDEX(Intent_Analysis!$E$5:$E$81,MATCH(B3275,Intent_Analysis!$A$5:$A$81,0))</f>
        <v>2</v>
      </c>
    </row>
    <row r="3276" customFormat="false" ht="15" hidden="false" customHeight="false" outlineLevel="0" collapsed="false">
      <c r="A3276" s="0" t="s">
        <v>3600</v>
      </c>
      <c r="B3276" s="0" t="s">
        <v>104</v>
      </c>
      <c r="C3276" s="0" t="str">
        <f aca="false">INDEX(Intent_Analysis!$B$5:$B$81,MATCH(B3276,Intent_Analysis!$A$5:$A$81,0))</f>
        <v>Top-ups</v>
      </c>
      <c r="D3276" s="0" t="n">
        <f aca="false">INDEX(Intent_Analysis!$E$5:$E$81,MATCH(B3276,Intent_Analysis!$A$5:$A$81,0))</f>
        <v>2</v>
      </c>
    </row>
    <row r="3277" customFormat="false" ht="15" hidden="false" customHeight="false" outlineLevel="0" collapsed="false">
      <c r="A3277" s="0" t="s">
        <v>3601</v>
      </c>
      <c r="B3277" s="0" t="s">
        <v>104</v>
      </c>
      <c r="C3277" s="0" t="str">
        <f aca="false">INDEX(Intent_Analysis!$B$5:$B$81,MATCH(B3277,Intent_Analysis!$A$5:$A$81,0))</f>
        <v>Top-ups</v>
      </c>
      <c r="D3277" s="0" t="n">
        <f aca="false">INDEX(Intent_Analysis!$E$5:$E$81,MATCH(B3277,Intent_Analysis!$A$5:$A$81,0))</f>
        <v>2</v>
      </c>
    </row>
    <row r="3278" customFormat="false" ht="15" hidden="false" customHeight="false" outlineLevel="0" collapsed="false">
      <c r="A3278" s="0" t="s">
        <v>3602</v>
      </c>
      <c r="B3278" s="0" t="s">
        <v>104</v>
      </c>
      <c r="C3278" s="0" t="str">
        <f aca="false">INDEX(Intent_Analysis!$B$5:$B$81,MATCH(B3278,Intent_Analysis!$A$5:$A$81,0))</f>
        <v>Top-ups</v>
      </c>
      <c r="D3278" s="0" t="n">
        <f aca="false">INDEX(Intent_Analysis!$E$5:$E$81,MATCH(B3278,Intent_Analysis!$A$5:$A$81,0))</f>
        <v>2</v>
      </c>
    </row>
    <row r="3279" customFormat="false" ht="15" hidden="false" customHeight="false" outlineLevel="0" collapsed="false">
      <c r="A3279" s="0" t="s">
        <v>3603</v>
      </c>
      <c r="B3279" s="0" t="s">
        <v>104</v>
      </c>
      <c r="C3279" s="0" t="str">
        <f aca="false">INDEX(Intent_Analysis!$B$5:$B$81,MATCH(B3279,Intent_Analysis!$A$5:$A$81,0))</f>
        <v>Top-ups</v>
      </c>
      <c r="D3279" s="0" t="n">
        <f aca="false">INDEX(Intent_Analysis!$E$5:$E$81,MATCH(B3279,Intent_Analysis!$A$5:$A$81,0))</f>
        <v>2</v>
      </c>
    </row>
    <row r="3280" customFormat="false" ht="15" hidden="false" customHeight="false" outlineLevel="0" collapsed="false">
      <c r="A3280" s="0" t="s">
        <v>3604</v>
      </c>
      <c r="B3280" s="0" t="s">
        <v>104</v>
      </c>
      <c r="C3280" s="0" t="str">
        <f aca="false">INDEX(Intent_Analysis!$B$5:$B$81,MATCH(B3280,Intent_Analysis!$A$5:$A$81,0))</f>
        <v>Top-ups</v>
      </c>
      <c r="D3280" s="0" t="n">
        <f aca="false">INDEX(Intent_Analysis!$E$5:$E$81,MATCH(B3280,Intent_Analysis!$A$5:$A$81,0))</f>
        <v>2</v>
      </c>
    </row>
    <row r="3281" customFormat="false" ht="15" hidden="false" customHeight="false" outlineLevel="0" collapsed="false">
      <c r="A3281" s="0" t="s">
        <v>3605</v>
      </c>
      <c r="B3281" s="0" t="s">
        <v>104</v>
      </c>
      <c r="C3281" s="0" t="str">
        <f aca="false">INDEX(Intent_Analysis!$B$5:$B$81,MATCH(B3281,Intent_Analysis!$A$5:$A$81,0))</f>
        <v>Top-ups</v>
      </c>
      <c r="D3281" s="0" t="n">
        <f aca="false">INDEX(Intent_Analysis!$E$5:$E$81,MATCH(B3281,Intent_Analysis!$A$5:$A$81,0))</f>
        <v>2</v>
      </c>
    </row>
    <row r="3282" customFormat="false" ht="15" hidden="false" customHeight="false" outlineLevel="0" collapsed="false">
      <c r="A3282" s="0" t="s">
        <v>3606</v>
      </c>
      <c r="B3282" s="0" t="s">
        <v>104</v>
      </c>
      <c r="C3282" s="0" t="str">
        <f aca="false">INDEX(Intent_Analysis!$B$5:$B$81,MATCH(B3282,Intent_Analysis!$A$5:$A$81,0))</f>
        <v>Top-ups</v>
      </c>
      <c r="D3282" s="0" t="n">
        <f aca="false">INDEX(Intent_Analysis!$E$5:$E$81,MATCH(B3282,Intent_Analysis!$A$5:$A$81,0))</f>
        <v>2</v>
      </c>
    </row>
    <row r="3283" customFormat="false" ht="15" hidden="false" customHeight="false" outlineLevel="0" collapsed="false">
      <c r="A3283" s="0" t="s">
        <v>3607</v>
      </c>
      <c r="B3283" s="0" t="s">
        <v>104</v>
      </c>
      <c r="C3283" s="0" t="str">
        <f aca="false">INDEX(Intent_Analysis!$B$5:$B$81,MATCH(B3283,Intent_Analysis!$A$5:$A$81,0))</f>
        <v>Top-ups</v>
      </c>
      <c r="D3283" s="0" t="n">
        <f aca="false">INDEX(Intent_Analysis!$E$5:$E$81,MATCH(B3283,Intent_Analysis!$A$5:$A$81,0))</f>
        <v>2</v>
      </c>
    </row>
    <row r="3284" customFormat="false" ht="15" hidden="false" customHeight="false" outlineLevel="0" collapsed="false">
      <c r="A3284" s="0" t="s">
        <v>3608</v>
      </c>
      <c r="B3284" s="0" t="s">
        <v>104</v>
      </c>
      <c r="C3284" s="0" t="str">
        <f aca="false">INDEX(Intent_Analysis!$B$5:$B$81,MATCH(B3284,Intent_Analysis!$A$5:$A$81,0))</f>
        <v>Top-ups</v>
      </c>
      <c r="D3284" s="0" t="n">
        <f aca="false">INDEX(Intent_Analysis!$E$5:$E$81,MATCH(B3284,Intent_Analysis!$A$5:$A$81,0))</f>
        <v>2</v>
      </c>
    </row>
    <row r="3285" customFormat="false" ht="15" hidden="false" customHeight="false" outlineLevel="0" collapsed="false">
      <c r="A3285" s="0" t="s">
        <v>3609</v>
      </c>
      <c r="B3285" s="0" t="s">
        <v>104</v>
      </c>
      <c r="C3285" s="0" t="str">
        <f aca="false">INDEX(Intent_Analysis!$B$5:$B$81,MATCH(B3285,Intent_Analysis!$A$5:$A$81,0))</f>
        <v>Top-ups</v>
      </c>
      <c r="D3285" s="0" t="n">
        <f aca="false">INDEX(Intent_Analysis!$E$5:$E$81,MATCH(B3285,Intent_Analysis!$A$5:$A$81,0))</f>
        <v>2</v>
      </c>
    </row>
    <row r="3286" customFormat="false" ht="15" hidden="false" customHeight="false" outlineLevel="0" collapsed="false">
      <c r="A3286" s="0" t="s">
        <v>3610</v>
      </c>
      <c r="B3286" s="0" t="s">
        <v>104</v>
      </c>
      <c r="C3286" s="0" t="str">
        <f aca="false">INDEX(Intent_Analysis!$B$5:$B$81,MATCH(B3286,Intent_Analysis!$A$5:$A$81,0))</f>
        <v>Top-ups</v>
      </c>
      <c r="D3286" s="0" t="n">
        <f aca="false">INDEX(Intent_Analysis!$E$5:$E$81,MATCH(B3286,Intent_Analysis!$A$5:$A$81,0))</f>
        <v>2</v>
      </c>
    </row>
    <row r="3287" customFormat="false" ht="15" hidden="false" customHeight="false" outlineLevel="0" collapsed="false">
      <c r="A3287" s="0" t="s">
        <v>3611</v>
      </c>
      <c r="B3287" s="0" t="s">
        <v>104</v>
      </c>
      <c r="C3287" s="0" t="str">
        <f aca="false">INDEX(Intent_Analysis!$B$5:$B$81,MATCH(B3287,Intent_Analysis!$A$5:$A$81,0))</f>
        <v>Top-ups</v>
      </c>
      <c r="D3287" s="0" t="n">
        <f aca="false">INDEX(Intent_Analysis!$E$5:$E$81,MATCH(B3287,Intent_Analysis!$A$5:$A$81,0))</f>
        <v>2</v>
      </c>
    </row>
    <row r="3288" customFormat="false" ht="15" hidden="false" customHeight="false" outlineLevel="0" collapsed="false">
      <c r="A3288" s="0" t="s">
        <v>3612</v>
      </c>
      <c r="B3288" s="0" t="s">
        <v>104</v>
      </c>
      <c r="C3288" s="0" t="str">
        <f aca="false">INDEX(Intent_Analysis!$B$5:$B$81,MATCH(B3288,Intent_Analysis!$A$5:$A$81,0))</f>
        <v>Top-ups</v>
      </c>
      <c r="D3288" s="0" t="n">
        <f aca="false">INDEX(Intent_Analysis!$E$5:$E$81,MATCH(B3288,Intent_Analysis!$A$5:$A$81,0))</f>
        <v>2</v>
      </c>
    </row>
    <row r="3289" customFormat="false" ht="15" hidden="false" customHeight="false" outlineLevel="0" collapsed="false">
      <c r="A3289" s="0" t="s">
        <v>3613</v>
      </c>
      <c r="B3289" s="0" t="s">
        <v>104</v>
      </c>
      <c r="C3289" s="0" t="str">
        <f aca="false">INDEX(Intent_Analysis!$B$5:$B$81,MATCH(B3289,Intent_Analysis!$A$5:$A$81,0))</f>
        <v>Top-ups</v>
      </c>
      <c r="D3289" s="0" t="n">
        <f aca="false">INDEX(Intent_Analysis!$E$5:$E$81,MATCH(B3289,Intent_Analysis!$A$5:$A$81,0))</f>
        <v>2</v>
      </c>
    </row>
    <row r="3290" customFormat="false" ht="15" hidden="false" customHeight="false" outlineLevel="0" collapsed="false">
      <c r="A3290" s="0" t="s">
        <v>3614</v>
      </c>
      <c r="B3290" s="0" t="s">
        <v>104</v>
      </c>
      <c r="C3290" s="0" t="str">
        <f aca="false">INDEX(Intent_Analysis!$B$5:$B$81,MATCH(B3290,Intent_Analysis!$A$5:$A$81,0))</f>
        <v>Top-ups</v>
      </c>
      <c r="D3290" s="0" t="n">
        <f aca="false">INDEX(Intent_Analysis!$E$5:$E$81,MATCH(B3290,Intent_Analysis!$A$5:$A$81,0))</f>
        <v>2</v>
      </c>
    </row>
    <row r="3291" customFormat="false" ht="15" hidden="false" customHeight="false" outlineLevel="0" collapsed="false">
      <c r="A3291" s="0" t="s">
        <v>3615</v>
      </c>
      <c r="B3291" s="0" t="s">
        <v>104</v>
      </c>
      <c r="C3291" s="0" t="str">
        <f aca="false">INDEX(Intent_Analysis!$B$5:$B$81,MATCH(B3291,Intent_Analysis!$A$5:$A$81,0))</f>
        <v>Top-ups</v>
      </c>
      <c r="D3291" s="0" t="n">
        <f aca="false">INDEX(Intent_Analysis!$E$5:$E$81,MATCH(B3291,Intent_Analysis!$A$5:$A$81,0))</f>
        <v>2</v>
      </c>
    </row>
    <row r="3292" customFormat="false" ht="15" hidden="false" customHeight="false" outlineLevel="0" collapsed="false">
      <c r="A3292" s="0" t="s">
        <v>3616</v>
      </c>
      <c r="B3292" s="0" t="s">
        <v>104</v>
      </c>
      <c r="C3292" s="0" t="str">
        <f aca="false">INDEX(Intent_Analysis!$B$5:$B$81,MATCH(B3292,Intent_Analysis!$A$5:$A$81,0))</f>
        <v>Top-ups</v>
      </c>
      <c r="D3292" s="0" t="n">
        <f aca="false">INDEX(Intent_Analysis!$E$5:$E$81,MATCH(B3292,Intent_Analysis!$A$5:$A$81,0))</f>
        <v>2</v>
      </c>
    </row>
    <row r="3293" customFormat="false" ht="15" hidden="false" customHeight="false" outlineLevel="0" collapsed="false">
      <c r="A3293" s="0" t="s">
        <v>3617</v>
      </c>
      <c r="B3293" s="0" t="s">
        <v>104</v>
      </c>
      <c r="C3293" s="0" t="str">
        <f aca="false">INDEX(Intent_Analysis!$B$5:$B$81,MATCH(B3293,Intent_Analysis!$A$5:$A$81,0))</f>
        <v>Top-ups</v>
      </c>
      <c r="D3293" s="0" t="n">
        <f aca="false">INDEX(Intent_Analysis!$E$5:$E$81,MATCH(B3293,Intent_Analysis!$A$5:$A$81,0))</f>
        <v>2</v>
      </c>
    </row>
    <row r="3294" customFormat="false" ht="15" hidden="false" customHeight="false" outlineLevel="0" collapsed="false">
      <c r="A3294" s="0" t="s">
        <v>3618</v>
      </c>
      <c r="B3294" s="0" t="s">
        <v>104</v>
      </c>
      <c r="C3294" s="0" t="str">
        <f aca="false">INDEX(Intent_Analysis!$B$5:$B$81,MATCH(B3294,Intent_Analysis!$A$5:$A$81,0))</f>
        <v>Top-ups</v>
      </c>
      <c r="D3294" s="0" t="n">
        <f aca="false">INDEX(Intent_Analysis!$E$5:$E$81,MATCH(B3294,Intent_Analysis!$A$5:$A$81,0))</f>
        <v>2</v>
      </c>
    </row>
    <row r="3295" customFormat="false" ht="15" hidden="false" customHeight="false" outlineLevel="0" collapsed="false">
      <c r="A3295" s="0" t="s">
        <v>3619</v>
      </c>
      <c r="B3295" s="0" t="s">
        <v>104</v>
      </c>
      <c r="C3295" s="0" t="str">
        <f aca="false">INDEX(Intent_Analysis!$B$5:$B$81,MATCH(B3295,Intent_Analysis!$A$5:$A$81,0))</f>
        <v>Top-ups</v>
      </c>
      <c r="D3295" s="0" t="n">
        <f aca="false">INDEX(Intent_Analysis!$E$5:$E$81,MATCH(B3295,Intent_Analysis!$A$5:$A$81,0))</f>
        <v>2</v>
      </c>
    </row>
    <row r="3296" customFormat="false" ht="15" hidden="false" customHeight="false" outlineLevel="0" collapsed="false">
      <c r="A3296" s="0" t="s">
        <v>3620</v>
      </c>
      <c r="B3296" s="0" t="s">
        <v>104</v>
      </c>
      <c r="C3296" s="0" t="str">
        <f aca="false">INDEX(Intent_Analysis!$B$5:$B$81,MATCH(B3296,Intent_Analysis!$A$5:$A$81,0))</f>
        <v>Top-ups</v>
      </c>
      <c r="D3296" s="0" t="n">
        <f aca="false">INDEX(Intent_Analysis!$E$5:$E$81,MATCH(B3296,Intent_Analysis!$A$5:$A$81,0))</f>
        <v>2</v>
      </c>
    </row>
    <row r="3297" customFormat="false" ht="15" hidden="false" customHeight="false" outlineLevel="0" collapsed="false">
      <c r="A3297" s="0" t="s">
        <v>3621</v>
      </c>
      <c r="B3297" s="0" t="s">
        <v>104</v>
      </c>
      <c r="C3297" s="0" t="str">
        <f aca="false">INDEX(Intent_Analysis!$B$5:$B$81,MATCH(B3297,Intent_Analysis!$A$5:$A$81,0))</f>
        <v>Top-ups</v>
      </c>
      <c r="D3297" s="0" t="n">
        <f aca="false">INDEX(Intent_Analysis!$E$5:$E$81,MATCH(B3297,Intent_Analysis!$A$5:$A$81,0))</f>
        <v>2</v>
      </c>
    </row>
    <row r="3298" customFormat="false" ht="15" hidden="false" customHeight="false" outlineLevel="0" collapsed="false">
      <c r="A3298" s="0" t="s">
        <v>3622</v>
      </c>
      <c r="B3298" s="0" t="s">
        <v>104</v>
      </c>
      <c r="C3298" s="0" t="str">
        <f aca="false">INDEX(Intent_Analysis!$B$5:$B$81,MATCH(B3298,Intent_Analysis!$A$5:$A$81,0))</f>
        <v>Top-ups</v>
      </c>
      <c r="D3298" s="0" t="n">
        <f aca="false">INDEX(Intent_Analysis!$E$5:$E$81,MATCH(B3298,Intent_Analysis!$A$5:$A$81,0))</f>
        <v>2</v>
      </c>
    </row>
    <row r="3299" customFormat="false" ht="15" hidden="false" customHeight="false" outlineLevel="0" collapsed="false">
      <c r="A3299" s="0" t="s">
        <v>3623</v>
      </c>
      <c r="B3299" s="0" t="s">
        <v>104</v>
      </c>
      <c r="C3299" s="0" t="str">
        <f aca="false">INDEX(Intent_Analysis!$B$5:$B$81,MATCH(B3299,Intent_Analysis!$A$5:$A$81,0))</f>
        <v>Top-ups</v>
      </c>
      <c r="D3299" s="0" t="n">
        <f aca="false">INDEX(Intent_Analysis!$E$5:$E$81,MATCH(B3299,Intent_Analysis!$A$5:$A$81,0))</f>
        <v>2</v>
      </c>
    </row>
    <row r="3300" customFormat="false" ht="15" hidden="false" customHeight="false" outlineLevel="0" collapsed="false">
      <c r="A3300" s="0" t="s">
        <v>3624</v>
      </c>
      <c r="B3300" s="0" t="s">
        <v>104</v>
      </c>
      <c r="C3300" s="0" t="str">
        <f aca="false">INDEX(Intent_Analysis!$B$5:$B$81,MATCH(B3300,Intent_Analysis!$A$5:$A$81,0))</f>
        <v>Top-ups</v>
      </c>
      <c r="D3300" s="0" t="n">
        <f aca="false">INDEX(Intent_Analysis!$E$5:$E$81,MATCH(B3300,Intent_Analysis!$A$5:$A$81,0))</f>
        <v>2</v>
      </c>
    </row>
    <row r="3301" customFormat="false" ht="15" hidden="false" customHeight="false" outlineLevel="0" collapsed="false">
      <c r="A3301" s="0" t="s">
        <v>3625</v>
      </c>
      <c r="B3301" s="0" t="s">
        <v>104</v>
      </c>
      <c r="C3301" s="0" t="str">
        <f aca="false">INDEX(Intent_Analysis!$B$5:$B$81,MATCH(B3301,Intent_Analysis!$A$5:$A$81,0))</f>
        <v>Top-ups</v>
      </c>
      <c r="D3301" s="0" t="n">
        <f aca="false">INDEX(Intent_Analysis!$E$5:$E$81,MATCH(B3301,Intent_Analysis!$A$5:$A$81,0))</f>
        <v>2</v>
      </c>
    </row>
    <row r="3302" customFormat="false" ht="15" hidden="false" customHeight="false" outlineLevel="0" collapsed="false">
      <c r="A3302" s="0" t="s">
        <v>3626</v>
      </c>
      <c r="B3302" s="0" t="s">
        <v>104</v>
      </c>
      <c r="C3302" s="0" t="str">
        <f aca="false">INDEX(Intent_Analysis!$B$5:$B$81,MATCH(B3302,Intent_Analysis!$A$5:$A$81,0))</f>
        <v>Top-ups</v>
      </c>
      <c r="D3302" s="0" t="n">
        <f aca="false">INDEX(Intent_Analysis!$E$5:$E$81,MATCH(B3302,Intent_Analysis!$A$5:$A$81,0))</f>
        <v>2</v>
      </c>
    </row>
    <row r="3303" customFormat="false" ht="15" hidden="false" customHeight="false" outlineLevel="0" collapsed="false">
      <c r="A3303" s="0" t="s">
        <v>3627</v>
      </c>
      <c r="B3303" s="0" t="s">
        <v>75</v>
      </c>
      <c r="C3303" s="0" t="str">
        <f aca="false">INDEX(Intent_Analysis!$B$5:$B$81,MATCH(B3303,Intent_Analysis!$A$5:$A$81,0))</f>
        <v>Cash, ATM &amp; deposits</v>
      </c>
      <c r="D3303" s="0" t="n">
        <f aca="false">INDEX(Intent_Analysis!$E$5:$E$81,MATCH(B3303,Intent_Analysis!$A$5:$A$81,0))</f>
        <v>2</v>
      </c>
    </row>
    <row r="3304" customFormat="false" ht="15" hidden="false" customHeight="false" outlineLevel="0" collapsed="false">
      <c r="A3304" s="0" t="s">
        <v>3628</v>
      </c>
      <c r="B3304" s="0" t="s">
        <v>75</v>
      </c>
      <c r="C3304" s="0" t="str">
        <f aca="false">INDEX(Intent_Analysis!$B$5:$B$81,MATCH(B3304,Intent_Analysis!$A$5:$A$81,0))</f>
        <v>Cash, ATM &amp; deposits</v>
      </c>
      <c r="D3304" s="0" t="n">
        <f aca="false">INDEX(Intent_Analysis!$E$5:$E$81,MATCH(B3304,Intent_Analysis!$A$5:$A$81,0))</f>
        <v>2</v>
      </c>
    </row>
    <row r="3305" customFormat="false" ht="15" hidden="false" customHeight="false" outlineLevel="0" collapsed="false">
      <c r="A3305" s="0" t="s">
        <v>3629</v>
      </c>
      <c r="B3305" s="0" t="s">
        <v>75</v>
      </c>
      <c r="C3305" s="0" t="str">
        <f aca="false">INDEX(Intent_Analysis!$B$5:$B$81,MATCH(B3305,Intent_Analysis!$A$5:$A$81,0))</f>
        <v>Cash, ATM &amp; deposits</v>
      </c>
      <c r="D3305" s="0" t="n">
        <f aca="false">INDEX(Intent_Analysis!$E$5:$E$81,MATCH(B3305,Intent_Analysis!$A$5:$A$81,0))</f>
        <v>2</v>
      </c>
    </row>
    <row r="3306" customFormat="false" ht="15" hidden="false" customHeight="false" outlineLevel="0" collapsed="false">
      <c r="A3306" s="0" t="s">
        <v>3630</v>
      </c>
      <c r="B3306" s="0" t="s">
        <v>75</v>
      </c>
      <c r="C3306" s="0" t="str">
        <f aca="false">INDEX(Intent_Analysis!$B$5:$B$81,MATCH(B3306,Intent_Analysis!$A$5:$A$81,0))</f>
        <v>Cash, ATM &amp; deposits</v>
      </c>
      <c r="D3306" s="0" t="n">
        <f aca="false">INDEX(Intent_Analysis!$E$5:$E$81,MATCH(B3306,Intent_Analysis!$A$5:$A$81,0))</f>
        <v>2</v>
      </c>
    </row>
    <row r="3307" customFormat="false" ht="15" hidden="false" customHeight="false" outlineLevel="0" collapsed="false">
      <c r="A3307" s="0" t="s">
        <v>3631</v>
      </c>
      <c r="B3307" s="0" t="s">
        <v>75</v>
      </c>
      <c r="C3307" s="0" t="str">
        <f aca="false">INDEX(Intent_Analysis!$B$5:$B$81,MATCH(B3307,Intent_Analysis!$A$5:$A$81,0))</f>
        <v>Cash, ATM &amp; deposits</v>
      </c>
      <c r="D3307" s="0" t="n">
        <f aca="false">INDEX(Intent_Analysis!$E$5:$E$81,MATCH(B3307,Intent_Analysis!$A$5:$A$81,0))</f>
        <v>2</v>
      </c>
    </row>
    <row r="3308" customFormat="false" ht="15" hidden="false" customHeight="false" outlineLevel="0" collapsed="false">
      <c r="A3308" s="0" t="s">
        <v>3632</v>
      </c>
      <c r="B3308" s="0" t="s">
        <v>75</v>
      </c>
      <c r="C3308" s="0" t="str">
        <f aca="false">INDEX(Intent_Analysis!$B$5:$B$81,MATCH(B3308,Intent_Analysis!$A$5:$A$81,0))</f>
        <v>Cash, ATM &amp; deposits</v>
      </c>
      <c r="D3308" s="0" t="n">
        <f aca="false">INDEX(Intent_Analysis!$E$5:$E$81,MATCH(B3308,Intent_Analysis!$A$5:$A$81,0))</f>
        <v>2</v>
      </c>
    </row>
    <row r="3309" customFormat="false" ht="15" hidden="false" customHeight="false" outlineLevel="0" collapsed="false">
      <c r="A3309" s="0" t="s">
        <v>3633</v>
      </c>
      <c r="B3309" s="0" t="s">
        <v>75</v>
      </c>
      <c r="C3309" s="0" t="str">
        <f aca="false">INDEX(Intent_Analysis!$B$5:$B$81,MATCH(B3309,Intent_Analysis!$A$5:$A$81,0))</f>
        <v>Cash, ATM &amp; deposits</v>
      </c>
      <c r="D3309" s="0" t="n">
        <f aca="false">INDEX(Intent_Analysis!$E$5:$E$81,MATCH(B3309,Intent_Analysis!$A$5:$A$81,0))</f>
        <v>2</v>
      </c>
    </row>
    <row r="3310" customFormat="false" ht="15" hidden="false" customHeight="false" outlineLevel="0" collapsed="false">
      <c r="A3310" s="0" t="s">
        <v>3634</v>
      </c>
      <c r="B3310" s="0" t="s">
        <v>75</v>
      </c>
      <c r="C3310" s="0" t="str">
        <f aca="false">INDEX(Intent_Analysis!$B$5:$B$81,MATCH(B3310,Intent_Analysis!$A$5:$A$81,0))</f>
        <v>Cash, ATM &amp; deposits</v>
      </c>
      <c r="D3310" s="0" t="n">
        <f aca="false">INDEX(Intent_Analysis!$E$5:$E$81,MATCH(B3310,Intent_Analysis!$A$5:$A$81,0))</f>
        <v>2</v>
      </c>
    </row>
    <row r="3311" customFormat="false" ht="15" hidden="false" customHeight="false" outlineLevel="0" collapsed="false">
      <c r="A3311" s="0" t="s">
        <v>3635</v>
      </c>
      <c r="B3311" s="0" t="s">
        <v>75</v>
      </c>
      <c r="C3311" s="0" t="str">
        <f aca="false">INDEX(Intent_Analysis!$B$5:$B$81,MATCH(B3311,Intent_Analysis!$A$5:$A$81,0))</f>
        <v>Cash, ATM &amp; deposits</v>
      </c>
      <c r="D3311" s="0" t="n">
        <f aca="false">INDEX(Intent_Analysis!$E$5:$E$81,MATCH(B3311,Intent_Analysis!$A$5:$A$81,0))</f>
        <v>2</v>
      </c>
    </row>
    <row r="3312" customFormat="false" ht="15" hidden="false" customHeight="false" outlineLevel="0" collapsed="false">
      <c r="A3312" s="0" t="s">
        <v>3636</v>
      </c>
      <c r="B3312" s="0" t="s">
        <v>75</v>
      </c>
      <c r="C3312" s="0" t="str">
        <f aca="false">INDEX(Intent_Analysis!$B$5:$B$81,MATCH(B3312,Intent_Analysis!$A$5:$A$81,0))</f>
        <v>Cash, ATM &amp; deposits</v>
      </c>
      <c r="D3312" s="0" t="n">
        <f aca="false">INDEX(Intent_Analysis!$E$5:$E$81,MATCH(B3312,Intent_Analysis!$A$5:$A$81,0))</f>
        <v>2</v>
      </c>
    </row>
    <row r="3313" customFormat="false" ht="15" hidden="false" customHeight="false" outlineLevel="0" collapsed="false">
      <c r="A3313" s="0" t="s">
        <v>3637</v>
      </c>
      <c r="B3313" s="0" t="s">
        <v>75</v>
      </c>
      <c r="C3313" s="0" t="str">
        <f aca="false">INDEX(Intent_Analysis!$B$5:$B$81,MATCH(B3313,Intent_Analysis!$A$5:$A$81,0))</f>
        <v>Cash, ATM &amp; deposits</v>
      </c>
      <c r="D3313" s="0" t="n">
        <f aca="false">INDEX(Intent_Analysis!$E$5:$E$81,MATCH(B3313,Intent_Analysis!$A$5:$A$81,0))</f>
        <v>2</v>
      </c>
    </row>
    <row r="3314" customFormat="false" ht="15" hidden="false" customHeight="false" outlineLevel="0" collapsed="false">
      <c r="A3314" s="0" t="s">
        <v>3638</v>
      </c>
      <c r="B3314" s="0" t="s">
        <v>75</v>
      </c>
      <c r="C3314" s="0" t="str">
        <f aca="false">INDEX(Intent_Analysis!$B$5:$B$81,MATCH(B3314,Intent_Analysis!$A$5:$A$81,0))</f>
        <v>Cash, ATM &amp; deposits</v>
      </c>
      <c r="D3314" s="0" t="n">
        <f aca="false">INDEX(Intent_Analysis!$E$5:$E$81,MATCH(B3314,Intent_Analysis!$A$5:$A$81,0))</f>
        <v>2</v>
      </c>
    </row>
    <row r="3315" customFormat="false" ht="15" hidden="false" customHeight="false" outlineLevel="0" collapsed="false">
      <c r="A3315" s="0" t="s">
        <v>3639</v>
      </c>
      <c r="B3315" s="0" t="s">
        <v>75</v>
      </c>
      <c r="C3315" s="0" t="str">
        <f aca="false">INDEX(Intent_Analysis!$B$5:$B$81,MATCH(B3315,Intent_Analysis!$A$5:$A$81,0))</f>
        <v>Cash, ATM &amp; deposits</v>
      </c>
      <c r="D3315" s="0" t="n">
        <f aca="false">INDEX(Intent_Analysis!$E$5:$E$81,MATCH(B3315,Intent_Analysis!$A$5:$A$81,0))</f>
        <v>2</v>
      </c>
    </row>
    <row r="3316" customFormat="false" ht="15" hidden="false" customHeight="false" outlineLevel="0" collapsed="false">
      <c r="A3316" s="0" t="s">
        <v>3640</v>
      </c>
      <c r="B3316" s="0" t="s">
        <v>75</v>
      </c>
      <c r="C3316" s="0" t="str">
        <f aca="false">INDEX(Intent_Analysis!$B$5:$B$81,MATCH(B3316,Intent_Analysis!$A$5:$A$81,0))</f>
        <v>Cash, ATM &amp; deposits</v>
      </c>
      <c r="D3316" s="0" t="n">
        <f aca="false">INDEX(Intent_Analysis!$E$5:$E$81,MATCH(B3316,Intent_Analysis!$A$5:$A$81,0))</f>
        <v>2</v>
      </c>
    </row>
    <row r="3317" customFormat="false" ht="15" hidden="false" customHeight="false" outlineLevel="0" collapsed="false">
      <c r="A3317" s="0" t="s">
        <v>3641</v>
      </c>
      <c r="B3317" s="0" t="s">
        <v>75</v>
      </c>
      <c r="C3317" s="0" t="str">
        <f aca="false">INDEX(Intent_Analysis!$B$5:$B$81,MATCH(B3317,Intent_Analysis!$A$5:$A$81,0))</f>
        <v>Cash, ATM &amp; deposits</v>
      </c>
      <c r="D3317" s="0" t="n">
        <f aca="false">INDEX(Intent_Analysis!$E$5:$E$81,MATCH(B3317,Intent_Analysis!$A$5:$A$81,0))</f>
        <v>2</v>
      </c>
    </row>
    <row r="3318" customFormat="false" ht="15" hidden="false" customHeight="false" outlineLevel="0" collapsed="false">
      <c r="A3318" s="0" t="s">
        <v>3642</v>
      </c>
      <c r="B3318" s="0" t="s">
        <v>75</v>
      </c>
      <c r="C3318" s="0" t="str">
        <f aca="false">INDEX(Intent_Analysis!$B$5:$B$81,MATCH(B3318,Intent_Analysis!$A$5:$A$81,0))</f>
        <v>Cash, ATM &amp; deposits</v>
      </c>
      <c r="D3318" s="0" t="n">
        <f aca="false">INDEX(Intent_Analysis!$E$5:$E$81,MATCH(B3318,Intent_Analysis!$A$5:$A$81,0))</f>
        <v>2</v>
      </c>
    </row>
    <row r="3319" customFormat="false" ht="15" hidden="false" customHeight="false" outlineLevel="0" collapsed="false">
      <c r="A3319" s="0" t="s">
        <v>3643</v>
      </c>
      <c r="B3319" s="0" t="s">
        <v>75</v>
      </c>
      <c r="C3319" s="0" t="str">
        <f aca="false">INDEX(Intent_Analysis!$B$5:$B$81,MATCH(B3319,Intent_Analysis!$A$5:$A$81,0))</f>
        <v>Cash, ATM &amp; deposits</v>
      </c>
      <c r="D3319" s="0" t="n">
        <f aca="false">INDEX(Intent_Analysis!$E$5:$E$81,MATCH(B3319,Intent_Analysis!$A$5:$A$81,0))</f>
        <v>2</v>
      </c>
    </row>
    <row r="3320" customFormat="false" ht="15" hidden="false" customHeight="false" outlineLevel="0" collapsed="false">
      <c r="A3320" s="0" t="s">
        <v>3644</v>
      </c>
      <c r="B3320" s="0" t="s">
        <v>75</v>
      </c>
      <c r="C3320" s="0" t="str">
        <f aca="false">INDEX(Intent_Analysis!$B$5:$B$81,MATCH(B3320,Intent_Analysis!$A$5:$A$81,0))</f>
        <v>Cash, ATM &amp; deposits</v>
      </c>
      <c r="D3320" s="0" t="n">
        <f aca="false">INDEX(Intent_Analysis!$E$5:$E$81,MATCH(B3320,Intent_Analysis!$A$5:$A$81,0))</f>
        <v>2</v>
      </c>
    </row>
    <row r="3321" customFormat="false" ht="15" hidden="false" customHeight="false" outlineLevel="0" collapsed="false">
      <c r="A3321" s="0" t="s">
        <v>3645</v>
      </c>
      <c r="B3321" s="0" t="s">
        <v>75</v>
      </c>
      <c r="C3321" s="0" t="str">
        <f aca="false">INDEX(Intent_Analysis!$B$5:$B$81,MATCH(B3321,Intent_Analysis!$A$5:$A$81,0))</f>
        <v>Cash, ATM &amp; deposits</v>
      </c>
      <c r="D3321" s="0" t="n">
        <f aca="false">INDEX(Intent_Analysis!$E$5:$E$81,MATCH(B3321,Intent_Analysis!$A$5:$A$81,0))</f>
        <v>2</v>
      </c>
    </row>
    <row r="3322" customFormat="false" ht="15" hidden="false" customHeight="false" outlineLevel="0" collapsed="false">
      <c r="A3322" s="0" t="s">
        <v>3646</v>
      </c>
      <c r="B3322" s="0" t="s">
        <v>75</v>
      </c>
      <c r="C3322" s="0" t="str">
        <f aca="false">INDEX(Intent_Analysis!$B$5:$B$81,MATCH(B3322,Intent_Analysis!$A$5:$A$81,0))</f>
        <v>Cash, ATM &amp; deposits</v>
      </c>
      <c r="D3322" s="0" t="n">
        <f aca="false">INDEX(Intent_Analysis!$E$5:$E$81,MATCH(B3322,Intent_Analysis!$A$5:$A$81,0))</f>
        <v>2</v>
      </c>
    </row>
    <row r="3323" customFormat="false" ht="15" hidden="false" customHeight="false" outlineLevel="0" collapsed="false">
      <c r="A3323" s="0" t="s">
        <v>3647</v>
      </c>
      <c r="B3323" s="0" t="s">
        <v>75</v>
      </c>
      <c r="C3323" s="0" t="str">
        <f aca="false">INDEX(Intent_Analysis!$B$5:$B$81,MATCH(B3323,Intent_Analysis!$A$5:$A$81,0))</f>
        <v>Cash, ATM &amp; deposits</v>
      </c>
      <c r="D3323" s="0" t="n">
        <f aca="false">INDEX(Intent_Analysis!$E$5:$E$81,MATCH(B3323,Intent_Analysis!$A$5:$A$81,0))</f>
        <v>2</v>
      </c>
    </row>
    <row r="3324" customFormat="false" ht="15" hidden="false" customHeight="false" outlineLevel="0" collapsed="false">
      <c r="A3324" s="0" t="s">
        <v>3648</v>
      </c>
      <c r="B3324" s="0" t="s">
        <v>75</v>
      </c>
      <c r="C3324" s="0" t="str">
        <f aca="false">INDEX(Intent_Analysis!$B$5:$B$81,MATCH(B3324,Intent_Analysis!$A$5:$A$81,0))</f>
        <v>Cash, ATM &amp; deposits</v>
      </c>
      <c r="D3324" s="0" t="n">
        <f aca="false">INDEX(Intent_Analysis!$E$5:$E$81,MATCH(B3324,Intent_Analysis!$A$5:$A$81,0))</f>
        <v>2</v>
      </c>
    </row>
    <row r="3325" customFormat="false" ht="15" hidden="false" customHeight="false" outlineLevel="0" collapsed="false">
      <c r="A3325" s="0" t="s">
        <v>3649</v>
      </c>
      <c r="B3325" s="0" t="s">
        <v>75</v>
      </c>
      <c r="C3325" s="0" t="str">
        <f aca="false">INDEX(Intent_Analysis!$B$5:$B$81,MATCH(B3325,Intent_Analysis!$A$5:$A$81,0))</f>
        <v>Cash, ATM &amp; deposits</v>
      </c>
      <c r="D3325" s="0" t="n">
        <f aca="false">INDEX(Intent_Analysis!$E$5:$E$81,MATCH(B3325,Intent_Analysis!$A$5:$A$81,0))</f>
        <v>2</v>
      </c>
    </row>
    <row r="3326" customFormat="false" ht="15" hidden="false" customHeight="false" outlineLevel="0" collapsed="false">
      <c r="A3326" s="0" t="s">
        <v>3650</v>
      </c>
      <c r="B3326" s="0" t="s">
        <v>75</v>
      </c>
      <c r="C3326" s="0" t="str">
        <f aca="false">INDEX(Intent_Analysis!$B$5:$B$81,MATCH(B3326,Intent_Analysis!$A$5:$A$81,0))</f>
        <v>Cash, ATM &amp; deposits</v>
      </c>
      <c r="D3326" s="0" t="n">
        <f aca="false">INDEX(Intent_Analysis!$E$5:$E$81,MATCH(B3326,Intent_Analysis!$A$5:$A$81,0))</f>
        <v>2</v>
      </c>
    </row>
    <row r="3327" customFormat="false" ht="15" hidden="false" customHeight="false" outlineLevel="0" collapsed="false">
      <c r="A3327" s="0" t="s">
        <v>3651</v>
      </c>
      <c r="B3327" s="0" t="s">
        <v>75</v>
      </c>
      <c r="C3327" s="0" t="str">
        <f aca="false">INDEX(Intent_Analysis!$B$5:$B$81,MATCH(B3327,Intent_Analysis!$A$5:$A$81,0))</f>
        <v>Cash, ATM &amp; deposits</v>
      </c>
      <c r="D3327" s="0" t="n">
        <f aca="false">INDEX(Intent_Analysis!$E$5:$E$81,MATCH(B3327,Intent_Analysis!$A$5:$A$81,0))</f>
        <v>2</v>
      </c>
    </row>
    <row r="3328" customFormat="false" ht="15" hidden="false" customHeight="false" outlineLevel="0" collapsed="false">
      <c r="A3328" s="0" t="s">
        <v>3652</v>
      </c>
      <c r="B3328" s="0" t="s">
        <v>75</v>
      </c>
      <c r="C3328" s="0" t="str">
        <f aca="false">INDEX(Intent_Analysis!$B$5:$B$81,MATCH(B3328,Intent_Analysis!$A$5:$A$81,0))</f>
        <v>Cash, ATM &amp; deposits</v>
      </c>
      <c r="D3328" s="0" t="n">
        <f aca="false">INDEX(Intent_Analysis!$E$5:$E$81,MATCH(B3328,Intent_Analysis!$A$5:$A$81,0))</f>
        <v>2</v>
      </c>
    </row>
    <row r="3329" customFormat="false" ht="15" hidden="false" customHeight="false" outlineLevel="0" collapsed="false">
      <c r="A3329" s="0" t="s">
        <v>3653</v>
      </c>
      <c r="B3329" s="0" t="s">
        <v>75</v>
      </c>
      <c r="C3329" s="0" t="str">
        <f aca="false">INDEX(Intent_Analysis!$B$5:$B$81,MATCH(B3329,Intent_Analysis!$A$5:$A$81,0))</f>
        <v>Cash, ATM &amp; deposits</v>
      </c>
      <c r="D3329" s="0" t="n">
        <f aca="false">INDEX(Intent_Analysis!$E$5:$E$81,MATCH(B3329,Intent_Analysis!$A$5:$A$81,0))</f>
        <v>2</v>
      </c>
    </row>
    <row r="3330" customFormat="false" ht="15" hidden="false" customHeight="false" outlineLevel="0" collapsed="false">
      <c r="A3330" s="0" t="s">
        <v>3654</v>
      </c>
      <c r="B3330" s="0" t="s">
        <v>75</v>
      </c>
      <c r="C3330" s="0" t="str">
        <f aca="false">INDEX(Intent_Analysis!$B$5:$B$81,MATCH(B3330,Intent_Analysis!$A$5:$A$81,0))</f>
        <v>Cash, ATM &amp; deposits</v>
      </c>
      <c r="D3330" s="0" t="n">
        <f aca="false">INDEX(Intent_Analysis!$E$5:$E$81,MATCH(B3330,Intent_Analysis!$A$5:$A$81,0))</f>
        <v>2</v>
      </c>
    </row>
    <row r="3331" customFormat="false" ht="15" hidden="false" customHeight="false" outlineLevel="0" collapsed="false">
      <c r="A3331" s="0" t="s">
        <v>3655</v>
      </c>
      <c r="B3331" s="0" t="s">
        <v>75</v>
      </c>
      <c r="C3331" s="0" t="str">
        <f aca="false">INDEX(Intent_Analysis!$B$5:$B$81,MATCH(B3331,Intent_Analysis!$A$5:$A$81,0))</f>
        <v>Cash, ATM &amp; deposits</v>
      </c>
      <c r="D3331" s="0" t="n">
        <f aca="false">INDEX(Intent_Analysis!$E$5:$E$81,MATCH(B3331,Intent_Analysis!$A$5:$A$81,0))</f>
        <v>2</v>
      </c>
    </row>
    <row r="3332" customFormat="false" ht="15" hidden="false" customHeight="false" outlineLevel="0" collapsed="false">
      <c r="A3332" s="0" t="s">
        <v>3656</v>
      </c>
      <c r="B3332" s="0" t="s">
        <v>75</v>
      </c>
      <c r="C3332" s="0" t="str">
        <f aca="false">INDEX(Intent_Analysis!$B$5:$B$81,MATCH(B3332,Intent_Analysis!$A$5:$A$81,0))</f>
        <v>Cash, ATM &amp; deposits</v>
      </c>
      <c r="D3332" s="0" t="n">
        <f aca="false">INDEX(Intent_Analysis!$E$5:$E$81,MATCH(B3332,Intent_Analysis!$A$5:$A$81,0))</f>
        <v>2</v>
      </c>
    </row>
    <row r="3333" customFormat="false" ht="15" hidden="false" customHeight="false" outlineLevel="0" collapsed="false">
      <c r="A3333" s="0" t="s">
        <v>3657</v>
      </c>
      <c r="B3333" s="0" t="s">
        <v>75</v>
      </c>
      <c r="C3333" s="0" t="str">
        <f aca="false">INDEX(Intent_Analysis!$B$5:$B$81,MATCH(B3333,Intent_Analysis!$A$5:$A$81,0))</f>
        <v>Cash, ATM &amp; deposits</v>
      </c>
      <c r="D3333" s="0" t="n">
        <f aca="false">INDEX(Intent_Analysis!$E$5:$E$81,MATCH(B3333,Intent_Analysis!$A$5:$A$81,0))</f>
        <v>2</v>
      </c>
    </row>
    <row r="3334" customFormat="false" ht="15" hidden="false" customHeight="false" outlineLevel="0" collapsed="false">
      <c r="A3334" s="0" t="s">
        <v>3658</v>
      </c>
      <c r="B3334" s="0" t="s">
        <v>75</v>
      </c>
      <c r="C3334" s="0" t="str">
        <f aca="false">INDEX(Intent_Analysis!$B$5:$B$81,MATCH(B3334,Intent_Analysis!$A$5:$A$81,0))</f>
        <v>Cash, ATM &amp; deposits</v>
      </c>
      <c r="D3334" s="0" t="n">
        <f aca="false">INDEX(Intent_Analysis!$E$5:$E$81,MATCH(B3334,Intent_Analysis!$A$5:$A$81,0))</f>
        <v>2</v>
      </c>
    </row>
    <row r="3335" customFormat="false" ht="15" hidden="false" customHeight="false" outlineLevel="0" collapsed="false">
      <c r="A3335" s="0" t="s">
        <v>3659</v>
      </c>
      <c r="B3335" s="0" t="s">
        <v>75</v>
      </c>
      <c r="C3335" s="0" t="str">
        <f aca="false">INDEX(Intent_Analysis!$B$5:$B$81,MATCH(B3335,Intent_Analysis!$A$5:$A$81,0))</f>
        <v>Cash, ATM &amp; deposits</v>
      </c>
      <c r="D3335" s="0" t="n">
        <f aca="false">INDEX(Intent_Analysis!$E$5:$E$81,MATCH(B3335,Intent_Analysis!$A$5:$A$81,0))</f>
        <v>2</v>
      </c>
    </row>
    <row r="3336" customFormat="false" ht="15" hidden="false" customHeight="false" outlineLevel="0" collapsed="false">
      <c r="A3336" s="0" t="s">
        <v>3660</v>
      </c>
      <c r="B3336" s="0" t="s">
        <v>75</v>
      </c>
      <c r="C3336" s="0" t="str">
        <f aca="false">INDEX(Intent_Analysis!$B$5:$B$81,MATCH(B3336,Intent_Analysis!$A$5:$A$81,0))</f>
        <v>Cash, ATM &amp; deposits</v>
      </c>
      <c r="D3336" s="0" t="n">
        <f aca="false">INDEX(Intent_Analysis!$E$5:$E$81,MATCH(B3336,Intent_Analysis!$A$5:$A$81,0))</f>
        <v>2</v>
      </c>
    </row>
    <row r="3337" customFormat="false" ht="15" hidden="false" customHeight="false" outlineLevel="0" collapsed="false">
      <c r="A3337" s="0" t="s">
        <v>3661</v>
      </c>
      <c r="B3337" s="0" t="s">
        <v>75</v>
      </c>
      <c r="C3337" s="0" t="str">
        <f aca="false">INDEX(Intent_Analysis!$B$5:$B$81,MATCH(B3337,Intent_Analysis!$A$5:$A$81,0))</f>
        <v>Cash, ATM &amp; deposits</v>
      </c>
      <c r="D3337" s="0" t="n">
        <f aca="false">INDEX(Intent_Analysis!$E$5:$E$81,MATCH(B3337,Intent_Analysis!$A$5:$A$81,0))</f>
        <v>2</v>
      </c>
    </row>
    <row r="3338" customFormat="false" ht="15" hidden="false" customHeight="false" outlineLevel="0" collapsed="false">
      <c r="A3338" s="0" t="s">
        <v>3662</v>
      </c>
      <c r="B3338" s="0" t="s">
        <v>75</v>
      </c>
      <c r="C3338" s="0" t="str">
        <f aca="false">INDEX(Intent_Analysis!$B$5:$B$81,MATCH(B3338,Intent_Analysis!$A$5:$A$81,0))</f>
        <v>Cash, ATM &amp; deposits</v>
      </c>
      <c r="D3338" s="0" t="n">
        <f aca="false">INDEX(Intent_Analysis!$E$5:$E$81,MATCH(B3338,Intent_Analysis!$A$5:$A$81,0))</f>
        <v>2</v>
      </c>
    </row>
    <row r="3339" customFormat="false" ht="15" hidden="false" customHeight="false" outlineLevel="0" collapsed="false">
      <c r="A3339" s="0" t="s">
        <v>3663</v>
      </c>
      <c r="B3339" s="0" t="s">
        <v>75</v>
      </c>
      <c r="C3339" s="0" t="str">
        <f aca="false">INDEX(Intent_Analysis!$B$5:$B$81,MATCH(B3339,Intent_Analysis!$A$5:$A$81,0))</f>
        <v>Cash, ATM &amp; deposits</v>
      </c>
      <c r="D3339" s="0" t="n">
        <f aca="false">INDEX(Intent_Analysis!$E$5:$E$81,MATCH(B3339,Intent_Analysis!$A$5:$A$81,0))</f>
        <v>2</v>
      </c>
    </row>
    <row r="3340" customFormat="false" ht="15" hidden="false" customHeight="false" outlineLevel="0" collapsed="false">
      <c r="A3340" s="0" t="s">
        <v>3664</v>
      </c>
      <c r="B3340" s="0" t="s">
        <v>75</v>
      </c>
      <c r="C3340" s="0" t="str">
        <f aca="false">INDEX(Intent_Analysis!$B$5:$B$81,MATCH(B3340,Intent_Analysis!$A$5:$A$81,0))</f>
        <v>Cash, ATM &amp; deposits</v>
      </c>
      <c r="D3340" s="0" t="n">
        <f aca="false">INDEX(Intent_Analysis!$E$5:$E$81,MATCH(B3340,Intent_Analysis!$A$5:$A$81,0))</f>
        <v>2</v>
      </c>
    </row>
    <row r="3341" customFormat="false" ht="15" hidden="false" customHeight="false" outlineLevel="0" collapsed="false">
      <c r="A3341" s="0" t="s">
        <v>3665</v>
      </c>
      <c r="B3341" s="0" t="s">
        <v>75</v>
      </c>
      <c r="C3341" s="0" t="str">
        <f aca="false">INDEX(Intent_Analysis!$B$5:$B$81,MATCH(B3341,Intent_Analysis!$A$5:$A$81,0))</f>
        <v>Cash, ATM &amp; deposits</v>
      </c>
      <c r="D3341" s="0" t="n">
        <f aca="false">INDEX(Intent_Analysis!$E$5:$E$81,MATCH(B3341,Intent_Analysis!$A$5:$A$81,0))</f>
        <v>2</v>
      </c>
    </row>
    <row r="3342" customFormat="false" ht="15" hidden="false" customHeight="false" outlineLevel="0" collapsed="false">
      <c r="A3342" s="0" t="s">
        <v>3666</v>
      </c>
      <c r="B3342" s="0" t="s">
        <v>75</v>
      </c>
      <c r="C3342" s="0" t="str">
        <f aca="false">INDEX(Intent_Analysis!$B$5:$B$81,MATCH(B3342,Intent_Analysis!$A$5:$A$81,0))</f>
        <v>Cash, ATM &amp; deposits</v>
      </c>
      <c r="D3342" s="0" t="n">
        <f aca="false">INDEX(Intent_Analysis!$E$5:$E$81,MATCH(B3342,Intent_Analysis!$A$5:$A$81,0))</f>
        <v>2</v>
      </c>
    </row>
    <row r="3343" customFormat="false" ht="15" hidden="false" customHeight="false" outlineLevel="0" collapsed="false">
      <c r="A3343" s="0" t="s">
        <v>3667</v>
      </c>
      <c r="B3343" s="0" t="s">
        <v>75</v>
      </c>
      <c r="C3343" s="0" t="str">
        <f aca="false">INDEX(Intent_Analysis!$B$5:$B$81,MATCH(B3343,Intent_Analysis!$A$5:$A$81,0))</f>
        <v>Cash, ATM &amp; deposits</v>
      </c>
      <c r="D3343" s="0" t="n">
        <f aca="false">INDEX(Intent_Analysis!$E$5:$E$81,MATCH(B3343,Intent_Analysis!$A$5:$A$81,0))</f>
        <v>2</v>
      </c>
    </row>
    <row r="3344" customFormat="false" ht="15" hidden="false" customHeight="false" outlineLevel="0" collapsed="false">
      <c r="A3344" s="0" t="s">
        <v>3668</v>
      </c>
      <c r="B3344" s="0" t="s">
        <v>75</v>
      </c>
      <c r="C3344" s="0" t="str">
        <f aca="false">INDEX(Intent_Analysis!$B$5:$B$81,MATCH(B3344,Intent_Analysis!$A$5:$A$81,0))</f>
        <v>Cash, ATM &amp; deposits</v>
      </c>
      <c r="D3344" s="0" t="n">
        <f aca="false">INDEX(Intent_Analysis!$E$5:$E$81,MATCH(B3344,Intent_Analysis!$A$5:$A$81,0))</f>
        <v>2</v>
      </c>
    </row>
    <row r="3345" customFormat="false" ht="15" hidden="false" customHeight="false" outlineLevel="0" collapsed="false">
      <c r="A3345" s="0" t="s">
        <v>3669</v>
      </c>
      <c r="B3345" s="0" t="s">
        <v>75</v>
      </c>
      <c r="C3345" s="0" t="str">
        <f aca="false">INDEX(Intent_Analysis!$B$5:$B$81,MATCH(B3345,Intent_Analysis!$A$5:$A$81,0))</f>
        <v>Cash, ATM &amp; deposits</v>
      </c>
      <c r="D3345" s="0" t="n">
        <f aca="false">INDEX(Intent_Analysis!$E$5:$E$81,MATCH(B3345,Intent_Analysis!$A$5:$A$81,0))</f>
        <v>2</v>
      </c>
    </row>
    <row r="3346" customFormat="false" ht="15" hidden="false" customHeight="false" outlineLevel="0" collapsed="false">
      <c r="A3346" s="0" t="s">
        <v>3670</v>
      </c>
      <c r="B3346" s="0" t="s">
        <v>75</v>
      </c>
      <c r="C3346" s="0" t="str">
        <f aca="false">INDEX(Intent_Analysis!$B$5:$B$81,MATCH(B3346,Intent_Analysis!$A$5:$A$81,0))</f>
        <v>Cash, ATM &amp; deposits</v>
      </c>
      <c r="D3346" s="0" t="n">
        <f aca="false">INDEX(Intent_Analysis!$E$5:$E$81,MATCH(B3346,Intent_Analysis!$A$5:$A$81,0))</f>
        <v>2</v>
      </c>
    </row>
    <row r="3347" customFormat="false" ht="15" hidden="false" customHeight="false" outlineLevel="0" collapsed="false">
      <c r="A3347" s="0" t="s">
        <v>3671</v>
      </c>
      <c r="B3347" s="0" t="s">
        <v>75</v>
      </c>
      <c r="C3347" s="0" t="str">
        <f aca="false">INDEX(Intent_Analysis!$B$5:$B$81,MATCH(B3347,Intent_Analysis!$A$5:$A$81,0))</f>
        <v>Cash, ATM &amp; deposits</v>
      </c>
      <c r="D3347" s="0" t="n">
        <f aca="false">INDEX(Intent_Analysis!$E$5:$E$81,MATCH(B3347,Intent_Analysis!$A$5:$A$81,0))</f>
        <v>2</v>
      </c>
    </row>
    <row r="3348" customFormat="false" ht="15" hidden="false" customHeight="false" outlineLevel="0" collapsed="false">
      <c r="A3348" s="0" t="s">
        <v>3672</v>
      </c>
      <c r="B3348" s="0" t="s">
        <v>75</v>
      </c>
      <c r="C3348" s="0" t="str">
        <f aca="false">INDEX(Intent_Analysis!$B$5:$B$81,MATCH(B3348,Intent_Analysis!$A$5:$A$81,0))</f>
        <v>Cash, ATM &amp; deposits</v>
      </c>
      <c r="D3348" s="0" t="n">
        <f aca="false">INDEX(Intent_Analysis!$E$5:$E$81,MATCH(B3348,Intent_Analysis!$A$5:$A$81,0))</f>
        <v>2</v>
      </c>
    </row>
    <row r="3349" customFormat="false" ht="15" hidden="false" customHeight="false" outlineLevel="0" collapsed="false">
      <c r="A3349" s="0" t="s">
        <v>3673</v>
      </c>
      <c r="B3349" s="0" t="s">
        <v>75</v>
      </c>
      <c r="C3349" s="0" t="str">
        <f aca="false">INDEX(Intent_Analysis!$B$5:$B$81,MATCH(B3349,Intent_Analysis!$A$5:$A$81,0))</f>
        <v>Cash, ATM &amp; deposits</v>
      </c>
      <c r="D3349" s="0" t="n">
        <f aca="false">INDEX(Intent_Analysis!$E$5:$E$81,MATCH(B3349,Intent_Analysis!$A$5:$A$81,0))</f>
        <v>2</v>
      </c>
    </row>
    <row r="3350" customFormat="false" ht="15" hidden="false" customHeight="false" outlineLevel="0" collapsed="false">
      <c r="A3350" s="0" t="s">
        <v>3674</v>
      </c>
      <c r="B3350" s="0" t="s">
        <v>75</v>
      </c>
      <c r="C3350" s="0" t="str">
        <f aca="false">INDEX(Intent_Analysis!$B$5:$B$81,MATCH(B3350,Intent_Analysis!$A$5:$A$81,0))</f>
        <v>Cash, ATM &amp; deposits</v>
      </c>
      <c r="D3350" s="0" t="n">
        <f aca="false">INDEX(Intent_Analysis!$E$5:$E$81,MATCH(B3350,Intent_Analysis!$A$5:$A$81,0))</f>
        <v>2</v>
      </c>
    </row>
    <row r="3351" customFormat="false" ht="15" hidden="false" customHeight="false" outlineLevel="0" collapsed="false">
      <c r="A3351" s="0" t="s">
        <v>3675</v>
      </c>
      <c r="B3351" s="0" t="s">
        <v>75</v>
      </c>
      <c r="C3351" s="0" t="str">
        <f aca="false">INDEX(Intent_Analysis!$B$5:$B$81,MATCH(B3351,Intent_Analysis!$A$5:$A$81,0))</f>
        <v>Cash, ATM &amp; deposits</v>
      </c>
      <c r="D3351" s="0" t="n">
        <f aca="false">INDEX(Intent_Analysis!$E$5:$E$81,MATCH(B3351,Intent_Analysis!$A$5:$A$81,0))</f>
        <v>2</v>
      </c>
    </row>
    <row r="3352" customFormat="false" ht="15" hidden="false" customHeight="false" outlineLevel="0" collapsed="false">
      <c r="A3352" s="0" t="s">
        <v>3676</v>
      </c>
      <c r="B3352" s="0" t="s">
        <v>75</v>
      </c>
      <c r="C3352" s="0" t="str">
        <f aca="false">INDEX(Intent_Analysis!$B$5:$B$81,MATCH(B3352,Intent_Analysis!$A$5:$A$81,0))</f>
        <v>Cash, ATM &amp; deposits</v>
      </c>
      <c r="D3352" s="0" t="n">
        <f aca="false">INDEX(Intent_Analysis!$E$5:$E$81,MATCH(B3352,Intent_Analysis!$A$5:$A$81,0))</f>
        <v>2</v>
      </c>
    </row>
    <row r="3353" customFormat="false" ht="15" hidden="false" customHeight="false" outlineLevel="0" collapsed="false">
      <c r="A3353" s="0" t="s">
        <v>3677</v>
      </c>
      <c r="B3353" s="0" t="s">
        <v>75</v>
      </c>
      <c r="C3353" s="0" t="str">
        <f aca="false">INDEX(Intent_Analysis!$B$5:$B$81,MATCH(B3353,Intent_Analysis!$A$5:$A$81,0))</f>
        <v>Cash, ATM &amp; deposits</v>
      </c>
      <c r="D3353" s="0" t="n">
        <f aca="false">INDEX(Intent_Analysis!$E$5:$E$81,MATCH(B3353,Intent_Analysis!$A$5:$A$81,0))</f>
        <v>2</v>
      </c>
    </row>
    <row r="3354" customFormat="false" ht="15" hidden="false" customHeight="false" outlineLevel="0" collapsed="false">
      <c r="A3354" s="0" t="s">
        <v>3678</v>
      </c>
      <c r="B3354" s="0" t="s">
        <v>75</v>
      </c>
      <c r="C3354" s="0" t="str">
        <f aca="false">INDEX(Intent_Analysis!$B$5:$B$81,MATCH(B3354,Intent_Analysis!$A$5:$A$81,0))</f>
        <v>Cash, ATM &amp; deposits</v>
      </c>
      <c r="D3354" s="0" t="n">
        <f aca="false">INDEX(Intent_Analysis!$E$5:$E$81,MATCH(B3354,Intent_Analysis!$A$5:$A$81,0))</f>
        <v>2</v>
      </c>
    </row>
    <row r="3355" customFormat="false" ht="15" hidden="false" customHeight="false" outlineLevel="0" collapsed="false">
      <c r="A3355" s="0" t="s">
        <v>3679</v>
      </c>
      <c r="B3355" s="0" t="s">
        <v>75</v>
      </c>
      <c r="C3355" s="0" t="str">
        <f aca="false">INDEX(Intent_Analysis!$B$5:$B$81,MATCH(B3355,Intent_Analysis!$A$5:$A$81,0))</f>
        <v>Cash, ATM &amp; deposits</v>
      </c>
      <c r="D3355" s="0" t="n">
        <f aca="false">INDEX(Intent_Analysis!$E$5:$E$81,MATCH(B3355,Intent_Analysis!$A$5:$A$81,0))</f>
        <v>2</v>
      </c>
    </row>
    <row r="3356" customFormat="false" ht="15" hidden="false" customHeight="false" outlineLevel="0" collapsed="false">
      <c r="A3356" s="0" t="s">
        <v>3680</v>
      </c>
      <c r="B3356" s="0" t="s">
        <v>75</v>
      </c>
      <c r="C3356" s="0" t="str">
        <f aca="false">INDEX(Intent_Analysis!$B$5:$B$81,MATCH(B3356,Intent_Analysis!$A$5:$A$81,0))</f>
        <v>Cash, ATM &amp; deposits</v>
      </c>
      <c r="D3356" s="0" t="n">
        <f aca="false">INDEX(Intent_Analysis!$E$5:$E$81,MATCH(B3356,Intent_Analysis!$A$5:$A$81,0))</f>
        <v>2</v>
      </c>
    </row>
    <row r="3357" customFormat="false" ht="15" hidden="false" customHeight="false" outlineLevel="0" collapsed="false">
      <c r="A3357" s="0" t="s">
        <v>3681</v>
      </c>
      <c r="B3357" s="0" t="s">
        <v>75</v>
      </c>
      <c r="C3357" s="0" t="str">
        <f aca="false">INDEX(Intent_Analysis!$B$5:$B$81,MATCH(B3357,Intent_Analysis!$A$5:$A$81,0))</f>
        <v>Cash, ATM &amp; deposits</v>
      </c>
      <c r="D3357" s="0" t="n">
        <f aca="false">INDEX(Intent_Analysis!$E$5:$E$81,MATCH(B3357,Intent_Analysis!$A$5:$A$81,0))</f>
        <v>2</v>
      </c>
    </row>
    <row r="3358" customFormat="false" ht="15" hidden="false" customHeight="false" outlineLevel="0" collapsed="false">
      <c r="A3358" s="0" t="s">
        <v>3682</v>
      </c>
      <c r="B3358" s="0" t="s">
        <v>75</v>
      </c>
      <c r="C3358" s="0" t="str">
        <f aca="false">INDEX(Intent_Analysis!$B$5:$B$81,MATCH(B3358,Intent_Analysis!$A$5:$A$81,0))</f>
        <v>Cash, ATM &amp; deposits</v>
      </c>
      <c r="D3358" s="0" t="n">
        <f aca="false">INDEX(Intent_Analysis!$E$5:$E$81,MATCH(B3358,Intent_Analysis!$A$5:$A$81,0))</f>
        <v>2</v>
      </c>
    </row>
    <row r="3359" customFormat="false" ht="15" hidden="false" customHeight="false" outlineLevel="0" collapsed="false">
      <c r="A3359" s="0" t="s">
        <v>3683</v>
      </c>
      <c r="B3359" s="0" t="s">
        <v>75</v>
      </c>
      <c r="C3359" s="0" t="str">
        <f aca="false">INDEX(Intent_Analysis!$B$5:$B$81,MATCH(B3359,Intent_Analysis!$A$5:$A$81,0))</f>
        <v>Cash, ATM &amp; deposits</v>
      </c>
      <c r="D3359" s="0" t="n">
        <f aca="false">INDEX(Intent_Analysis!$E$5:$E$81,MATCH(B3359,Intent_Analysis!$A$5:$A$81,0))</f>
        <v>2</v>
      </c>
    </row>
    <row r="3360" customFormat="false" ht="15" hidden="false" customHeight="false" outlineLevel="0" collapsed="false">
      <c r="A3360" s="0" t="s">
        <v>3684</v>
      </c>
      <c r="B3360" s="0" t="s">
        <v>75</v>
      </c>
      <c r="C3360" s="0" t="str">
        <f aca="false">INDEX(Intent_Analysis!$B$5:$B$81,MATCH(B3360,Intent_Analysis!$A$5:$A$81,0))</f>
        <v>Cash, ATM &amp; deposits</v>
      </c>
      <c r="D3360" s="0" t="n">
        <f aca="false">INDEX(Intent_Analysis!$E$5:$E$81,MATCH(B3360,Intent_Analysis!$A$5:$A$81,0))</f>
        <v>2</v>
      </c>
    </row>
    <row r="3361" customFormat="false" ht="15" hidden="false" customHeight="false" outlineLevel="0" collapsed="false">
      <c r="A3361" s="0" t="s">
        <v>3685</v>
      </c>
      <c r="B3361" s="0" t="s">
        <v>75</v>
      </c>
      <c r="C3361" s="0" t="str">
        <f aca="false">INDEX(Intent_Analysis!$B$5:$B$81,MATCH(B3361,Intent_Analysis!$A$5:$A$81,0))</f>
        <v>Cash, ATM &amp; deposits</v>
      </c>
      <c r="D3361" s="0" t="n">
        <f aca="false">INDEX(Intent_Analysis!$E$5:$E$81,MATCH(B3361,Intent_Analysis!$A$5:$A$81,0))</f>
        <v>2</v>
      </c>
    </row>
    <row r="3362" customFormat="false" ht="15" hidden="false" customHeight="false" outlineLevel="0" collapsed="false">
      <c r="A3362" s="0" t="s">
        <v>3686</v>
      </c>
      <c r="B3362" s="0" t="s">
        <v>75</v>
      </c>
      <c r="C3362" s="0" t="str">
        <f aca="false">INDEX(Intent_Analysis!$B$5:$B$81,MATCH(B3362,Intent_Analysis!$A$5:$A$81,0))</f>
        <v>Cash, ATM &amp; deposits</v>
      </c>
      <c r="D3362" s="0" t="n">
        <f aca="false">INDEX(Intent_Analysis!$E$5:$E$81,MATCH(B3362,Intent_Analysis!$A$5:$A$81,0))</f>
        <v>2</v>
      </c>
    </row>
    <row r="3363" customFormat="false" ht="15" hidden="false" customHeight="false" outlineLevel="0" collapsed="false">
      <c r="A3363" s="0" t="s">
        <v>3687</v>
      </c>
      <c r="B3363" s="0" t="s">
        <v>75</v>
      </c>
      <c r="C3363" s="0" t="str">
        <f aca="false">INDEX(Intent_Analysis!$B$5:$B$81,MATCH(B3363,Intent_Analysis!$A$5:$A$81,0))</f>
        <v>Cash, ATM &amp; deposits</v>
      </c>
      <c r="D3363" s="0" t="n">
        <f aca="false">INDEX(Intent_Analysis!$E$5:$E$81,MATCH(B3363,Intent_Analysis!$A$5:$A$81,0))</f>
        <v>2</v>
      </c>
    </row>
    <row r="3364" customFormat="false" ht="15" hidden="false" customHeight="false" outlineLevel="0" collapsed="false">
      <c r="A3364" s="0" t="s">
        <v>3688</v>
      </c>
      <c r="B3364" s="0" t="s">
        <v>75</v>
      </c>
      <c r="C3364" s="0" t="str">
        <f aca="false">INDEX(Intent_Analysis!$B$5:$B$81,MATCH(B3364,Intent_Analysis!$A$5:$A$81,0))</f>
        <v>Cash, ATM &amp; deposits</v>
      </c>
      <c r="D3364" s="0" t="n">
        <f aca="false">INDEX(Intent_Analysis!$E$5:$E$81,MATCH(B3364,Intent_Analysis!$A$5:$A$81,0))</f>
        <v>2</v>
      </c>
    </row>
    <row r="3365" customFormat="false" ht="15" hidden="false" customHeight="false" outlineLevel="0" collapsed="false">
      <c r="A3365" s="0" t="s">
        <v>3689</v>
      </c>
      <c r="B3365" s="0" t="s">
        <v>75</v>
      </c>
      <c r="C3365" s="0" t="str">
        <f aca="false">INDEX(Intent_Analysis!$B$5:$B$81,MATCH(B3365,Intent_Analysis!$A$5:$A$81,0))</f>
        <v>Cash, ATM &amp; deposits</v>
      </c>
      <c r="D3365" s="0" t="n">
        <f aca="false">INDEX(Intent_Analysis!$E$5:$E$81,MATCH(B3365,Intent_Analysis!$A$5:$A$81,0))</f>
        <v>2</v>
      </c>
    </row>
    <row r="3366" customFormat="false" ht="15" hidden="false" customHeight="false" outlineLevel="0" collapsed="false">
      <c r="A3366" s="0" t="s">
        <v>3690</v>
      </c>
      <c r="B3366" s="0" t="s">
        <v>75</v>
      </c>
      <c r="C3366" s="0" t="str">
        <f aca="false">INDEX(Intent_Analysis!$B$5:$B$81,MATCH(B3366,Intent_Analysis!$A$5:$A$81,0))</f>
        <v>Cash, ATM &amp; deposits</v>
      </c>
      <c r="D3366" s="0" t="n">
        <f aca="false">INDEX(Intent_Analysis!$E$5:$E$81,MATCH(B3366,Intent_Analysis!$A$5:$A$81,0))</f>
        <v>2</v>
      </c>
    </row>
    <row r="3367" customFormat="false" ht="15" hidden="false" customHeight="false" outlineLevel="0" collapsed="false">
      <c r="A3367" s="0" t="s">
        <v>3691</v>
      </c>
      <c r="B3367" s="0" t="s">
        <v>75</v>
      </c>
      <c r="C3367" s="0" t="str">
        <f aca="false">INDEX(Intent_Analysis!$B$5:$B$81,MATCH(B3367,Intent_Analysis!$A$5:$A$81,0))</f>
        <v>Cash, ATM &amp; deposits</v>
      </c>
      <c r="D3367" s="0" t="n">
        <f aca="false">INDEX(Intent_Analysis!$E$5:$E$81,MATCH(B3367,Intent_Analysis!$A$5:$A$81,0))</f>
        <v>2</v>
      </c>
    </row>
    <row r="3368" customFormat="false" ht="15" hidden="false" customHeight="false" outlineLevel="0" collapsed="false">
      <c r="A3368" s="0" t="s">
        <v>3692</v>
      </c>
      <c r="B3368" s="0" t="s">
        <v>75</v>
      </c>
      <c r="C3368" s="0" t="str">
        <f aca="false">INDEX(Intent_Analysis!$B$5:$B$81,MATCH(B3368,Intent_Analysis!$A$5:$A$81,0))</f>
        <v>Cash, ATM &amp; deposits</v>
      </c>
      <c r="D3368" s="0" t="n">
        <f aca="false">INDEX(Intent_Analysis!$E$5:$E$81,MATCH(B3368,Intent_Analysis!$A$5:$A$81,0))</f>
        <v>2</v>
      </c>
    </row>
    <row r="3369" customFormat="false" ht="15" hidden="false" customHeight="false" outlineLevel="0" collapsed="false">
      <c r="A3369" s="0" t="s">
        <v>3693</v>
      </c>
      <c r="B3369" s="0" t="s">
        <v>75</v>
      </c>
      <c r="C3369" s="0" t="str">
        <f aca="false">INDEX(Intent_Analysis!$B$5:$B$81,MATCH(B3369,Intent_Analysis!$A$5:$A$81,0))</f>
        <v>Cash, ATM &amp; deposits</v>
      </c>
      <c r="D3369" s="0" t="n">
        <f aca="false">INDEX(Intent_Analysis!$E$5:$E$81,MATCH(B3369,Intent_Analysis!$A$5:$A$81,0))</f>
        <v>2</v>
      </c>
    </row>
    <row r="3370" customFormat="false" ht="15" hidden="false" customHeight="false" outlineLevel="0" collapsed="false">
      <c r="A3370" s="0" t="s">
        <v>3694</v>
      </c>
      <c r="B3370" s="0" t="s">
        <v>75</v>
      </c>
      <c r="C3370" s="0" t="str">
        <f aca="false">INDEX(Intent_Analysis!$B$5:$B$81,MATCH(B3370,Intent_Analysis!$A$5:$A$81,0))</f>
        <v>Cash, ATM &amp; deposits</v>
      </c>
      <c r="D3370" s="0" t="n">
        <f aca="false">INDEX(Intent_Analysis!$E$5:$E$81,MATCH(B3370,Intent_Analysis!$A$5:$A$81,0))</f>
        <v>2</v>
      </c>
    </row>
    <row r="3371" customFormat="false" ht="15" hidden="false" customHeight="false" outlineLevel="0" collapsed="false">
      <c r="A3371" s="0" t="s">
        <v>3695</v>
      </c>
      <c r="B3371" s="0" t="s">
        <v>75</v>
      </c>
      <c r="C3371" s="0" t="str">
        <f aca="false">INDEX(Intent_Analysis!$B$5:$B$81,MATCH(B3371,Intent_Analysis!$A$5:$A$81,0))</f>
        <v>Cash, ATM &amp; deposits</v>
      </c>
      <c r="D3371" s="0" t="n">
        <f aca="false">INDEX(Intent_Analysis!$E$5:$E$81,MATCH(B3371,Intent_Analysis!$A$5:$A$81,0))</f>
        <v>2</v>
      </c>
    </row>
    <row r="3372" customFormat="false" ht="15" hidden="false" customHeight="false" outlineLevel="0" collapsed="false">
      <c r="A3372" s="0" t="s">
        <v>3696</v>
      </c>
      <c r="B3372" s="0" t="s">
        <v>75</v>
      </c>
      <c r="C3372" s="0" t="str">
        <f aca="false">INDEX(Intent_Analysis!$B$5:$B$81,MATCH(B3372,Intent_Analysis!$A$5:$A$81,0))</f>
        <v>Cash, ATM &amp; deposits</v>
      </c>
      <c r="D3372" s="0" t="n">
        <f aca="false">INDEX(Intent_Analysis!$E$5:$E$81,MATCH(B3372,Intent_Analysis!$A$5:$A$81,0))</f>
        <v>2</v>
      </c>
    </row>
    <row r="3373" customFormat="false" ht="15" hidden="false" customHeight="false" outlineLevel="0" collapsed="false">
      <c r="A3373" s="0" t="s">
        <v>3697</v>
      </c>
      <c r="B3373" s="0" t="s">
        <v>75</v>
      </c>
      <c r="C3373" s="0" t="str">
        <f aca="false">INDEX(Intent_Analysis!$B$5:$B$81,MATCH(B3373,Intent_Analysis!$A$5:$A$81,0))</f>
        <v>Cash, ATM &amp; deposits</v>
      </c>
      <c r="D3373" s="0" t="n">
        <f aca="false">INDEX(Intent_Analysis!$E$5:$E$81,MATCH(B3373,Intent_Analysis!$A$5:$A$81,0))</f>
        <v>2</v>
      </c>
    </row>
    <row r="3374" customFormat="false" ht="15" hidden="false" customHeight="false" outlineLevel="0" collapsed="false">
      <c r="A3374" s="0" t="s">
        <v>3698</v>
      </c>
      <c r="B3374" s="0" t="s">
        <v>75</v>
      </c>
      <c r="C3374" s="0" t="str">
        <f aca="false">INDEX(Intent_Analysis!$B$5:$B$81,MATCH(B3374,Intent_Analysis!$A$5:$A$81,0))</f>
        <v>Cash, ATM &amp; deposits</v>
      </c>
      <c r="D3374" s="0" t="n">
        <f aca="false">INDEX(Intent_Analysis!$E$5:$E$81,MATCH(B3374,Intent_Analysis!$A$5:$A$81,0))</f>
        <v>2</v>
      </c>
    </row>
    <row r="3375" customFormat="false" ht="15" hidden="false" customHeight="false" outlineLevel="0" collapsed="false">
      <c r="A3375" s="0" t="s">
        <v>3699</v>
      </c>
      <c r="B3375" s="0" t="s">
        <v>75</v>
      </c>
      <c r="C3375" s="0" t="str">
        <f aca="false">INDEX(Intent_Analysis!$B$5:$B$81,MATCH(B3375,Intent_Analysis!$A$5:$A$81,0))</f>
        <v>Cash, ATM &amp; deposits</v>
      </c>
      <c r="D3375" s="0" t="n">
        <f aca="false">INDEX(Intent_Analysis!$E$5:$E$81,MATCH(B3375,Intent_Analysis!$A$5:$A$81,0))</f>
        <v>2</v>
      </c>
    </row>
    <row r="3376" customFormat="false" ht="15" hidden="false" customHeight="false" outlineLevel="0" collapsed="false">
      <c r="A3376" s="0" t="s">
        <v>3700</v>
      </c>
      <c r="B3376" s="0" t="s">
        <v>75</v>
      </c>
      <c r="C3376" s="0" t="str">
        <f aca="false">INDEX(Intent_Analysis!$B$5:$B$81,MATCH(B3376,Intent_Analysis!$A$5:$A$81,0))</f>
        <v>Cash, ATM &amp; deposits</v>
      </c>
      <c r="D3376" s="0" t="n">
        <f aca="false">INDEX(Intent_Analysis!$E$5:$E$81,MATCH(B3376,Intent_Analysis!$A$5:$A$81,0))</f>
        <v>2</v>
      </c>
    </row>
    <row r="3377" customFormat="false" ht="15" hidden="false" customHeight="false" outlineLevel="0" collapsed="false">
      <c r="A3377" s="0" t="s">
        <v>3701</v>
      </c>
      <c r="B3377" s="0" t="s">
        <v>75</v>
      </c>
      <c r="C3377" s="0" t="str">
        <f aca="false">INDEX(Intent_Analysis!$B$5:$B$81,MATCH(B3377,Intent_Analysis!$A$5:$A$81,0))</f>
        <v>Cash, ATM &amp; deposits</v>
      </c>
      <c r="D3377" s="0" t="n">
        <f aca="false">INDEX(Intent_Analysis!$E$5:$E$81,MATCH(B3377,Intent_Analysis!$A$5:$A$81,0))</f>
        <v>2</v>
      </c>
    </row>
    <row r="3378" customFormat="false" ht="15" hidden="false" customHeight="false" outlineLevel="0" collapsed="false">
      <c r="A3378" s="0" t="s">
        <v>3702</v>
      </c>
      <c r="B3378" s="0" t="s">
        <v>75</v>
      </c>
      <c r="C3378" s="0" t="str">
        <f aca="false">INDEX(Intent_Analysis!$B$5:$B$81,MATCH(B3378,Intent_Analysis!$A$5:$A$81,0))</f>
        <v>Cash, ATM &amp; deposits</v>
      </c>
      <c r="D3378" s="0" t="n">
        <f aca="false">INDEX(Intent_Analysis!$E$5:$E$81,MATCH(B3378,Intent_Analysis!$A$5:$A$81,0))</f>
        <v>2</v>
      </c>
    </row>
    <row r="3379" customFormat="false" ht="15" hidden="false" customHeight="false" outlineLevel="0" collapsed="false">
      <c r="A3379" s="0" t="s">
        <v>3703</v>
      </c>
      <c r="B3379" s="0" t="s">
        <v>75</v>
      </c>
      <c r="C3379" s="0" t="str">
        <f aca="false">INDEX(Intent_Analysis!$B$5:$B$81,MATCH(B3379,Intent_Analysis!$A$5:$A$81,0))</f>
        <v>Cash, ATM &amp; deposits</v>
      </c>
      <c r="D3379" s="0" t="n">
        <f aca="false">INDEX(Intent_Analysis!$E$5:$E$81,MATCH(B3379,Intent_Analysis!$A$5:$A$81,0))</f>
        <v>2</v>
      </c>
    </row>
    <row r="3380" customFormat="false" ht="15" hidden="false" customHeight="false" outlineLevel="0" collapsed="false">
      <c r="A3380" s="0" t="s">
        <v>3704</v>
      </c>
      <c r="B3380" s="0" t="s">
        <v>75</v>
      </c>
      <c r="C3380" s="0" t="str">
        <f aca="false">INDEX(Intent_Analysis!$B$5:$B$81,MATCH(B3380,Intent_Analysis!$A$5:$A$81,0))</f>
        <v>Cash, ATM &amp; deposits</v>
      </c>
      <c r="D3380" s="0" t="n">
        <f aca="false">INDEX(Intent_Analysis!$E$5:$E$81,MATCH(B3380,Intent_Analysis!$A$5:$A$81,0))</f>
        <v>2</v>
      </c>
    </row>
    <row r="3381" customFormat="false" ht="15" hidden="false" customHeight="false" outlineLevel="0" collapsed="false">
      <c r="A3381" s="0" t="s">
        <v>3705</v>
      </c>
      <c r="B3381" s="0" t="s">
        <v>75</v>
      </c>
      <c r="C3381" s="0" t="str">
        <f aca="false">INDEX(Intent_Analysis!$B$5:$B$81,MATCH(B3381,Intent_Analysis!$A$5:$A$81,0))</f>
        <v>Cash, ATM &amp; deposits</v>
      </c>
      <c r="D3381" s="0" t="n">
        <f aca="false">INDEX(Intent_Analysis!$E$5:$E$81,MATCH(B3381,Intent_Analysis!$A$5:$A$81,0))</f>
        <v>2</v>
      </c>
    </row>
    <row r="3382" customFormat="false" ht="15" hidden="false" customHeight="false" outlineLevel="0" collapsed="false">
      <c r="A3382" s="0" t="s">
        <v>3706</v>
      </c>
      <c r="B3382" s="0" t="s">
        <v>75</v>
      </c>
      <c r="C3382" s="0" t="str">
        <f aca="false">INDEX(Intent_Analysis!$B$5:$B$81,MATCH(B3382,Intent_Analysis!$A$5:$A$81,0))</f>
        <v>Cash, ATM &amp; deposits</v>
      </c>
      <c r="D3382" s="0" t="n">
        <f aca="false">INDEX(Intent_Analysis!$E$5:$E$81,MATCH(B3382,Intent_Analysis!$A$5:$A$81,0))</f>
        <v>2</v>
      </c>
    </row>
    <row r="3383" customFormat="false" ht="15" hidden="false" customHeight="false" outlineLevel="0" collapsed="false">
      <c r="A3383" s="0" t="s">
        <v>3707</v>
      </c>
      <c r="B3383" s="0" t="s">
        <v>75</v>
      </c>
      <c r="C3383" s="0" t="str">
        <f aca="false">INDEX(Intent_Analysis!$B$5:$B$81,MATCH(B3383,Intent_Analysis!$A$5:$A$81,0))</f>
        <v>Cash, ATM &amp; deposits</v>
      </c>
      <c r="D3383" s="0" t="n">
        <f aca="false">INDEX(Intent_Analysis!$E$5:$E$81,MATCH(B3383,Intent_Analysis!$A$5:$A$81,0))</f>
        <v>2</v>
      </c>
    </row>
    <row r="3384" customFormat="false" ht="15" hidden="false" customHeight="false" outlineLevel="0" collapsed="false">
      <c r="A3384" s="0" t="s">
        <v>3708</v>
      </c>
      <c r="B3384" s="0" t="s">
        <v>75</v>
      </c>
      <c r="C3384" s="0" t="str">
        <f aca="false">INDEX(Intent_Analysis!$B$5:$B$81,MATCH(B3384,Intent_Analysis!$A$5:$A$81,0))</f>
        <v>Cash, ATM &amp; deposits</v>
      </c>
      <c r="D3384" s="0" t="n">
        <f aca="false">INDEX(Intent_Analysis!$E$5:$E$81,MATCH(B3384,Intent_Analysis!$A$5:$A$81,0))</f>
        <v>2</v>
      </c>
    </row>
    <row r="3385" customFormat="false" ht="15" hidden="false" customHeight="false" outlineLevel="0" collapsed="false">
      <c r="A3385" s="0" t="s">
        <v>3709</v>
      </c>
      <c r="B3385" s="0" t="s">
        <v>75</v>
      </c>
      <c r="C3385" s="0" t="str">
        <f aca="false">INDEX(Intent_Analysis!$B$5:$B$81,MATCH(B3385,Intent_Analysis!$A$5:$A$81,0))</f>
        <v>Cash, ATM &amp; deposits</v>
      </c>
      <c r="D3385" s="0" t="n">
        <f aca="false">INDEX(Intent_Analysis!$E$5:$E$81,MATCH(B3385,Intent_Analysis!$A$5:$A$81,0))</f>
        <v>2</v>
      </c>
    </row>
    <row r="3386" customFormat="false" ht="15" hidden="false" customHeight="false" outlineLevel="0" collapsed="false">
      <c r="A3386" s="0" t="s">
        <v>3710</v>
      </c>
      <c r="B3386" s="0" t="s">
        <v>75</v>
      </c>
      <c r="C3386" s="0" t="str">
        <f aca="false">INDEX(Intent_Analysis!$B$5:$B$81,MATCH(B3386,Intent_Analysis!$A$5:$A$81,0))</f>
        <v>Cash, ATM &amp; deposits</v>
      </c>
      <c r="D3386" s="0" t="n">
        <f aca="false">INDEX(Intent_Analysis!$E$5:$E$81,MATCH(B3386,Intent_Analysis!$A$5:$A$81,0))</f>
        <v>2</v>
      </c>
    </row>
    <row r="3387" customFormat="false" ht="15" hidden="false" customHeight="false" outlineLevel="0" collapsed="false">
      <c r="A3387" s="0" t="s">
        <v>3711</v>
      </c>
      <c r="B3387" s="0" t="s">
        <v>75</v>
      </c>
      <c r="C3387" s="0" t="str">
        <f aca="false">INDEX(Intent_Analysis!$B$5:$B$81,MATCH(B3387,Intent_Analysis!$A$5:$A$81,0))</f>
        <v>Cash, ATM &amp; deposits</v>
      </c>
      <c r="D3387" s="0" t="n">
        <f aca="false">INDEX(Intent_Analysis!$E$5:$E$81,MATCH(B3387,Intent_Analysis!$A$5:$A$81,0))</f>
        <v>2</v>
      </c>
    </row>
    <row r="3388" customFormat="false" ht="15" hidden="false" customHeight="false" outlineLevel="0" collapsed="false">
      <c r="A3388" s="0" t="s">
        <v>3712</v>
      </c>
      <c r="B3388" s="0" t="s">
        <v>75</v>
      </c>
      <c r="C3388" s="0" t="str">
        <f aca="false">INDEX(Intent_Analysis!$B$5:$B$81,MATCH(B3388,Intent_Analysis!$A$5:$A$81,0))</f>
        <v>Cash, ATM &amp; deposits</v>
      </c>
      <c r="D3388" s="0" t="n">
        <f aca="false">INDEX(Intent_Analysis!$E$5:$E$81,MATCH(B3388,Intent_Analysis!$A$5:$A$81,0))</f>
        <v>2</v>
      </c>
    </row>
    <row r="3389" customFormat="false" ht="15" hidden="false" customHeight="false" outlineLevel="0" collapsed="false">
      <c r="A3389" s="0" t="s">
        <v>3713</v>
      </c>
      <c r="B3389" s="0" t="s">
        <v>75</v>
      </c>
      <c r="C3389" s="0" t="str">
        <f aca="false">INDEX(Intent_Analysis!$B$5:$B$81,MATCH(B3389,Intent_Analysis!$A$5:$A$81,0))</f>
        <v>Cash, ATM &amp; deposits</v>
      </c>
      <c r="D3389" s="0" t="n">
        <f aca="false">INDEX(Intent_Analysis!$E$5:$E$81,MATCH(B3389,Intent_Analysis!$A$5:$A$81,0))</f>
        <v>2</v>
      </c>
    </row>
    <row r="3390" customFormat="false" ht="15" hidden="false" customHeight="false" outlineLevel="0" collapsed="false">
      <c r="A3390" s="0" t="s">
        <v>3714</v>
      </c>
      <c r="B3390" s="0" t="s">
        <v>75</v>
      </c>
      <c r="C3390" s="0" t="str">
        <f aca="false">INDEX(Intent_Analysis!$B$5:$B$81,MATCH(B3390,Intent_Analysis!$A$5:$A$81,0))</f>
        <v>Cash, ATM &amp; deposits</v>
      </c>
      <c r="D3390" s="0" t="n">
        <f aca="false">INDEX(Intent_Analysis!$E$5:$E$81,MATCH(B3390,Intent_Analysis!$A$5:$A$81,0))</f>
        <v>2</v>
      </c>
    </row>
    <row r="3391" customFormat="false" ht="15" hidden="false" customHeight="false" outlineLevel="0" collapsed="false">
      <c r="A3391" s="0" t="s">
        <v>3715</v>
      </c>
      <c r="B3391" s="0" t="s">
        <v>75</v>
      </c>
      <c r="C3391" s="0" t="str">
        <f aca="false">INDEX(Intent_Analysis!$B$5:$B$81,MATCH(B3391,Intent_Analysis!$A$5:$A$81,0))</f>
        <v>Cash, ATM &amp; deposits</v>
      </c>
      <c r="D3391" s="0" t="n">
        <f aca="false">INDEX(Intent_Analysis!$E$5:$E$81,MATCH(B3391,Intent_Analysis!$A$5:$A$81,0))</f>
        <v>2</v>
      </c>
    </row>
    <row r="3392" customFormat="false" ht="15" hidden="false" customHeight="false" outlineLevel="0" collapsed="false">
      <c r="A3392" s="0" t="s">
        <v>3716</v>
      </c>
      <c r="B3392" s="0" t="s">
        <v>75</v>
      </c>
      <c r="C3392" s="0" t="str">
        <f aca="false">INDEX(Intent_Analysis!$B$5:$B$81,MATCH(B3392,Intent_Analysis!$A$5:$A$81,0))</f>
        <v>Cash, ATM &amp; deposits</v>
      </c>
      <c r="D3392" s="0" t="n">
        <f aca="false">INDEX(Intent_Analysis!$E$5:$E$81,MATCH(B3392,Intent_Analysis!$A$5:$A$81,0))</f>
        <v>2</v>
      </c>
    </row>
    <row r="3393" customFormat="false" ht="15" hidden="false" customHeight="false" outlineLevel="0" collapsed="false">
      <c r="A3393" s="0" t="s">
        <v>3717</v>
      </c>
      <c r="B3393" s="0" t="s">
        <v>75</v>
      </c>
      <c r="C3393" s="0" t="str">
        <f aca="false">INDEX(Intent_Analysis!$B$5:$B$81,MATCH(B3393,Intent_Analysis!$A$5:$A$81,0))</f>
        <v>Cash, ATM &amp; deposits</v>
      </c>
      <c r="D3393" s="0" t="n">
        <f aca="false">INDEX(Intent_Analysis!$E$5:$E$81,MATCH(B3393,Intent_Analysis!$A$5:$A$81,0))</f>
        <v>2</v>
      </c>
    </row>
    <row r="3394" customFormat="false" ht="15" hidden="false" customHeight="false" outlineLevel="0" collapsed="false">
      <c r="A3394" s="0" t="s">
        <v>3718</v>
      </c>
      <c r="B3394" s="0" t="s">
        <v>75</v>
      </c>
      <c r="C3394" s="0" t="str">
        <f aca="false">INDEX(Intent_Analysis!$B$5:$B$81,MATCH(B3394,Intent_Analysis!$A$5:$A$81,0))</f>
        <v>Cash, ATM &amp; deposits</v>
      </c>
      <c r="D3394" s="0" t="n">
        <f aca="false">INDEX(Intent_Analysis!$E$5:$E$81,MATCH(B3394,Intent_Analysis!$A$5:$A$81,0))</f>
        <v>2</v>
      </c>
    </row>
    <row r="3395" customFormat="false" ht="15" hidden="false" customHeight="false" outlineLevel="0" collapsed="false">
      <c r="A3395" s="0" t="s">
        <v>3719</v>
      </c>
      <c r="B3395" s="0" t="s">
        <v>75</v>
      </c>
      <c r="C3395" s="0" t="str">
        <f aca="false">INDEX(Intent_Analysis!$B$5:$B$81,MATCH(B3395,Intent_Analysis!$A$5:$A$81,0))</f>
        <v>Cash, ATM &amp; deposits</v>
      </c>
      <c r="D3395" s="0" t="n">
        <f aca="false">INDEX(Intent_Analysis!$E$5:$E$81,MATCH(B3395,Intent_Analysis!$A$5:$A$81,0))</f>
        <v>2</v>
      </c>
    </row>
    <row r="3396" customFormat="false" ht="15" hidden="false" customHeight="false" outlineLevel="0" collapsed="false">
      <c r="A3396" s="0" t="s">
        <v>3720</v>
      </c>
      <c r="B3396" s="0" t="s">
        <v>75</v>
      </c>
      <c r="C3396" s="0" t="str">
        <f aca="false">INDEX(Intent_Analysis!$B$5:$B$81,MATCH(B3396,Intent_Analysis!$A$5:$A$81,0))</f>
        <v>Cash, ATM &amp; deposits</v>
      </c>
      <c r="D3396" s="0" t="n">
        <f aca="false">INDEX(Intent_Analysis!$E$5:$E$81,MATCH(B3396,Intent_Analysis!$A$5:$A$81,0))</f>
        <v>2</v>
      </c>
    </row>
    <row r="3397" customFormat="false" ht="15" hidden="false" customHeight="false" outlineLevel="0" collapsed="false">
      <c r="A3397" s="0" t="s">
        <v>3721</v>
      </c>
      <c r="B3397" s="0" t="s">
        <v>75</v>
      </c>
      <c r="C3397" s="0" t="str">
        <f aca="false">INDEX(Intent_Analysis!$B$5:$B$81,MATCH(B3397,Intent_Analysis!$A$5:$A$81,0))</f>
        <v>Cash, ATM &amp; deposits</v>
      </c>
      <c r="D3397" s="0" t="n">
        <f aca="false">INDEX(Intent_Analysis!$E$5:$E$81,MATCH(B3397,Intent_Analysis!$A$5:$A$81,0))</f>
        <v>2</v>
      </c>
    </row>
    <row r="3398" customFormat="false" ht="15" hidden="false" customHeight="false" outlineLevel="0" collapsed="false">
      <c r="A3398" s="0" t="s">
        <v>3722</v>
      </c>
      <c r="B3398" s="0" t="s">
        <v>75</v>
      </c>
      <c r="C3398" s="0" t="str">
        <f aca="false">INDEX(Intent_Analysis!$B$5:$B$81,MATCH(B3398,Intent_Analysis!$A$5:$A$81,0))</f>
        <v>Cash, ATM &amp; deposits</v>
      </c>
      <c r="D3398" s="0" t="n">
        <f aca="false">INDEX(Intent_Analysis!$E$5:$E$81,MATCH(B3398,Intent_Analysis!$A$5:$A$81,0))</f>
        <v>2</v>
      </c>
    </row>
    <row r="3399" customFormat="false" ht="15" hidden="false" customHeight="false" outlineLevel="0" collapsed="false">
      <c r="A3399" s="0" t="s">
        <v>3723</v>
      </c>
      <c r="B3399" s="0" t="s">
        <v>75</v>
      </c>
      <c r="C3399" s="0" t="str">
        <f aca="false">INDEX(Intent_Analysis!$B$5:$B$81,MATCH(B3399,Intent_Analysis!$A$5:$A$81,0))</f>
        <v>Cash, ATM &amp; deposits</v>
      </c>
      <c r="D3399" s="0" t="n">
        <f aca="false">INDEX(Intent_Analysis!$E$5:$E$81,MATCH(B3399,Intent_Analysis!$A$5:$A$81,0))</f>
        <v>2</v>
      </c>
    </row>
    <row r="3400" customFormat="false" ht="15" hidden="false" customHeight="false" outlineLevel="0" collapsed="false">
      <c r="A3400" s="0" t="s">
        <v>3724</v>
      </c>
      <c r="B3400" s="0" t="s">
        <v>75</v>
      </c>
      <c r="C3400" s="0" t="str">
        <f aca="false">INDEX(Intent_Analysis!$B$5:$B$81,MATCH(B3400,Intent_Analysis!$A$5:$A$81,0))</f>
        <v>Cash, ATM &amp; deposits</v>
      </c>
      <c r="D3400" s="0" t="n">
        <f aca="false">INDEX(Intent_Analysis!$E$5:$E$81,MATCH(B3400,Intent_Analysis!$A$5:$A$81,0))</f>
        <v>2</v>
      </c>
    </row>
    <row r="3401" customFormat="false" ht="15" hidden="false" customHeight="false" outlineLevel="0" collapsed="false">
      <c r="A3401" s="0" t="s">
        <v>3725</v>
      </c>
      <c r="B3401" s="0" t="s">
        <v>75</v>
      </c>
      <c r="C3401" s="0" t="str">
        <f aca="false">INDEX(Intent_Analysis!$B$5:$B$81,MATCH(B3401,Intent_Analysis!$A$5:$A$81,0))</f>
        <v>Cash, ATM &amp; deposits</v>
      </c>
      <c r="D3401" s="0" t="n">
        <f aca="false">INDEX(Intent_Analysis!$E$5:$E$81,MATCH(B3401,Intent_Analysis!$A$5:$A$81,0))</f>
        <v>2</v>
      </c>
    </row>
    <row r="3402" customFormat="false" ht="15" hidden="false" customHeight="false" outlineLevel="0" collapsed="false">
      <c r="A3402" s="0" t="s">
        <v>3726</v>
      </c>
      <c r="B3402" s="0" t="s">
        <v>75</v>
      </c>
      <c r="C3402" s="0" t="str">
        <f aca="false">INDEX(Intent_Analysis!$B$5:$B$81,MATCH(B3402,Intent_Analysis!$A$5:$A$81,0))</f>
        <v>Cash, ATM &amp; deposits</v>
      </c>
      <c r="D3402" s="0" t="n">
        <f aca="false">INDEX(Intent_Analysis!$E$5:$E$81,MATCH(B3402,Intent_Analysis!$A$5:$A$81,0))</f>
        <v>2</v>
      </c>
    </row>
    <row r="3403" customFormat="false" ht="15" hidden="false" customHeight="false" outlineLevel="0" collapsed="false">
      <c r="A3403" s="0" t="s">
        <v>3727</v>
      </c>
      <c r="B3403" s="0" t="s">
        <v>75</v>
      </c>
      <c r="C3403" s="0" t="str">
        <f aca="false">INDEX(Intent_Analysis!$B$5:$B$81,MATCH(B3403,Intent_Analysis!$A$5:$A$81,0))</f>
        <v>Cash, ATM &amp; deposits</v>
      </c>
      <c r="D3403" s="0" t="n">
        <f aca="false">INDEX(Intent_Analysis!$E$5:$E$81,MATCH(B3403,Intent_Analysis!$A$5:$A$81,0))</f>
        <v>2</v>
      </c>
    </row>
    <row r="3404" customFormat="false" ht="15" hidden="false" customHeight="false" outlineLevel="0" collapsed="false">
      <c r="A3404" s="0" t="s">
        <v>3728</v>
      </c>
      <c r="B3404" s="0" t="s">
        <v>75</v>
      </c>
      <c r="C3404" s="0" t="str">
        <f aca="false">INDEX(Intent_Analysis!$B$5:$B$81,MATCH(B3404,Intent_Analysis!$A$5:$A$81,0))</f>
        <v>Cash, ATM &amp; deposits</v>
      </c>
      <c r="D3404" s="0" t="n">
        <f aca="false">INDEX(Intent_Analysis!$E$5:$E$81,MATCH(B3404,Intent_Analysis!$A$5:$A$81,0))</f>
        <v>2</v>
      </c>
    </row>
    <row r="3405" customFormat="false" ht="15" hidden="false" customHeight="false" outlineLevel="0" collapsed="false">
      <c r="A3405" s="0" t="s">
        <v>3729</v>
      </c>
      <c r="B3405" s="0" t="s">
        <v>75</v>
      </c>
      <c r="C3405" s="0" t="str">
        <f aca="false">INDEX(Intent_Analysis!$B$5:$B$81,MATCH(B3405,Intent_Analysis!$A$5:$A$81,0))</f>
        <v>Cash, ATM &amp; deposits</v>
      </c>
      <c r="D3405" s="0" t="n">
        <f aca="false">INDEX(Intent_Analysis!$E$5:$E$81,MATCH(B3405,Intent_Analysis!$A$5:$A$81,0))</f>
        <v>2</v>
      </c>
    </row>
    <row r="3406" customFormat="false" ht="15" hidden="false" customHeight="false" outlineLevel="0" collapsed="false">
      <c r="A3406" s="0" t="s">
        <v>3730</v>
      </c>
      <c r="B3406" s="0" t="s">
        <v>75</v>
      </c>
      <c r="C3406" s="0" t="str">
        <f aca="false">INDEX(Intent_Analysis!$B$5:$B$81,MATCH(B3406,Intent_Analysis!$A$5:$A$81,0))</f>
        <v>Cash, ATM &amp; deposits</v>
      </c>
      <c r="D3406" s="0" t="n">
        <f aca="false">INDEX(Intent_Analysis!$E$5:$E$81,MATCH(B3406,Intent_Analysis!$A$5:$A$81,0))</f>
        <v>2</v>
      </c>
    </row>
    <row r="3407" customFormat="false" ht="15" hidden="false" customHeight="false" outlineLevel="0" collapsed="false">
      <c r="A3407" s="0" t="s">
        <v>3731</v>
      </c>
      <c r="B3407" s="0" t="s">
        <v>75</v>
      </c>
      <c r="C3407" s="0" t="str">
        <f aca="false">INDEX(Intent_Analysis!$B$5:$B$81,MATCH(B3407,Intent_Analysis!$A$5:$A$81,0))</f>
        <v>Cash, ATM &amp; deposits</v>
      </c>
      <c r="D3407" s="0" t="n">
        <f aca="false">INDEX(Intent_Analysis!$E$5:$E$81,MATCH(B3407,Intent_Analysis!$A$5:$A$81,0))</f>
        <v>2</v>
      </c>
    </row>
    <row r="3408" customFormat="false" ht="15" hidden="false" customHeight="false" outlineLevel="0" collapsed="false">
      <c r="A3408" s="0" t="s">
        <v>3732</v>
      </c>
      <c r="B3408" s="0" t="s">
        <v>75</v>
      </c>
      <c r="C3408" s="0" t="str">
        <f aca="false">INDEX(Intent_Analysis!$B$5:$B$81,MATCH(B3408,Intent_Analysis!$A$5:$A$81,0))</f>
        <v>Cash, ATM &amp; deposits</v>
      </c>
      <c r="D3408" s="0" t="n">
        <f aca="false">INDEX(Intent_Analysis!$E$5:$E$81,MATCH(B3408,Intent_Analysis!$A$5:$A$81,0))</f>
        <v>2</v>
      </c>
    </row>
    <row r="3409" customFormat="false" ht="15" hidden="false" customHeight="false" outlineLevel="0" collapsed="false">
      <c r="A3409" s="0" t="s">
        <v>3733</v>
      </c>
      <c r="B3409" s="0" t="s">
        <v>75</v>
      </c>
      <c r="C3409" s="0" t="str">
        <f aca="false">INDEX(Intent_Analysis!$B$5:$B$81,MATCH(B3409,Intent_Analysis!$A$5:$A$81,0))</f>
        <v>Cash, ATM &amp; deposits</v>
      </c>
      <c r="D3409" s="0" t="n">
        <f aca="false">INDEX(Intent_Analysis!$E$5:$E$81,MATCH(B3409,Intent_Analysis!$A$5:$A$81,0))</f>
        <v>2</v>
      </c>
    </row>
    <row r="3410" customFormat="false" ht="15" hidden="false" customHeight="false" outlineLevel="0" collapsed="false">
      <c r="A3410" s="0" t="s">
        <v>3734</v>
      </c>
      <c r="B3410" s="0" t="s">
        <v>75</v>
      </c>
      <c r="C3410" s="0" t="str">
        <f aca="false">INDEX(Intent_Analysis!$B$5:$B$81,MATCH(B3410,Intent_Analysis!$A$5:$A$81,0))</f>
        <v>Cash, ATM &amp; deposits</v>
      </c>
      <c r="D3410" s="0" t="n">
        <f aca="false">INDEX(Intent_Analysis!$E$5:$E$81,MATCH(B3410,Intent_Analysis!$A$5:$A$81,0))</f>
        <v>2</v>
      </c>
    </row>
    <row r="3411" customFormat="false" ht="15" hidden="false" customHeight="false" outlineLevel="0" collapsed="false">
      <c r="A3411" s="0" t="s">
        <v>3735</v>
      </c>
      <c r="B3411" s="0" t="s">
        <v>75</v>
      </c>
      <c r="C3411" s="0" t="str">
        <f aca="false">INDEX(Intent_Analysis!$B$5:$B$81,MATCH(B3411,Intent_Analysis!$A$5:$A$81,0))</f>
        <v>Cash, ATM &amp; deposits</v>
      </c>
      <c r="D3411" s="0" t="n">
        <f aca="false">INDEX(Intent_Analysis!$E$5:$E$81,MATCH(B3411,Intent_Analysis!$A$5:$A$81,0))</f>
        <v>2</v>
      </c>
    </row>
    <row r="3412" customFormat="false" ht="15" hidden="false" customHeight="false" outlineLevel="0" collapsed="false">
      <c r="A3412" s="0" t="s">
        <v>3736</v>
      </c>
      <c r="B3412" s="0" t="s">
        <v>75</v>
      </c>
      <c r="C3412" s="0" t="str">
        <f aca="false">INDEX(Intent_Analysis!$B$5:$B$81,MATCH(B3412,Intent_Analysis!$A$5:$A$81,0))</f>
        <v>Cash, ATM &amp; deposits</v>
      </c>
      <c r="D3412" s="0" t="n">
        <f aca="false">INDEX(Intent_Analysis!$E$5:$E$81,MATCH(B3412,Intent_Analysis!$A$5:$A$81,0))</f>
        <v>2</v>
      </c>
    </row>
    <row r="3413" customFormat="false" ht="15" hidden="false" customHeight="false" outlineLevel="0" collapsed="false">
      <c r="A3413" s="0" t="s">
        <v>3737</v>
      </c>
      <c r="B3413" s="0" t="s">
        <v>75</v>
      </c>
      <c r="C3413" s="0" t="str">
        <f aca="false">INDEX(Intent_Analysis!$B$5:$B$81,MATCH(B3413,Intent_Analysis!$A$5:$A$81,0))</f>
        <v>Cash, ATM &amp; deposits</v>
      </c>
      <c r="D3413" s="0" t="n">
        <f aca="false">INDEX(Intent_Analysis!$E$5:$E$81,MATCH(B3413,Intent_Analysis!$A$5:$A$81,0))</f>
        <v>2</v>
      </c>
    </row>
    <row r="3414" customFormat="false" ht="15" hidden="false" customHeight="false" outlineLevel="0" collapsed="false">
      <c r="A3414" s="0" t="s">
        <v>3738</v>
      </c>
      <c r="B3414" s="0" t="s">
        <v>75</v>
      </c>
      <c r="C3414" s="0" t="str">
        <f aca="false">INDEX(Intent_Analysis!$B$5:$B$81,MATCH(B3414,Intent_Analysis!$A$5:$A$81,0))</f>
        <v>Cash, ATM &amp; deposits</v>
      </c>
      <c r="D3414" s="0" t="n">
        <f aca="false">INDEX(Intent_Analysis!$E$5:$E$81,MATCH(B3414,Intent_Analysis!$A$5:$A$81,0))</f>
        <v>2</v>
      </c>
    </row>
    <row r="3415" customFormat="false" ht="15" hidden="false" customHeight="false" outlineLevel="0" collapsed="false">
      <c r="A3415" s="0" t="s">
        <v>3739</v>
      </c>
      <c r="B3415" s="0" t="s">
        <v>75</v>
      </c>
      <c r="C3415" s="0" t="str">
        <f aca="false">INDEX(Intent_Analysis!$B$5:$B$81,MATCH(B3415,Intent_Analysis!$A$5:$A$81,0))</f>
        <v>Cash, ATM &amp; deposits</v>
      </c>
      <c r="D3415" s="0" t="n">
        <f aca="false">INDEX(Intent_Analysis!$E$5:$E$81,MATCH(B3415,Intent_Analysis!$A$5:$A$81,0))</f>
        <v>2</v>
      </c>
    </row>
    <row r="3416" customFormat="false" ht="15" hidden="false" customHeight="false" outlineLevel="0" collapsed="false">
      <c r="A3416" s="0" t="s">
        <v>3740</v>
      </c>
      <c r="B3416" s="0" t="s">
        <v>75</v>
      </c>
      <c r="C3416" s="0" t="str">
        <f aca="false">INDEX(Intent_Analysis!$B$5:$B$81,MATCH(B3416,Intent_Analysis!$A$5:$A$81,0))</f>
        <v>Cash, ATM &amp; deposits</v>
      </c>
      <c r="D3416" s="0" t="n">
        <f aca="false">INDEX(Intent_Analysis!$E$5:$E$81,MATCH(B3416,Intent_Analysis!$A$5:$A$81,0))</f>
        <v>2</v>
      </c>
    </row>
    <row r="3417" customFormat="false" ht="15" hidden="false" customHeight="false" outlineLevel="0" collapsed="false">
      <c r="A3417" s="0" t="s">
        <v>3741</v>
      </c>
      <c r="B3417" s="0" t="s">
        <v>75</v>
      </c>
      <c r="C3417" s="0" t="str">
        <f aca="false">INDEX(Intent_Analysis!$B$5:$B$81,MATCH(B3417,Intent_Analysis!$A$5:$A$81,0))</f>
        <v>Cash, ATM &amp; deposits</v>
      </c>
      <c r="D3417" s="0" t="n">
        <f aca="false">INDEX(Intent_Analysis!$E$5:$E$81,MATCH(B3417,Intent_Analysis!$A$5:$A$81,0))</f>
        <v>2</v>
      </c>
    </row>
    <row r="3418" customFormat="false" ht="15" hidden="false" customHeight="false" outlineLevel="0" collapsed="false">
      <c r="A3418" s="0" t="s">
        <v>3742</v>
      </c>
      <c r="B3418" s="0" t="s">
        <v>75</v>
      </c>
      <c r="C3418" s="0" t="str">
        <f aca="false">INDEX(Intent_Analysis!$B$5:$B$81,MATCH(B3418,Intent_Analysis!$A$5:$A$81,0))</f>
        <v>Cash, ATM &amp; deposits</v>
      </c>
      <c r="D3418" s="0" t="n">
        <f aca="false">INDEX(Intent_Analysis!$E$5:$E$81,MATCH(B3418,Intent_Analysis!$A$5:$A$81,0))</f>
        <v>2</v>
      </c>
    </row>
    <row r="3419" customFormat="false" ht="15" hidden="false" customHeight="false" outlineLevel="0" collapsed="false">
      <c r="A3419" s="0" t="s">
        <v>3743</v>
      </c>
      <c r="B3419" s="0" t="s">
        <v>75</v>
      </c>
      <c r="C3419" s="0" t="str">
        <f aca="false">INDEX(Intent_Analysis!$B$5:$B$81,MATCH(B3419,Intent_Analysis!$A$5:$A$81,0))</f>
        <v>Cash, ATM &amp; deposits</v>
      </c>
      <c r="D3419" s="0" t="n">
        <f aca="false">INDEX(Intent_Analysis!$E$5:$E$81,MATCH(B3419,Intent_Analysis!$A$5:$A$81,0))</f>
        <v>2</v>
      </c>
    </row>
    <row r="3420" customFormat="false" ht="15" hidden="false" customHeight="false" outlineLevel="0" collapsed="false">
      <c r="A3420" s="0" t="s">
        <v>3744</v>
      </c>
      <c r="B3420" s="0" t="s">
        <v>75</v>
      </c>
      <c r="C3420" s="0" t="str">
        <f aca="false">INDEX(Intent_Analysis!$B$5:$B$81,MATCH(B3420,Intent_Analysis!$A$5:$A$81,0))</f>
        <v>Cash, ATM &amp; deposits</v>
      </c>
      <c r="D3420" s="0" t="n">
        <f aca="false">INDEX(Intent_Analysis!$E$5:$E$81,MATCH(B3420,Intent_Analysis!$A$5:$A$81,0))</f>
        <v>2</v>
      </c>
    </row>
    <row r="3421" customFormat="false" ht="15" hidden="false" customHeight="false" outlineLevel="0" collapsed="false">
      <c r="A3421" s="0" t="s">
        <v>3745</v>
      </c>
      <c r="B3421" s="0" t="s">
        <v>75</v>
      </c>
      <c r="C3421" s="0" t="str">
        <f aca="false">INDEX(Intent_Analysis!$B$5:$B$81,MATCH(B3421,Intent_Analysis!$A$5:$A$81,0))</f>
        <v>Cash, ATM &amp; deposits</v>
      </c>
      <c r="D3421" s="0" t="n">
        <f aca="false">INDEX(Intent_Analysis!$E$5:$E$81,MATCH(B3421,Intent_Analysis!$A$5:$A$81,0))</f>
        <v>2</v>
      </c>
    </row>
    <row r="3422" customFormat="false" ht="15" hidden="false" customHeight="false" outlineLevel="0" collapsed="false">
      <c r="A3422" s="0" t="s">
        <v>3746</v>
      </c>
      <c r="B3422" s="0" t="s">
        <v>75</v>
      </c>
      <c r="C3422" s="0" t="str">
        <f aca="false">INDEX(Intent_Analysis!$B$5:$B$81,MATCH(B3422,Intent_Analysis!$A$5:$A$81,0))</f>
        <v>Cash, ATM &amp; deposits</v>
      </c>
      <c r="D3422" s="0" t="n">
        <f aca="false">INDEX(Intent_Analysis!$E$5:$E$81,MATCH(B3422,Intent_Analysis!$A$5:$A$81,0))</f>
        <v>2</v>
      </c>
    </row>
    <row r="3423" customFormat="false" ht="15" hidden="false" customHeight="false" outlineLevel="0" collapsed="false">
      <c r="A3423" s="0" t="s">
        <v>3747</v>
      </c>
      <c r="B3423" s="0" t="s">
        <v>75</v>
      </c>
      <c r="C3423" s="0" t="str">
        <f aca="false">INDEX(Intent_Analysis!$B$5:$B$81,MATCH(B3423,Intent_Analysis!$A$5:$A$81,0))</f>
        <v>Cash, ATM &amp; deposits</v>
      </c>
      <c r="D3423" s="0" t="n">
        <f aca="false">INDEX(Intent_Analysis!$E$5:$E$81,MATCH(B3423,Intent_Analysis!$A$5:$A$81,0))</f>
        <v>2</v>
      </c>
    </row>
    <row r="3424" customFormat="false" ht="15" hidden="false" customHeight="false" outlineLevel="0" collapsed="false">
      <c r="A3424" s="0" t="s">
        <v>3748</v>
      </c>
      <c r="B3424" s="0" t="s">
        <v>75</v>
      </c>
      <c r="C3424" s="0" t="str">
        <f aca="false">INDEX(Intent_Analysis!$B$5:$B$81,MATCH(B3424,Intent_Analysis!$A$5:$A$81,0))</f>
        <v>Cash, ATM &amp; deposits</v>
      </c>
      <c r="D3424" s="0" t="n">
        <f aca="false">INDEX(Intent_Analysis!$E$5:$E$81,MATCH(B3424,Intent_Analysis!$A$5:$A$81,0))</f>
        <v>2</v>
      </c>
    </row>
    <row r="3425" customFormat="false" ht="15" hidden="false" customHeight="false" outlineLevel="0" collapsed="false">
      <c r="A3425" s="0" t="s">
        <v>3749</v>
      </c>
      <c r="B3425" s="0" t="s">
        <v>75</v>
      </c>
      <c r="C3425" s="0" t="str">
        <f aca="false">INDEX(Intent_Analysis!$B$5:$B$81,MATCH(B3425,Intent_Analysis!$A$5:$A$81,0))</f>
        <v>Cash, ATM &amp; deposits</v>
      </c>
      <c r="D3425" s="0" t="n">
        <f aca="false">INDEX(Intent_Analysis!$E$5:$E$81,MATCH(B3425,Intent_Analysis!$A$5:$A$81,0))</f>
        <v>2</v>
      </c>
    </row>
    <row r="3426" customFormat="false" ht="15" hidden="false" customHeight="false" outlineLevel="0" collapsed="false">
      <c r="A3426" s="0" t="s">
        <v>3750</v>
      </c>
      <c r="B3426" s="0" t="s">
        <v>75</v>
      </c>
      <c r="C3426" s="0" t="str">
        <f aca="false">INDEX(Intent_Analysis!$B$5:$B$81,MATCH(B3426,Intent_Analysis!$A$5:$A$81,0))</f>
        <v>Cash, ATM &amp; deposits</v>
      </c>
      <c r="D3426" s="0" t="n">
        <f aca="false">INDEX(Intent_Analysis!$E$5:$E$81,MATCH(B3426,Intent_Analysis!$A$5:$A$81,0))</f>
        <v>2</v>
      </c>
    </row>
    <row r="3427" customFormat="false" ht="15" hidden="false" customHeight="false" outlineLevel="0" collapsed="false">
      <c r="A3427" s="0" t="s">
        <v>3751</v>
      </c>
      <c r="B3427" s="0" t="s">
        <v>75</v>
      </c>
      <c r="C3427" s="0" t="str">
        <f aca="false">INDEX(Intent_Analysis!$B$5:$B$81,MATCH(B3427,Intent_Analysis!$A$5:$A$81,0))</f>
        <v>Cash, ATM &amp; deposits</v>
      </c>
      <c r="D3427" s="0" t="n">
        <f aca="false">INDEX(Intent_Analysis!$E$5:$E$81,MATCH(B3427,Intent_Analysis!$A$5:$A$81,0))</f>
        <v>2</v>
      </c>
    </row>
    <row r="3428" customFormat="false" ht="15" hidden="false" customHeight="false" outlineLevel="0" collapsed="false">
      <c r="A3428" s="0" t="s">
        <v>3752</v>
      </c>
      <c r="B3428" s="0" t="s">
        <v>75</v>
      </c>
      <c r="C3428" s="0" t="str">
        <f aca="false">INDEX(Intent_Analysis!$B$5:$B$81,MATCH(B3428,Intent_Analysis!$A$5:$A$81,0))</f>
        <v>Cash, ATM &amp; deposits</v>
      </c>
      <c r="D3428" s="0" t="n">
        <f aca="false">INDEX(Intent_Analysis!$E$5:$E$81,MATCH(B3428,Intent_Analysis!$A$5:$A$81,0))</f>
        <v>2</v>
      </c>
    </row>
    <row r="3429" customFormat="false" ht="15" hidden="false" customHeight="false" outlineLevel="0" collapsed="false">
      <c r="A3429" s="0" t="s">
        <v>3753</v>
      </c>
      <c r="B3429" s="0" t="s">
        <v>75</v>
      </c>
      <c r="C3429" s="0" t="str">
        <f aca="false">INDEX(Intent_Analysis!$B$5:$B$81,MATCH(B3429,Intent_Analysis!$A$5:$A$81,0))</f>
        <v>Cash, ATM &amp; deposits</v>
      </c>
      <c r="D3429" s="0" t="n">
        <f aca="false">INDEX(Intent_Analysis!$E$5:$E$81,MATCH(B3429,Intent_Analysis!$A$5:$A$81,0))</f>
        <v>2</v>
      </c>
    </row>
    <row r="3430" customFormat="false" ht="15" hidden="false" customHeight="false" outlineLevel="0" collapsed="false">
      <c r="A3430" s="0" t="s">
        <v>3754</v>
      </c>
      <c r="B3430" s="0" t="s">
        <v>75</v>
      </c>
      <c r="C3430" s="0" t="str">
        <f aca="false">INDEX(Intent_Analysis!$B$5:$B$81,MATCH(B3430,Intent_Analysis!$A$5:$A$81,0))</f>
        <v>Cash, ATM &amp; deposits</v>
      </c>
      <c r="D3430" s="0" t="n">
        <f aca="false">INDEX(Intent_Analysis!$E$5:$E$81,MATCH(B3430,Intent_Analysis!$A$5:$A$81,0))</f>
        <v>2</v>
      </c>
    </row>
    <row r="3431" customFormat="false" ht="15" hidden="false" customHeight="false" outlineLevel="0" collapsed="false">
      <c r="A3431" s="0" t="s">
        <v>3755</v>
      </c>
      <c r="B3431" s="0" t="s">
        <v>75</v>
      </c>
      <c r="C3431" s="0" t="str">
        <f aca="false">INDEX(Intent_Analysis!$B$5:$B$81,MATCH(B3431,Intent_Analysis!$A$5:$A$81,0))</f>
        <v>Cash, ATM &amp; deposits</v>
      </c>
      <c r="D3431" s="0" t="n">
        <f aca="false">INDEX(Intent_Analysis!$E$5:$E$81,MATCH(B3431,Intent_Analysis!$A$5:$A$81,0))</f>
        <v>2</v>
      </c>
    </row>
    <row r="3432" customFormat="false" ht="15" hidden="false" customHeight="false" outlineLevel="0" collapsed="false">
      <c r="A3432" s="0" t="s">
        <v>3756</v>
      </c>
      <c r="B3432" s="0" t="s">
        <v>75</v>
      </c>
      <c r="C3432" s="0" t="str">
        <f aca="false">INDEX(Intent_Analysis!$B$5:$B$81,MATCH(B3432,Intent_Analysis!$A$5:$A$81,0))</f>
        <v>Cash, ATM &amp; deposits</v>
      </c>
      <c r="D3432" s="0" t="n">
        <f aca="false">INDEX(Intent_Analysis!$E$5:$E$81,MATCH(B3432,Intent_Analysis!$A$5:$A$81,0))</f>
        <v>2</v>
      </c>
    </row>
    <row r="3433" customFormat="false" ht="15" hidden="false" customHeight="false" outlineLevel="0" collapsed="false">
      <c r="A3433" s="0" t="s">
        <v>3757</v>
      </c>
      <c r="B3433" s="0" t="s">
        <v>75</v>
      </c>
      <c r="C3433" s="0" t="str">
        <f aca="false">INDEX(Intent_Analysis!$B$5:$B$81,MATCH(B3433,Intent_Analysis!$A$5:$A$81,0))</f>
        <v>Cash, ATM &amp; deposits</v>
      </c>
      <c r="D3433" s="0" t="n">
        <f aca="false">INDEX(Intent_Analysis!$E$5:$E$81,MATCH(B3433,Intent_Analysis!$A$5:$A$81,0))</f>
        <v>2</v>
      </c>
    </row>
    <row r="3434" customFormat="false" ht="15" hidden="false" customHeight="false" outlineLevel="0" collapsed="false">
      <c r="A3434" s="0" t="s">
        <v>3758</v>
      </c>
      <c r="B3434" s="0" t="s">
        <v>75</v>
      </c>
      <c r="C3434" s="0" t="str">
        <f aca="false">INDEX(Intent_Analysis!$B$5:$B$81,MATCH(B3434,Intent_Analysis!$A$5:$A$81,0))</f>
        <v>Cash, ATM &amp; deposits</v>
      </c>
      <c r="D3434" s="0" t="n">
        <f aca="false">INDEX(Intent_Analysis!$E$5:$E$81,MATCH(B3434,Intent_Analysis!$A$5:$A$81,0))</f>
        <v>2</v>
      </c>
    </row>
    <row r="3435" customFormat="false" ht="15" hidden="false" customHeight="false" outlineLevel="0" collapsed="false">
      <c r="A3435" s="0" t="s">
        <v>3759</v>
      </c>
      <c r="B3435" s="0" t="s">
        <v>75</v>
      </c>
      <c r="C3435" s="0" t="str">
        <f aca="false">INDEX(Intent_Analysis!$B$5:$B$81,MATCH(B3435,Intent_Analysis!$A$5:$A$81,0))</f>
        <v>Cash, ATM &amp; deposits</v>
      </c>
      <c r="D3435" s="0" t="n">
        <f aca="false">INDEX(Intent_Analysis!$E$5:$E$81,MATCH(B3435,Intent_Analysis!$A$5:$A$81,0))</f>
        <v>2</v>
      </c>
    </row>
    <row r="3436" customFormat="false" ht="15" hidden="false" customHeight="false" outlineLevel="0" collapsed="false">
      <c r="A3436" s="0" t="s">
        <v>3760</v>
      </c>
      <c r="B3436" s="0" t="s">
        <v>75</v>
      </c>
      <c r="C3436" s="0" t="str">
        <f aca="false">INDEX(Intent_Analysis!$B$5:$B$81,MATCH(B3436,Intent_Analysis!$A$5:$A$81,0))</f>
        <v>Cash, ATM &amp; deposits</v>
      </c>
      <c r="D3436" s="0" t="n">
        <f aca="false">INDEX(Intent_Analysis!$E$5:$E$81,MATCH(B3436,Intent_Analysis!$A$5:$A$81,0))</f>
        <v>2</v>
      </c>
    </row>
    <row r="3437" customFormat="false" ht="15" hidden="false" customHeight="false" outlineLevel="0" collapsed="false">
      <c r="A3437" s="0" t="s">
        <v>3761</v>
      </c>
      <c r="B3437" s="0" t="s">
        <v>75</v>
      </c>
      <c r="C3437" s="0" t="str">
        <f aca="false">INDEX(Intent_Analysis!$B$5:$B$81,MATCH(B3437,Intent_Analysis!$A$5:$A$81,0))</f>
        <v>Cash, ATM &amp; deposits</v>
      </c>
      <c r="D3437" s="0" t="n">
        <f aca="false">INDEX(Intent_Analysis!$E$5:$E$81,MATCH(B3437,Intent_Analysis!$A$5:$A$81,0))</f>
        <v>2</v>
      </c>
    </row>
    <row r="3438" customFormat="false" ht="15" hidden="false" customHeight="false" outlineLevel="0" collapsed="false">
      <c r="A3438" s="0" t="s">
        <v>3762</v>
      </c>
      <c r="B3438" s="0" t="s">
        <v>75</v>
      </c>
      <c r="C3438" s="0" t="str">
        <f aca="false">INDEX(Intent_Analysis!$B$5:$B$81,MATCH(B3438,Intent_Analysis!$A$5:$A$81,0))</f>
        <v>Cash, ATM &amp; deposits</v>
      </c>
      <c r="D3438" s="0" t="n">
        <f aca="false">INDEX(Intent_Analysis!$E$5:$E$81,MATCH(B3438,Intent_Analysis!$A$5:$A$81,0))</f>
        <v>2</v>
      </c>
    </row>
    <row r="3439" customFormat="false" ht="15" hidden="false" customHeight="false" outlineLevel="0" collapsed="false">
      <c r="A3439" s="0" t="s">
        <v>3763</v>
      </c>
      <c r="B3439" s="0" t="s">
        <v>75</v>
      </c>
      <c r="C3439" s="0" t="str">
        <f aca="false">INDEX(Intent_Analysis!$B$5:$B$81,MATCH(B3439,Intent_Analysis!$A$5:$A$81,0))</f>
        <v>Cash, ATM &amp; deposits</v>
      </c>
      <c r="D3439" s="0" t="n">
        <f aca="false">INDEX(Intent_Analysis!$E$5:$E$81,MATCH(B3439,Intent_Analysis!$A$5:$A$81,0))</f>
        <v>2</v>
      </c>
    </row>
    <row r="3440" customFormat="false" ht="15" hidden="false" customHeight="false" outlineLevel="0" collapsed="false">
      <c r="A3440" s="0" t="s">
        <v>3764</v>
      </c>
      <c r="B3440" s="0" t="s">
        <v>75</v>
      </c>
      <c r="C3440" s="0" t="str">
        <f aca="false">INDEX(Intent_Analysis!$B$5:$B$81,MATCH(B3440,Intent_Analysis!$A$5:$A$81,0))</f>
        <v>Cash, ATM &amp; deposits</v>
      </c>
      <c r="D3440" s="0" t="n">
        <f aca="false">INDEX(Intent_Analysis!$E$5:$E$81,MATCH(B3440,Intent_Analysis!$A$5:$A$81,0))</f>
        <v>2</v>
      </c>
    </row>
    <row r="3441" customFormat="false" ht="15" hidden="false" customHeight="false" outlineLevel="0" collapsed="false">
      <c r="A3441" s="0" t="s">
        <v>3765</v>
      </c>
      <c r="B3441" s="0" t="s">
        <v>75</v>
      </c>
      <c r="C3441" s="0" t="str">
        <f aca="false">INDEX(Intent_Analysis!$B$5:$B$81,MATCH(B3441,Intent_Analysis!$A$5:$A$81,0))</f>
        <v>Cash, ATM &amp; deposits</v>
      </c>
      <c r="D3441" s="0" t="n">
        <f aca="false">INDEX(Intent_Analysis!$E$5:$E$81,MATCH(B3441,Intent_Analysis!$A$5:$A$81,0))</f>
        <v>2</v>
      </c>
    </row>
    <row r="3442" customFormat="false" ht="15" hidden="false" customHeight="false" outlineLevel="0" collapsed="false">
      <c r="A3442" s="0" t="s">
        <v>3766</v>
      </c>
      <c r="B3442" s="0" t="s">
        <v>75</v>
      </c>
      <c r="C3442" s="0" t="str">
        <f aca="false">INDEX(Intent_Analysis!$B$5:$B$81,MATCH(B3442,Intent_Analysis!$A$5:$A$81,0))</f>
        <v>Cash, ATM &amp; deposits</v>
      </c>
      <c r="D3442" s="0" t="n">
        <f aca="false">INDEX(Intent_Analysis!$E$5:$E$81,MATCH(B3442,Intent_Analysis!$A$5:$A$81,0))</f>
        <v>2</v>
      </c>
    </row>
    <row r="3443" customFormat="false" ht="15" hidden="false" customHeight="false" outlineLevel="0" collapsed="false">
      <c r="A3443" s="0" t="s">
        <v>3767</v>
      </c>
      <c r="B3443" s="0" t="s">
        <v>75</v>
      </c>
      <c r="C3443" s="0" t="str">
        <f aca="false">INDEX(Intent_Analysis!$B$5:$B$81,MATCH(B3443,Intent_Analysis!$A$5:$A$81,0))</f>
        <v>Cash, ATM &amp; deposits</v>
      </c>
      <c r="D3443" s="0" t="n">
        <f aca="false">INDEX(Intent_Analysis!$E$5:$E$81,MATCH(B3443,Intent_Analysis!$A$5:$A$81,0))</f>
        <v>2</v>
      </c>
    </row>
    <row r="3444" customFormat="false" ht="15" hidden="false" customHeight="false" outlineLevel="0" collapsed="false">
      <c r="A3444" s="0" t="s">
        <v>3768</v>
      </c>
      <c r="B3444" s="0" t="s">
        <v>75</v>
      </c>
      <c r="C3444" s="0" t="str">
        <f aca="false">INDEX(Intent_Analysis!$B$5:$B$81,MATCH(B3444,Intent_Analysis!$A$5:$A$81,0))</f>
        <v>Cash, ATM &amp; deposits</v>
      </c>
      <c r="D3444" s="0" t="n">
        <f aca="false">INDEX(Intent_Analysis!$E$5:$E$81,MATCH(B3444,Intent_Analysis!$A$5:$A$81,0))</f>
        <v>2</v>
      </c>
    </row>
    <row r="3445" customFormat="false" ht="15" hidden="false" customHeight="false" outlineLevel="0" collapsed="false">
      <c r="A3445" s="0" t="s">
        <v>3769</v>
      </c>
      <c r="B3445" s="0" t="s">
        <v>75</v>
      </c>
      <c r="C3445" s="0" t="str">
        <f aca="false">INDEX(Intent_Analysis!$B$5:$B$81,MATCH(B3445,Intent_Analysis!$A$5:$A$81,0))</f>
        <v>Cash, ATM &amp; deposits</v>
      </c>
      <c r="D3445" s="0" t="n">
        <f aca="false">INDEX(Intent_Analysis!$E$5:$E$81,MATCH(B3445,Intent_Analysis!$A$5:$A$81,0))</f>
        <v>2</v>
      </c>
    </row>
    <row r="3446" customFormat="false" ht="15" hidden="false" customHeight="false" outlineLevel="0" collapsed="false">
      <c r="A3446" s="0" t="s">
        <v>3770</v>
      </c>
      <c r="B3446" s="0" t="s">
        <v>75</v>
      </c>
      <c r="C3446" s="0" t="str">
        <f aca="false">INDEX(Intent_Analysis!$B$5:$B$81,MATCH(B3446,Intent_Analysis!$A$5:$A$81,0))</f>
        <v>Cash, ATM &amp; deposits</v>
      </c>
      <c r="D3446" s="0" t="n">
        <f aca="false">INDEX(Intent_Analysis!$E$5:$E$81,MATCH(B3446,Intent_Analysis!$A$5:$A$81,0))</f>
        <v>2</v>
      </c>
    </row>
    <row r="3447" customFormat="false" ht="15" hidden="false" customHeight="false" outlineLevel="0" collapsed="false">
      <c r="A3447" s="0" t="s">
        <v>3771</v>
      </c>
      <c r="B3447" s="0" t="s">
        <v>75</v>
      </c>
      <c r="C3447" s="0" t="str">
        <f aca="false">INDEX(Intent_Analysis!$B$5:$B$81,MATCH(B3447,Intent_Analysis!$A$5:$A$81,0))</f>
        <v>Cash, ATM &amp; deposits</v>
      </c>
      <c r="D3447" s="0" t="n">
        <f aca="false">INDEX(Intent_Analysis!$E$5:$E$81,MATCH(B3447,Intent_Analysis!$A$5:$A$81,0))</f>
        <v>2</v>
      </c>
    </row>
    <row r="3448" customFormat="false" ht="15" hidden="false" customHeight="false" outlineLevel="0" collapsed="false">
      <c r="A3448" s="0" t="s">
        <v>3772</v>
      </c>
      <c r="B3448" s="0" t="s">
        <v>75</v>
      </c>
      <c r="C3448" s="0" t="str">
        <f aca="false">INDEX(Intent_Analysis!$B$5:$B$81,MATCH(B3448,Intent_Analysis!$A$5:$A$81,0))</f>
        <v>Cash, ATM &amp; deposits</v>
      </c>
      <c r="D3448" s="0" t="n">
        <f aca="false">INDEX(Intent_Analysis!$E$5:$E$81,MATCH(B3448,Intent_Analysis!$A$5:$A$81,0))</f>
        <v>2</v>
      </c>
    </row>
    <row r="3449" customFormat="false" ht="15" hidden="false" customHeight="false" outlineLevel="0" collapsed="false">
      <c r="A3449" s="0" t="s">
        <v>3773</v>
      </c>
      <c r="B3449" s="0" t="s">
        <v>75</v>
      </c>
      <c r="C3449" s="0" t="str">
        <f aca="false">INDEX(Intent_Analysis!$B$5:$B$81,MATCH(B3449,Intent_Analysis!$A$5:$A$81,0))</f>
        <v>Cash, ATM &amp; deposits</v>
      </c>
      <c r="D3449" s="0" t="n">
        <f aca="false">INDEX(Intent_Analysis!$E$5:$E$81,MATCH(B3449,Intent_Analysis!$A$5:$A$81,0))</f>
        <v>2</v>
      </c>
    </row>
    <row r="3450" customFormat="false" ht="15" hidden="false" customHeight="false" outlineLevel="0" collapsed="false">
      <c r="A3450" s="0" t="s">
        <v>3774</v>
      </c>
      <c r="B3450" s="0" t="s">
        <v>75</v>
      </c>
      <c r="C3450" s="0" t="str">
        <f aca="false">INDEX(Intent_Analysis!$B$5:$B$81,MATCH(B3450,Intent_Analysis!$A$5:$A$81,0))</f>
        <v>Cash, ATM &amp; deposits</v>
      </c>
      <c r="D3450" s="0" t="n">
        <f aca="false">INDEX(Intent_Analysis!$E$5:$E$81,MATCH(B3450,Intent_Analysis!$A$5:$A$81,0))</f>
        <v>2</v>
      </c>
    </row>
    <row r="3451" customFormat="false" ht="15" hidden="false" customHeight="false" outlineLevel="0" collapsed="false">
      <c r="A3451" s="0" t="s">
        <v>3775</v>
      </c>
      <c r="B3451" s="0" t="s">
        <v>75</v>
      </c>
      <c r="C3451" s="0" t="str">
        <f aca="false">INDEX(Intent_Analysis!$B$5:$B$81,MATCH(B3451,Intent_Analysis!$A$5:$A$81,0))</f>
        <v>Cash, ATM &amp; deposits</v>
      </c>
      <c r="D3451" s="0" t="n">
        <f aca="false">INDEX(Intent_Analysis!$E$5:$E$81,MATCH(B3451,Intent_Analysis!$A$5:$A$81,0))</f>
        <v>2</v>
      </c>
    </row>
    <row r="3452" customFormat="false" ht="15" hidden="false" customHeight="false" outlineLevel="0" collapsed="false">
      <c r="A3452" s="0" t="s">
        <v>3776</v>
      </c>
      <c r="B3452" s="0" t="s">
        <v>75</v>
      </c>
      <c r="C3452" s="0" t="str">
        <f aca="false">INDEX(Intent_Analysis!$B$5:$B$81,MATCH(B3452,Intent_Analysis!$A$5:$A$81,0))</f>
        <v>Cash, ATM &amp; deposits</v>
      </c>
      <c r="D3452" s="0" t="n">
        <f aca="false">INDEX(Intent_Analysis!$E$5:$E$81,MATCH(B3452,Intent_Analysis!$A$5:$A$81,0))</f>
        <v>2</v>
      </c>
    </row>
    <row r="3453" customFormat="false" ht="15" hidden="false" customHeight="false" outlineLevel="0" collapsed="false">
      <c r="A3453" s="0" t="s">
        <v>3777</v>
      </c>
      <c r="B3453" s="0" t="s">
        <v>75</v>
      </c>
      <c r="C3453" s="0" t="str">
        <f aca="false">INDEX(Intent_Analysis!$B$5:$B$81,MATCH(B3453,Intent_Analysis!$A$5:$A$81,0))</f>
        <v>Cash, ATM &amp; deposits</v>
      </c>
      <c r="D3453" s="0" t="n">
        <f aca="false">INDEX(Intent_Analysis!$E$5:$E$81,MATCH(B3453,Intent_Analysis!$A$5:$A$81,0))</f>
        <v>2</v>
      </c>
    </row>
    <row r="3454" customFormat="false" ht="15" hidden="false" customHeight="false" outlineLevel="0" collapsed="false">
      <c r="A3454" s="0" t="s">
        <v>3778</v>
      </c>
      <c r="B3454" s="0" t="s">
        <v>75</v>
      </c>
      <c r="C3454" s="0" t="str">
        <f aca="false">INDEX(Intent_Analysis!$B$5:$B$81,MATCH(B3454,Intent_Analysis!$A$5:$A$81,0))</f>
        <v>Cash, ATM &amp; deposits</v>
      </c>
      <c r="D3454" s="0" t="n">
        <f aca="false">INDEX(Intent_Analysis!$E$5:$E$81,MATCH(B3454,Intent_Analysis!$A$5:$A$81,0))</f>
        <v>2</v>
      </c>
    </row>
    <row r="3455" customFormat="false" ht="15" hidden="false" customHeight="false" outlineLevel="0" collapsed="false">
      <c r="A3455" s="0" t="s">
        <v>3779</v>
      </c>
      <c r="B3455" s="0" t="s">
        <v>75</v>
      </c>
      <c r="C3455" s="0" t="str">
        <f aca="false">INDEX(Intent_Analysis!$B$5:$B$81,MATCH(B3455,Intent_Analysis!$A$5:$A$81,0))</f>
        <v>Cash, ATM &amp; deposits</v>
      </c>
      <c r="D3455" s="0" t="n">
        <f aca="false">INDEX(Intent_Analysis!$E$5:$E$81,MATCH(B3455,Intent_Analysis!$A$5:$A$81,0))</f>
        <v>2</v>
      </c>
    </row>
    <row r="3456" customFormat="false" ht="15" hidden="false" customHeight="false" outlineLevel="0" collapsed="false">
      <c r="A3456" s="0" t="s">
        <v>3780</v>
      </c>
      <c r="B3456" s="0" t="s">
        <v>75</v>
      </c>
      <c r="C3456" s="0" t="str">
        <f aca="false">INDEX(Intent_Analysis!$B$5:$B$81,MATCH(B3456,Intent_Analysis!$A$5:$A$81,0))</f>
        <v>Cash, ATM &amp; deposits</v>
      </c>
      <c r="D3456" s="0" t="n">
        <f aca="false">INDEX(Intent_Analysis!$E$5:$E$81,MATCH(B3456,Intent_Analysis!$A$5:$A$81,0))</f>
        <v>2</v>
      </c>
    </row>
    <row r="3457" customFormat="false" ht="15" hidden="false" customHeight="false" outlineLevel="0" collapsed="false">
      <c r="A3457" s="0" t="s">
        <v>3781</v>
      </c>
      <c r="B3457" s="0" t="s">
        <v>75</v>
      </c>
      <c r="C3457" s="0" t="str">
        <f aca="false">INDEX(Intent_Analysis!$B$5:$B$81,MATCH(B3457,Intent_Analysis!$A$5:$A$81,0))</f>
        <v>Cash, ATM &amp; deposits</v>
      </c>
      <c r="D3457" s="0" t="n">
        <f aca="false">INDEX(Intent_Analysis!$E$5:$E$81,MATCH(B3457,Intent_Analysis!$A$5:$A$81,0))</f>
        <v>2</v>
      </c>
    </row>
    <row r="3458" customFormat="false" ht="15" hidden="false" customHeight="false" outlineLevel="0" collapsed="false">
      <c r="A3458" s="0" t="s">
        <v>3782</v>
      </c>
      <c r="B3458" s="0" t="s">
        <v>75</v>
      </c>
      <c r="C3458" s="0" t="str">
        <f aca="false">INDEX(Intent_Analysis!$B$5:$B$81,MATCH(B3458,Intent_Analysis!$A$5:$A$81,0))</f>
        <v>Cash, ATM &amp; deposits</v>
      </c>
      <c r="D3458" s="0" t="n">
        <f aca="false">INDEX(Intent_Analysis!$E$5:$E$81,MATCH(B3458,Intent_Analysis!$A$5:$A$81,0))</f>
        <v>2</v>
      </c>
    </row>
    <row r="3459" customFormat="false" ht="15" hidden="false" customHeight="false" outlineLevel="0" collapsed="false">
      <c r="A3459" s="0" t="s">
        <v>3783</v>
      </c>
      <c r="B3459" s="0" t="s">
        <v>75</v>
      </c>
      <c r="C3459" s="0" t="str">
        <f aca="false">INDEX(Intent_Analysis!$B$5:$B$81,MATCH(B3459,Intent_Analysis!$A$5:$A$81,0))</f>
        <v>Cash, ATM &amp; deposits</v>
      </c>
      <c r="D3459" s="0" t="n">
        <f aca="false">INDEX(Intent_Analysis!$E$5:$E$81,MATCH(B3459,Intent_Analysis!$A$5:$A$81,0))</f>
        <v>2</v>
      </c>
    </row>
    <row r="3460" customFormat="false" ht="15" hidden="false" customHeight="false" outlineLevel="0" collapsed="false">
      <c r="A3460" s="0" t="s">
        <v>3784</v>
      </c>
      <c r="B3460" s="0" t="s">
        <v>75</v>
      </c>
      <c r="C3460" s="0" t="str">
        <f aca="false">INDEX(Intent_Analysis!$B$5:$B$81,MATCH(B3460,Intent_Analysis!$A$5:$A$81,0))</f>
        <v>Cash, ATM &amp; deposits</v>
      </c>
      <c r="D3460" s="0" t="n">
        <f aca="false">INDEX(Intent_Analysis!$E$5:$E$81,MATCH(B3460,Intent_Analysis!$A$5:$A$81,0))</f>
        <v>2</v>
      </c>
    </row>
    <row r="3461" customFormat="false" ht="15" hidden="false" customHeight="false" outlineLevel="0" collapsed="false">
      <c r="A3461" s="0" t="s">
        <v>3785</v>
      </c>
      <c r="B3461" s="0" t="s">
        <v>75</v>
      </c>
      <c r="C3461" s="0" t="str">
        <f aca="false">INDEX(Intent_Analysis!$B$5:$B$81,MATCH(B3461,Intent_Analysis!$A$5:$A$81,0))</f>
        <v>Cash, ATM &amp; deposits</v>
      </c>
      <c r="D3461" s="0" t="n">
        <f aca="false">INDEX(Intent_Analysis!$E$5:$E$81,MATCH(B3461,Intent_Analysis!$A$5:$A$81,0))</f>
        <v>2</v>
      </c>
    </row>
    <row r="3462" customFormat="false" ht="15" hidden="false" customHeight="false" outlineLevel="0" collapsed="false">
      <c r="A3462" s="0" t="s">
        <v>3786</v>
      </c>
      <c r="B3462" s="0" t="s">
        <v>75</v>
      </c>
      <c r="C3462" s="0" t="str">
        <f aca="false">INDEX(Intent_Analysis!$B$5:$B$81,MATCH(B3462,Intent_Analysis!$A$5:$A$81,0))</f>
        <v>Cash, ATM &amp; deposits</v>
      </c>
      <c r="D3462" s="0" t="n">
        <f aca="false">INDEX(Intent_Analysis!$E$5:$E$81,MATCH(B3462,Intent_Analysis!$A$5:$A$81,0))</f>
        <v>2</v>
      </c>
    </row>
    <row r="3463" customFormat="false" ht="15" hidden="false" customHeight="false" outlineLevel="0" collapsed="false">
      <c r="A3463" s="0" t="s">
        <v>3787</v>
      </c>
      <c r="B3463" s="0" t="s">
        <v>75</v>
      </c>
      <c r="C3463" s="0" t="str">
        <f aca="false">INDEX(Intent_Analysis!$B$5:$B$81,MATCH(B3463,Intent_Analysis!$A$5:$A$81,0))</f>
        <v>Cash, ATM &amp; deposits</v>
      </c>
      <c r="D3463" s="0" t="n">
        <f aca="false">INDEX(Intent_Analysis!$E$5:$E$81,MATCH(B3463,Intent_Analysis!$A$5:$A$81,0))</f>
        <v>2</v>
      </c>
    </row>
    <row r="3464" customFormat="false" ht="15" hidden="false" customHeight="false" outlineLevel="0" collapsed="false">
      <c r="A3464" s="0" t="s">
        <v>3788</v>
      </c>
      <c r="B3464" s="0" t="s">
        <v>75</v>
      </c>
      <c r="C3464" s="0" t="str">
        <f aca="false">INDEX(Intent_Analysis!$B$5:$B$81,MATCH(B3464,Intent_Analysis!$A$5:$A$81,0))</f>
        <v>Cash, ATM &amp; deposits</v>
      </c>
      <c r="D3464" s="0" t="n">
        <f aca="false">INDEX(Intent_Analysis!$E$5:$E$81,MATCH(B3464,Intent_Analysis!$A$5:$A$81,0))</f>
        <v>2</v>
      </c>
    </row>
    <row r="3465" customFormat="false" ht="15" hidden="false" customHeight="false" outlineLevel="0" collapsed="false">
      <c r="A3465" s="0" t="s">
        <v>3789</v>
      </c>
      <c r="B3465" s="0" t="s">
        <v>75</v>
      </c>
      <c r="C3465" s="0" t="str">
        <f aca="false">INDEX(Intent_Analysis!$B$5:$B$81,MATCH(B3465,Intent_Analysis!$A$5:$A$81,0))</f>
        <v>Cash, ATM &amp; deposits</v>
      </c>
      <c r="D3465" s="0" t="n">
        <f aca="false">INDEX(Intent_Analysis!$E$5:$E$81,MATCH(B3465,Intent_Analysis!$A$5:$A$81,0))</f>
        <v>2</v>
      </c>
    </row>
    <row r="3466" customFormat="false" ht="15" hidden="false" customHeight="false" outlineLevel="0" collapsed="false">
      <c r="A3466" s="0" t="s">
        <v>3790</v>
      </c>
      <c r="B3466" s="0" t="s">
        <v>75</v>
      </c>
      <c r="C3466" s="0" t="str">
        <f aca="false">INDEX(Intent_Analysis!$B$5:$B$81,MATCH(B3466,Intent_Analysis!$A$5:$A$81,0))</f>
        <v>Cash, ATM &amp; deposits</v>
      </c>
      <c r="D3466" s="0" t="n">
        <f aca="false">INDEX(Intent_Analysis!$E$5:$E$81,MATCH(B3466,Intent_Analysis!$A$5:$A$81,0))</f>
        <v>2</v>
      </c>
    </row>
    <row r="3467" customFormat="false" ht="15" hidden="false" customHeight="false" outlineLevel="0" collapsed="false">
      <c r="A3467" s="0" t="s">
        <v>3791</v>
      </c>
      <c r="B3467" s="0" t="s">
        <v>75</v>
      </c>
      <c r="C3467" s="0" t="str">
        <f aca="false">INDEX(Intent_Analysis!$B$5:$B$81,MATCH(B3467,Intent_Analysis!$A$5:$A$81,0))</f>
        <v>Cash, ATM &amp; deposits</v>
      </c>
      <c r="D3467" s="0" t="n">
        <f aca="false">INDEX(Intent_Analysis!$E$5:$E$81,MATCH(B3467,Intent_Analysis!$A$5:$A$81,0))</f>
        <v>2</v>
      </c>
    </row>
    <row r="3468" customFormat="false" ht="15" hidden="false" customHeight="false" outlineLevel="0" collapsed="false">
      <c r="A3468" s="0" t="s">
        <v>3792</v>
      </c>
      <c r="B3468" s="0" t="s">
        <v>75</v>
      </c>
      <c r="C3468" s="0" t="str">
        <f aca="false">INDEX(Intent_Analysis!$B$5:$B$81,MATCH(B3468,Intent_Analysis!$A$5:$A$81,0))</f>
        <v>Cash, ATM &amp; deposits</v>
      </c>
      <c r="D3468" s="0" t="n">
        <f aca="false">INDEX(Intent_Analysis!$E$5:$E$81,MATCH(B3468,Intent_Analysis!$A$5:$A$81,0))</f>
        <v>2</v>
      </c>
    </row>
    <row r="3469" customFormat="false" ht="15" hidden="false" customHeight="false" outlineLevel="0" collapsed="false">
      <c r="A3469" s="0" t="s">
        <v>3793</v>
      </c>
      <c r="B3469" s="0" t="s">
        <v>75</v>
      </c>
      <c r="C3469" s="0" t="str">
        <f aca="false">INDEX(Intent_Analysis!$B$5:$B$81,MATCH(B3469,Intent_Analysis!$A$5:$A$81,0))</f>
        <v>Cash, ATM &amp; deposits</v>
      </c>
      <c r="D3469" s="0" t="n">
        <f aca="false">INDEX(Intent_Analysis!$E$5:$E$81,MATCH(B3469,Intent_Analysis!$A$5:$A$81,0))</f>
        <v>2</v>
      </c>
    </row>
    <row r="3470" customFormat="false" ht="15" hidden="false" customHeight="false" outlineLevel="0" collapsed="false">
      <c r="A3470" s="0" t="s">
        <v>3794</v>
      </c>
      <c r="B3470" s="0" t="s">
        <v>75</v>
      </c>
      <c r="C3470" s="0" t="str">
        <f aca="false">INDEX(Intent_Analysis!$B$5:$B$81,MATCH(B3470,Intent_Analysis!$A$5:$A$81,0))</f>
        <v>Cash, ATM &amp; deposits</v>
      </c>
      <c r="D3470" s="0" t="n">
        <f aca="false">INDEX(Intent_Analysis!$E$5:$E$81,MATCH(B3470,Intent_Analysis!$A$5:$A$81,0))</f>
        <v>2</v>
      </c>
    </row>
    <row r="3471" customFormat="false" ht="15" hidden="false" customHeight="false" outlineLevel="0" collapsed="false">
      <c r="A3471" s="0" t="s">
        <v>3795</v>
      </c>
      <c r="B3471" s="0" t="s">
        <v>75</v>
      </c>
      <c r="C3471" s="0" t="str">
        <f aca="false">INDEX(Intent_Analysis!$B$5:$B$81,MATCH(B3471,Intent_Analysis!$A$5:$A$81,0))</f>
        <v>Cash, ATM &amp; deposits</v>
      </c>
      <c r="D3471" s="0" t="n">
        <f aca="false">INDEX(Intent_Analysis!$E$5:$E$81,MATCH(B3471,Intent_Analysis!$A$5:$A$81,0))</f>
        <v>2</v>
      </c>
    </row>
    <row r="3472" customFormat="false" ht="15" hidden="false" customHeight="false" outlineLevel="0" collapsed="false">
      <c r="A3472" s="0" t="s">
        <v>3796</v>
      </c>
      <c r="B3472" s="0" t="s">
        <v>75</v>
      </c>
      <c r="C3472" s="0" t="str">
        <f aca="false">INDEX(Intent_Analysis!$B$5:$B$81,MATCH(B3472,Intent_Analysis!$A$5:$A$81,0))</f>
        <v>Cash, ATM &amp; deposits</v>
      </c>
      <c r="D3472" s="0" t="n">
        <f aca="false">INDEX(Intent_Analysis!$E$5:$E$81,MATCH(B3472,Intent_Analysis!$A$5:$A$81,0))</f>
        <v>2</v>
      </c>
    </row>
    <row r="3473" customFormat="false" ht="15" hidden="false" customHeight="false" outlineLevel="0" collapsed="false">
      <c r="A3473" s="0" t="s">
        <v>3797</v>
      </c>
      <c r="B3473" s="0" t="s">
        <v>75</v>
      </c>
      <c r="C3473" s="0" t="str">
        <f aca="false">INDEX(Intent_Analysis!$B$5:$B$81,MATCH(B3473,Intent_Analysis!$A$5:$A$81,0))</f>
        <v>Cash, ATM &amp; deposits</v>
      </c>
      <c r="D3473" s="0" t="n">
        <f aca="false">INDEX(Intent_Analysis!$E$5:$E$81,MATCH(B3473,Intent_Analysis!$A$5:$A$81,0))</f>
        <v>2</v>
      </c>
    </row>
    <row r="3474" customFormat="false" ht="15" hidden="false" customHeight="false" outlineLevel="0" collapsed="false">
      <c r="A3474" s="0" t="s">
        <v>3798</v>
      </c>
      <c r="B3474" s="0" t="s">
        <v>75</v>
      </c>
      <c r="C3474" s="0" t="str">
        <f aca="false">INDEX(Intent_Analysis!$B$5:$B$81,MATCH(B3474,Intent_Analysis!$A$5:$A$81,0))</f>
        <v>Cash, ATM &amp; deposits</v>
      </c>
      <c r="D3474" s="0" t="n">
        <f aca="false">INDEX(Intent_Analysis!$E$5:$E$81,MATCH(B3474,Intent_Analysis!$A$5:$A$81,0))</f>
        <v>2</v>
      </c>
    </row>
    <row r="3475" customFormat="false" ht="15" hidden="false" customHeight="false" outlineLevel="0" collapsed="false">
      <c r="A3475" s="0" t="s">
        <v>3799</v>
      </c>
      <c r="B3475" s="0" t="s">
        <v>75</v>
      </c>
      <c r="C3475" s="0" t="str">
        <f aca="false">INDEX(Intent_Analysis!$B$5:$B$81,MATCH(B3475,Intent_Analysis!$A$5:$A$81,0))</f>
        <v>Cash, ATM &amp; deposits</v>
      </c>
      <c r="D3475" s="0" t="n">
        <f aca="false">INDEX(Intent_Analysis!$E$5:$E$81,MATCH(B3475,Intent_Analysis!$A$5:$A$81,0))</f>
        <v>2</v>
      </c>
    </row>
    <row r="3476" customFormat="false" ht="15" hidden="false" customHeight="false" outlineLevel="0" collapsed="false">
      <c r="A3476" s="0" t="s">
        <v>3800</v>
      </c>
      <c r="B3476" s="0" t="s">
        <v>75</v>
      </c>
      <c r="C3476" s="0" t="str">
        <f aca="false">INDEX(Intent_Analysis!$B$5:$B$81,MATCH(B3476,Intent_Analysis!$A$5:$A$81,0))</f>
        <v>Cash, ATM &amp; deposits</v>
      </c>
      <c r="D3476" s="0" t="n">
        <f aca="false">INDEX(Intent_Analysis!$E$5:$E$81,MATCH(B3476,Intent_Analysis!$A$5:$A$81,0))</f>
        <v>2</v>
      </c>
    </row>
    <row r="3477" customFormat="false" ht="15" hidden="false" customHeight="false" outlineLevel="0" collapsed="false">
      <c r="A3477" s="0" t="s">
        <v>3801</v>
      </c>
      <c r="B3477" s="0" t="s">
        <v>75</v>
      </c>
      <c r="C3477" s="0" t="str">
        <f aca="false">INDEX(Intent_Analysis!$B$5:$B$81,MATCH(B3477,Intent_Analysis!$A$5:$A$81,0))</f>
        <v>Cash, ATM &amp; deposits</v>
      </c>
      <c r="D3477" s="0" t="n">
        <f aca="false">INDEX(Intent_Analysis!$E$5:$E$81,MATCH(B3477,Intent_Analysis!$A$5:$A$81,0))</f>
        <v>2</v>
      </c>
    </row>
    <row r="3478" customFormat="false" ht="15" hidden="false" customHeight="false" outlineLevel="0" collapsed="false">
      <c r="A3478" s="0" t="s">
        <v>3802</v>
      </c>
      <c r="B3478" s="0" t="s">
        <v>75</v>
      </c>
      <c r="C3478" s="0" t="str">
        <f aca="false">INDEX(Intent_Analysis!$B$5:$B$81,MATCH(B3478,Intent_Analysis!$A$5:$A$81,0))</f>
        <v>Cash, ATM &amp; deposits</v>
      </c>
      <c r="D3478" s="0" t="n">
        <f aca="false">INDEX(Intent_Analysis!$E$5:$E$81,MATCH(B3478,Intent_Analysis!$A$5:$A$81,0))</f>
        <v>2</v>
      </c>
    </row>
    <row r="3479" customFormat="false" ht="15" hidden="false" customHeight="false" outlineLevel="0" collapsed="false">
      <c r="A3479" s="0" t="s">
        <v>3803</v>
      </c>
      <c r="B3479" s="0" t="s">
        <v>75</v>
      </c>
      <c r="C3479" s="0" t="str">
        <f aca="false">INDEX(Intent_Analysis!$B$5:$B$81,MATCH(B3479,Intent_Analysis!$A$5:$A$81,0))</f>
        <v>Cash, ATM &amp; deposits</v>
      </c>
      <c r="D3479" s="0" t="n">
        <f aca="false">INDEX(Intent_Analysis!$E$5:$E$81,MATCH(B3479,Intent_Analysis!$A$5:$A$81,0))</f>
        <v>2</v>
      </c>
    </row>
    <row r="3480" customFormat="false" ht="15" hidden="false" customHeight="false" outlineLevel="0" collapsed="false">
      <c r="A3480" s="0" t="s">
        <v>3804</v>
      </c>
      <c r="B3480" s="0" t="s">
        <v>75</v>
      </c>
      <c r="C3480" s="0" t="str">
        <f aca="false">INDEX(Intent_Analysis!$B$5:$B$81,MATCH(B3480,Intent_Analysis!$A$5:$A$81,0))</f>
        <v>Cash, ATM &amp; deposits</v>
      </c>
      <c r="D3480" s="0" t="n">
        <f aca="false">INDEX(Intent_Analysis!$E$5:$E$81,MATCH(B3480,Intent_Analysis!$A$5:$A$81,0))</f>
        <v>2</v>
      </c>
    </row>
    <row r="3481" customFormat="false" ht="15" hidden="false" customHeight="false" outlineLevel="0" collapsed="false">
      <c r="A3481" s="0" t="s">
        <v>3805</v>
      </c>
      <c r="B3481" s="0" t="s">
        <v>75</v>
      </c>
      <c r="C3481" s="0" t="str">
        <f aca="false">INDEX(Intent_Analysis!$B$5:$B$81,MATCH(B3481,Intent_Analysis!$A$5:$A$81,0))</f>
        <v>Cash, ATM &amp; deposits</v>
      </c>
      <c r="D3481" s="0" t="n">
        <f aca="false">INDEX(Intent_Analysis!$E$5:$E$81,MATCH(B3481,Intent_Analysis!$A$5:$A$81,0))</f>
        <v>2</v>
      </c>
    </row>
    <row r="3482" customFormat="false" ht="15" hidden="false" customHeight="false" outlineLevel="0" collapsed="false">
      <c r="A3482" s="0" t="s">
        <v>3806</v>
      </c>
      <c r="B3482" s="0" t="s">
        <v>75</v>
      </c>
      <c r="C3482" s="0" t="str">
        <f aca="false">INDEX(Intent_Analysis!$B$5:$B$81,MATCH(B3482,Intent_Analysis!$A$5:$A$81,0))</f>
        <v>Cash, ATM &amp; deposits</v>
      </c>
      <c r="D3482" s="0" t="n">
        <f aca="false">INDEX(Intent_Analysis!$E$5:$E$81,MATCH(B3482,Intent_Analysis!$A$5:$A$81,0))</f>
        <v>2</v>
      </c>
    </row>
    <row r="3483" customFormat="false" ht="15" hidden="false" customHeight="false" outlineLevel="0" collapsed="false">
      <c r="A3483" s="0" t="s">
        <v>3807</v>
      </c>
      <c r="B3483" s="0" t="s">
        <v>75</v>
      </c>
      <c r="C3483" s="0" t="str">
        <f aca="false">INDEX(Intent_Analysis!$B$5:$B$81,MATCH(B3483,Intent_Analysis!$A$5:$A$81,0))</f>
        <v>Cash, ATM &amp; deposits</v>
      </c>
      <c r="D3483" s="0" t="n">
        <f aca="false">INDEX(Intent_Analysis!$E$5:$E$81,MATCH(B3483,Intent_Analysis!$A$5:$A$81,0))</f>
        <v>2</v>
      </c>
    </row>
    <row r="3484" customFormat="false" ht="15" hidden="false" customHeight="false" outlineLevel="0" collapsed="false">
      <c r="A3484" s="0" t="s">
        <v>3808</v>
      </c>
      <c r="B3484" s="0" t="s">
        <v>97</v>
      </c>
      <c r="C3484" s="0" t="str">
        <f aca="false">INDEX(Intent_Analysis!$B$5:$B$81,MATCH(B3484,Intent_Analysis!$A$5:$A$81,0))</f>
        <v>Fraud &amp; security</v>
      </c>
      <c r="D3484" s="0" t="n">
        <f aca="false">INDEX(Intent_Analysis!$E$5:$E$81,MATCH(B3484,Intent_Analysis!$A$5:$A$81,0))</f>
        <v>3</v>
      </c>
    </row>
    <row r="3485" customFormat="false" ht="15" hidden="false" customHeight="false" outlineLevel="0" collapsed="false">
      <c r="A3485" s="0" t="s">
        <v>3809</v>
      </c>
      <c r="B3485" s="0" t="s">
        <v>97</v>
      </c>
      <c r="C3485" s="0" t="str">
        <f aca="false">INDEX(Intent_Analysis!$B$5:$B$81,MATCH(B3485,Intent_Analysis!$A$5:$A$81,0))</f>
        <v>Fraud &amp; security</v>
      </c>
      <c r="D3485" s="0" t="n">
        <f aca="false">INDEX(Intent_Analysis!$E$5:$E$81,MATCH(B3485,Intent_Analysis!$A$5:$A$81,0))</f>
        <v>3</v>
      </c>
    </row>
    <row r="3486" customFormat="false" ht="15" hidden="false" customHeight="false" outlineLevel="0" collapsed="false">
      <c r="A3486" s="0" t="s">
        <v>3810</v>
      </c>
      <c r="B3486" s="0" t="s">
        <v>97</v>
      </c>
      <c r="C3486" s="0" t="str">
        <f aca="false">INDEX(Intent_Analysis!$B$5:$B$81,MATCH(B3486,Intent_Analysis!$A$5:$A$81,0))</f>
        <v>Fraud &amp; security</v>
      </c>
      <c r="D3486" s="0" t="n">
        <f aca="false">INDEX(Intent_Analysis!$E$5:$E$81,MATCH(B3486,Intent_Analysis!$A$5:$A$81,0))</f>
        <v>3</v>
      </c>
    </row>
    <row r="3487" customFormat="false" ht="15" hidden="false" customHeight="false" outlineLevel="0" collapsed="false">
      <c r="A3487" s="0" t="s">
        <v>3811</v>
      </c>
      <c r="B3487" s="0" t="s">
        <v>97</v>
      </c>
      <c r="C3487" s="0" t="str">
        <f aca="false">INDEX(Intent_Analysis!$B$5:$B$81,MATCH(B3487,Intent_Analysis!$A$5:$A$81,0))</f>
        <v>Fraud &amp; security</v>
      </c>
      <c r="D3487" s="0" t="n">
        <f aca="false">INDEX(Intent_Analysis!$E$5:$E$81,MATCH(B3487,Intent_Analysis!$A$5:$A$81,0))</f>
        <v>3</v>
      </c>
    </row>
    <row r="3488" customFormat="false" ht="15" hidden="false" customHeight="false" outlineLevel="0" collapsed="false">
      <c r="A3488" s="0" t="s">
        <v>3812</v>
      </c>
      <c r="B3488" s="0" t="s">
        <v>97</v>
      </c>
      <c r="C3488" s="0" t="str">
        <f aca="false">INDEX(Intent_Analysis!$B$5:$B$81,MATCH(B3488,Intent_Analysis!$A$5:$A$81,0))</f>
        <v>Fraud &amp; security</v>
      </c>
      <c r="D3488" s="0" t="n">
        <f aca="false">INDEX(Intent_Analysis!$E$5:$E$81,MATCH(B3488,Intent_Analysis!$A$5:$A$81,0))</f>
        <v>3</v>
      </c>
    </row>
    <row r="3489" customFormat="false" ht="15" hidden="false" customHeight="false" outlineLevel="0" collapsed="false">
      <c r="A3489" s="0" t="s">
        <v>3813</v>
      </c>
      <c r="B3489" s="0" t="s">
        <v>97</v>
      </c>
      <c r="C3489" s="0" t="str">
        <f aca="false">INDEX(Intent_Analysis!$B$5:$B$81,MATCH(B3489,Intent_Analysis!$A$5:$A$81,0))</f>
        <v>Fraud &amp; security</v>
      </c>
      <c r="D3489" s="0" t="n">
        <f aca="false">INDEX(Intent_Analysis!$E$5:$E$81,MATCH(B3489,Intent_Analysis!$A$5:$A$81,0))</f>
        <v>3</v>
      </c>
    </row>
    <row r="3490" customFormat="false" ht="15" hidden="false" customHeight="false" outlineLevel="0" collapsed="false">
      <c r="A3490" s="0" t="s">
        <v>3814</v>
      </c>
      <c r="B3490" s="0" t="s">
        <v>97</v>
      </c>
      <c r="C3490" s="0" t="str">
        <f aca="false">INDEX(Intent_Analysis!$B$5:$B$81,MATCH(B3490,Intent_Analysis!$A$5:$A$81,0))</f>
        <v>Fraud &amp; security</v>
      </c>
      <c r="D3490" s="0" t="n">
        <f aca="false">INDEX(Intent_Analysis!$E$5:$E$81,MATCH(B3490,Intent_Analysis!$A$5:$A$81,0))</f>
        <v>3</v>
      </c>
    </row>
    <row r="3491" customFormat="false" ht="15" hidden="false" customHeight="false" outlineLevel="0" collapsed="false">
      <c r="A3491" s="0" t="s">
        <v>3815</v>
      </c>
      <c r="B3491" s="0" t="s">
        <v>97</v>
      </c>
      <c r="C3491" s="0" t="str">
        <f aca="false">INDEX(Intent_Analysis!$B$5:$B$81,MATCH(B3491,Intent_Analysis!$A$5:$A$81,0))</f>
        <v>Fraud &amp; security</v>
      </c>
      <c r="D3491" s="0" t="n">
        <f aca="false">INDEX(Intent_Analysis!$E$5:$E$81,MATCH(B3491,Intent_Analysis!$A$5:$A$81,0))</f>
        <v>3</v>
      </c>
    </row>
    <row r="3492" customFormat="false" ht="15" hidden="false" customHeight="false" outlineLevel="0" collapsed="false">
      <c r="A3492" s="0" t="s">
        <v>3816</v>
      </c>
      <c r="B3492" s="0" t="s">
        <v>97</v>
      </c>
      <c r="C3492" s="0" t="str">
        <f aca="false">INDEX(Intent_Analysis!$B$5:$B$81,MATCH(B3492,Intent_Analysis!$A$5:$A$81,0))</f>
        <v>Fraud &amp; security</v>
      </c>
      <c r="D3492" s="0" t="n">
        <f aca="false">INDEX(Intent_Analysis!$E$5:$E$81,MATCH(B3492,Intent_Analysis!$A$5:$A$81,0))</f>
        <v>3</v>
      </c>
    </row>
    <row r="3493" customFormat="false" ht="15" hidden="false" customHeight="false" outlineLevel="0" collapsed="false">
      <c r="A3493" s="0" t="s">
        <v>3817</v>
      </c>
      <c r="B3493" s="0" t="s">
        <v>97</v>
      </c>
      <c r="C3493" s="0" t="str">
        <f aca="false">INDEX(Intent_Analysis!$B$5:$B$81,MATCH(B3493,Intent_Analysis!$A$5:$A$81,0))</f>
        <v>Fraud &amp; security</v>
      </c>
      <c r="D3493" s="0" t="n">
        <f aca="false">INDEX(Intent_Analysis!$E$5:$E$81,MATCH(B3493,Intent_Analysis!$A$5:$A$81,0))</f>
        <v>3</v>
      </c>
    </row>
    <row r="3494" customFormat="false" ht="15" hidden="false" customHeight="false" outlineLevel="0" collapsed="false">
      <c r="A3494" s="0" t="s">
        <v>3818</v>
      </c>
      <c r="B3494" s="0" t="s">
        <v>97</v>
      </c>
      <c r="C3494" s="0" t="str">
        <f aca="false">INDEX(Intent_Analysis!$B$5:$B$81,MATCH(B3494,Intent_Analysis!$A$5:$A$81,0))</f>
        <v>Fraud &amp; security</v>
      </c>
      <c r="D3494" s="0" t="n">
        <f aca="false">INDEX(Intent_Analysis!$E$5:$E$81,MATCH(B3494,Intent_Analysis!$A$5:$A$81,0))</f>
        <v>3</v>
      </c>
    </row>
    <row r="3495" customFormat="false" ht="15" hidden="false" customHeight="false" outlineLevel="0" collapsed="false">
      <c r="A3495" s="0" t="s">
        <v>3819</v>
      </c>
      <c r="B3495" s="0" t="s">
        <v>97</v>
      </c>
      <c r="C3495" s="0" t="str">
        <f aca="false">INDEX(Intent_Analysis!$B$5:$B$81,MATCH(B3495,Intent_Analysis!$A$5:$A$81,0))</f>
        <v>Fraud &amp; security</v>
      </c>
      <c r="D3495" s="0" t="n">
        <f aca="false">INDEX(Intent_Analysis!$E$5:$E$81,MATCH(B3495,Intent_Analysis!$A$5:$A$81,0))</f>
        <v>3</v>
      </c>
    </row>
    <row r="3496" customFormat="false" ht="15" hidden="false" customHeight="false" outlineLevel="0" collapsed="false">
      <c r="A3496" s="0" t="s">
        <v>3820</v>
      </c>
      <c r="B3496" s="0" t="s">
        <v>97</v>
      </c>
      <c r="C3496" s="0" t="str">
        <f aca="false">INDEX(Intent_Analysis!$B$5:$B$81,MATCH(B3496,Intent_Analysis!$A$5:$A$81,0))</f>
        <v>Fraud &amp; security</v>
      </c>
      <c r="D3496" s="0" t="n">
        <f aca="false">INDEX(Intent_Analysis!$E$5:$E$81,MATCH(B3496,Intent_Analysis!$A$5:$A$81,0))</f>
        <v>3</v>
      </c>
    </row>
    <row r="3497" customFormat="false" ht="15" hidden="false" customHeight="false" outlineLevel="0" collapsed="false">
      <c r="A3497" s="0" t="s">
        <v>3821</v>
      </c>
      <c r="B3497" s="0" t="s">
        <v>97</v>
      </c>
      <c r="C3497" s="0" t="str">
        <f aca="false">INDEX(Intent_Analysis!$B$5:$B$81,MATCH(B3497,Intent_Analysis!$A$5:$A$81,0))</f>
        <v>Fraud &amp; security</v>
      </c>
      <c r="D3497" s="0" t="n">
        <f aca="false">INDEX(Intent_Analysis!$E$5:$E$81,MATCH(B3497,Intent_Analysis!$A$5:$A$81,0))</f>
        <v>3</v>
      </c>
    </row>
    <row r="3498" customFormat="false" ht="15" hidden="false" customHeight="false" outlineLevel="0" collapsed="false">
      <c r="A3498" s="0" t="s">
        <v>3822</v>
      </c>
      <c r="B3498" s="0" t="s">
        <v>97</v>
      </c>
      <c r="C3498" s="0" t="str">
        <f aca="false">INDEX(Intent_Analysis!$B$5:$B$81,MATCH(B3498,Intent_Analysis!$A$5:$A$81,0))</f>
        <v>Fraud &amp; security</v>
      </c>
      <c r="D3498" s="0" t="n">
        <f aca="false">INDEX(Intent_Analysis!$E$5:$E$81,MATCH(B3498,Intent_Analysis!$A$5:$A$81,0))</f>
        <v>3</v>
      </c>
    </row>
    <row r="3499" customFormat="false" ht="15" hidden="false" customHeight="false" outlineLevel="0" collapsed="false">
      <c r="A3499" s="0" t="s">
        <v>3823</v>
      </c>
      <c r="B3499" s="0" t="s">
        <v>97</v>
      </c>
      <c r="C3499" s="0" t="str">
        <f aca="false">INDEX(Intent_Analysis!$B$5:$B$81,MATCH(B3499,Intent_Analysis!$A$5:$A$81,0))</f>
        <v>Fraud &amp; security</v>
      </c>
      <c r="D3499" s="0" t="n">
        <f aca="false">INDEX(Intent_Analysis!$E$5:$E$81,MATCH(B3499,Intent_Analysis!$A$5:$A$81,0))</f>
        <v>3</v>
      </c>
    </row>
    <row r="3500" customFormat="false" ht="15" hidden="false" customHeight="false" outlineLevel="0" collapsed="false">
      <c r="A3500" s="0" t="s">
        <v>3824</v>
      </c>
      <c r="B3500" s="0" t="s">
        <v>97</v>
      </c>
      <c r="C3500" s="0" t="str">
        <f aca="false">INDEX(Intent_Analysis!$B$5:$B$81,MATCH(B3500,Intent_Analysis!$A$5:$A$81,0))</f>
        <v>Fraud &amp; security</v>
      </c>
      <c r="D3500" s="0" t="n">
        <f aca="false">INDEX(Intent_Analysis!$E$5:$E$81,MATCH(B3500,Intent_Analysis!$A$5:$A$81,0))</f>
        <v>3</v>
      </c>
    </row>
    <row r="3501" customFormat="false" ht="15" hidden="false" customHeight="false" outlineLevel="0" collapsed="false">
      <c r="A3501" s="0" t="s">
        <v>3825</v>
      </c>
      <c r="B3501" s="0" t="s">
        <v>97</v>
      </c>
      <c r="C3501" s="0" t="str">
        <f aca="false">INDEX(Intent_Analysis!$B$5:$B$81,MATCH(B3501,Intent_Analysis!$A$5:$A$81,0))</f>
        <v>Fraud &amp; security</v>
      </c>
      <c r="D3501" s="0" t="n">
        <f aca="false">INDEX(Intent_Analysis!$E$5:$E$81,MATCH(B3501,Intent_Analysis!$A$5:$A$81,0))</f>
        <v>3</v>
      </c>
    </row>
    <row r="3502" customFormat="false" ht="15" hidden="false" customHeight="false" outlineLevel="0" collapsed="false">
      <c r="A3502" s="0" t="s">
        <v>3826</v>
      </c>
      <c r="B3502" s="0" t="s">
        <v>97</v>
      </c>
      <c r="C3502" s="0" t="str">
        <f aca="false">INDEX(Intent_Analysis!$B$5:$B$81,MATCH(B3502,Intent_Analysis!$A$5:$A$81,0))</f>
        <v>Fraud &amp; security</v>
      </c>
      <c r="D3502" s="0" t="n">
        <f aca="false">INDEX(Intent_Analysis!$E$5:$E$81,MATCH(B3502,Intent_Analysis!$A$5:$A$81,0))</f>
        <v>3</v>
      </c>
    </row>
    <row r="3503" customFormat="false" ht="15" hidden="false" customHeight="false" outlineLevel="0" collapsed="false">
      <c r="A3503" s="0" t="s">
        <v>3827</v>
      </c>
      <c r="B3503" s="0" t="s">
        <v>97</v>
      </c>
      <c r="C3503" s="0" t="str">
        <f aca="false">INDEX(Intent_Analysis!$B$5:$B$81,MATCH(B3503,Intent_Analysis!$A$5:$A$81,0))</f>
        <v>Fraud &amp; security</v>
      </c>
      <c r="D3503" s="0" t="n">
        <f aca="false">INDEX(Intent_Analysis!$E$5:$E$81,MATCH(B3503,Intent_Analysis!$A$5:$A$81,0))</f>
        <v>3</v>
      </c>
    </row>
    <row r="3504" customFormat="false" ht="15" hidden="false" customHeight="false" outlineLevel="0" collapsed="false">
      <c r="A3504" s="0" t="s">
        <v>3828</v>
      </c>
      <c r="B3504" s="0" t="s">
        <v>97</v>
      </c>
      <c r="C3504" s="0" t="str">
        <f aca="false">INDEX(Intent_Analysis!$B$5:$B$81,MATCH(B3504,Intent_Analysis!$A$5:$A$81,0))</f>
        <v>Fraud &amp; security</v>
      </c>
      <c r="D3504" s="0" t="n">
        <f aca="false">INDEX(Intent_Analysis!$E$5:$E$81,MATCH(B3504,Intent_Analysis!$A$5:$A$81,0))</f>
        <v>3</v>
      </c>
    </row>
    <row r="3505" customFormat="false" ht="15" hidden="false" customHeight="false" outlineLevel="0" collapsed="false">
      <c r="A3505" s="0" t="s">
        <v>3829</v>
      </c>
      <c r="B3505" s="0" t="s">
        <v>97</v>
      </c>
      <c r="C3505" s="0" t="str">
        <f aca="false">INDEX(Intent_Analysis!$B$5:$B$81,MATCH(B3505,Intent_Analysis!$A$5:$A$81,0))</f>
        <v>Fraud &amp; security</v>
      </c>
      <c r="D3505" s="0" t="n">
        <f aca="false">INDEX(Intent_Analysis!$E$5:$E$81,MATCH(B3505,Intent_Analysis!$A$5:$A$81,0))</f>
        <v>3</v>
      </c>
    </row>
    <row r="3506" customFormat="false" ht="15" hidden="false" customHeight="false" outlineLevel="0" collapsed="false">
      <c r="A3506" s="0" t="s">
        <v>3830</v>
      </c>
      <c r="B3506" s="0" t="s">
        <v>97</v>
      </c>
      <c r="C3506" s="0" t="str">
        <f aca="false">INDEX(Intent_Analysis!$B$5:$B$81,MATCH(B3506,Intent_Analysis!$A$5:$A$81,0))</f>
        <v>Fraud &amp; security</v>
      </c>
      <c r="D3506" s="0" t="n">
        <f aca="false">INDEX(Intent_Analysis!$E$5:$E$81,MATCH(B3506,Intent_Analysis!$A$5:$A$81,0))</f>
        <v>3</v>
      </c>
    </row>
    <row r="3507" customFormat="false" ht="15" hidden="false" customHeight="false" outlineLevel="0" collapsed="false">
      <c r="A3507" s="0" t="s">
        <v>3831</v>
      </c>
      <c r="B3507" s="0" t="s">
        <v>97</v>
      </c>
      <c r="C3507" s="0" t="str">
        <f aca="false">INDEX(Intent_Analysis!$B$5:$B$81,MATCH(B3507,Intent_Analysis!$A$5:$A$81,0))</f>
        <v>Fraud &amp; security</v>
      </c>
      <c r="D3507" s="0" t="n">
        <f aca="false">INDEX(Intent_Analysis!$E$5:$E$81,MATCH(B3507,Intent_Analysis!$A$5:$A$81,0))</f>
        <v>3</v>
      </c>
    </row>
    <row r="3508" customFormat="false" ht="15" hidden="false" customHeight="false" outlineLevel="0" collapsed="false">
      <c r="A3508" s="0" t="s">
        <v>3832</v>
      </c>
      <c r="B3508" s="0" t="s">
        <v>97</v>
      </c>
      <c r="C3508" s="0" t="str">
        <f aca="false">INDEX(Intent_Analysis!$B$5:$B$81,MATCH(B3508,Intent_Analysis!$A$5:$A$81,0))</f>
        <v>Fraud &amp; security</v>
      </c>
      <c r="D3508" s="0" t="n">
        <f aca="false">INDEX(Intent_Analysis!$E$5:$E$81,MATCH(B3508,Intent_Analysis!$A$5:$A$81,0))</f>
        <v>3</v>
      </c>
    </row>
    <row r="3509" customFormat="false" ht="15" hidden="false" customHeight="false" outlineLevel="0" collapsed="false">
      <c r="A3509" s="0" t="s">
        <v>3833</v>
      </c>
      <c r="B3509" s="0" t="s">
        <v>97</v>
      </c>
      <c r="C3509" s="0" t="str">
        <f aca="false">INDEX(Intent_Analysis!$B$5:$B$81,MATCH(B3509,Intent_Analysis!$A$5:$A$81,0))</f>
        <v>Fraud &amp; security</v>
      </c>
      <c r="D3509" s="0" t="n">
        <f aca="false">INDEX(Intent_Analysis!$E$5:$E$81,MATCH(B3509,Intent_Analysis!$A$5:$A$81,0))</f>
        <v>3</v>
      </c>
    </row>
    <row r="3510" customFormat="false" ht="15" hidden="false" customHeight="false" outlineLevel="0" collapsed="false">
      <c r="A3510" s="0" t="s">
        <v>3834</v>
      </c>
      <c r="B3510" s="0" t="s">
        <v>97</v>
      </c>
      <c r="C3510" s="0" t="str">
        <f aca="false">INDEX(Intent_Analysis!$B$5:$B$81,MATCH(B3510,Intent_Analysis!$A$5:$A$81,0))</f>
        <v>Fraud &amp; security</v>
      </c>
      <c r="D3510" s="0" t="n">
        <f aca="false">INDEX(Intent_Analysis!$E$5:$E$81,MATCH(B3510,Intent_Analysis!$A$5:$A$81,0))</f>
        <v>3</v>
      </c>
    </row>
    <row r="3511" customFormat="false" ht="15" hidden="false" customHeight="false" outlineLevel="0" collapsed="false">
      <c r="A3511" s="0" t="s">
        <v>3835</v>
      </c>
      <c r="B3511" s="0" t="s">
        <v>97</v>
      </c>
      <c r="C3511" s="0" t="str">
        <f aca="false">INDEX(Intent_Analysis!$B$5:$B$81,MATCH(B3511,Intent_Analysis!$A$5:$A$81,0))</f>
        <v>Fraud &amp; security</v>
      </c>
      <c r="D3511" s="0" t="n">
        <f aca="false">INDEX(Intent_Analysis!$E$5:$E$81,MATCH(B3511,Intent_Analysis!$A$5:$A$81,0))</f>
        <v>3</v>
      </c>
    </row>
    <row r="3512" customFormat="false" ht="15" hidden="false" customHeight="false" outlineLevel="0" collapsed="false">
      <c r="A3512" s="0" t="s">
        <v>3836</v>
      </c>
      <c r="B3512" s="0" t="s">
        <v>97</v>
      </c>
      <c r="C3512" s="0" t="str">
        <f aca="false">INDEX(Intent_Analysis!$B$5:$B$81,MATCH(B3512,Intent_Analysis!$A$5:$A$81,0))</f>
        <v>Fraud &amp; security</v>
      </c>
      <c r="D3512" s="0" t="n">
        <f aca="false">INDEX(Intent_Analysis!$E$5:$E$81,MATCH(B3512,Intent_Analysis!$A$5:$A$81,0))</f>
        <v>3</v>
      </c>
    </row>
    <row r="3513" customFormat="false" ht="15" hidden="false" customHeight="false" outlineLevel="0" collapsed="false">
      <c r="A3513" s="0" t="s">
        <v>3837</v>
      </c>
      <c r="B3513" s="0" t="s">
        <v>97</v>
      </c>
      <c r="C3513" s="0" t="str">
        <f aca="false">INDEX(Intent_Analysis!$B$5:$B$81,MATCH(B3513,Intent_Analysis!$A$5:$A$81,0))</f>
        <v>Fraud &amp; security</v>
      </c>
      <c r="D3513" s="0" t="n">
        <f aca="false">INDEX(Intent_Analysis!$E$5:$E$81,MATCH(B3513,Intent_Analysis!$A$5:$A$81,0))</f>
        <v>3</v>
      </c>
    </row>
    <row r="3514" customFormat="false" ht="15" hidden="false" customHeight="false" outlineLevel="0" collapsed="false">
      <c r="A3514" s="0" t="s">
        <v>3838</v>
      </c>
      <c r="B3514" s="0" t="s">
        <v>97</v>
      </c>
      <c r="C3514" s="0" t="str">
        <f aca="false">INDEX(Intent_Analysis!$B$5:$B$81,MATCH(B3514,Intent_Analysis!$A$5:$A$81,0))</f>
        <v>Fraud &amp; security</v>
      </c>
      <c r="D3514" s="0" t="n">
        <f aca="false">INDEX(Intent_Analysis!$E$5:$E$81,MATCH(B3514,Intent_Analysis!$A$5:$A$81,0))</f>
        <v>3</v>
      </c>
    </row>
    <row r="3515" customFormat="false" ht="15" hidden="false" customHeight="false" outlineLevel="0" collapsed="false">
      <c r="A3515" s="0" t="s">
        <v>3839</v>
      </c>
      <c r="B3515" s="0" t="s">
        <v>97</v>
      </c>
      <c r="C3515" s="0" t="str">
        <f aca="false">INDEX(Intent_Analysis!$B$5:$B$81,MATCH(B3515,Intent_Analysis!$A$5:$A$81,0))</f>
        <v>Fraud &amp; security</v>
      </c>
      <c r="D3515" s="0" t="n">
        <f aca="false">INDEX(Intent_Analysis!$E$5:$E$81,MATCH(B3515,Intent_Analysis!$A$5:$A$81,0))</f>
        <v>3</v>
      </c>
    </row>
    <row r="3516" customFormat="false" ht="15" hidden="false" customHeight="false" outlineLevel="0" collapsed="false">
      <c r="A3516" s="0" t="s">
        <v>3840</v>
      </c>
      <c r="B3516" s="0" t="s">
        <v>97</v>
      </c>
      <c r="C3516" s="0" t="str">
        <f aca="false">INDEX(Intent_Analysis!$B$5:$B$81,MATCH(B3516,Intent_Analysis!$A$5:$A$81,0))</f>
        <v>Fraud &amp; security</v>
      </c>
      <c r="D3516" s="0" t="n">
        <f aca="false">INDEX(Intent_Analysis!$E$5:$E$81,MATCH(B3516,Intent_Analysis!$A$5:$A$81,0))</f>
        <v>3</v>
      </c>
    </row>
    <row r="3517" customFormat="false" ht="15" hidden="false" customHeight="false" outlineLevel="0" collapsed="false">
      <c r="A3517" s="0" t="s">
        <v>3841</v>
      </c>
      <c r="B3517" s="0" t="s">
        <v>97</v>
      </c>
      <c r="C3517" s="0" t="str">
        <f aca="false">INDEX(Intent_Analysis!$B$5:$B$81,MATCH(B3517,Intent_Analysis!$A$5:$A$81,0))</f>
        <v>Fraud &amp; security</v>
      </c>
      <c r="D3517" s="0" t="n">
        <f aca="false">INDEX(Intent_Analysis!$E$5:$E$81,MATCH(B3517,Intent_Analysis!$A$5:$A$81,0))</f>
        <v>3</v>
      </c>
    </row>
    <row r="3518" customFormat="false" ht="15" hidden="false" customHeight="false" outlineLevel="0" collapsed="false">
      <c r="A3518" s="0" t="s">
        <v>3842</v>
      </c>
      <c r="B3518" s="0" t="s">
        <v>97</v>
      </c>
      <c r="C3518" s="0" t="str">
        <f aca="false">INDEX(Intent_Analysis!$B$5:$B$81,MATCH(B3518,Intent_Analysis!$A$5:$A$81,0))</f>
        <v>Fraud &amp; security</v>
      </c>
      <c r="D3518" s="0" t="n">
        <f aca="false">INDEX(Intent_Analysis!$E$5:$E$81,MATCH(B3518,Intent_Analysis!$A$5:$A$81,0))</f>
        <v>3</v>
      </c>
    </row>
    <row r="3519" customFormat="false" ht="15" hidden="false" customHeight="false" outlineLevel="0" collapsed="false">
      <c r="A3519" s="0" t="s">
        <v>3843</v>
      </c>
      <c r="B3519" s="0" t="s">
        <v>97</v>
      </c>
      <c r="C3519" s="0" t="str">
        <f aca="false">INDEX(Intent_Analysis!$B$5:$B$81,MATCH(B3519,Intent_Analysis!$A$5:$A$81,0))</f>
        <v>Fraud &amp; security</v>
      </c>
      <c r="D3519" s="0" t="n">
        <f aca="false">INDEX(Intent_Analysis!$E$5:$E$81,MATCH(B3519,Intent_Analysis!$A$5:$A$81,0))</f>
        <v>3</v>
      </c>
    </row>
    <row r="3520" customFormat="false" ht="15" hidden="false" customHeight="false" outlineLevel="0" collapsed="false">
      <c r="A3520" s="0" t="s">
        <v>3844</v>
      </c>
      <c r="B3520" s="0" t="s">
        <v>97</v>
      </c>
      <c r="C3520" s="0" t="str">
        <f aca="false">INDEX(Intent_Analysis!$B$5:$B$81,MATCH(B3520,Intent_Analysis!$A$5:$A$81,0))</f>
        <v>Fraud &amp; security</v>
      </c>
      <c r="D3520" s="0" t="n">
        <f aca="false">INDEX(Intent_Analysis!$E$5:$E$81,MATCH(B3520,Intent_Analysis!$A$5:$A$81,0))</f>
        <v>3</v>
      </c>
    </row>
    <row r="3521" customFormat="false" ht="15" hidden="false" customHeight="false" outlineLevel="0" collapsed="false">
      <c r="A3521" s="0" t="s">
        <v>3845</v>
      </c>
      <c r="B3521" s="0" t="s">
        <v>97</v>
      </c>
      <c r="C3521" s="0" t="str">
        <f aca="false">INDEX(Intent_Analysis!$B$5:$B$81,MATCH(B3521,Intent_Analysis!$A$5:$A$81,0))</f>
        <v>Fraud &amp; security</v>
      </c>
      <c r="D3521" s="0" t="n">
        <f aca="false">INDEX(Intent_Analysis!$E$5:$E$81,MATCH(B3521,Intent_Analysis!$A$5:$A$81,0))</f>
        <v>3</v>
      </c>
    </row>
    <row r="3522" customFormat="false" ht="15" hidden="false" customHeight="false" outlineLevel="0" collapsed="false">
      <c r="A3522" s="0" t="s">
        <v>3846</v>
      </c>
      <c r="B3522" s="0" t="s">
        <v>97</v>
      </c>
      <c r="C3522" s="0" t="str">
        <f aca="false">INDEX(Intent_Analysis!$B$5:$B$81,MATCH(B3522,Intent_Analysis!$A$5:$A$81,0))</f>
        <v>Fraud &amp; security</v>
      </c>
      <c r="D3522" s="0" t="n">
        <f aca="false">INDEX(Intent_Analysis!$E$5:$E$81,MATCH(B3522,Intent_Analysis!$A$5:$A$81,0))</f>
        <v>3</v>
      </c>
    </row>
    <row r="3523" customFormat="false" ht="15" hidden="false" customHeight="false" outlineLevel="0" collapsed="false">
      <c r="A3523" s="0" t="s">
        <v>3847</v>
      </c>
      <c r="B3523" s="0" t="s">
        <v>97</v>
      </c>
      <c r="C3523" s="0" t="str">
        <f aca="false">INDEX(Intent_Analysis!$B$5:$B$81,MATCH(B3523,Intent_Analysis!$A$5:$A$81,0))</f>
        <v>Fraud &amp; security</v>
      </c>
      <c r="D3523" s="0" t="n">
        <f aca="false">INDEX(Intent_Analysis!$E$5:$E$81,MATCH(B3523,Intent_Analysis!$A$5:$A$81,0))</f>
        <v>3</v>
      </c>
    </row>
    <row r="3524" customFormat="false" ht="15" hidden="false" customHeight="false" outlineLevel="0" collapsed="false">
      <c r="A3524" s="0" t="s">
        <v>3848</v>
      </c>
      <c r="B3524" s="0" t="s">
        <v>97</v>
      </c>
      <c r="C3524" s="0" t="str">
        <f aca="false">INDEX(Intent_Analysis!$B$5:$B$81,MATCH(B3524,Intent_Analysis!$A$5:$A$81,0))</f>
        <v>Fraud &amp; security</v>
      </c>
      <c r="D3524" s="0" t="n">
        <f aca="false">INDEX(Intent_Analysis!$E$5:$E$81,MATCH(B3524,Intent_Analysis!$A$5:$A$81,0))</f>
        <v>3</v>
      </c>
    </row>
    <row r="3525" customFormat="false" ht="15" hidden="false" customHeight="false" outlineLevel="0" collapsed="false">
      <c r="A3525" s="0" t="s">
        <v>3849</v>
      </c>
      <c r="B3525" s="0" t="s">
        <v>97</v>
      </c>
      <c r="C3525" s="0" t="str">
        <f aca="false">INDEX(Intent_Analysis!$B$5:$B$81,MATCH(B3525,Intent_Analysis!$A$5:$A$81,0))</f>
        <v>Fraud &amp; security</v>
      </c>
      <c r="D3525" s="0" t="n">
        <f aca="false">INDEX(Intent_Analysis!$E$5:$E$81,MATCH(B3525,Intent_Analysis!$A$5:$A$81,0))</f>
        <v>3</v>
      </c>
    </row>
    <row r="3526" customFormat="false" ht="15" hidden="false" customHeight="false" outlineLevel="0" collapsed="false">
      <c r="A3526" s="0" t="s">
        <v>3850</v>
      </c>
      <c r="B3526" s="0" t="s">
        <v>97</v>
      </c>
      <c r="C3526" s="0" t="str">
        <f aca="false">INDEX(Intent_Analysis!$B$5:$B$81,MATCH(B3526,Intent_Analysis!$A$5:$A$81,0))</f>
        <v>Fraud &amp; security</v>
      </c>
      <c r="D3526" s="0" t="n">
        <f aca="false">INDEX(Intent_Analysis!$E$5:$E$81,MATCH(B3526,Intent_Analysis!$A$5:$A$81,0))</f>
        <v>3</v>
      </c>
    </row>
    <row r="3527" customFormat="false" ht="15" hidden="false" customHeight="false" outlineLevel="0" collapsed="false">
      <c r="A3527" s="0" t="s">
        <v>3851</v>
      </c>
      <c r="B3527" s="0" t="s">
        <v>97</v>
      </c>
      <c r="C3527" s="0" t="str">
        <f aca="false">INDEX(Intent_Analysis!$B$5:$B$81,MATCH(B3527,Intent_Analysis!$A$5:$A$81,0))</f>
        <v>Fraud &amp; security</v>
      </c>
      <c r="D3527" s="0" t="n">
        <f aca="false">INDEX(Intent_Analysis!$E$5:$E$81,MATCH(B3527,Intent_Analysis!$A$5:$A$81,0))</f>
        <v>3</v>
      </c>
    </row>
    <row r="3528" customFormat="false" ht="15" hidden="false" customHeight="false" outlineLevel="0" collapsed="false">
      <c r="A3528" s="0" t="s">
        <v>3852</v>
      </c>
      <c r="B3528" s="0" t="s">
        <v>97</v>
      </c>
      <c r="C3528" s="0" t="str">
        <f aca="false">INDEX(Intent_Analysis!$B$5:$B$81,MATCH(B3528,Intent_Analysis!$A$5:$A$81,0))</f>
        <v>Fraud &amp; security</v>
      </c>
      <c r="D3528" s="0" t="n">
        <f aca="false">INDEX(Intent_Analysis!$E$5:$E$81,MATCH(B3528,Intent_Analysis!$A$5:$A$81,0))</f>
        <v>3</v>
      </c>
    </row>
    <row r="3529" customFormat="false" ht="15" hidden="false" customHeight="false" outlineLevel="0" collapsed="false">
      <c r="A3529" s="0" t="s">
        <v>3853</v>
      </c>
      <c r="B3529" s="0" t="s">
        <v>97</v>
      </c>
      <c r="C3529" s="0" t="str">
        <f aca="false">INDEX(Intent_Analysis!$B$5:$B$81,MATCH(B3529,Intent_Analysis!$A$5:$A$81,0))</f>
        <v>Fraud &amp; security</v>
      </c>
      <c r="D3529" s="0" t="n">
        <f aca="false">INDEX(Intent_Analysis!$E$5:$E$81,MATCH(B3529,Intent_Analysis!$A$5:$A$81,0))</f>
        <v>3</v>
      </c>
    </row>
    <row r="3530" customFormat="false" ht="15" hidden="false" customHeight="false" outlineLevel="0" collapsed="false">
      <c r="A3530" s="0" t="s">
        <v>3854</v>
      </c>
      <c r="B3530" s="0" t="s">
        <v>97</v>
      </c>
      <c r="C3530" s="0" t="str">
        <f aca="false">INDEX(Intent_Analysis!$B$5:$B$81,MATCH(B3530,Intent_Analysis!$A$5:$A$81,0))</f>
        <v>Fraud &amp; security</v>
      </c>
      <c r="D3530" s="0" t="n">
        <f aca="false">INDEX(Intent_Analysis!$E$5:$E$81,MATCH(B3530,Intent_Analysis!$A$5:$A$81,0))</f>
        <v>3</v>
      </c>
    </row>
    <row r="3531" customFormat="false" ht="15" hidden="false" customHeight="false" outlineLevel="0" collapsed="false">
      <c r="A3531" s="0" t="s">
        <v>3855</v>
      </c>
      <c r="B3531" s="0" t="s">
        <v>97</v>
      </c>
      <c r="C3531" s="0" t="str">
        <f aca="false">INDEX(Intent_Analysis!$B$5:$B$81,MATCH(B3531,Intent_Analysis!$A$5:$A$81,0))</f>
        <v>Fraud &amp; security</v>
      </c>
      <c r="D3531" s="0" t="n">
        <f aca="false">INDEX(Intent_Analysis!$E$5:$E$81,MATCH(B3531,Intent_Analysis!$A$5:$A$81,0))</f>
        <v>3</v>
      </c>
    </row>
    <row r="3532" customFormat="false" ht="15" hidden="false" customHeight="false" outlineLevel="0" collapsed="false">
      <c r="A3532" s="0" t="s">
        <v>3856</v>
      </c>
      <c r="B3532" s="0" t="s">
        <v>97</v>
      </c>
      <c r="C3532" s="0" t="str">
        <f aca="false">INDEX(Intent_Analysis!$B$5:$B$81,MATCH(B3532,Intent_Analysis!$A$5:$A$81,0))</f>
        <v>Fraud &amp; security</v>
      </c>
      <c r="D3532" s="0" t="n">
        <f aca="false">INDEX(Intent_Analysis!$E$5:$E$81,MATCH(B3532,Intent_Analysis!$A$5:$A$81,0))</f>
        <v>3</v>
      </c>
    </row>
    <row r="3533" customFormat="false" ht="15" hidden="false" customHeight="false" outlineLevel="0" collapsed="false">
      <c r="A3533" s="0" t="s">
        <v>3857</v>
      </c>
      <c r="B3533" s="0" t="s">
        <v>97</v>
      </c>
      <c r="C3533" s="0" t="str">
        <f aca="false">INDEX(Intent_Analysis!$B$5:$B$81,MATCH(B3533,Intent_Analysis!$A$5:$A$81,0))</f>
        <v>Fraud &amp; security</v>
      </c>
      <c r="D3533" s="0" t="n">
        <f aca="false">INDEX(Intent_Analysis!$E$5:$E$81,MATCH(B3533,Intent_Analysis!$A$5:$A$81,0))</f>
        <v>3</v>
      </c>
    </row>
    <row r="3534" customFormat="false" ht="15" hidden="false" customHeight="false" outlineLevel="0" collapsed="false">
      <c r="A3534" s="0" t="s">
        <v>3858</v>
      </c>
      <c r="B3534" s="0" t="s">
        <v>97</v>
      </c>
      <c r="C3534" s="0" t="str">
        <f aca="false">INDEX(Intent_Analysis!$B$5:$B$81,MATCH(B3534,Intent_Analysis!$A$5:$A$81,0))</f>
        <v>Fraud &amp; security</v>
      </c>
      <c r="D3534" s="0" t="n">
        <f aca="false">INDEX(Intent_Analysis!$E$5:$E$81,MATCH(B3534,Intent_Analysis!$A$5:$A$81,0))</f>
        <v>3</v>
      </c>
    </row>
    <row r="3535" customFormat="false" ht="15" hidden="false" customHeight="false" outlineLevel="0" collapsed="false">
      <c r="A3535" s="0" t="s">
        <v>3859</v>
      </c>
      <c r="B3535" s="0" t="s">
        <v>97</v>
      </c>
      <c r="C3535" s="0" t="str">
        <f aca="false">INDEX(Intent_Analysis!$B$5:$B$81,MATCH(B3535,Intent_Analysis!$A$5:$A$81,0))</f>
        <v>Fraud &amp; security</v>
      </c>
      <c r="D3535" s="0" t="n">
        <f aca="false">INDEX(Intent_Analysis!$E$5:$E$81,MATCH(B3535,Intent_Analysis!$A$5:$A$81,0))</f>
        <v>3</v>
      </c>
    </row>
    <row r="3536" customFormat="false" ht="15" hidden="false" customHeight="false" outlineLevel="0" collapsed="false">
      <c r="A3536" s="0" t="s">
        <v>3860</v>
      </c>
      <c r="B3536" s="0" t="s">
        <v>97</v>
      </c>
      <c r="C3536" s="0" t="str">
        <f aca="false">INDEX(Intent_Analysis!$B$5:$B$81,MATCH(B3536,Intent_Analysis!$A$5:$A$81,0))</f>
        <v>Fraud &amp; security</v>
      </c>
      <c r="D3536" s="0" t="n">
        <f aca="false">INDEX(Intent_Analysis!$E$5:$E$81,MATCH(B3536,Intent_Analysis!$A$5:$A$81,0))</f>
        <v>3</v>
      </c>
    </row>
    <row r="3537" customFormat="false" ht="15" hidden="false" customHeight="false" outlineLevel="0" collapsed="false">
      <c r="A3537" s="0" t="s">
        <v>3861</v>
      </c>
      <c r="B3537" s="0" t="s">
        <v>97</v>
      </c>
      <c r="C3537" s="0" t="str">
        <f aca="false">INDEX(Intent_Analysis!$B$5:$B$81,MATCH(B3537,Intent_Analysis!$A$5:$A$81,0))</f>
        <v>Fraud &amp; security</v>
      </c>
      <c r="D3537" s="0" t="n">
        <f aca="false">INDEX(Intent_Analysis!$E$5:$E$81,MATCH(B3537,Intent_Analysis!$A$5:$A$81,0))</f>
        <v>3</v>
      </c>
    </row>
    <row r="3538" customFormat="false" ht="15" hidden="false" customHeight="false" outlineLevel="0" collapsed="false">
      <c r="A3538" s="0" t="s">
        <v>3862</v>
      </c>
      <c r="B3538" s="0" t="s">
        <v>97</v>
      </c>
      <c r="C3538" s="0" t="str">
        <f aca="false">INDEX(Intent_Analysis!$B$5:$B$81,MATCH(B3538,Intent_Analysis!$A$5:$A$81,0))</f>
        <v>Fraud &amp; security</v>
      </c>
      <c r="D3538" s="0" t="n">
        <f aca="false">INDEX(Intent_Analysis!$E$5:$E$81,MATCH(B3538,Intent_Analysis!$A$5:$A$81,0))</f>
        <v>3</v>
      </c>
    </row>
    <row r="3539" customFormat="false" ht="15" hidden="false" customHeight="false" outlineLevel="0" collapsed="false">
      <c r="A3539" s="0" t="s">
        <v>3863</v>
      </c>
      <c r="B3539" s="0" t="s">
        <v>97</v>
      </c>
      <c r="C3539" s="0" t="str">
        <f aca="false">INDEX(Intent_Analysis!$B$5:$B$81,MATCH(B3539,Intent_Analysis!$A$5:$A$81,0))</f>
        <v>Fraud &amp; security</v>
      </c>
      <c r="D3539" s="0" t="n">
        <f aca="false">INDEX(Intent_Analysis!$E$5:$E$81,MATCH(B3539,Intent_Analysis!$A$5:$A$81,0))</f>
        <v>3</v>
      </c>
    </row>
    <row r="3540" customFormat="false" ht="15" hidden="false" customHeight="false" outlineLevel="0" collapsed="false">
      <c r="A3540" s="0" t="s">
        <v>3864</v>
      </c>
      <c r="B3540" s="0" t="s">
        <v>97</v>
      </c>
      <c r="C3540" s="0" t="str">
        <f aca="false">INDEX(Intent_Analysis!$B$5:$B$81,MATCH(B3540,Intent_Analysis!$A$5:$A$81,0))</f>
        <v>Fraud &amp; security</v>
      </c>
      <c r="D3540" s="0" t="n">
        <f aca="false">INDEX(Intent_Analysis!$E$5:$E$81,MATCH(B3540,Intent_Analysis!$A$5:$A$81,0))</f>
        <v>3</v>
      </c>
    </row>
    <row r="3541" customFormat="false" ht="15" hidden="false" customHeight="false" outlineLevel="0" collapsed="false">
      <c r="A3541" s="0" t="s">
        <v>3865</v>
      </c>
      <c r="B3541" s="0" t="s">
        <v>97</v>
      </c>
      <c r="C3541" s="0" t="str">
        <f aca="false">INDEX(Intent_Analysis!$B$5:$B$81,MATCH(B3541,Intent_Analysis!$A$5:$A$81,0))</f>
        <v>Fraud &amp; security</v>
      </c>
      <c r="D3541" s="0" t="n">
        <f aca="false">INDEX(Intent_Analysis!$E$5:$E$81,MATCH(B3541,Intent_Analysis!$A$5:$A$81,0))</f>
        <v>3</v>
      </c>
    </row>
    <row r="3542" customFormat="false" ht="15" hidden="false" customHeight="false" outlineLevel="0" collapsed="false">
      <c r="A3542" s="0" t="s">
        <v>3866</v>
      </c>
      <c r="B3542" s="0" t="s">
        <v>97</v>
      </c>
      <c r="C3542" s="0" t="str">
        <f aca="false">INDEX(Intent_Analysis!$B$5:$B$81,MATCH(B3542,Intent_Analysis!$A$5:$A$81,0))</f>
        <v>Fraud &amp; security</v>
      </c>
      <c r="D3542" s="0" t="n">
        <f aca="false">INDEX(Intent_Analysis!$E$5:$E$81,MATCH(B3542,Intent_Analysis!$A$5:$A$81,0))</f>
        <v>3</v>
      </c>
    </row>
    <row r="3543" customFormat="false" ht="15" hidden="false" customHeight="false" outlineLevel="0" collapsed="false">
      <c r="A3543" s="0" t="s">
        <v>3867</v>
      </c>
      <c r="B3543" s="0" t="s">
        <v>97</v>
      </c>
      <c r="C3543" s="0" t="str">
        <f aca="false">INDEX(Intent_Analysis!$B$5:$B$81,MATCH(B3543,Intent_Analysis!$A$5:$A$81,0))</f>
        <v>Fraud &amp; security</v>
      </c>
      <c r="D3543" s="0" t="n">
        <f aca="false">INDEX(Intent_Analysis!$E$5:$E$81,MATCH(B3543,Intent_Analysis!$A$5:$A$81,0))</f>
        <v>3</v>
      </c>
    </row>
    <row r="3544" customFormat="false" ht="15" hidden="false" customHeight="false" outlineLevel="0" collapsed="false">
      <c r="A3544" s="0" t="s">
        <v>3868</v>
      </c>
      <c r="B3544" s="0" t="s">
        <v>97</v>
      </c>
      <c r="C3544" s="0" t="str">
        <f aca="false">INDEX(Intent_Analysis!$B$5:$B$81,MATCH(B3544,Intent_Analysis!$A$5:$A$81,0))</f>
        <v>Fraud &amp; security</v>
      </c>
      <c r="D3544" s="0" t="n">
        <f aca="false">INDEX(Intent_Analysis!$E$5:$E$81,MATCH(B3544,Intent_Analysis!$A$5:$A$81,0))</f>
        <v>3</v>
      </c>
    </row>
    <row r="3545" customFormat="false" ht="15" hidden="false" customHeight="false" outlineLevel="0" collapsed="false">
      <c r="A3545" s="0" t="s">
        <v>3869</v>
      </c>
      <c r="B3545" s="0" t="s">
        <v>97</v>
      </c>
      <c r="C3545" s="0" t="str">
        <f aca="false">INDEX(Intent_Analysis!$B$5:$B$81,MATCH(B3545,Intent_Analysis!$A$5:$A$81,0))</f>
        <v>Fraud &amp; security</v>
      </c>
      <c r="D3545" s="0" t="n">
        <f aca="false">INDEX(Intent_Analysis!$E$5:$E$81,MATCH(B3545,Intent_Analysis!$A$5:$A$81,0))</f>
        <v>3</v>
      </c>
    </row>
    <row r="3546" customFormat="false" ht="15" hidden="false" customHeight="false" outlineLevel="0" collapsed="false">
      <c r="A3546" s="0" t="s">
        <v>3870</v>
      </c>
      <c r="B3546" s="0" t="s">
        <v>97</v>
      </c>
      <c r="C3546" s="0" t="str">
        <f aca="false">INDEX(Intent_Analysis!$B$5:$B$81,MATCH(B3546,Intent_Analysis!$A$5:$A$81,0))</f>
        <v>Fraud &amp; security</v>
      </c>
      <c r="D3546" s="0" t="n">
        <f aca="false">INDEX(Intent_Analysis!$E$5:$E$81,MATCH(B3546,Intent_Analysis!$A$5:$A$81,0))</f>
        <v>3</v>
      </c>
    </row>
    <row r="3547" customFormat="false" ht="15" hidden="false" customHeight="false" outlineLevel="0" collapsed="false">
      <c r="A3547" s="0" t="s">
        <v>3871</v>
      </c>
      <c r="B3547" s="0" t="s">
        <v>97</v>
      </c>
      <c r="C3547" s="0" t="str">
        <f aca="false">INDEX(Intent_Analysis!$B$5:$B$81,MATCH(B3547,Intent_Analysis!$A$5:$A$81,0))</f>
        <v>Fraud &amp; security</v>
      </c>
      <c r="D3547" s="0" t="n">
        <f aca="false">INDEX(Intent_Analysis!$E$5:$E$81,MATCH(B3547,Intent_Analysis!$A$5:$A$81,0))</f>
        <v>3</v>
      </c>
    </row>
    <row r="3548" customFormat="false" ht="15" hidden="false" customHeight="false" outlineLevel="0" collapsed="false">
      <c r="A3548" s="0" t="s">
        <v>3872</v>
      </c>
      <c r="B3548" s="0" t="s">
        <v>97</v>
      </c>
      <c r="C3548" s="0" t="str">
        <f aca="false">INDEX(Intent_Analysis!$B$5:$B$81,MATCH(B3548,Intent_Analysis!$A$5:$A$81,0))</f>
        <v>Fraud &amp; security</v>
      </c>
      <c r="D3548" s="0" t="n">
        <f aca="false">INDEX(Intent_Analysis!$E$5:$E$81,MATCH(B3548,Intent_Analysis!$A$5:$A$81,0))</f>
        <v>3</v>
      </c>
    </row>
    <row r="3549" customFormat="false" ht="15" hidden="false" customHeight="false" outlineLevel="0" collapsed="false">
      <c r="A3549" s="0" t="s">
        <v>3873</v>
      </c>
      <c r="B3549" s="0" t="s">
        <v>97</v>
      </c>
      <c r="C3549" s="0" t="str">
        <f aca="false">INDEX(Intent_Analysis!$B$5:$B$81,MATCH(B3549,Intent_Analysis!$A$5:$A$81,0))</f>
        <v>Fraud &amp; security</v>
      </c>
      <c r="D3549" s="0" t="n">
        <f aca="false">INDEX(Intent_Analysis!$E$5:$E$81,MATCH(B3549,Intent_Analysis!$A$5:$A$81,0))</f>
        <v>3</v>
      </c>
    </row>
    <row r="3550" customFormat="false" ht="15" hidden="false" customHeight="false" outlineLevel="0" collapsed="false">
      <c r="A3550" s="0" t="s">
        <v>3874</v>
      </c>
      <c r="B3550" s="0" t="s">
        <v>97</v>
      </c>
      <c r="C3550" s="0" t="str">
        <f aca="false">INDEX(Intent_Analysis!$B$5:$B$81,MATCH(B3550,Intent_Analysis!$A$5:$A$81,0))</f>
        <v>Fraud &amp; security</v>
      </c>
      <c r="D3550" s="0" t="n">
        <f aca="false">INDEX(Intent_Analysis!$E$5:$E$81,MATCH(B3550,Intent_Analysis!$A$5:$A$81,0))</f>
        <v>3</v>
      </c>
    </row>
    <row r="3551" customFormat="false" ht="15" hidden="false" customHeight="false" outlineLevel="0" collapsed="false">
      <c r="A3551" s="0" t="s">
        <v>3875</v>
      </c>
      <c r="B3551" s="0" t="s">
        <v>97</v>
      </c>
      <c r="C3551" s="0" t="str">
        <f aca="false">INDEX(Intent_Analysis!$B$5:$B$81,MATCH(B3551,Intent_Analysis!$A$5:$A$81,0))</f>
        <v>Fraud &amp; security</v>
      </c>
      <c r="D3551" s="0" t="n">
        <f aca="false">INDEX(Intent_Analysis!$E$5:$E$81,MATCH(B3551,Intent_Analysis!$A$5:$A$81,0))</f>
        <v>3</v>
      </c>
    </row>
    <row r="3552" customFormat="false" ht="15" hidden="false" customHeight="false" outlineLevel="0" collapsed="false">
      <c r="A3552" s="0" t="s">
        <v>3876</v>
      </c>
      <c r="B3552" s="0" t="s">
        <v>97</v>
      </c>
      <c r="C3552" s="0" t="str">
        <f aca="false">INDEX(Intent_Analysis!$B$5:$B$81,MATCH(B3552,Intent_Analysis!$A$5:$A$81,0))</f>
        <v>Fraud &amp; security</v>
      </c>
      <c r="D3552" s="0" t="n">
        <f aca="false">INDEX(Intent_Analysis!$E$5:$E$81,MATCH(B3552,Intent_Analysis!$A$5:$A$81,0))</f>
        <v>3</v>
      </c>
    </row>
    <row r="3553" customFormat="false" ht="15" hidden="false" customHeight="false" outlineLevel="0" collapsed="false">
      <c r="A3553" s="0" t="s">
        <v>3877</v>
      </c>
      <c r="B3553" s="0" t="s">
        <v>97</v>
      </c>
      <c r="C3553" s="0" t="str">
        <f aca="false">INDEX(Intent_Analysis!$B$5:$B$81,MATCH(B3553,Intent_Analysis!$A$5:$A$81,0))</f>
        <v>Fraud &amp; security</v>
      </c>
      <c r="D3553" s="0" t="n">
        <f aca="false">INDEX(Intent_Analysis!$E$5:$E$81,MATCH(B3553,Intent_Analysis!$A$5:$A$81,0))</f>
        <v>3</v>
      </c>
    </row>
    <row r="3554" customFormat="false" ht="15" hidden="false" customHeight="false" outlineLevel="0" collapsed="false">
      <c r="A3554" s="0" t="s">
        <v>3878</v>
      </c>
      <c r="B3554" s="0" t="s">
        <v>97</v>
      </c>
      <c r="C3554" s="0" t="str">
        <f aca="false">INDEX(Intent_Analysis!$B$5:$B$81,MATCH(B3554,Intent_Analysis!$A$5:$A$81,0))</f>
        <v>Fraud &amp; security</v>
      </c>
      <c r="D3554" s="0" t="n">
        <f aca="false">INDEX(Intent_Analysis!$E$5:$E$81,MATCH(B3554,Intent_Analysis!$A$5:$A$81,0))</f>
        <v>3</v>
      </c>
    </row>
    <row r="3555" customFormat="false" ht="15" hidden="false" customHeight="false" outlineLevel="0" collapsed="false">
      <c r="A3555" s="0" t="s">
        <v>3879</v>
      </c>
      <c r="B3555" s="0" t="s">
        <v>97</v>
      </c>
      <c r="C3555" s="0" t="str">
        <f aca="false">INDEX(Intent_Analysis!$B$5:$B$81,MATCH(B3555,Intent_Analysis!$A$5:$A$81,0))</f>
        <v>Fraud &amp; security</v>
      </c>
      <c r="D3555" s="0" t="n">
        <f aca="false">INDEX(Intent_Analysis!$E$5:$E$81,MATCH(B3555,Intent_Analysis!$A$5:$A$81,0))</f>
        <v>3</v>
      </c>
    </row>
    <row r="3556" customFormat="false" ht="15" hidden="false" customHeight="false" outlineLevel="0" collapsed="false">
      <c r="A3556" s="0" t="s">
        <v>3880</v>
      </c>
      <c r="B3556" s="0" t="s">
        <v>97</v>
      </c>
      <c r="C3556" s="0" t="str">
        <f aca="false">INDEX(Intent_Analysis!$B$5:$B$81,MATCH(B3556,Intent_Analysis!$A$5:$A$81,0))</f>
        <v>Fraud &amp; security</v>
      </c>
      <c r="D3556" s="0" t="n">
        <f aca="false">INDEX(Intent_Analysis!$E$5:$E$81,MATCH(B3556,Intent_Analysis!$A$5:$A$81,0))</f>
        <v>3</v>
      </c>
    </row>
    <row r="3557" customFormat="false" ht="15" hidden="false" customHeight="false" outlineLevel="0" collapsed="false">
      <c r="A3557" s="0" t="s">
        <v>3881</v>
      </c>
      <c r="B3557" s="0" t="s">
        <v>97</v>
      </c>
      <c r="C3557" s="0" t="str">
        <f aca="false">INDEX(Intent_Analysis!$B$5:$B$81,MATCH(B3557,Intent_Analysis!$A$5:$A$81,0))</f>
        <v>Fraud &amp; security</v>
      </c>
      <c r="D3557" s="0" t="n">
        <f aca="false">INDEX(Intent_Analysis!$E$5:$E$81,MATCH(B3557,Intent_Analysis!$A$5:$A$81,0))</f>
        <v>3</v>
      </c>
    </row>
    <row r="3558" customFormat="false" ht="15" hidden="false" customHeight="false" outlineLevel="0" collapsed="false">
      <c r="A3558" s="0" t="s">
        <v>3882</v>
      </c>
      <c r="B3558" s="0" t="s">
        <v>97</v>
      </c>
      <c r="C3558" s="0" t="str">
        <f aca="false">INDEX(Intent_Analysis!$B$5:$B$81,MATCH(B3558,Intent_Analysis!$A$5:$A$81,0))</f>
        <v>Fraud &amp; security</v>
      </c>
      <c r="D3558" s="0" t="n">
        <f aca="false">INDEX(Intent_Analysis!$E$5:$E$81,MATCH(B3558,Intent_Analysis!$A$5:$A$81,0))</f>
        <v>3</v>
      </c>
    </row>
    <row r="3559" customFormat="false" ht="15" hidden="false" customHeight="false" outlineLevel="0" collapsed="false">
      <c r="A3559" s="0" t="s">
        <v>3883</v>
      </c>
      <c r="B3559" s="0" t="s">
        <v>97</v>
      </c>
      <c r="C3559" s="0" t="str">
        <f aca="false">INDEX(Intent_Analysis!$B$5:$B$81,MATCH(B3559,Intent_Analysis!$A$5:$A$81,0))</f>
        <v>Fraud &amp; security</v>
      </c>
      <c r="D3559" s="0" t="n">
        <f aca="false">INDEX(Intent_Analysis!$E$5:$E$81,MATCH(B3559,Intent_Analysis!$A$5:$A$81,0))</f>
        <v>3</v>
      </c>
    </row>
    <row r="3560" customFormat="false" ht="15" hidden="false" customHeight="false" outlineLevel="0" collapsed="false">
      <c r="A3560" s="0" t="s">
        <v>3884</v>
      </c>
      <c r="B3560" s="0" t="s">
        <v>97</v>
      </c>
      <c r="C3560" s="0" t="str">
        <f aca="false">INDEX(Intent_Analysis!$B$5:$B$81,MATCH(B3560,Intent_Analysis!$A$5:$A$81,0))</f>
        <v>Fraud &amp; security</v>
      </c>
      <c r="D3560" s="0" t="n">
        <f aca="false">INDEX(Intent_Analysis!$E$5:$E$81,MATCH(B3560,Intent_Analysis!$A$5:$A$81,0))</f>
        <v>3</v>
      </c>
    </row>
    <row r="3561" customFormat="false" ht="15" hidden="false" customHeight="false" outlineLevel="0" collapsed="false">
      <c r="A3561" s="0" t="s">
        <v>3885</v>
      </c>
      <c r="B3561" s="0" t="s">
        <v>97</v>
      </c>
      <c r="C3561" s="0" t="str">
        <f aca="false">INDEX(Intent_Analysis!$B$5:$B$81,MATCH(B3561,Intent_Analysis!$A$5:$A$81,0))</f>
        <v>Fraud &amp; security</v>
      </c>
      <c r="D3561" s="0" t="n">
        <f aca="false">INDEX(Intent_Analysis!$E$5:$E$81,MATCH(B3561,Intent_Analysis!$A$5:$A$81,0))</f>
        <v>3</v>
      </c>
    </row>
    <row r="3562" customFormat="false" ht="15" hidden="false" customHeight="false" outlineLevel="0" collapsed="false">
      <c r="A3562" s="0" t="s">
        <v>3886</v>
      </c>
      <c r="B3562" s="0" t="s">
        <v>97</v>
      </c>
      <c r="C3562" s="0" t="str">
        <f aca="false">INDEX(Intent_Analysis!$B$5:$B$81,MATCH(B3562,Intent_Analysis!$A$5:$A$81,0))</f>
        <v>Fraud &amp; security</v>
      </c>
      <c r="D3562" s="0" t="n">
        <f aca="false">INDEX(Intent_Analysis!$E$5:$E$81,MATCH(B3562,Intent_Analysis!$A$5:$A$81,0))</f>
        <v>3</v>
      </c>
    </row>
    <row r="3563" customFormat="false" ht="15" hidden="false" customHeight="false" outlineLevel="0" collapsed="false">
      <c r="A3563" s="0" t="s">
        <v>3887</v>
      </c>
      <c r="B3563" s="0" t="s">
        <v>97</v>
      </c>
      <c r="C3563" s="0" t="str">
        <f aca="false">INDEX(Intent_Analysis!$B$5:$B$81,MATCH(B3563,Intent_Analysis!$A$5:$A$81,0))</f>
        <v>Fraud &amp; security</v>
      </c>
      <c r="D3563" s="0" t="n">
        <f aca="false">INDEX(Intent_Analysis!$E$5:$E$81,MATCH(B3563,Intent_Analysis!$A$5:$A$81,0))</f>
        <v>3</v>
      </c>
    </row>
    <row r="3564" customFormat="false" ht="15" hidden="false" customHeight="false" outlineLevel="0" collapsed="false">
      <c r="A3564" s="0" t="s">
        <v>3888</v>
      </c>
      <c r="B3564" s="0" t="s">
        <v>97</v>
      </c>
      <c r="C3564" s="0" t="str">
        <f aca="false">INDEX(Intent_Analysis!$B$5:$B$81,MATCH(B3564,Intent_Analysis!$A$5:$A$81,0))</f>
        <v>Fraud &amp; security</v>
      </c>
      <c r="D3564" s="0" t="n">
        <f aca="false">INDEX(Intent_Analysis!$E$5:$E$81,MATCH(B3564,Intent_Analysis!$A$5:$A$81,0))</f>
        <v>3</v>
      </c>
    </row>
    <row r="3565" customFormat="false" ht="15" hidden="false" customHeight="false" outlineLevel="0" collapsed="false">
      <c r="A3565" s="0" t="s">
        <v>3889</v>
      </c>
      <c r="B3565" s="0" t="s">
        <v>97</v>
      </c>
      <c r="C3565" s="0" t="str">
        <f aca="false">INDEX(Intent_Analysis!$B$5:$B$81,MATCH(B3565,Intent_Analysis!$A$5:$A$81,0))</f>
        <v>Fraud &amp; security</v>
      </c>
      <c r="D3565" s="0" t="n">
        <f aca="false">INDEX(Intent_Analysis!$E$5:$E$81,MATCH(B3565,Intent_Analysis!$A$5:$A$81,0))</f>
        <v>3</v>
      </c>
    </row>
    <row r="3566" customFormat="false" ht="15" hidden="false" customHeight="false" outlineLevel="0" collapsed="false">
      <c r="A3566" s="0" t="s">
        <v>3890</v>
      </c>
      <c r="B3566" s="0" t="s">
        <v>97</v>
      </c>
      <c r="C3566" s="0" t="str">
        <f aca="false">INDEX(Intent_Analysis!$B$5:$B$81,MATCH(B3566,Intent_Analysis!$A$5:$A$81,0))</f>
        <v>Fraud &amp; security</v>
      </c>
      <c r="D3566" s="0" t="n">
        <f aca="false">INDEX(Intent_Analysis!$E$5:$E$81,MATCH(B3566,Intent_Analysis!$A$5:$A$81,0))</f>
        <v>3</v>
      </c>
    </row>
    <row r="3567" customFormat="false" ht="15" hidden="false" customHeight="false" outlineLevel="0" collapsed="false">
      <c r="A3567" s="0" t="s">
        <v>3891</v>
      </c>
      <c r="B3567" s="0" t="s">
        <v>97</v>
      </c>
      <c r="C3567" s="0" t="str">
        <f aca="false">INDEX(Intent_Analysis!$B$5:$B$81,MATCH(B3567,Intent_Analysis!$A$5:$A$81,0))</f>
        <v>Fraud &amp; security</v>
      </c>
      <c r="D3567" s="0" t="n">
        <f aca="false">INDEX(Intent_Analysis!$E$5:$E$81,MATCH(B3567,Intent_Analysis!$A$5:$A$81,0))</f>
        <v>3</v>
      </c>
    </row>
    <row r="3568" customFormat="false" ht="15" hidden="false" customHeight="false" outlineLevel="0" collapsed="false">
      <c r="A3568" s="0" t="s">
        <v>3892</v>
      </c>
      <c r="B3568" s="0" t="s">
        <v>97</v>
      </c>
      <c r="C3568" s="0" t="str">
        <f aca="false">INDEX(Intent_Analysis!$B$5:$B$81,MATCH(B3568,Intent_Analysis!$A$5:$A$81,0))</f>
        <v>Fraud &amp; security</v>
      </c>
      <c r="D3568" s="0" t="n">
        <f aca="false">INDEX(Intent_Analysis!$E$5:$E$81,MATCH(B3568,Intent_Analysis!$A$5:$A$81,0))</f>
        <v>3</v>
      </c>
    </row>
    <row r="3569" customFormat="false" ht="15" hidden="false" customHeight="false" outlineLevel="0" collapsed="false">
      <c r="A3569" s="0" t="s">
        <v>3893</v>
      </c>
      <c r="B3569" s="0" t="s">
        <v>97</v>
      </c>
      <c r="C3569" s="0" t="str">
        <f aca="false">INDEX(Intent_Analysis!$B$5:$B$81,MATCH(B3569,Intent_Analysis!$A$5:$A$81,0))</f>
        <v>Fraud &amp; security</v>
      </c>
      <c r="D3569" s="0" t="n">
        <f aca="false">INDEX(Intent_Analysis!$E$5:$E$81,MATCH(B3569,Intent_Analysis!$A$5:$A$81,0))</f>
        <v>3</v>
      </c>
    </row>
    <row r="3570" customFormat="false" ht="15" hidden="false" customHeight="false" outlineLevel="0" collapsed="false">
      <c r="A3570" s="0" t="s">
        <v>3894</v>
      </c>
      <c r="B3570" s="0" t="s">
        <v>97</v>
      </c>
      <c r="C3570" s="0" t="str">
        <f aca="false">INDEX(Intent_Analysis!$B$5:$B$81,MATCH(B3570,Intent_Analysis!$A$5:$A$81,0))</f>
        <v>Fraud &amp; security</v>
      </c>
      <c r="D3570" s="0" t="n">
        <f aca="false">INDEX(Intent_Analysis!$E$5:$E$81,MATCH(B3570,Intent_Analysis!$A$5:$A$81,0))</f>
        <v>3</v>
      </c>
    </row>
    <row r="3571" customFormat="false" ht="15" hidden="false" customHeight="false" outlineLevel="0" collapsed="false">
      <c r="A3571" s="0" t="s">
        <v>3895</v>
      </c>
      <c r="B3571" s="0" t="s">
        <v>97</v>
      </c>
      <c r="C3571" s="0" t="str">
        <f aca="false">INDEX(Intent_Analysis!$B$5:$B$81,MATCH(B3571,Intent_Analysis!$A$5:$A$81,0))</f>
        <v>Fraud &amp; security</v>
      </c>
      <c r="D3571" s="0" t="n">
        <f aca="false">INDEX(Intent_Analysis!$E$5:$E$81,MATCH(B3571,Intent_Analysis!$A$5:$A$81,0))</f>
        <v>3</v>
      </c>
    </row>
    <row r="3572" customFormat="false" ht="15" hidden="false" customHeight="false" outlineLevel="0" collapsed="false">
      <c r="A3572" s="0" t="s">
        <v>3896</v>
      </c>
      <c r="B3572" s="0" t="s">
        <v>97</v>
      </c>
      <c r="C3572" s="0" t="str">
        <f aca="false">INDEX(Intent_Analysis!$B$5:$B$81,MATCH(B3572,Intent_Analysis!$A$5:$A$81,0))</f>
        <v>Fraud &amp; security</v>
      </c>
      <c r="D3572" s="0" t="n">
        <f aca="false">INDEX(Intent_Analysis!$E$5:$E$81,MATCH(B3572,Intent_Analysis!$A$5:$A$81,0))</f>
        <v>3</v>
      </c>
    </row>
    <row r="3573" customFormat="false" ht="15" hidden="false" customHeight="false" outlineLevel="0" collapsed="false">
      <c r="A3573" s="0" t="s">
        <v>3897</v>
      </c>
      <c r="B3573" s="0" t="s">
        <v>97</v>
      </c>
      <c r="C3573" s="0" t="str">
        <f aca="false">INDEX(Intent_Analysis!$B$5:$B$81,MATCH(B3573,Intent_Analysis!$A$5:$A$81,0))</f>
        <v>Fraud &amp; security</v>
      </c>
      <c r="D3573" s="0" t="n">
        <f aca="false">INDEX(Intent_Analysis!$E$5:$E$81,MATCH(B3573,Intent_Analysis!$A$5:$A$81,0))</f>
        <v>3</v>
      </c>
    </row>
    <row r="3574" customFormat="false" ht="15" hidden="false" customHeight="false" outlineLevel="0" collapsed="false">
      <c r="A3574" s="0" t="s">
        <v>3898</v>
      </c>
      <c r="B3574" s="0" t="s">
        <v>97</v>
      </c>
      <c r="C3574" s="0" t="str">
        <f aca="false">INDEX(Intent_Analysis!$B$5:$B$81,MATCH(B3574,Intent_Analysis!$A$5:$A$81,0))</f>
        <v>Fraud &amp; security</v>
      </c>
      <c r="D3574" s="0" t="n">
        <f aca="false">INDEX(Intent_Analysis!$E$5:$E$81,MATCH(B3574,Intent_Analysis!$A$5:$A$81,0))</f>
        <v>3</v>
      </c>
    </row>
    <row r="3575" customFormat="false" ht="15" hidden="false" customHeight="false" outlineLevel="0" collapsed="false">
      <c r="A3575" s="0" t="s">
        <v>3899</v>
      </c>
      <c r="B3575" s="0" t="s">
        <v>97</v>
      </c>
      <c r="C3575" s="0" t="str">
        <f aca="false">INDEX(Intent_Analysis!$B$5:$B$81,MATCH(B3575,Intent_Analysis!$A$5:$A$81,0))</f>
        <v>Fraud &amp; security</v>
      </c>
      <c r="D3575" s="0" t="n">
        <f aca="false">INDEX(Intent_Analysis!$E$5:$E$81,MATCH(B3575,Intent_Analysis!$A$5:$A$81,0))</f>
        <v>3</v>
      </c>
    </row>
    <row r="3576" customFormat="false" ht="15" hidden="false" customHeight="false" outlineLevel="0" collapsed="false">
      <c r="A3576" s="0" t="s">
        <v>3900</v>
      </c>
      <c r="B3576" s="0" t="s">
        <v>97</v>
      </c>
      <c r="C3576" s="0" t="str">
        <f aca="false">INDEX(Intent_Analysis!$B$5:$B$81,MATCH(B3576,Intent_Analysis!$A$5:$A$81,0))</f>
        <v>Fraud &amp; security</v>
      </c>
      <c r="D3576" s="0" t="n">
        <f aca="false">INDEX(Intent_Analysis!$E$5:$E$81,MATCH(B3576,Intent_Analysis!$A$5:$A$81,0))</f>
        <v>3</v>
      </c>
    </row>
    <row r="3577" customFormat="false" ht="15" hidden="false" customHeight="false" outlineLevel="0" collapsed="false">
      <c r="A3577" s="0" t="s">
        <v>3901</v>
      </c>
      <c r="B3577" s="0" t="s">
        <v>97</v>
      </c>
      <c r="C3577" s="0" t="str">
        <f aca="false">INDEX(Intent_Analysis!$B$5:$B$81,MATCH(B3577,Intent_Analysis!$A$5:$A$81,0))</f>
        <v>Fraud &amp; security</v>
      </c>
      <c r="D3577" s="0" t="n">
        <f aca="false">INDEX(Intent_Analysis!$E$5:$E$81,MATCH(B3577,Intent_Analysis!$A$5:$A$81,0))</f>
        <v>3</v>
      </c>
    </row>
    <row r="3578" customFormat="false" ht="15" hidden="false" customHeight="false" outlineLevel="0" collapsed="false">
      <c r="A3578" s="0" t="s">
        <v>3902</v>
      </c>
      <c r="B3578" s="0" t="s">
        <v>97</v>
      </c>
      <c r="C3578" s="0" t="str">
        <f aca="false">INDEX(Intent_Analysis!$B$5:$B$81,MATCH(B3578,Intent_Analysis!$A$5:$A$81,0))</f>
        <v>Fraud &amp; security</v>
      </c>
      <c r="D3578" s="0" t="n">
        <f aca="false">INDEX(Intent_Analysis!$E$5:$E$81,MATCH(B3578,Intent_Analysis!$A$5:$A$81,0))</f>
        <v>3</v>
      </c>
    </row>
    <row r="3579" customFormat="false" ht="15" hidden="false" customHeight="false" outlineLevel="0" collapsed="false">
      <c r="A3579" s="0" t="s">
        <v>3903</v>
      </c>
      <c r="B3579" s="0" t="s">
        <v>97</v>
      </c>
      <c r="C3579" s="0" t="str">
        <f aca="false">INDEX(Intent_Analysis!$B$5:$B$81,MATCH(B3579,Intent_Analysis!$A$5:$A$81,0))</f>
        <v>Fraud &amp; security</v>
      </c>
      <c r="D3579" s="0" t="n">
        <f aca="false">INDEX(Intent_Analysis!$E$5:$E$81,MATCH(B3579,Intent_Analysis!$A$5:$A$81,0))</f>
        <v>3</v>
      </c>
    </row>
    <row r="3580" customFormat="false" ht="15" hidden="false" customHeight="false" outlineLevel="0" collapsed="false">
      <c r="A3580" s="0" t="s">
        <v>3904</v>
      </c>
      <c r="B3580" s="0" t="s">
        <v>97</v>
      </c>
      <c r="C3580" s="0" t="str">
        <f aca="false">INDEX(Intent_Analysis!$B$5:$B$81,MATCH(B3580,Intent_Analysis!$A$5:$A$81,0))</f>
        <v>Fraud &amp; security</v>
      </c>
      <c r="D3580" s="0" t="n">
        <f aca="false">INDEX(Intent_Analysis!$E$5:$E$81,MATCH(B3580,Intent_Analysis!$A$5:$A$81,0))</f>
        <v>3</v>
      </c>
    </row>
    <row r="3581" customFormat="false" ht="15" hidden="false" customHeight="false" outlineLevel="0" collapsed="false">
      <c r="A3581" s="0" t="s">
        <v>3905</v>
      </c>
      <c r="B3581" s="0" t="s">
        <v>97</v>
      </c>
      <c r="C3581" s="0" t="str">
        <f aca="false">INDEX(Intent_Analysis!$B$5:$B$81,MATCH(B3581,Intent_Analysis!$A$5:$A$81,0))</f>
        <v>Fraud &amp; security</v>
      </c>
      <c r="D3581" s="0" t="n">
        <f aca="false">INDEX(Intent_Analysis!$E$5:$E$81,MATCH(B3581,Intent_Analysis!$A$5:$A$81,0))</f>
        <v>3</v>
      </c>
    </row>
    <row r="3582" customFormat="false" ht="15" hidden="false" customHeight="false" outlineLevel="0" collapsed="false">
      <c r="A3582" s="0" t="s">
        <v>3906</v>
      </c>
      <c r="B3582" s="0" t="s">
        <v>97</v>
      </c>
      <c r="C3582" s="0" t="str">
        <f aca="false">INDEX(Intent_Analysis!$B$5:$B$81,MATCH(B3582,Intent_Analysis!$A$5:$A$81,0))</f>
        <v>Fraud &amp; security</v>
      </c>
      <c r="D3582" s="0" t="n">
        <f aca="false">INDEX(Intent_Analysis!$E$5:$E$81,MATCH(B3582,Intent_Analysis!$A$5:$A$81,0))</f>
        <v>3</v>
      </c>
    </row>
    <row r="3583" customFormat="false" ht="15" hidden="false" customHeight="false" outlineLevel="0" collapsed="false">
      <c r="A3583" s="0" t="s">
        <v>3907</v>
      </c>
      <c r="B3583" s="0" t="s">
        <v>97</v>
      </c>
      <c r="C3583" s="0" t="str">
        <f aca="false">INDEX(Intent_Analysis!$B$5:$B$81,MATCH(B3583,Intent_Analysis!$A$5:$A$81,0))</f>
        <v>Fraud &amp; security</v>
      </c>
      <c r="D3583" s="0" t="n">
        <f aca="false">INDEX(Intent_Analysis!$E$5:$E$81,MATCH(B3583,Intent_Analysis!$A$5:$A$81,0))</f>
        <v>3</v>
      </c>
    </row>
    <row r="3584" customFormat="false" ht="15" hidden="false" customHeight="false" outlineLevel="0" collapsed="false">
      <c r="A3584" s="0" t="s">
        <v>3908</v>
      </c>
      <c r="B3584" s="0" t="s">
        <v>97</v>
      </c>
      <c r="C3584" s="0" t="str">
        <f aca="false">INDEX(Intent_Analysis!$B$5:$B$81,MATCH(B3584,Intent_Analysis!$A$5:$A$81,0))</f>
        <v>Fraud &amp; security</v>
      </c>
      <c r="D3584" s="0" t="n">
        <f aca="false">INDEX(Intent_Analysis!$E$5:$E$81,MATCH(B3584,Intent_Analysis!$A$5:$A$81,0))</f>
        <v>3</v>
      </c>
    </row>
    <row r="3585" customFormat="false" ht="15" hidden="false" customHeight="false" outlineLevel="0" collapsed="false">
      <c r="A3585" s="0" t="s">
        <v>3909</v>
      </c>
      <c r="B3585" s="0" t="s">
        <v>97</v>
      </c>
      <c r="C3585" s="0" t="str">
        <f aca="false">INDEX(Intent_Analysis!$B$5:$B$81,MATCH(B3585,Intent_Analysis!$A$5:$A$81,0))</f>
        <v>Fraud &amp; security</v>
      </c>
      <c r="D3585" s="0" t="n">
        <f aca="false">INDEX(Intent_Analysis!$E$5:$E$81,MATCH(B3585,Intent_Analysis!$A$5:$A$81,0))</f>
        <v>3</v>
      </c>
    </row>
    <row r="3586" customFormat="false" ht="15" hidden="false" customHeight="false" outlineLevel="0" collapsed="false">
      <c r="A3586" s="0" t="s">
        <v>3910</v>
      </c>
      <c r="B3586" s="0" t="s">
        <v>97</v>
      </c>
      <c r="C3586" s="0" t="str">
        <f aca="false">INDEX(Intent_Analysis!$B$5:$B$81,MATCH(B3586,Intent_Analysis!$A$5:$A$81,0))</f>
        <v>Fraud &amp; security</v>
      </c>
      <c r="D3586" s="0" t="n">
        <f aca="false">INDEX(Intent_Analysis!$E$5:$E$81,MATCH(B3586,Intent_Analysis!$A$5:$A$81,0))</f>
        <v>3</v>
      </c>
    </row>
    <row r="3587" customFormat="false" ht="15" hidden="false" customHeight="false" outlineLevel="0" collapsed="false">
      <c r="A3587" s="0" t="s">
        <v>3911</v>
      </c>
      <c r="B3587" s="0" t="s">
        <v>97</v>
      </c>
      <c r="C3587" s="0" t="str">
        <f aca="false">INDEX(Intent_Analysis!$B$5:$B$81,MATCH(B3587,Intent_Analysis!$A$5:$A$81,0))</f>
        <v>Fraud &amp; security</v>
      </c>
      <c r="D3587" s="0" t="n">
        <f aca="false">INDEX(Intent_Analysis!$E$5:$E$81,MATCH(B3587,Intent_Analysis!$A$5:$A$81,0))</f>
        <v>3</v>
      </c>
    </row>
    <row r="3588" customFormat="false" ht="15" hidden="false" customHeight="false" outlineLevel="0" collapsed="false">
      <c r="A3588" s="0" t="s">
        <v>3912</v>
      </c>
      <c r="B3588" s="0" t="s">
        <v>97</v>
      </c>
      <c r="C3588" s="0" t="str">
        <f aca="false">INDEX(Intent_Analysis!$B$5:$B$81,MATCH(B3588,Intent_Analysis!$A$5:$A$81,0))</f>
        <v>Fraud &amp; security</v>
      </c>
      <c r="D3588" s="0" t="n">
        <f aca="false">INDEX(Intent_Analysis!$E$5:$E$81,MATCH(B3588,Intent_Analysis!$A$5:$A$81,0))</f>
        <v>3</v>
      </c>
    </row>
    <row r="3589" customFormat="false" ht="15" hidden="false" customHeight="false" outlineLevel="0" collapsed="false">
      <c r="A3589" s="0" t="s">
        <v>3913</v>
      </c>
      <c r="B3589" s="0" t="s">
        <v>97</v>
      </c>
      <c r="C3589" s="0" t="str">
        <f aca="false">INDEX(Intent_Analysis!$B$5:$B$81,MATCH(B3589,Intent_Analysis!$A$5:$A$81,0))</f>
        <v>Fraud &amp; security</v>
      </c>
      <c r="D3589" s="0" t="n">
        <f aca="false">INDEX(Intent_Analysis!$E$5:$E$81,MATCH(B3589,Intent_Analysis!$A$5:$A$81,0))</f>
        <v>3</v>
      </c>
    </row>
    <row r="3590" customFormat="false" ht="15" hidden="false" customHeight="false" outlineLevel="0" collapsed="false">
      <c r="A3590" s="0" t="s">
        <v>3914</v>
      </c>
      <c r="B3590" s="0" t="s">
        <v>97</v>
      </c>
      <c r="C3590" s="0" t="str">
        <f aca="false">INDEX(Intent_Analysis!$B$5:$B$81,MATCH(B3590,Intent_Analysis!$A$5:$A$81,0))</f>
        <v>Fraud &amp; security</v>
      </c>
      <c r="D3590" s="0" t="n">
        <f aca="false">INDEX(Intent_Analysis!$E$5:$E$81,MATCH(B3590,Intent_Analysis!$A$5:$A$81,0))</f>
        <v>3</v>
      </c>
    </row>
    <row r="3591" customFormat="false" ht="15" hidden="false" customHeight="false" outlineLevel="0" collapsed="false">
      <c r="A3591" s="0" t="s">
        <v>3915</v>
      </c>
      <c r="B3591" s="0" t="s">
        <v>97</v>
      </c>
      <c r="C3591" s="0" t="str">
        <f aca="false">INDEX(Intent_Analysis!$B$5:$B$81,MATCH(B3591,Intent_Analysis!$A$5:$A$81,0))</f>
        <v>Fraud &amp; security</v>
      </c>
      <c r="D3591" s="0" t="n">
        <f aca="false">INDEX(Intent_Analysis!$E$5:$E$81,MATCH(B3591,Intent_Analysis!$A$5:$A$81,0))</f>
        <v>3</v>
      </c>
    </row>
    <row r="3592" customFormat="false" ht="15" hidden="false" customHeight="false" outlineLevel="0" collapsed="false">
      <c r="A3592" s="0" t="s">
        <v>3916</v>
      </c>
      <c r="B3592" s="0" t="s">
        <v>97</v>
      </c>
      <c r="C3592" s="0" t="str">
        <f aca="false">INDEX(Intent_Analysis!$B$5:$B$81,MATCH(B3592,Intent_Analysis!$A$5:$A$81,0))</f>
        <v>Fraud &amp; security</v>
      </c>
      <c r="D3592" s="0" t="n">
        <f aca="false">INDEX(Intent_Analysis!$E$5:$E$81,MATCH(B3592,Intent_Analysis!$A$5:$A$81,0))</f>
        <v>3</v>
      </c>
    </row>
    <row r="3593" customFormat="false" ht="15" hidden="false" customHeight="false" outlineLevel="0" collapsed="false">
      <c r="A3593" s="0" t="s">
        <v>3917</v>
      </c>
      <c r="B3593" s="0" t="s">
        <v>97</v>
      </c>
      <c r="C3593" s="0" t="str">
        <f aca="false">INDEX(Intent_Analysis!$B$5:$B$81,MATCH(B3593,Intent_Analysis!$A$5:$A$81,0))</f>
        <v>Fraud &amp; security</v>
      </c>
      <c r="D3593" s="0" t="n">
        <f aca="false">INDEX(Intent_Analysis!$E$5:$E$81,MATCH(B3593,Intent_Analysis!$A$5:$A$81,0))</f>
        <v>3</v>
      </c>
    </row>
    <row r="3594" customFormat="false" ht="15" hidden="false" customHeight="false" outlineLevel="0" collapsed="false">
      <c r="A3594" s="0" t="s">
        <v>3918</v>
      </c>
      <c r="B3594" s="0" t="s">
        <v>97</v>
      </c>
      <c r="C3594" s="0" t="str">
        <f aca="false">INDEX(Intent_Analysis!$B$5:$B$81,MATCH(B3594,Intent_Analysis!$A$5:$A$81,0))</f>
        <v>Fraud &amp; security</v>
      </c>
      <c r="D3594" s="0" t="n">
        <f aca="false">INDEX(Intent_Analysis!$E$5:$E$81,MATCH(B3594,Intent_Analysis!$A$5:$A$81,0))</f>
        <v>3</v>
      </c>
    </row>
    <row r="3595" customFormat="false" ht="15" hidden="false" customHeight="false" outlineLevel="0" collapsed="false">
      <c r="A3595" s="0" t="s">
        <v>3919</v>
      </c>
      <c r="B3595" s="0" t="s">
        <v>97</v>
      </c>
      <c r="C3595" s="0" t="str">
        <f aca="false">INDEX(Intent_Analysis!$B$5:$B$81,MATCH(B3595,Intent_Analysis!$A$5:$A$81,0))</f>
        <v>Fraud &amp; security</v>
      </c>
      <c r="D3595" s="0" t="n">
        <f aca="false">INDEX(Intent_Analysis!$E$5:$E$81,MATCH(B3595,Intent_Analysis!$A$5:$A$81,0))</f>
        <v>3</v>
      </c>
    </row>
    <row r="3596" customFormat="false" ht="15" hidden="false" customHeight="false" outlineLevel="0" collapsed="false">
      <c r="A3596" s="0" t="s">
        <v>3920</v>
      </c>
      <c r="B3596" s="0" t="s">
        <v>97</v>
      </c>
      <c r="C3596" s="0" t="str">
        <f aca="false">INDEX(Intent_Analysis!$B$5:$B$81,MATCH(B3596,Intent_Analysis!$A$5:$A$81,0))</f>
        <v>Fraud &amp; security</v>
      </c>
      <c r="D3596" s="0" t="n">
        <f aca="false">INDEX(Intent_Analysis!$E$5:$E$81,MATCH(B3596,Intent_Analysis!$A$5:$A$81,0))</f>
        <v>3</v>
      </c>
    </row>
    <row r="3597" customFormat="false" ht="15" hidden="false" customHeight="false" outlineLevel="0" collapsed="false">
      <c r="A3597" s="0" t="s">
        <v>3921</v>
      </c>
      <c r="B3597" s="0" t="s">
        <v>97</v>
      </c>
      <c r="C3597" s="0" t="str">
        <f aca="false">INDEX(Intent_Analysis!$B$5:$B$81,MATCH(B3597,Intent_Analysis!$A$5:$A$81,0))</f>
        <v>Fraud &amp; security</v>
      </c>
      <c r="D3597" s="0" t="n">
        <f aca="false">INDEX(Intent_Analysis!$E$5:$E$81,MATCH(B3597,Intent_Analysis!$A$5:$A$81,0))</f>
        <v>3</v>
      </c>
    </row>
    <row r="3598" customFormat="false" ht="15" hidden="false" customHeight="false" outlineLevel="0" collapsed="false">
      <c r="A3598" s="0" t="s">
        <v>3922</v>
      </c>
      <c r="B3598" s="0" t="s">
        <v>97</v>
      </c>
      <c r="C3598" s="0" t="str">
        <f aca="false">INDEX(Intent_Analysis!$B$5:$B$81,MATCH(B3598,Intent_Analysis!$A$5:$A$81,0))</f>
        <v>Fraud &amp; security</v>
      </c>
      <c r="D3598" s="0" t="n">
        <f aca="false">INDEX(Intent_Analysis!$E$5:$E$81,MATCH(B3598,Intent_Analysis!$A$5:$A$81,0))</f>
        <v>3</v>
      </c>
    </row>
    <row r="3599" customFormat="false" ht="15" hidden="false" customHeight="false" outlineLevel="0" collapsed="false">
      <c r="A3599" s="0" t="s">
        <v>3923</v>
      </c>
      <c r="B3599" s="0" t="s">
        <v>97</v>
      </c>
      <c r="C3599" s="0" t="str">
        <f aca="false">INDEX(Intent_Analysis!$B$5:$B$81,MATCH(B3599,Intent_Analysis!$A$5:$A$81,0))</f>
        <v>Fraud &amp; security</v>
      </c>
      <c r="D3599" s="0" t="n">
        <f aca="false">INDEX(Intent_Analysis!$E$5:$E$81,MATCH(B3599,Intent_Analysis!$A$5:$A$81,0))</f>
        <v>3</v>
      </c>
    </row>
    <row r="3600" customFormat="false" ht="15" hidden="false" customHeight="false" outlineLevel="0" collapsed="false">
      <c r="A3600" s="0" t="s">
        <v>3924</v>
      </c>
      <c r="B3600" s="0" t="s">
        <v>97</v>
      </c>
      <c r="C3600" s="0" t="str">
        <f aca="false">INDEX(Intent_Analysis!$B$5:$B$81,MATCH(B3600,Intent_Analysis!$A$5:$A$81,0))</f>
        <v>Fraud &amp; security</v>
      </c>
      <c r="D3600" s="0" t="n">
        <f aca="false">INDEX(Intent_Analysis!$E$5:$E$81,MATCH(B3600,Intent_Analysis!$A$5:$A$81,0))</f>
        <v>3</v>
      </c>
    </row>
    <row r="3601" customFormat="false" ht="15" hidden="false" customHeight="false" outlineLevel="0" collapsed="false">
      <c r="A3601" s="0" t="s">
        <v>3925</v>
      </c>
      <c r="B3601" s="0" t="s">
        <v>97</v>
      </c>
      <c r="C3601" s="0" t="str">
        <f aca="false">INDEX(Intent_Analysis!$B$5:$B$81,MATCH(B3601,Intent_Analysis!$A$5:$A$81,0))</f>
        <v>Fraud &amp; security</v>
      </c>
      <c r="D3601" s="0" t="n">
        <f aca="false">INDEX(Intent_Analysis!$E$5:$E$81,MATCH(B3601,Intent_Analysis!$A$5:$A$81,0))</f>
        <v>3</v>
      </c>
    </row>
    <row r="3602" customFormat="false" ht="15" hidden="false" customHeight="false" outlineLevel="0" collapsed="false">
      <c r="A3602" s="0" t="s">
        <v>3926</v>
      </c>
      <c r="B3602" s="0" t="s">
        <v>97</v>
      </c>
      <c r="C3602" s="0" t="str">
        <f aca="false">INDEX(Intent_Analysis!$B$5:$B$81,MATCH(B3602,Intent_Analysis!$A$5:$A$81,0))</f>
        <v>Fraud &amp; security</v>
      </c>
      <c r="D3602" s="0" t="n">
        <f aca="false">INDEX(Intent_Analysis!$E$5:$E$81,MATCH(B3602,Intent_Analysis!$A$5:$A$81,0))</f>
        <v>3</v>
      </c>
    </row>
    <row r="3603" customFormat="false" ht="15" hidden="false" customHeight="false" outlineLevel="0" collapsed="false">
      <c r="A3603" s="0" t="s">
        <v>3927</v>
      </c>
      <c r="B3603" s="0" t="s">
        <v>97</v>
      </c>
      <c r="C3603" s="0" t="str">
        <f aca="false">INDEX(Intent_Analysis!$B$5:$B$81,MATCH(B3603,Intent_Analysis!$A$5:$A$81,0))</f>
        <v>Fraud &amp; security</v>
      </c>
      <c r="D3603" s="0" t="n">
        <f aca="false">INDEX(Intent_Analysis!$E$5:$E$81,MATCH(B3603,Intent_Analysis!$A$5:$A$81,0))</f>
        <v>3</v>
      </c>
    </row>
    <row r="3604" customFormat="false" ht="15" hidden="false" customHeight="false" outlineLevel="0" collapsed="false">
      <c r="A3604" s="0" t="s">
        <v>3928</v>
      </c>
      <c r="B3604" s="0" t="s">
        <v>97</v>
      </c>
      <c r="C3604" s="0" t="str">
        <f aca="false">INDEX(Intent_Analysis!$B$5:$B$81,MATCH(B3604,Intent_Analysis!$A$5:$A$81,0))</f>
        <v>Fraud &amp; security</v>
      </c>
      <c r="D3604" s="0" t="n">
        <f aca="false">INDEX(Intent_Analysis!$E$5:$E$81,MATCH(B3604,Intent_Analysis!$A$5:$A$81,0))</f>
        <v>3</v>
      </c>
    </row>
    <row r="3605" customFormat="false" ht="15" hidden="false" customHeight="false" outlineLevel="0" collapsed="false">
      <c r="A3605" s="0" t="s">
        <v>3929</v>
      </c>
      <c r="B3605" s="0" t="s">
        <v>97</v>
      </c>
      <c r="C3605" s="0" t="str">
        <f aca="false">INDEX(Intent_Analysis!$B$5:$B$81,MATCH(B3605,Intent_Analysis!$A$5:$A$81,0))</f>
        <v>Fraud &amp; security</v>
      </c>
      <c r="D3605" s="0" t="n">
        <f aca="false">INDEX(Intent_Analysis!$E$5:$E$81,MATCH(B3605,Intent_Analysis!$A$5:$A$81,0))</f>
        <v>3</v>
      </c>
    </row>
    <row r="3606" customFormat="false" ht="15" hidden="false" customHeight="false" outlineLevel="0" collapsed="false">
      <c r="A3606" s="0" t="s">
        <v>3930</v>
      </c>
      <c r="B3606" s="0" t="s">
        <v>97</v>
      </c>
      <c r="C3606" s="0" t="str">
        <f aca="false">INDEX(Intent_Analysis!$B$5:$B$81,MATCH(B3606,Intent_Analysis!$A$5:$A$81,0))</f>
        <v>Fraud &amp; security</v>
      </c>
      <c r="D3606" s="0" t="n">
        <f aca="false">INDEX(Intent_Analysis!$E$5:$E$81,MATCH(B3606,Intent_Analysis!$A$5:$A$81,0))</f>
        <v>3</v>
      </c>
    </row>
    <row r="3607" customFormat="false" ht="15" hidden="false" customHeight="false" outlineLevel="0" collapsed="false">
      <c r="A3607" s="0" t="s">
        <v>3931</v>
      </c>
      <c r="B3607" s="0" t="s">
        <v>97</v>
      </c>
      <c r="C3607" s="0" t="str">
        <f aca="false">INDEX(Intent_Analysis!$B$5:$B$81,MATCH(B3607,Intent_Analysis!$A$5:$A$81,0))</f>
        <v>Fraud &amp; security</v>
      </c>
      <c r="D3607" s="0" t="n">
        <f aca="false">INDEX(Intent_Analysis!$E$5:$E$81,MATCH(B3607,Intent_Analysis!$A$5:$A$81,0))</f>
        <v>3</v>
      </c>
    </row>
    <row r="3608" customFormat="false" ht="15" hidden="false" customHeight="false" outlineLevel="0" collapsed="false">
      <c r="A3608" s="0" t="s">
        <v>3932</v>
      </c>
      <c r="B3608" s="0" t="s">
        <v>97</v>
      </c>
      <c r="C3608" s="0" t="str">
        <f aca="false">INDEX(Intent_Analysis!$B$5:$B$81,MATCH(B3608,Intent_Analysis!$A$5:$A$81,0))</f>
        <v>Fraud &amp; security</v>
      </c>
      <c r="D3608" s="0" t="n">
        <f aca="false">INDEX(Intent_Analysis!$E$5:$E$81,MATCH(B3608,Intent_Analysis!$A$5:$A$81,0))</f>
        <v>3</v>
      </c>
    </row>
    <row r="3609" customFormat="false" ht="15" hidden="false" customHeight="false" outlineLevel="0" collapsed="false">
      <c r="A3609" s="0" t="s">
        <v>3933</v>
      </c>
      <c r="B3609" s="0" t="s">
        <v>97</v>
      </c>
      <c r="C3609" s="0" t="str">
        <f aca="false">INDEX(Intent_Analysis!$B$5:$B$81,MATCH(B3609,Intent_Analysis!$A$5:$A$81,0))</f>
        <v>Fraud &amp; security</v>
      </c>
      <c r="D3609" s="0" t="n">
        <f aca="false">INDEX(Intent_Analysis!$E$5:$E$81,MATCH(B3609,Intent_Analysis!$A$5:$A$81,0))</f>
        <v>3</v>
      </c>
    </row>
    <row r="3610" customFormat="false" ht="15" hidden="false" customHeight="false" outlineLevel="0" collapsed="false">
      <c r="A3610" s="0" t="s">
        <v>3934</v>
      </c>
      <c r="B3610" s="0" t="s">
        <v>97</v>
      </c>
      <c r="C3610" s="0" t="str">
        <f aca="false">INDEX(Intent_Analysis!$B$5:$B$81,MATCH(B3610,Intent_Analysis!$A$5:$A$81,0))</f>
        <v>Fraud &amp; security</v>
      </c>
      <c r="D3610" s="0" t="n">
        <f aca="false">INDEX(Intent_Analysis!$E$5:$E$81,MATCH(B3610,Intent_Analysis!$A$5:$A$81,0))</f>
        <v>3</v>
      </c>
    </row>
    <row r="3611" customFormat="false" ht="15" hidden="false" customHeight="false" outlineLevel="0" collapsed="false">
      <c r="A3611" s="0" t="s">
        <v>3935</v>
      </c>
      <c r="B3611" s="0" t="s">
        <v>97</v>
      </c>
      <c r="C3611" s="0" t="str">
        <f aca="false">INDEX(Intent_Analysis!$B$5:$B$81,MATCH(B3611,Intent_Analysis!$A$5:$A$81,0))</f>
        <v>Fraud &amp; security</v>
      </c>
      <c r="D3611" s="0" t="n">
        <f aca="false">INDEX(Intent_Analysis!$E$5:$E$81,MATCH(B3611,Intent_Analysis!$A$5:$A$81,0))</f>
        <v>3</v>
      </c>
    </row>
    <row r="3612" customFormat="false" ht="15" hidden="false" customHeight="false" outlineLevel="0" collapsed="false">
      <c r="A3612" s="0" t="s">
        <v>3936</v>
      </c>
      <c r="B3612" s="0" t="s">
        <v>97</v>
      </c>
      <c r="C3612" s="0" t="str">
        <f aca="false">INDEX(Intent_Analysis!$B$5:$B$81,MATCH(B3612,Intent_Analysis!$A$5:$A$81,0))</f>
        <v>Fraud &amp; security</v>
      </c>
      <c r="D3612" s="0" t="n">
        <f aca="false">INDEX(Intent_Analysis!$E$5:$E$81,MATCH(B3612,Intent_Analysis!$A$5:$A$81,0))</f>
        <v>3</v>
      </c>
    </row>
    <row r="3613" customFormat="false" ht="15" hidden="false" customHeight="false" outlineLevel="0" collapsed="false">
      <c r="A3613" s="0" t="s">
        <v>3937</v>
      </c>
      <c r="B3613" s="0" t="s">
        <v>97</v>
      </c>
      <c r="C3613" s="0" t="str">
        <f aca="false">INDEX(Intent_Analysis!$B$5:$B$81,MATCH(B3613,Intent_Analysis!$A$5:$A$81,0))</f>
        <v>Fraud &amp; security</v>
      </c>
      <c r="D3613" s="0" t="n">
        <f aca="false">INDEX(Intent_Analysis!$E$5:$E$81,MATCH(B3613,Intent_Analysis!$A$5:$A$81,0))</f>
        <v>3</v>
      </c>
    </row>
    <row r="3614" customFormat="false" ht="15" hidden="false" customHeight="false" outlineLevel="0" collapsed="false">
      <c r="A3614" s="0" t="s">
        <v>3938</v>
      </c>
      <c r="B3614" s="0" t="s">
        <v>97</v>
      </c>
      <c r="C3614" s="0" t="str">
        <f aca="false">INDEX(Intent_Analysis!$B$5:$B$81,MATCH(B3614,Intent_Analysis!$A$5:$A$81,0))</f>
        <v>Fraud &amp; security</v>
      </c>
      <c r="D3614" s="0" t="n">
        <f aca="false">INDEX(Intent_Analysis!$E$5:$E$81,MATCH(B3614,Intent_Analysis!$A$5:$A$81,0))</f>
        <v>3</v>
      </c>
    </row>
    <row r="3615" customFormat="false" ht="15" hidden="false" customHeight="false" outlineLevel="0" collapsed="false">
      <c r="A3615" s="0" t="s">
        <v>3939</v>
      </c>
      <c r="B3615" s="0" t="s">
        <v>97</v>
      </c>
      <c r="C3615" s="0" t="str">
        <f aca="false">INDEX(Intent_Analysis!$B$5:$B$81,MATCH(B3615,Intent_Analysis!$A$5:$A$81,0))</f>
        <v>Fraud &amp; security</v>
      </c>
      <c r="D3615" s="0" t="n">
        <f aca="false">INDEX(Intent_Analysis!$E$5:$E$81,MATCH(B3615,Intent_Analysis!$A$5:$A$81,0))</f>
        <v>3</v>
      </c>
    </row>
    <row r="3616" customFormat="false" ht="15" hidden="false" customHeight="false" outlineLevel="0" collapsed="false">
      <c r="A3616" s="0" t="s">
        <v>3940</v>
      </c>
      <c r="B3616" s="0" t="s">
        <v>97</v>
      </c>
      <c r="C3616" s="0" t="str">
        <f aca="false">INDEX(Intent_Analysis!$B$5:$B$81,MATCH(B3616,Intent_Analysis!$A$5:$A$81,0))</f>
        <v>Fraud &amp; security</v>
      </c>
      <c r="D3616" s="0" t="n">
        <f aca="false">INDEX(Intent_Analysis!$E$5:$E$81,MATCH(B3616,Intent_Analysis!$A$5:$A$81,0))</f>
        <v>3</v>
      </c>
    </row>
    <row r="3617" customFormat="false" ht="15" hidden="false" customHeight="false" outlineLevel="0" collapsed="false">
      <c r="A3617" s="0" t="s">
        <v>3941</v>
      </c>
      <c r="B3617" s="0" t="s">
        <v>97</v>
      </c>
      <c r="C3617" s="0" t="str">
        <f aca="false">INDEX(Intent_Analysis!$B$5:$B$81,MATCH(B3617,Intent_Analysis!$A$5:$A$81,0))</f>
        <v>Fraud &amp; security</v>
      </c>
      <c r="D3617" s="0" t="n">
        <f aca="false">INDEX(Intent_Analysis!$E$5:$E$81,MATCH(B3617,Intent_Analysis!$A$5:$A$81,0))</f>
        <v>3</v>
      </c>
    </row>
    <row r="3618" customFormat="false" ht="15" hidden="false" customHeight="false" outlineLevel="0" collapsed="false">
      <c r="A3618" s="0" t="s">
        <v>3942</v>
      </c>
      <c r="B3618" s="0" t="s">
        <v>97</v>
      </c>
      <c r="C3618" s="0" t="str">
        <f aca="false">INDEX(Intent_Analysis!$B$5:$B$81,MATCH(B3618,Intent_Analysis!$A$5:$A$81,0))</f>
        <v>Fraud &amp; security</v>
      </c>
      <c r="D3618" s="0" t="n">
        <f aca="false">INDEX(Intent_Analysis!$E$5:$E$81,MATCH(B3618,Intent_Analysis!$A$5:$A$81,0))</f>
        <v>3</v>
      </c>
    </row>
    <row r="3619" customFormat="false" ht="15" hidden="false" customHeight="false" outlineLevel="0" collapsed="false">
      <c r="A3619" s="0" t="s">
        <v>3943</v>
      </c>
      <c r="B3619" s="0" t="s">
        <v>97</v>
      </c>
      <c r="C3619" s="0" t="str">
        <f aca="false">INDEX(Intent_Analysis!$B$5:$B$81,MATCH(B3619,Intent_Analysis!$A$5:$A$81,0))</f>
        <v>Fraud &amp; security</v>
      </c>
      <c r="D3619" s="0" t="n">
        <f aca="false">INDEX(Intent_Analysis!$E$5:$E$81,MATCH(B3619,Intent_Analysis!$A$5:$A$81,0))</f>
        <v>3</v>
      </c>
    </row>
    <row r="3620" customFormat="false" ht="15" hidden="false" customHeight="false" outlineLevel="0" collapsed="false">
      <c r="A3620" s="0" t="s">
        <v>3944</v>
      </c>
      <c r="B3620" s="0" t="s">
        <v>97</v>
      </c>
      <c r="C3620" s="0" t="str">
        <f aca="false">INDEX(Intent_Analysis!$B$5:$B$81,MATCH(B3620,Intent_Analysis!$A$5:$A$81,0))</f>
        <v>Fraud &amp; security</v>
      </c>
      <c r="D3620" s="0" t="n">
        <f aca="false">INDEX(Intent_Analysis!$E$5:$E$81,MATCH(B3620,Intent_Analysis!$A$5:$A$81,0))</f>
        <v>3</v>
      </c>
    </row>
    <row r="3621" customFormat="false" ht="15" hidden="false" customHeight="false" outlineLevel="0" collapsed="false">
      <c r="A3621" s="0" t="s">
        <v>3945</v>
      </c>
      <c r="B3621" s="0" t="s">
        <v>97</v>
      </c>
      <c r="C3621" s="0" t="str">
        <f aca="false">INDEX(Intent_Analysis!$B$5:$B$81,MATCH(B3621,Intent_Analysis!$A$5:$A$81,0))</f>
        <v>Fraud &amp; security</v>
      </c>
      <c r="D3621" s="0" t="n">
        <f aca="false">INDEX(Intent_Analysis!$E$5:$E$81,MATCH(B3621,Intent_Analysis!$A$5:$A$81,0))</f>
        <v>3</v>
      </c>
    </row>
    <row r="3622" customFormat="false" ht="15" hidden="false" customHeight="false" outlineLevel="0" collapsed="false">
      <c r="A3622" s="0" t="s">
        <v>3946</v>
      </c>
      <c r="B3622" s="0" t="s">
        <v>97</v>
      </c>
      <c r="C3622" s="0" t="str">
        <f aca="false">INDEX(Intent_Analysis!$B$5:$B$81,MATCH(B3622,Intent_Analysis!$A$5:$A$81,0))</f>
        <v>Fraud &amp; security</v>
      </c>
      <c r="D3622" s="0" t="n">
        <f aca="false">INDEX(Intent_Analysis!$E$5:$E$81,MATCH(B3622,Intent_Analysis!$A$5:$A$81,0))</f>
        <v>3</v>
      </c>
    </row>
    <row r="3623" customFormat="false" ht="15" hidden="false" customHeight="false" outlineLevel="0" collapsed="false">
      <c r="A3623" s="0" t="s">
        <v>3947</v>
      </c>
      <c r="B3623" s="0" t="s">
        <v>97</v>
      </c>
      <c r="C3623" s="0" t="str">
        <f aca="false">INDEX(Intent_Analysis!$B$5:$B$81,MATCH(B3623,Intent_Analysis!$A$5:$A$81,0))</f>
        <v>Fraud &amp; security</v>
      </c>
      <c r="D3623" s="0" t="n">
        <f aca="false">INDEX(Intent_Analysis!$E$5:$E$81,MATCH(B3623,Intent_Analysis!$A$5:$A$81,0))</f>
        <v>3</v>
      </c>
    </row>
    <row r="3624" customFormat="false" ht="15" hidden="false" customHeight="false" outlineLevel="0" collapsed="false">
      <c r="A3624" s="0" t="s">
        <v>3948</v>
      </c>
      <c r="B3624" s="0" t="s">
        <v>97</v>
      </c>
      <c r="C3624" s="0" t="str">
        <f aca="false">INDEX(Intent_Analysis!$B$5:$B$81,MATCH(B3624,Intent_Analysis!$A$5:$A$81,0))</f>
        <v>Fraud &amp; security</v>
      </c>
      <c r="D3624" s="0" t="n">
        <f aca="false">INDEX(Intent_Analysis!$E$5:$E$81,MATCH(B3624,Intent_Analysis!$A$5:$A$81,0))</f>
        <v>3</v>
      </c>
    </row>
    <row r="3625" customFormat="false" ht="15" hidden="false" customHeight="false" outlineLevel="0" collapsed="false">
      <c r="A3625" s="0" t="s">
        <v>3949</v>
      </c>
      <c r="B3625" s="0" t="s">
        <v>97</v>
      </c>
      <c r="C3625" s="0" t="str">
        <f aca="false">INDEX(Intent_Analysis!$B$5:$B$81,MATCH(B3625,Intent_Analysis!$A$5:$A$81,0))</f>
        <v>Fraud &amp; security</v>
      </c>
      <c r="D3625" s="0" t="n">
        <f aca="false">INDEX(Intent_Analysis!$E$5:$E$81,MATCH(B3625,Intent_Analysis!$A$5:$A$81,0))</f>
        <v>3</v>
      </c>
    </row>
    <row r="3626" customFormat="false" ht="15" hidden="false" customHeight="false" outlineLevel="0" collapsed="false">
      <c r="A3626" s="0" t="s">
        <v>3950</v>
      </c>
      <c r="B3626" s="0" t="s">
        <v>97</v>
      </c>
      <c r="C3626" s="0" t="str">
        <f aca="false">INDEX(Intent_Analysis!$B$5:$B$81,MATCH(B3626,Intent_Analysis!$A$5:$A$81,0))</f>
        <v>Fraud &amp; security</v>
      </c>
      <c r="D3626" s="0" t="n">
        <f aca="false">INDEX(Intent_Analysis!$E$5:$E$81,MATCH(B3626,Intent_Analysis!$A$5:$A$81,0))</f>
        <v>3</v>
      </c>
    </row>
    <row r="3627" customFormat="false" ht="15" hidden="false" customHeight="false" outlineLevel="0" collapsed="false">
      <c r="A3627" s="0" t="s">
        <v>3951</v>
      </c>
      <c r="B3627" s="0" t="s">
        <v>97</v>
      </c>
      <c r="C3627" s="0" t="str">
        <f aca="false">INDEX(Intent_Analysis!$B$5:$B$81,MATCH(B3627,Intent_Analysis!$A$5:$A$81,0))</f>
        <v>Fraud &amp; security</v>
      </c>
      <c r="D3627" s="0" t="n">
        <f aca="false">INDEX(Intent_Analysis!$E$5:$E$81,MATCH(B3627,Intent_Analysis!$A$5:$A$81,0))</f>
        <v>3</v>
      </c>
    </row>
    <row r="3628" customFormat="false" ht="15" hidden="false" customHeight="false" outlineLevel="0" collapsed="false">
      <c r="A3628" s="0" t="s">
        <v>3952</v>
      </c>
      <c r="B3628" s="0" t="s">
        <v>97</v>
      </c>
      <c r="C3628" s="0" t="str">
        <f aca="false">INDEX(Intent_Analysis!$B$5:$B$81,MATCH(B3628,Intent_Analysis!$A$5:$A$81,0))</f>
        <v>Fraud &amp; security</v>
      </c>
      <c r="D3628" s="0" t="n">
        <f aca="false">INDEX(Intent_Analysis!$E$5:$E$81,MATCH(B3628,Intent_Analysis!$A$5:$A$81,0))</f>
        <v>3</v>
      </c>
    </row>
    <row r="3629" customFormat="false" ht="15" hidden="false" customHeight="false" outlineLevel="0" collapsed="false">
      <c r="A3629" s="0" t="s">
        <v>3953</v>
      </c>
      <c r="B3629" s="0" t="s">
        <v>97</v>
      </c>
      <c r="C3629" s="0" t="str">
        <f aca="false">INDEX(Intent_Analysis!$B$5:$B$81,MATCH(B3629,Intent_Analysis!$A$5:$A$81,0))</f>
        <v>Fraud &amp; security</v>
      </c>
      <c r="D3629" s="0" t="n">
        <f aca="false">INDEX(Intent_Analysis!$E$5:$E$81,MATCH(B3629,Intent_Analysis!$A$5:$A$81,0))</f>
        <v>3</v>
      </c>
    </row>
    <row r="3630" customFormat="false" ht="15" hidden="false" customHeight="false" outlineLevel="0" collapsed="false">
      <c r="A3630" s="0" t="s">
        <v>3954</v>
      </c>
      <c r="B3630" s="0" t="s">
        <v>97</v>
      </c>
      <c r="C3630" s="0" t="str">
        <f aca="false">INDEX(Intent_Analysis!$B$5:$B$81,MATCH(B3630,Intent_Analysis!$A$5:$A$81,0))</f>
        <v>Fraud &amp; security</v>
      </c>
      <c r="D3630" s="0" t="n">
        <f aca="false">INDEX(Intent_Analysis!$E$5:$E$81,MATCH(B3630,Intent_Analysis!$A$5:$A$81,0))</f>
        <v>3</v>
      </c>
    </row>
    <row r="3631" customFormat="false" ht="15" hidden="false" customHeight="false" outlineLevel="0" collapsed="false">
      <c r="A3631" s="0" t="s">
        <v>3955</v>
      </c>
      <c r="B3631" s="0" t="s">
        <v>97</v>
      </c>
      <c r="C3631" s="0" t="str">
        <f aca="false">INDEX(Intent_Analysis!$B$5:$B$81,MATCH(B3631,Intent_Analysis!$A$5:$A$81,0))</f>
        <v>Fraud &amp; security</v>
      </c>
      <c r="D3631" s="0" t="n">
        <f aca="false">INDEX(Intent_Analysis!$E$5:$E$81,MATCH(B3631,Intent_Analysis!$A$5:$A$81,0))</f>
        <v>3</v>
      </c>
    </row>
    <row r="3632" customFormat="false" ht="15" hidden="false" customHeight="false" outlineLevel="0" collapsed="false">
      <c r="A3632" s="0" t="s">
        <v>3956</v>
      </c>
      <c r="B3632" s="0" t="s">
        <v>97</v>
      </c>
      <c r="C3632" s="0" t="str">
        <f aca="false">INDEX(Intent_Analysis!$B$5:$B$81,MATCH(B3632,Intent_Analysis!$A$5:$A$81,0))</f>
        <v>Fraud &amp; security</v>
      </c>
      <c r="D3632" s="0" t="n">
        <f aca="false">INDEX(Intent_Analysis!$E$5:$E$81,MATCH(B3632,Intent_Analysis!$A$5:$A$81,0))</f>
        <v>3</v>
      </c>
    </row>
    <row r="3633" customFormat="false" ht="15" hidden="false" customHeight="false" outlineLevel="0" collapsed="false">
      <c r="A3633" s="0" t="s">
        <v>3957</v>
      </c>
      <c r="B3633" s="0" t="s">
        <v>97</v>
      </c>
      <c r="C3633" s="0" t="str">
        <f aca="false">INDEX(Intent_Analysis!$B$5:$B$81,MATCH(B3633,Intent_Analysis!$A$5:$A$81,0))</f>
        <v>Fraud &amp; security</v>
      </c>
      <c r="D3633" s="0" t="n">
        <f aca="false">INDEX(Intent_Analysis!$E$5:$E$81,MATCH(B3633,Intent_Analysis!$A$5:$A$81,0))</f>
        <v>3</v>
      </c>
    </row>
    <row r="3634" customFormat="false" ht="15" hidden="false" customHeight="false" outlineLevel="0" collapsed="false">
      <c r="A3634" s="0" t="s">
        <v>3958</v>
      </c>
      <c r="B3634" s="0" t="s">
        <v>97</v>
      </c>
      <c r="C3634" s="0" t="str">
        <f aca="false">INDEX(Intent_Analysis!$B$5:$B$81,MATCH(B3634,Intent_Analysis!$A$5:$A$81,0))</f>
        <v>Fraud &amp; security</v>
      </c>
      <c r="D3634" s="0" t="n">
        <f aca="false">INDEX(Intent_Analysis!$E$5:$E$81,MATCH(B3634,Intent_Analysis!$A$5:$A$81,0))</f>
        <v>3</v>
      </c>
    </row>
    <row r="3635" customFormat="false" ht="15" hidden="false" customHeight="false" outlineLevel="0" collapsed="false">
      <c r="A3635" s="0" t="s">
        <v>3959</v>
      </c>
      <c r="B3635" s="0" t="s">
        <v>97</v>
      </c>
      <c r="C3635" s="0" t="str">
        <f aca="false">INDEX(Intent_Analysis!$B$5:$B$81,MATCH(B3635,Intent_Analysis!$A$5:$A$81,0))</f>
        <v>Fraud &amp; security</v>
      </c>
      <c r="D3635" s="0" t="n">
        <f aca="false">INDEX(Intent_Analysis!$E$5:$E$81,MATCH(B3635,Intent_Analysis!$A$5:$A$81,0))</f>
        <v>3</v>
      </c>
    </row>
    <row r="3636" customFormat="false" ht="15" hidden="false" customHeight="false" outlineLevel="0" collapsed="false">
      <c r="A3636" s="0" t="s">
        <v>3960</v>
      </c>
      <c r="B3636" s="0" t="s">
        <v>97</v>
      </c>
      <c r="C3636" s="0" t="str">
        <f aca="false">INDEX(Intent_Analysis!$B$5:$B$81,MATCH(B3636,Intent_Analysis!$A$5:$A$81,0))</f>
        <v>Fraud &amp; security</v>
      </c>
      <c r="D3636" s="0" t="n">
        <f aca="false">INDEX(Intent_Analysis!$E$5:$E$81,MATCH(B3636,Intent_Analysis!$A$5:$A$81,0))</f>
        <v>3</v>
      </c>
    </row>
    <row r="3637" customFormat="false" ht="15" hidden="false" customHeight="false" outlineLevel="0" collapsed="false">
      <c r="A3637" s="0" t="s">
        <v>3961</v>
      </c>
      <c r="B3637" s="0" t="s">
        <v>97</v>
      </c>
      <c r="C3637" s="0" t="str">
        <f aca="false">INDEX(Intent_Analysis!$B$5:$B$81,MATCH(B3637,Intent_Analysis!$A$5:$A$81,0))</f>
        <v>Fraud &amp; security</v>
      </c>
      <c r="D3637" s="0" t="n">
        <f aca="false">INDEX(Intent_Analysis!$E$5:$E$81,MATCH(B3637,Intent_Analysis!$A$5:$A$81,0))</f>
        <v>3</v>
      </c>
    </row>
    <row r="3638" customFormat="false" ht="15" hidden="false" customHeight="false" outlineLevel="0" collapsed="false">
      <c r="A3638" s="0" t="s">
        <v>3962</v>
      </c>
      <c r="B3638" s="0" t="s">
        <v>97</v>
      </c>
      <c r="C3638" s="0" t="str">
        <f aca="false">INDEX(Intent_Analysis!$B$5:$B$81,MATCH(B3638,Intent_Analysis!$A$5:$A$81,0))</f>
        <v>Fraud &amp; security</v>
      </c>
      <c r="D3638" s="0" t="n">
        <f aca="false">INDEX(Intent_Analysis!$E$5:$E$81,MATCH(B3638,Intent_Analysis!$A$5:$A$81,0))</f>
        <v>3</v>
      </c>
    </row>
    <row r="3639" customFormat="false" ht="15" hidden="false" customHeight="false" outlineLevel="0" collapsed="false">
      <c r="A3639" s="0" t="s">
        <v>3963</v>
      </c>
      <c r="B3639" s="0" t="s">
        <v>97</v>
      </c>
      <c r="C3639" s="0" t="str">
        <f aca="false">INDEX(Intent_Analysis!$B$5:$B$81,MATCH(B3639,Intent_Analysis!$A$5:$A$81,0))</f>
        <v>Fraud &amp; security</v>
      </c>
      <c r="D3639" s="0" t="n">
        <f aca="false">INDEX(Intent_Analysis!$E$5:$E$81,MATCH(B3639,Intent_Analysis!$A$5:$A$81,0))</f>
        <v>3</v>
      </c>
    </row>
    <row r="3640" customFormat="false" ht="15" hidden="false" customHeight="false" outlineLevel="0" collapsed="false">
      <c r="A3640" s="0" t="s">
        <v>3964</v>
      </c>
      <c r="B3640" s="0" t="s">
        <v>97</v>
      </c>
      <c r="C3640" s="0" t="str">
        <f aca="false">INDEX(Intent_Analysis!$B$5:$B$81,MATCH(B3640,Intent_Analysis!$A$5:$A$81,0))</f>
        <v>Fraud &amp; security</v>
      </c>
      <c r="D3640" s="0" t="n">
        <f aca="false">INDEX(Intent_Analysis!$E$5:$E$81,MATCH(B3640,Intent_Analysis!$A$5:$A$81,0))</f>
        <v>3</v>
      </c>
    </row>
    <row r="3641" customFormat="false" ht="15" hidden="false" customHeight="false" outlineLevel="0" collapsed="false">
      <c r="A3641" s="0" t="s">
        <v>3965</v>
      </c>
      <c r="B3641" s="0" t="s">
        <v>97</v>
      </c>
      <c r="C3641" s="0" t="str">
        <f aca="false">INDEX(Intent_Analysis!$B$5:$B$81,MATCH(B3641,Intent_Analysis!$A$5:$A$81,0))</f>
        <v>Fraud &amp; security</v>
      </c>
      <c r="D3641" s="0" t="n">
        <f aca="false">INDEX(Intent_Analysis!$E$5:$E$81,MATCH(B3641,Intent_Analysis!$A$5:$A$81,0))</f>
        <v>3</v>
      </c>
    </row>
    <row r="3642" customFormat="false" ht="15" hidden="false" customHeight="false" outlineLevel="0" collapsed="false">
      <c r="A3642" s="0" t="s">
        <v>3966</v>
      </c>
      <c r="B3642" s="0" t="s">
        <v>97</v>
      </c>
      <c r="C3642" s="0" t="str">
        <f aca="false">INDEX(Intent_Analysis!$B$5:$B$81,MATCH(B3642,Intent_Analysis!$A$5:$A$81,0))</f>
        <v>Fraud &amp; security</v>
      </c>
      <c r="D3642" s="0" t="n">
        <f aca="false">INDEX(Intent_Analysis!$E$5:$E$81,MATCH(B3642,Intent_Analysis!$A$5:$A$81,0))</f>
        <v>3</v>
      </c>
    </row>
    <row r="3643" customFormat="false" ht="15" hidden="false" customHeight="false" outlineLevel="0" collapsed="false">
      <c r="A3643" s="0" t="s">
        <v>3967</v>
      </c>
      <c r="B3643" s="0" t="s">
        <v>97</v>
      </c>
      <c r="C3643" s="0" t="str">
        <f aca="false">INDEX(Intent_Analysis!$B$5:$B$81,MATCH(B3643,Intent_Analysis!$A$5:$A$81,0))</f>
        <v>Fraud &amp; security</v>
      </c>
      <c r="D3643" s="0" t="n">
        <f aca="false">INDEX(Intent_Analysis!$E$5:$E$81,MATCH(B3643,Intent_Analysis!$A$5:$A$81,0))</f>
        <v>3</v>
      </c>
    </row>
    <row r="3644" customFormat="false" ht="15" hidden="false" customHeight="false" outlineLevel="0" collapsed="false">
      <c r="A3644" s="0" t="s">
        <v>3968</v>
      </c>
      <c r="B3644" s="0" t="s">
        <v>97</v>
      </c>
      <c r="C3644" s="0" t="str">
        <f aca="false">INDEX(Intent_Analysis!$B$5:$B$81,MATCH(B3644,Intent_Analysis!$A$5:$A$81,0))</f>
        <v>Fraud &amp; security</v>
      </c>
      <c r="D3644" s="0" t="n">
        <f aca="false">INDEX(Intent_Analysis!$E$5:$E$81,MATCH(B3644,Intent_Analysis!$A$5:$A$81,0))</f>
        <v>3</v>
      </c>
    </row>
    <row r="3645" customFormat="false" ht="15" hidden="false" customHeight="false" outlineLevel="0" collapsed="false">
      <c r="A3645" s="0" t="s">
        <v>3969</v>
      </c>
      <c r="B3645" s="0" t="s">
        <v>97</v>
      </c>
      <c r="C3645" s="0" t="str">
        <f aca="false">INDEX(Intent_Analysis!$B$5:$B$81,MATCH(B3645,Intent_Analysis!$A$5:$A$81,0))</f>
        <v>Fraud &amp; security</v>
      </c>
      <c r="D3645" s="0" t="n">
        <f aca="false">INDEX(Intent_Analysis!$E$5:$E$81,MATCH(B3645,Intent_Analysis!$A$5:$A$81,0))</f>
        <v>3</v>
      </c>
    </row>
    <row r="3646" customFormat="false" ht="15" hidden="false" customHeight="false" outlineLevel="0" collapsed="false">
      <c r="A3646" s="0" t="s">
        <v>3970</v>
      </c>
      <c r="B3646" s="0" t="s">
        <v>97</v>
      </c>
      <c r="C3646" s="0" t="str">
        <f aca="false">INDEX(Intent_Analysis!$B$5:$B$81,MATCH(B3646,Intent_Analysis!$A$5:$A$81,0))</f>
        <v>Fraud &amp; security</v>
      </c>
      <c r="D3646" s="0" t="n">
        <f aca="false">INDEX(Intent_Analysis!$E$5:$E$81,MATCH(B3646,Intent_Analysis!$A$5:$A$81,0))</f>
        <v>3</v>
      </c>
    </row>
    <row r="3647" customFormat="false" ht="15" hidden="false" customHeight="false" outlineLevel="0" collapsed="false">
      <c r="A3647" s="0" t="s">
        <v>3971</v>
      </c>
      <c r="B3647" s="0" t="s">
        <v>97</v>
      </c>
      <c r="C3647" s="0" t="str">
        <f aca="false">INDEX(Intent_Analysis!$B$5:$B$81,MATCH(B3647,Intent_Analysis!$A$5:$A$81,0))</f>
        <v>Fraud &amp; security</v>
      </c>
      <c r="D3647" s="0" t="n">
        <f aca="false">INDEX(Intent_Analysis!$E$5:$E$81,MATCH(B3647,Intent_Analysis!$A$5:$A$81,0))</f>
        <v>3</v>
      </c>
    </row>
    <row r="3648" customFormat="false" ht="15" hidden="false" customHeight="false" outlineLevel="0" collapsed="false">
      <c r="A3648" s="0" t="s">
        <v>3972</v>
      </c>
      <c r="B3648" s="0" t="s">
        <v>97</v>
      </c>
      <c r="C3648" s="0" t="str">
        <f aca="false">INDEX(Intent_Analysis!$B$5:$B$81,MATCH(B3648,Intent_Analysis!$A$5:$A$81,0))</f>
        <v>Fraud &amp; security</v>
      </c>
      <c r="D3648" s="0" t="n">
        <f aca="false">INDEX(Intent_Analysis!$E$5:$E$81,MATCH(B3648,Intent_Analysis!$A$5:$A$81,0))</f>
        <v>3</v>
      </c>
    </row>
    <row r="3649" customFormat="false" ht="15" hidden="false" customHeight="false" outlineLevel="0" collapsed="false">
      <c r="A3649" s="0" t="s">
        <v>3973</v>
      </c>
      <c r="B3649" s="0" t="s">
        <v>97</v>
      </c>
      <c r="C3649" s="0" t="str">
        <f aca="false">INDEX(Intent_Analysis!$B$5:$B$81,MATCH(B3649,Intent_Analysis!$A$5:$A$81,0))</f>
        <v>Fraud &amp; security</v>
      </c>
      <c r="D3649" s="0" t="n">
        <f aca="false">INDEX(Intent_Analysis!$E$5:$E$81,MATCH(B3649,Intent_Analysis!$A$5:$A$81,0))</f>
        <v>3</v>
      </c>
    </row>
    <row r="3650" customFormat="false" ht="15" hidden="false" customHeight="false" outlineLevel="0" collapsed="false">
      <c r="A3650" s="0" t="s">
        <v>3974</v>
      </c>
      <c r="B3650" s="0" t="s">
        <v>97</v>
      </c>
      <c r="C3650" s="0" t="str">
        <f aca="false">INDEX(Intent_Analysis!$B$5:$B$81,MATCH(B3650,Intent_Analysis!$A$5:$A$81,0))</f>
        <v>Fraud &amp; security</v>
      </c>
      <c r="D3650" s="0" t="n">
        <f aca="false">INDEX(Intent_Analysis!$E$5:$E$81,MATCH(B3650,Intent_Analysis!$A$5:$A$81,0))</f>
        <v>3</v>
      </c>
    </row>
    <row r="3651" customFormat="false" ht="15" hidden="false" customHeight="false" outlineLevel="0" collapsed="false">
      <c r="A3651" s="0" t="s">
        <v>3975</v>
      </c>
      <c r="B3651" s="0" t="s">
        <v>97</v>
      </c>
      <c r="C3651" s="0" t="str">
        <f aca="false">INDEX(Intent_Analysis!$B$5:$B$81,MATCH(B3651,Intent_Analysis!$A$5:$A$81,0))</f>
        <v>Fraud &amp; security</v>
      </c>
      <c r="D3651" s="0" t="n">
        <f aca="false">INDEX(Intent_Analysis!$E$5:$E$81,MATCH(B3651,Intent_Analysis!$A$5:$A$81,0))</f>
        <v>3</v>
      </c>
    </row>
    <row r="3652" customFormat="false" ht="15" hidden="false" customHeight="false" outlineLevel="0" collapsed="false">
      <c r="A3652" s="0" t="s">
        <v>3976</v>
      </c>
      <c r="B3652" s="0" t="s">
        <v>37</v>
      </c>
      <c r="C3652" s="0" t="str">
        <f aca="false">INDEX(Intent_Analysis!$B$5:$B$81,MATCH(B3652,Intent_Analysis!$A$5:$A$81,0))</f>
        <v>Account &amp; identity</v>
      </c>
      <c r="D3652" s="0" t="n">
        <f aca="false">INDEX(Intent_Analysis!$E$5:$E$81,MATCH(B3652,Intent_Analysis!$A$5:$A$81,0))</f>
        <v>2</v>
      </c>
    </row>
    <row r="3653" customFormat="false" ht="15" hidden="false" customHeight="false" outlineLevel="0" collapsed="false">
      <c r="A3653" s="0" t="s">
        <v>3977</v>
      </c>
      <c r="B3653" s="0" t="s">
        <v>37</v>
      </c>
      <c r="C3653" s="0" t="str">
        <f aca="false">INDEX(Intent_Analysis!$B$5:$B$81,MATCH(B3653,Intent_Analysis!$A$5:$A$81,0))</f>
        <v>Account &amp; identity</v>
      </c>
      <c r="D3653" s="0" t="n">
        <f aca="false">INDEX(Intent_Analysis!$E$5:$E$81,MATCH(B3653,Intent_Analysis!$A$5:$A$81,0))</f>
        <v>2</v>
      </c>
    </row>
    <row r="3654" customFormat="false" ht="15" hidden="false" customHeight="false" outlineLevel="0" collapsed="false">
      <c r="A3654" s="0" t="s">
        <v>3978</v>
      </c>
      <c r="B3654" s="0" t="s">
        <v>37</v>
      </c>
      <c r="C3654" s="0" t="str">
        <f aca="false">INDEX(Intent_Analysis!$B$5:$B$81,MATCH(B3654,Intent_Analysis!$A$5:$A$81,0))</f>
        <v>Account &amp; identity</v>
      </c>
      <c r="D3654" s="0" t="n">
        <f aca="false">INDEX(Intent_Analysis!$E$5:$E$81,MATCH(B3654,Intent_Analysis!$A$5:$A$81,0))</f>
        <v>2</v>
      </c>
    </row>
    <row r="3655" customFormat="false" ht="15" hidden="false" customHeight="false" outlineLevel="0" collapsed="false">
      <c r="A3655" s="0" t="s">
        <v>3979</v>
      </c>
      <c r="B3655" s="0" t="s">
        <v>37</v>
      </c>
      <c r="C3655" s="0" t="str">
        <f aca="false">INDEX(Intent_Analysis!$B$5:$B$81,MATCH(B3655,Intent_Analysis!$A$5:$A$81,0))</f>
        <v>Account &amp; identity</v>
      </c>
      <c r="D3655" s="0" t="n">
        <f aca="false">INDEX(Intent_Analysis!$E$5:$E$81,MATCH(B3655,Intent_Analysis!$A$5:$A$81,0))</f>
        <v>2</v>
      </c>
    </row>
    <row r="3656" customFormat="false" ht="15" hidden="false" customHeight="false" outlineLevel="0" collapsed="false">
      <c r="A3656" s="0" t="s">
        <v>3980</v>
      </c>
      <c r="B3656" s="0" t="s">
        <v>37</v>
      </c>
      <c r="C3656" s="0" t="str">
        <f aca="false">INDEX(Intent_Analysis!$B$5:$B$81,MATCH(B3656,Intent_Analysis!$A$5:$A$81,0))</f>
        <v>Account &amp; identity</v>
      </c>
      <c r="D3656" s="0" t="n">
        <f aca="false">INDEX(Intent_Analysis!$E$5:$E$81,MATCH(B3656,Intent_Analysis!$A$5:$A$81,0))</f>
        <v>2</v>
      </c>
    </row>
    <row r="3657" customFormat="false" ht="15" hidden="false" customHeight="false" outlineLevel="0" collapsed="false">
      <c r="A3657" s="0" t="s">
        <v>3981</v>
      </c>
      <c r="B3657" s="0" t="s">
        <v>37</v>
      </c>
      <c r="C3657" s="0" t="str">
        <f aca="false">INDEX(Intent_Analysis!$B$5:$B$81,MATCH(B3657,Intent_Analysis!$A$5:$A$81,0))</f>
        <v>Account &amp; identity</v>
      </c>
      <c r="D3657" s="0" t="n">
        <f aca="false">INDEX(Intent_Analysis!$E$5:$E$81,MATCH(B3657,Intent_Analysis!$A$5:$A$81,0))</f>
        <v>2</v>
      </c>
    </row>
    <row r="3658" customFormat="false" ht="15" hidden="false" customHeight="false" outlineLevel="0" collapsed="false">
      <c r="A3658" s="0" t="s">
        <v>3982</v>
      </c>
      <c r="B3658" s="0" t="s">
        <v>37</v>
      </c>
      <c r="C3658" s="0" t="str">
        <f aca="false">INDEX(Intent_Analysis!$B$5:$B$81,MATCH(B3658,Intent_Analysis!$A$5:$A$81,0))</f>
        <v>Account &amp; identity</v>
      </c>
      <c r="D3658" s="0" t="n">
        <f aca="false">INDEX(Intent_Analysis!$E$5:$E$81,MATCH(B3658,Intent_Analysis!$A$5:$A$81,0))</f>
        <v>2</v>
      </c>
    </row>
    <row r="3659" customFormat="false" ht="15" hidden="false" customHeight="false" outlineLevel="0" collapsed="false">
      <c r="A3659" s="0" t="s">
        <v>3983</v>
      </c>
      <c r="B3659" s="0" t="s">
        <v>37</v>
      </c>
      <c r="C3659" s="0" t="str">
        <f aca="false">INDEX(Intent_Analysis!$B$5:$B$81,MATCH(B3659,Intent_Analysis!$A$5:$A$81,0))</f>
        <v>Account &amp; identity</v>
      </c>
      <c r="D3659" s="0" t="n">
        <f aca="false">INDEX(Intent_Analysis!$E$5:$E$81,MATCH(B3659,Intent_Analysis!$A$5:$A$81,0))</f>
        <v>2</v>
      </c>
    </row>
    <row r="3660" customFormat="false" ht="15" hidden="false" customHeight="false" outlineLevel="0" collapsed="false">
      <c r="A3660" s="0" t="s">
        <v>3984</v>
      </c>
      <c r="B3660" s="0" t="s">
        <v>37</v>
      </c>
      <c r="C3660" s="0" t="str">
        <f aca="false">INDEX(Intent_Analysis!$B$5:$B$81,MATCH(B3660,Intent_Analysis!$A$5:$A$81,0))</f>
        <v>Account &amp; identity</v>
      </c>
      <c r="D3660" s="0" t="n">
        <f aca="false">INDEX(Intent_Analysis!$E$5:$E$81,MATCH(B3660,Intent_Analysis!$A$5:$A$81,0))</f>
        <v>2</v>
      </c>
    </row>
    <row r="3661" customFormat="false" ht="15" hidden="false" customHeight="false" outlineLevel="0" collapsed="false">
      <c r="A3661" s="0" t="s">
        <v>3985</v>
      </c>
      <c r="B3661" s="0" t="s">
        <v>37</v>
      </c>
      <c r="C3661" s="0" t="str">
        <f aca="false">INDEX(Intent_Analysis!$B$5:$B$81,MATCH(B3661,Intent_Analysis!$A$5:$A$81,0))</f>
        <v>Account &amp; identity</v>
      </c>
      <c r="D3661" s="0" t="n">
        <f aca="false">INDEX(Intent_Analysis!$E$5:$E$81,MATCH(B3661,Intent_Analysis!$A$5:$A$81,0))</f>
        <v>2</v>
      </c>
    </row>
    <row r="3662" customFormat="false" ht="15" hidden="false" customHeight="false" outlineLevel="0" collapsed="false">
      <c r="A3662" s="0" t="s">
        <v>3986</v>
      </c>
      <c r="B3662" s="0" t="s">
        <v>37</v>
      </c>
      <c r="C3662" s="0" t="str">
        <f aca="false">INDEX(Intent_Analysis!$B$5:$B$81,MATCH(B3662,Intent_Analysis!$A$5:$A$81,0))</f>
        <v>Account &amp; identity</v>
      </c>
      <c r="D3662" s="0" t="n">
        <f aca="false">INDEX(Intent_Analysis!$E$5:$E$81,MATCH(B3662,Intent_Analysis!$A$5:$A$81,0))</f>
        <v>2</v>
      </c>
    </row>
    <row r="3663" customFormat="false" ht="15" hidden="false" customHeight="false" outlineLevel="0" collapsed="false">
      <c r="A3663" s="0" t="s">
        <v>3987</v>
      </c>
      <c r="B3663" s="0" t="s">
        <v>37</v>
      </c>
      <c r="C3663" s="0" t="str">
        <f aca="false">INDEX(Intent_Analysis!$B$5:$B$81,MATCH(B3663,Intent_Analysis!$A$5:$A$81,0))</f>
        <v>Account &amp; identity</v>
      </c>
      <c r="D3663" s="0" t="n">
        <f aca="false">INDEX(Intent_Analysis!$E$5:$E$81,MATCH(B3663,Intent_Analysis!$A$5:$A$81,0))</f>
        <v>2</v>
      </c>
    </row>
    <row r="3664" customFormat="false" ht="15" hidden="false" customHeight="false" outlineLevel="0" collapsed="false">
      <c r="A3664" s="0" t="s">
        <v>3988</v>
      </c>
      <c r="B3664" s="0" t="s">
        <v>37</v>
      </c>
      <c r="C3664" s="0" t="str">
        <f aca="false">INDEX(Intent_Analysis!$B$5:$B$81,MATCH(B3664,Intent_Analysis!$A$5:$A$81,0))</f>
        <v>Account &amp; identity</v>
      </c>
      <c r="D3664" s="0" t="n">
        <f aca="false">INDEX(Intent_Analysis!$E$5:$E$81,MATCH(B3664,Intent_Analysis!$A$5:$A$81,0))</f>
        <v>2</v>
      </c>
    </row>
    <row r="3665" customFormat="false" ht="15" hidden="false" customHeight="false" outlineLevel="0" collapsed="false">
      <c r="A3665" s="0" t="s">
        <v>3989</v>
      </c>
      <c r="B3665" s="0" t="s">
        <v>37</v>
      </c>
      <c r="C3665" s="0" t="str">
        <f aca="false">INDEX(Intent_Analysis!$B$5:$B$81,MATCH(B3665,Intent_Analysis!$A$5:$A$81,0))</f>
        <v>Account &amp; identity</v>
      </c>
      <c r="D3665" s="0" t="n">
        <f aca="false">INDEX(Intent_Analysis!$E$5:$E$81,MATCH(B3665,Intent_Analysis!$A$5:$A$81,0))</f>
        <v>2</v>
      </c>
    </row>
    <row r="3666" customFormat="false" ht="15" hidden="false" customHeight="false" outlineLevel="0" collapsed="false">
      <c r="A3666" s="0" t="s">
        <v>3990</v>
      </c>
      <c r="B3666" s="0" t="s">
        <v>37</v>
      </c>
      <c r="C3666" s="0" t="str">
        <f aca="false">INDEX(Intent_Analysis!$B$5:$B$81,MATCH(B3666,Intent_Analysis!$A$5:$A$81,0))</f>
        <v>Account &amp; identity</v>
      </c>
      <c r="D3666" s="0" t="n">
        <f aca="false">INDEX(Intent_Analysis!$E$5:$E$81,MATCH(B3666,Intent_Analysis!$A$5:$A$81,0))</f>
        <v>2</v>
      </c>
    </row>
    <row r="3667" customFormat="false" ht="15" hidden="false" customHeight="false" outlineLevel="0" collapsed="false">
      <c r="A3667" s="0" t="s">
        <v>3991</v>
      </c>
      <c r="B3667" s="0" t="s">
        <v>37</v>
      </c>
      <c r="C3667" s="0" t="str">
        <f aca="false">INDEX(Intent_Analysis!$B$5:$B$81,MATCH(B3667,Intent_Analysis!$A$5:$A$81,0))</f>
        <v>Account &amp; identity</v>
      </c>
      <c r="D3667" s="0" t="n">
        <f aca="false">INDEX(Intent_Analysis!$E$5:$E$81,MATCH(B3667,Intent_Analysis!$A$5:$A$81,0))</f>
        <v>2</v>
      </c>
    </row>
    <row r="3668" customFormat="false" ht="15" hidden="false" customHeight="false" outlineLevel="0" collapsed="false">
      <c r="A3668" s="0" t="s">
        <v>3992</v>
      </c>
      <c r="B3668" s="0" t="s">
        <v>37</v>
      </c>
      <c r="C3668" s="0" t="str">
        <f aca="false">INDEX(Intent_Analysis!$B$5:$B$81,MATCH(B3668,Intent_Analysis!$A$5:$A$81,0))</f>
        <v>Account &amp; identity</v>
      </c>
      <c r="D3668" s="0" t="n">
        <f aca="false">INDEX(Intent_Analysis!$E$5:$E$81,MATCH(B3668,Intent_Analysis!$A$5:$A$81,0))</f>
        <v>2</v>
      </c>
    </row>
    <row r="3669" customFormat="false" ht="15" hidden="false" customHeight="false" outlineLevel="0" collapsed="false">
      <c r="A3669" s="0" t="s">
        <v>3993</v>
      </c>
      <c r="B3669" s="0" t="s">
        <v>37</v>
      </c>
      <c r="C3669" s="0" t="str">
        <f aca="false">INDEX(Intent_Analysis!$B$5:$B$81,MATCH(B3669,Intent_Analysis!$A$5:$A$81,0))</f>
        <v>Account &amp; identity</v>
      </c>
      <c r="D3669" s="0" t="n">
        <f aca="false">INDEX(Intent_Analysis!$E$5:$E$81,MATCH(B3669,Intent_Analysis!$A$5:$A$81,0))</f>
        <v>2</v>
      </c>
    </row>
    <row r="3670" customFormat="false" ht="15" hidden="false" customHeight="false" outlineLevel="0" collapsed="false">
      <c r="A3670" s="0" t="s">
        <v>3994</v>
      </c>
      <c r="B3670" s="0" t="s">
        <v>37</v>
      </c>
      <c r="C3670" s="0" t="str">
        <f aca="false">INDEX(Intent_Analysis!$B$5:$B$81,MATCH(B3670,Intent_Analysis!$A$5:$A$81,0))</f>
        <v>Account &amp; identity</v>
      </c>
      <c r="D3670" s="0" t="n">
        <f aca="false">INDEX(Intent_Analysis!$E$5:$E$81,MATCH(B3670,Intent_Analysis!$A$5:$A$81,0))</f>
        <v>2</v>
      </c>
    </row>
    <row r="3671" customFormat="false" ht="15" hidden="false" customHeight="false" outlineLevel="0" collapsed="false">
      <c r="A3671" s="0" t="s">
        <v>3995</v>
      </c>
      <c r="B3671" s="0" t="s">
        <v>37</v>
      </c>
      <c r="C3671" s="0" t="str">
        <f aca="false">INDEX(Intent_Analysis!$B$5:$B$81,MATCH(B3671,Intent_Analysis!$A$5:$A$81,0))</f>
        <v>Account &amp; identity</v>
      </c>
      <c r="D3671" s="0" t="n">
        <f aca="false">INDEX(Intent_Analysis!$E$5:$E$81,MATCH(B3671,Intent_Analysis!$A$5:$A$81,0))</f>
        <v>2</v>
      </c>
    </row>
    <row r="3672" customFormat="false" ht="15" hidden="false" customHeight="false" outlineLevel="0" collapsed="false">
      <c r="A3672" s="0" t="s">
        <v>3996</v>
      </c>
      <c r="B3672" s="0" t="s">
        <v>37</v>
      </c>
      <c r="C3672" s="0" t="str">
        <f aca="false">INDEX(Intent_Analysis!$B$5:$B$81,MATCH(B3672,Intent_Analysis!$A$5:$A$81,0))</f>
        <v>Account &amp; identity</v>
      </c>
      <c r="D3672" s="0" t="n">
        <f aca="false">INDEX(Intent_Analysis!$E$5:$E$81,MATCH(B3672,Intent_Analysis!$A$5:$A$81,0))</f>
        <v>2</v>
      </c>
    </row>
    <row r="3673" customFormat="false" ht="15" hidden="false" customHeight="false" outlineLevel="0" collapsed="false">
      <c r="A3673" s="0" t="s">
        <v>3997</v>
      </c>
      <c r="B3673" s="0" t="s">
        <v>37</v>
      </c>
      <c r="C3673" s="0" t="str">
        <f aca="false">INDEX(Intent_Analysis!$B$5:$B$81,MATCH(B3673,Intent_Analysis!$A$5:$A$81,0))</f>
        <v>Account &amp; identity</v>
      </c>
      <c r="D3673" s="0" t="n">
        <f aca="false">INDEX(Intent_Analysis!$E$5:$E$81,MATCH(B3673,Intent_Analysis!$A$5:$A$81,0))</f>
        <v>2</v>
      </c>
    </row>
    <row r="3674" customFormat="false" ht="15" hidden="false" customHeight="false" outlineLevel="0" collapsed="false">
      <c r="A3674" s="0" t="s">
        <v>3998</v>
      </c>
      <c r="B3674" s="0" t="s">
        <v>37</v>
      </c>
      <c r="C3674" s="0" t="str">
        <f aca="false">INDEX(Intent_Analysis!$B$5:$B$81,MATCH(B3674,Intent_Analysis!$A$5:$A$81,0))</f>
        <v>Account &amp; identity</v>
      </c>
      <c r="D3674" s="0" t="n">
        <f aca="false">INDEX(Intent_Analysis!$E$5:$E$81,MATCH(B3674,Intent_Analysis!$A$5:$A$81,0))</f>
        <v>2</v>
      </c>
    </row>
    <row r="3675" customFormat="false" ht="15" hidden="false" customHeight="false" outlineLevel="0" collapsed="false">
      <c r="A3675" s="0" t="s">
        <v>3999</v>
      </c>
      <c r="B3675" s="0" t="s">
        <v>37</v>
      </c>
      <c r="C3675" s="0" t="str">
        <f aca="false">INDEX(Intent_Analysis!$B$5:$B$81,MATCH(B3675,Intent_Analysis!$A$5:$A$81,0))</f>
        <v>Account &amp; identity</v>
      </c>
      <c r="D3675" s="0" t="n">
        <f aca="false">INDEX(Intent_Analysis!$E$5:$E$81,MATCH(B3675,Intent_Analysis!$A$5:$A$81,0))</f>
        <v>2</v>
      </c>
    </row>
    <row r="3676" customFormat="false" ht="15" hidden="false" customHeight="false" outlineLevel="0" collapsed="false">
      <c r="A3676" s="0" t="s">
        <v>4000</v>
      </c>
      <c r="B3676" s="0" t="s">
        <v>37</v>
      </c>
      <c r="C3676" s="0" t="str">
        <f aca="false">INDEX(Intent_Analysis!$B$5:$B$81,MATCH(B3676,Intent_Analysis!$A$5:$A$81,0))</f>
        <v>Account &amp; identity</v>
      </c>
      <c r="D3676" s="0" t="n">
        <f aca="false">INDEX(Intent_Analysis!$E$5:$E$81,MATCH(B3676,Intent_Analysis!$A$5:$A$81,0))</f>
        <v>2</v>
      </c>
    </row>
    <row r="3677" customFormat="false" ht="15" hidden="false" customHeight="false" outlineLevel="0" collapsed="false">
      <c r="A3677" s="0" t="s">
        <v>4001</v>
      </c>
      <c r="B3677" s="0" t="s">
        <v>37</v>
      </c>
      <c r="C3677" s="0" t="str">
        <f aca="false">INDEX(Intent_Analysis!$B$5:$B$81,MATCH(B3677,Intent_Analysis!$A$5:$A$81,0))</f>
        <v>Account &amp; identity</v>
      </c>
      <c r="D3677" s="0" t="n">
        <f aca="false">INDEX(Intent_Analysis!$E$5:$E$81,MATCH(B3677,Intent_Analysis!$A$5:$A$81,0))</f>
        <v>2</v>
      </c>
    </row>
    <row r="3678" customFormat="false" ht="15" hidden="false" customHeight="false" outlineLevel="0" collapsed="false">
      <c r="A3678" s="0" t="s">
        <v>4002</v>
      </c>
      <c r="B3678" s="0" t="s">
        <v>37</v>
      </c>
      <c r="C3678" s="0" t="str">
        <f aca="false">INDEX(Intent_Analysis!$B$5:$B$81,MATCH(B3678,Intent_Analysis!$A$5:$A$81,0))</f>
        <v>Account &amp; identity</v>
      </c>
      <c r="D3678" s="0" t="n">
        <f aca="false">INDEX(Intent_Analysis!$E$5:$E$81,MATCH(B3678,Intent_Analysis!$A$5:$A$81,0))</f>
        <v>2</v>
      </c>
    </row>
    <row r="3679" customFormat="false" ht="15" hidden="false" customHeight="false" outlineLevel="0" collapsed="false">
      <c r="A3679" s="0" t="s">
        <v>4003</v>
      </c>
      <c r="B3679" s="0" t="s">
        <v>37</v>
      </c>
      <c r="C3679" s="0" t="str">
        <f aca="false">INDEX(Intent_Analysis!$B$5:$B$81,MATCH(B3679,Intent_Analysis!$A$5:$A$81,0))</f>
        <v>Account &amp; identity</v>
      </c>
      <c r="D3679" s="0" t="n">
        <f aca="false">INDEX(Intent_Analysis!$E$5:$E$81,MATCH(B3679,Intent_Analysis!$A$5:$A$81,0))</f>
        <v>2</v>
      </c>
    </row>
    <row r="3680" customFormat="false" ht="15" hidden="false" customHeight="false" outlineLevel="0" collapsed="false">
      <c r="A3680" s="0" t="s">
        <v>4004</v>
      </c>
      <c r="B3680" s="0" t="s">
        <v>37</v>
      </c>
      <c r="C3680" s="0" t="str">
        <f aca="false">INDEX(Intent_Analysis!$B$5:$B$81,MATCH(B3680,Intent_Analysis!$A$5:$A$81,0))</f>
        <v>Account &amp; identity</v>
      </c>
      <c r="D3680" s="0" t="n">
        <f aca="false">INDEX(Intent_Analysis!$E$5:$E$81,MATCH(B3680,Intent_Analysis!$A$5:$A$81,0))</f>
        <v>2</v>
      </c>
    </row>
    <row r="3681" customFormat="false" ht="15" hidden="false" customHeight="false" outlineLevel="0" collapsed="false">
      <c r="A3681" s="0" t="s">
        <v>4005</v>
      </c>
      <c r="B3681" s="0" t="s">
        <v>37</v>
      </c>
      <c r="C3681" s="0" t="str">
        <f aca="false">INDEX(Intent_Analysis!$B$5:$B$81,MATCH(B3681,Intent_Analysis!$A$5:$A$81,0))</f>
        <v>Account &amp; identity</v>
      </c>
      <c r="D3681" s="0" t="n">
        <f aca="false">INDEX(Intent_Analysis!$E$5:$E$81,MATCH(B3681,Intent_Analysis!$A$5:$A$81,0))</f>
        <v>2</v>
      </c>
    </row>
    <row r="3682" customFormat="false" ht="15" hidden="false" customHeight="false" outlineLevel="0" collapsed="false">
      <c r="A3682" s="0" t="s">
        <v>4006</v>
      </c>
      <c r="B3682" s="0" t="s">
        <v>37</v>
      </c>
      <c r="C3682" s="0" t="str">
        <f aca="false">INDEX(Intent_Analysis!$B$5:$B$81,MATCH(B3682,Intent_Analysis!$A$5:$A$81,0))</f>
        <v>Account &amp; identity</v>
      </c>
      <c r="D3682" s="0" t="n">
        <f aca="false">INDEX(Intent_Analysis!$E$5:$E$81,MATCH(B3682,Intent_Analysis!$A$5:$A$81,0))</f>
        <v>2</v>
      </c>
    </row>
    <row r="3683" customFormat="false" ht="15" hidden="false" customHeight="false" outlineLevel="0" collapsed="false">
      <c r="A3683" s="0" t="s">
        <v>4007</v>
      </c>
      <c r="B3683" s="0" t="s">
        <v>37</v>
      </c>
      <c r="C3683" s="0" t="str">
        <f aca="false">INDEX(Intent_Analysis!$B$5:$B$81,MATCH(B3683,Intent_Analysis!$A$5:$A$81,0))</f>
        <v>Account &amp; identity</v>
      </c>
      <c r="D3683" s="0" t="n">
        <f aca="false">INDEX(Intent_Analysis!$E$5:$E$81,MATCH(B3683,Intent_Analysis!$A$5:$A$81,0))</f>
        <v>2</v>
      </c>
    </row>
    <row r="3684" customFormat="false" ht="15" hidden="false" customHeight="false" outlineLevel="0" collapsed="false">
      <c r="A3684" s="0" t="s">
        <v>4008</v>
      </c>
      <c r="B3684" s="0" t="s">
        <v>37</v>
      </c>
      <c r="C3684" s="0" t="str">
        <f aca="false">INDEX(Intent_Analysis!$B$5:$B$81,MATCH(B3684,Intent_Analysis!$A$5:$A$81,0))</f>
        <v>Account &amp; identity</v>
      </c>
      <c r="D3684" s="0" t="n">
        <f aca="false">INDEX(Intent_Analysis!$E$5:$E$81,MATCH(B3684,Intent_Analysis!$A$5:$A$81,0))</f>
        <v>2</v>
      </c>
    </row>
    <row r="3685" customFormat="false" ht="15" hidden="false" customHeight="false" outlineLevel="0" collapsed="false">
      <c r="A3685" s="0" t="s">
        <v>4009</v>
      </c>
      <c r="B3685" s="0" t="s">
        <v>37</v>
      </c>
      <c r="C3685" s="0" t="str">
        <f aca="false">INDEX(Intent_Analysis!$B$5:$B$81,MATCH(B3685,Intent_Analysis!$A$5:$A$81,0))</f>
        <v>Account &amp; identity</v>
      </c>
      <c r="D3685" s="0" t="n">
        <f aca="false">INDEX(Intent_Analysis!$E$5:$E$81,MATCH(B3685,Intent_Analysis!$A$5:$A$81,0))</f>
        <v>2</v>
      </c>
    </row>
    <row r="3686" customFormat="false" ht="15" hidden="false" customHeight="false" outlineLevel="0" collapsed="false">
      <c r="A3686" s="0" t="s">
        <v>4010</v>
      </c>
      <c r="B3686" s="0" t="s">
        <v>37</v>
      </c>
      <c r="C3686" s="0" t="str">
        <f aca="false">INDEX(Intent_Analysis!$B$5:$B$81,MATCH(B3686,Intent_Analysis!$A$5:$A$81,0))</f>
        <v>Account &amp; identity</v>
      </c>
      <c r="D3686" s="0" t="n">
        <f aca="false">INDEX(Intent_Analysis!$E$5:$E$81,MATCH(B3686,Intent_Analysis!$A$5:$A$81,0))</f>
        <v>2</v>
      </c>
    </row>
    <row r="3687" customFormat="false" ht="15" hidden="false" customHeight="false" outlineLevel="0" collapsed="false">
      <c r="A3687" s="0" t="s">
        <v>4011</v>
      </c>
      <c r="B3687" s="0" t="s">
        <v>37</v>
      </c>
      <c r="C3687" s="0" t="str">
        <f aca="false">INDEX(Intent_Analysis!$B$5:$B$81,MATCH(B3687,Intent_Analysis!$A$5:$A$81,0))</f>
        <v>Account &amp; identity</v>
      </c>
      <c r="D3687" s="0" t="n">
        <f aca="false">INDEX(Intent_Analysis!$E$5:$E$81,MATCH(B3687,Intent_Analysis!$A$5:$A$81,0))</f>
        <v>2</v>
      </c>
    </row>
    <row r="3688" customFormat="false" ht="15" hidden="false" customHeight="false" outlineLevel="0" collapsed="false">
      <c r="A3688" s="0" t="s">
        <v>4012</v>
      </c>
      <c r="B3688" s="0" t="s">
        <v>37</v>
      </c>
      <c r="C3688" s="0" t="str">
        <f aca="false">INDEX(Intent_Analysis!$B$5:$B$81,MATCH(B3688,Intent_Analysis!$A$5:$A$81,0))</f>
        <v>Account &amp; identity</v>
      </c>
      <c r="D3688" s="0" t="n">
        <f aca="false">INDEX(Intent_Analysis!$E$5:$E$81,MATCH(B3688,Intent_Analysis!$A$5:$A$81,0))</f>
        <v>2</v>
      </c>
    </row>
    <row r="3689" customFormat="false" ht="15" hidden="false" customHeight="false" outlineLevel="0" collapsed="false">
      <c r="A3689" s="0" t="s">
        <v>4013</v>
      </c>
      <c r="B3689" s="0" t="s">
        <v>37</v>
      </c>
      <c r="C3689" s="0" t="str">
        <f aca="false">INDEX(Intent_Analysis!$B$5:$B$81,MATCH(B3689,Intent_Analysis!$A$5:$A$81,0))</f>
        <v>Account &amp; identity</v>
      </c>
      <c r="D3689" s="0" t="n">
        <f aca="false">INDEX(Intent_Analysis!$E$5:$E$81,MATCH(B3689,Intent_Analysis!$A$5:$A$81,0))</f>
        <v>2</v>
      </c>
    </row>
    <row r="3690" customFormat="false" ht="15" hidden="false" customHeight="false" outlineLevel="0" collapsed="false">
      <c r="A3690" s="0" t="s">
        <v>4014</v>
      </c>
      <c r="B3690" s="0" t="s">
        <v>37</v>
      </c>
      <c r="C3690" s="0" t="str">
        <f aca="false">INDEX(Intent_Analysis!$B$5:$B$81,MATCH(B3690,Intent_Analysis!$A$5:$A$81,0))</f>
        <v>Account &amp; identity</v>
      </c>
      <c r="D3690" s="0" t="n">
        <f aca="false">INDEX(Intent_Analysis!$E$5:$E$81,MATCH(B3690,Intent_Analysis!$A$5:$A$81,0))</f>
        <v>2</v>
      </c>
    </row>
    <row r="3691" customFormat="false" ht="15" hidden="false" customHeight="false" outlineLevel="0" collapsed="false">
      <c r="A3691" s="0" t="s">
        <v>4015</v>
      </c>
      <c r="B3691" s="0" t="s">
        <v>37</v>
      </c>
      <c r="C3691" s="0" t="str">
        <f aca="false">INDEX(Intent_Analysis!$B$5:$B$81,MATCH(B3691,Intent_Analysis!$A$5:$A$81,0))</f>
        <v>Account &amp; identity</v>
      </c>
      <c r="D3691" s="0" t="n">
        <f aca="false">INDEX(Intent_Analysis!$E$5:$E$81,MATCH(B3691,Intent_Analysis!$A$5:$A$81,0))</f>
        <v>2</v>
      </c>
    </row>
    <row r="3692" customFormat="false" ht="15" hidden="false" customHeight="false" outlineLevel="0" collapsed="false">
      <c r="A3692" s="0" t="s">
        <v>4016</v>
      </c>
      <c r="B3692" s="0" t="s">
        <v>37</v>
      </c>
      <c r="C3692" s="0" t="str">
        <f aca="false">INDEX(Intent_Analysis!$B$5:$B$81,MATCH(B3692,Intent_Analysis!$A$5:$A$81,0))</f>
        <v>Account &amp; identity</v>
      </c>
      <c r="D3692" s="0" t="n">
        <f aca="false">INDEX(Intent_Analysis!$E$5:$E$81,MATCH(B3692,Intent_Analysis!$A$5:$A$81,0))</f>
        <v>2</v>
      </c>
    </row>
    <row r="3693" customFormat="false" ht="15" hidden="false" customHeight="false" outlineLevel="0" collapsed="false">
      <c r="A3693" s="0" t="s">
        <v>4017</v>
      </c>
      <c r="B3693" s="0" t="s">
        <v>37</v>
      </c>
      <c r="C3693" s="0" t="str">
        <f aca="false">INDEX(Intent_Analysis!$B$5:$B$81,MATCH(B3693,Intent_Analysis!$A$5:$A$81,0))</f>
        <v>Account &amp; identity</v>
      </c>
      <c r="D3693" s="0" t="n">
        <f aca="false">INDEX(Intent_Analysis!$E$5:$E$81,MATCH(B3693,Intent_Analysis!$A$5:$A$81,0))</f>
        <v>2</v>
      </c>
    </row>
    <row r="3694" customFormat="false" ht="15" hidden="false" customHeight="false" outlineLevel="0" collapsed="false">
      <c r="A3694" s="0" t="s">
        <v>4018</v>
      </c>
      <c r="B3694" s="0" t="s">
        <v>37</v>
      </c>
      <c r="C3694" s="0" t="str">
        <f aca="false">INDEX(Intent_Analysis!$B$5:$B$81,MATCH(B3694,Intent_Analysis!$A$5:$A$81,0))</f>
        <v>Account &amp; identity</v>
      </c>
      <c r="D3694" s="0" t="n">
        <f aca="false">INDEX(Intent_Analysis!$E$5:$E$81,MATCH(B3694,Intent_Analysis!$A$5:$A$81,0))</f>
        <v>2</v>
      </c>
    </row>
    <row r="3695" customFormat="false" ht="15" hidden="false" customHeight="false" outlineLevel="0" collapsed="false">
      <c r="A3695" s="0" t="s">
        <v>4019</v>
      </c>
      <c r="B3695" s="0" t="s">
        <v>37</v>
      </c>
      <c r="C3695" s="0" t="str">
        <f aca="false">INDEX(Intent_Analysis!$B$5:$B$81,MATCH(B3695,Intent_Analysis!$A$5:$A$81,0))</f>
        <v>Account &amp; identity</v>
      </c>
      <c r="D3695" s="0" t="n">
        <f aca="false">INDEX(Intent_Analysis!$E$5:$E$81,MATCH(B3695,Intent_Analysis!$A$5:$A$81,0))</f>
        <v>2</v>
      </c>
    </row>
    <row r="3696" customFormat="false" ht="15" hidden="false" customHeight="false" outlineLevel="0" collapsed="false">
      <c r="A3696" s="0" t="s">
        <v>4020</v>
      </c>
      <c r="B3696" s="0" t="s">
        <v>37</v>
      </c>
      <c r="C3696" s="0" t="str">
        <f aca="false">INDEX(Intent_Analysis!$B$5:$B$81,MATCH(B3696,Intent_Analysis!$A$5:$A$81,0))</f>
        <v>Account &amp; identity</v>
      </c>
      <c r="D3696" s="0" t="n">
        <f aca="false">INDEX(Intent_Analysis!$E$5:$E$81,MATCH(B3696,Intent_Analysis!$A$5:$A$81,0))</f>
        <v>2</v>
      </c>
    </row>
    <row r="3697" customFormat="false" ht="15" hidden="false" customHeight="false" outlineLevel="0" collapsed="false">
      <c r="A3697" s="0" t="s">
        <v>4021</v>
      </c>
      <c r="B3697" s="0" t="s">
        <v>37</v>
      </c>
      <c r="C3697" s="0" t="str">
        <f aca="false">INDEX(Intent_Analysis!$B$5:$B$81,MATCH(B3697,Intent_Analysis!$A$5:$A$81,0))</f>
        <v>Account &amp; identity</v>
      </c>
      <c r="D3697" s="0" t="n">
        <f aca="false">INDEX(Intent_Analysis!$E$5:$E$81,MATCH(B3697,Intent_Analysis!$A$5:$A$81,0))</f>
        <v>2</v>
      </c>
    </row>
    <row r="3698" customFormat="false" ht="15" hidden="false" customHeight="false" outlineLevel="0" collapsed="false">
      <c r="A3698" s="0" t="s">
        <v>4022</v>
      </c>
      <c r="B3698" s="0" t="s">
        <v>37</v>
      </c>
      <c r="C3698" s="0" t="str">
        <f aca="false">INDEX(Intent_Analysis!$B$5:$B$81,MATCH(B3698,Intent_Analysis!$A$5:$A$81,0))</f>
        <v>Account &amp; identity</v>
      </c>
      <c r="D3698" s="0" t="n">
        <f aca="false">INDEX(Intent_Analysis!$E$5:$E$81,MATCH(B3698,Intent_Analysis!$A$5:$A$81,0))</f>
        <v>2</v>
      </c>
    </row>
    <row r="3699" customFormat="false" ht="15" hidden="false" customHeight="false" outlineLevel="0" collapsed="false">
      <c r="A3699" s="0" t="s">
        <v>4023</v>
      </c>
      <c r="B3699" s="0" t="s">
        <v>37</v>
      </c>
      <c r="C3699" s="0" t="str">
        <f aca="false">INDEX(Intent_Analysis!$B$5:$B$81,MATCH(B3699,Intent_Analysis!$A$5:$A$81,0))</f>
        <v>Account &amp; identity</v>
      </c>
      <c r="D3699" s="0" t="n">
        <f aca="false">INDEX(Intent_Analysis!$E$5:$E$81,MATCH(B3699,Intent_Analysis!$A$5:$A$81,0))</f>
        <v>2</v>
      </c>
    </row>
    <row r="3700" customFormat="false" ht="15" hidden="false" customHeight="false" outlineLevel="0" collapsed="false">
      <c r="A3700" s="0" t="s">
        <v>4024</v>
      </c>
      <c r="B3700" s="0" t="s">
        <v>37</v>
      </c>
      <c r="C3700" s="0" t="str">
        <f aca="false">INDEX(Intent_Analysis!$B$5:$B$81,MATCH(B3700,Intent_Analysis!$A$5:$A$81,0))</f>
        <v>Account &amp; identity</v>
      </c>
      <c r="D3700" s="0" t="n">
        <f aca="false">INDEX(Intent_Analysis!$E$5:$E$81,MATCH(B3700,Intent_Analysis!$A$5:$A$81,0))</f>
        <v>2</v>
      </c>
    </row>
    <row r="3701" customFormat="false" ht="15" hidden="false" customHeight="false" outlineLevel="0" collapsed="false">
      <c r="A3701" s="0" t="s">
        <v>4025</v>
      </c>
      <c r="B3701" s="0" t="s">
        <v>37</v>
      </c>
      <c r="C3701" s="0" t="str">
        <f aca="false">INDEX(Intent_Analysis!$B$5:$B$81,MATCH(B3701,Intent_Analysis!$A$5:$A$81,0))</f>
        <v>Account &amp; identity</v>
      </c>
      <c r="D3701" s="0" t="n">
        <f aca="false">INDEX(Intent_Analysis!$E$5:$E$81,MATCH(B3701,Intent_Analysis!$A$5:$A$81,0))</f>
        <v>2</v>
      </c>
    </row>
    <row r="3702" customFormat="false" ht="15" hidden="false" customHeight="false" outlineLevel="0" collapsed="false">
      <c r="A3702" s="0" t="s">
        <v>4026</v>
      </c>
      <c r="B3702" s="0" t="s">
        <v>37</v>
      </c>
      <c r="C3702" s="0" t="str">
        <f aca="false">INDEX(Intent_Analysis!$B$5:$B$81,MATCH(B3702,Intent_Analysis!$A$5:$A$81,0))</f>
        <v>Account &amp; identity</v>
      </c>
      <c r="D3702" s="0" t="n">
        <f aca="false">INDEX(Intent_Analysis!$E$5:$E$81,MATCH(B3702,Intent_Analysis!$A$5:$A$81,0))</f>
        <v>2</v>
      </c>
    </row>
    <row r="3703" customFormat="false" ht="15" hidden="false" customHeight="false" outlineLevel="0" collapsed="false">
      <c r="A3703" s="0" t="s">
        <v>4027</v>
      </c>
      <c r="B3703" s="0" t="s">
        <v>37</v>
      </c>
      <c r="C3703" s="0" t="str">
        <f aca="false">INDEX(Intent_Analysis!$B$5:$B$81,MATCH(B3703,Intent_Analysis!$A$5:$A$81,0))</f>
        <v>Account &amp; identity</v>
      </c>
      <c r="D3703" s="0" t="n">
        <f aca="false">INDEX(Intent_Analysis!$E$5:$E$81,MATCH(B3703,Intent_Analysis!$A$5:$A$81,0))</f>
        <v>2</v>
      </c>
    </row>
    <row r="3704" customFormat="false" ht="15" hidden="false" customHeight="false" outlineLevel="0" collapsed="false">
      <c r="A3704" s="0" t="s">
        <v>4028</v>
      </c>
      <c r="B3704" s="0" t="s">
        <v>37</v>
      </c>
      <c r="C3704" s="0" t="str">
        <f aca="false">INDEX(Intent_Analysis!$B$5:$B$81,MATCH(B3704,Intent_Analysis!$A$5:$A$81,0))</f>
        <v>Account &amp; identity</v>
      </c>
      <c r="D3704" s="0" t="n">
        <f aca="false">INDEX(Intent_Analysis!$E$5:$E$81,MATCH(B3704,Intent_Analysis!$A$5:$A$81,0))</f>
        <v>2</v>
      </c>
    </row>
    <row r="3705" customFormat="false" ht="15" hidden="false" customHeight="false" outlineLevel="0" collapsed="false">
      <c r="A3705" s="0" t="s">
        <v>4029</v>
      </c>
      <c r="B3705" s="0" t="s">
        <v>37</v>
      </c>
      <c r="C3705" s="0" t="str">
        <f aca="false">INDEX(Intent_Analysis!$B$5:$B$81,MATCH(B3705,Intent_Analysis!$A$5:$A$81,0))</f>
        <v>Account &amp; identity</v>
      </c>
      <c r="D3705" s="0" t="n">
        <f aca="false">INDEX(Intent_Analysis!$E$5:$E$81,MATCH(B3705,Intent_Analysis!$A$5:$A$81,0))</f>
        <v>2</v>
      </c>
    </row>
    <row r="3706" customFormat="false" ht="15" hidden="false" customHeight="false" outlineLevel="0" collapsed="false">
      <c r="A3706" s="0" t="s">
        <v>4030</v>
      </c>
      <c r="B3706" s="0" t="s">
        <v>37</v>
      </c>
      <c r="C3706" s="0" t="str">
        <f aca="false">INDEX(Intent_Analysis!$B$5:$B$81,MATCH(B3706,Intent_Analysis!$A$5:$A$81,0))</f>
        <v>Account &amp; identity</v>
      </c>
      <c r="D3706" s="0" t="n">
        <f aca="false">INDEX(Intent_Analysis!$E$5:$E$81,MATCH(B3706,Intent_Analysis!$A$5:$A$81,0))</f>
        <v>2</v>
      </c>
    </row>
    <row r="3707" customFormat="false" ht="15" hidden="false" customHeight="false" outlineLevel="0" collapsed="false">
      <c r="A3707" s="0" t="s">
        <v>4031</v>
      </c>
      <c r="B3707" s="0" t="s">
        <v>37</v>
      </c>
      <c r="C3707" s="0" t="str">
        <f aca="false">INDEX(Intent_Analysis!$B$5:$B$81,MATCH(B3707,Intent_Analysis!$A$5:$A$81,0))</f>
        <v>Account &amp; identity</v>
      </c>
      <c r="D3707" s="0" t="n">
        <f aca="false">INDEX(Intent_Analysis!$E$5:$E$81,MATCH(B3707,Intent_Analysis!$A$5:$A$81,0))</f>
        <v>2</v>
      </c>
    </row>
    <row r="3708" customFormat="false" ht="15" hidden="false" customHeight="false" outlineLevel="0" collapsed="false">
      <c r="A3708" s="0" t="s">
        <v>4032</v>
      </c>
      <c r="B3708" s="0" t="s">
        <v>37</v>
      </c>
      <c r="C3708" s="0" t="str">
        <f aca="false">INDEX(Intent_Analysis!$B$5:$B$81,MATCH(B3708,Intent_Analysis!$A$5:$A$81,0))</f>
        <v>Account &amp; identity</v>
      </c>
      <c r="D3708" s="0" t="n">
        <f aca="false">INDEX(Intent_Analysis!$E$5:$E$81,MATCH(B3708,Intent_Analysis!$A$5:$A$81,0))</f>
        <v>2</v>
      </c>
    </row>
    <row r="3709" customFormat="false" ht="15" hidden="false" customHeight="false" outlineLevel="0" collapsed="false">
      <c r="A3709" s="0" t="s">
        <v>4033</v>
      </c>
      <c r="B3709" s="0" t="s">
        <v>37</v>
      </c>
      <c r="C3709" s="0" t="str">
        <f aca="false">INDEX(Intent_Analysis!$B$5:$B$81,MATCH(B3709,Intent_Analysis!$A$5:$A$81,0))</f>
        <v>Account &amp; identity</v>
      </c>
      <c r="D3709" s="0" t="n">
        <f aca="false">INDEX(Intent_Analysis!$E$5:$E$81,MATCH(B3709,Intent_Analysis!$A$5:$A$81,0))</f>
        <v>2</v>
      </c>
    </row>
    <row r="3710" customFormat="false" ht="15" hidden="false" customHeight="false" outlineLevel="0" collapsed="false">
      <c r="A3710" s="0" t="s">
        <v>4034</v>
      </c>
      <c r="B3710" s="0" t="s">
        <v>37</v>
      </c>
      <c r="C3710" s="0" t="str">
        <f aca="false">INDEX(Intent_Analysis!$B$5:$B$81,MATCH(B3710,Intent_Analysis!$A$5:$A$81,0))</f>
        <v>Account &amp; identity</v>
      </c>
      <c r="D3710" s="0" t="n">
        <f aca="false">INDEX(Intent_Analysis!$E$5:$E$81,MATCH(B3710,Intent_Analysis!$A$5:$A$81,0))</f>
        <v>2</v>
      </c>
    </row>
    <row r="3711" customFormat="false" ht="15" hidden="false" customHeight="false" outlineLevel="0" collapsed="false">
      <c r="A3711" s="0" t="s">
        <v>4035</v>
      </c>
      <c r="B3711" s="0" t="s">
        <v>37</v>
      </c>
      <c r="C3711" s="0" t="str">
        <f aca="false">INDEX(Intent_Analysis!$B$5:$B$81,MATCH(B3711,Intent_Analysis!$A$5:$A$81,0))</f>
        <v>Account &amp; identity</v>
      </c>
      <c r="D3711" s="0" t="n">
        <f aca="false">INDEX(Intent_Analysis!$E$5:$E$81,MATCH(B3711,Intent_Analysis!$A$5:$A$81,0))</f>
        <v>2</v>
      </c>
    </row>
    <row r="3712" customFormat="false" ht="15" hidden="false" customHeight="false" outlineLevel="0" collapsed="false">
      <c r="A3712" s="0" t="s">
        <v>4036</v>
      </c>
      <c r="B3712" s="0" t="s">
        <v>37</v>
      </c>
      <c r="C3712" s="0" t="str">
        <f aca="false">INDEX(Intent_Analysis!$B$5:$B$81,MATCH(B3712,Intent_Analysis!$A$5:$A$81,0))</f>
        <v>Account &amp; identity</v>
      </c>
      <c r="D3712" s="0" t="n">
        <f aca="false">INDEX(Intent_Analysis!$E$5:$E$81,MATCH(B3712,Intent_Analysis!$A$5:$A$81,0))</f>
        <v>2</v>
      </c>
    </row>
    <row r="3713" customFormat="false" ht="15" hidden="false" customHeight="false" outlineLevel="0" collapsed="false">
      <c r="A3713" s="0" t="s">
        <v>4037</v>
      </c>
      <c r="B3713" s="0" t="s">
        <v>37</v>
      </c>
      <c r="C3713" s="0" t="str">
        <f aca="false">INDEX(Intent_Analysis!$B$5:$B$81,MATCH(B3713,Intent_Analysis!$A$5:$A$81,0))</f>
        <v>Account &amp; identity</v>
      </c>
      <c r="D3713" s="0" t="n">
        <f aca="false">INDEX(Intent_Analysis!$E$5:$E$81,MATCH(B3713,Intent_Analysis!$A$5:$A$81,0))</f>
        <v>2</v>
      </c>
    </row>
    <row r="3714" customFormat="false" ht="15" hidden="false" customHeight="false" outlineLevel="0" collapsed="false">
      <c r="A3714" s="0" t="s">
        <v>4038</v>
      </c>
      <c r="B3714" s="0" t="s">
        <v>37</v>
      </c>
      <c r="C3714" s="0" t="str">
        <f aca="false">INDEX(Intent_Analysis!$B$5:$B$81,MATCH(B3714,Intent_Analysis!$A$5:$A$81,0))</f>
        <v>Account &amp; identity</v>
      </c>
      <c r="D3714" s="0" t="n">
        <f aca="false">INDEX(Intent_Analysis!$E$5:$E$81,MATCH(B3714,Intent_Analysis!$A$5:$A$81,0))</f>
        <v>2</v>
      </c>
    </row>
    <row r="3715" customFormat="false" ht="15" hidden="false" customHeight="false" outlineLevel="0" collapsed="false">
      <c r="A3715" s="0" t="s">
        <v>4039</v>
      </c>
      <c r="B3715" s="0" t="s">
        <v>37</v>
      </c>
      <c r="C3715" s="0" t="str">
        <f aca="false">INDEX(Intent_Analysis!$B$5:$B$81,MATCH(B3715,Intent_Analysis!$A$5:$A$81,0))</f>
        <v>Account &amp; identity</v>
      </c>
      <c r="D3715" s="0" t="n">
        <f aca="false">INDEX(Intent_Analysis!$E$5:$E$81,MATCH(B3715,Intent_Analysis!$A$5:$A$81,0))</f>
        <v>2</v>
      </c>
    </row>
    <row r="3716" customFormat="false" ht="15" hidden="false" customHeight="false" outlineLevel="0" collapsed="false">
      <c r="A3716" s="0" t="s">
        <v>4040</v>
      </c>
      <c r="B3716" s="0" t="s">
        <v>37</v>
      </c>
      <c r="C3716" s="0" t="str">
        <f aca="false">INDEX(Intent_Analysis!$B$5:$B$81,MATCH(B3716,Intent_Analysis!$A$5:$A$81,0))</f>
        <v>Account &amp; identity</v>
      </c>
      <c r="D3716" s="0" t="n">
        <f aca="false">INDEX(Intent_Analysis!$E$5:$E$81,MATCH(B3716,Intent_Analysis!$A$5:$A$81,0))</f>
        <v>2</v>
      </c>
    </row>
    <row r="3717" customFormat="false" ht="15" hidden="false" customHeight="false" outlineLevel="0" collapsed="false">
      <c r="A3717" s="0" t="s">
        <v>4041</v>
      </c>
      <c r="B3717" s="0" t="s">
        <v>37</v>
      </c>
      <c r="C3717" s="0" t="str">
        <f aca="false">INDEX(Intent_Analysis!$B$5:$B$81,MATCH(B3717,Intent_Analysis!$A$5:$A$81,0))</f>
        <v>Account &amp; identity</v>
      </c>
      <c r="D3717" s="0" t="n">
        <f aca="false">INDEX(Intent_Analysis!$E$5:$E$81,MATCH(B3717,Intent_Analysis!$A$5:$A$81,0))</f>
        <v>2</v>
      </c>
    </row>
    <row r="3718" customFormat="false" ht="15" hidden="false" customHeight="false" outlineLevel="0" collapsed="false">
      <c r="A3718" s="0" t="s">
        <v>4042</v>
      </c>
      <c r="B3718" s="0" t="s">
        <v>37</v>
      </c>
      <c r="C3718" s="0" t="str">
        <f aca="false">INDEX(Intent_Analysis!$B$5:$B$81,MATCH(B3718,Intent_Analysis!$A$5:$A$81,0))</f>
        <v>Account &amp; identity</v>
      </c>
      <c r="D3718" s="0" t="n">
        <f aca="false">INDEX(Intent_Analysis!$E$5:$E$81,MATCH(B3718,Intent_Analysis!$A$5:$A$81,0))</f>
        <v>2</v>
      </c>
    </row>
    <row r="3719" customFormat="false" ht="15" hidden="false" customHeight="false" outlineLevel="0" collapsed="false">
      <c r="A3719" s="0" t="s">
        <v>4043</v>
      </c>
      <c r="B3719" s="0" t="s">
        <v>37</v>
      </c>
      <c r="C3719" s="0" t="str">
        <f aca="false">INDEX(Intent_Analysis!$B$5:$B$81,MATCH(B3719,Intent_Analysis!$A$5:$A$81,0))</f>
        <v>Account &amp; identity</v>
      </c>
      <c r="D3719" s="0" t="n">
        <f aca="false">INDEX(Intent_Analysis!$E$5:$E$81,MATCH(B3719,Intent_Analysis!$A$5:$A$81,0))</f>
        <v>2</v>
      </c>
    </row>
    <row r="3720" customFormat="false" ht="15" hidden="false" customHeight="false" outlineLevel="0" collapsed="false">
      <c r="A3720" s="0" t="s">
        <v>4044</v>
      </c>
      <c r="B3720" s="0" t="s">
        <v>37</v>
      </c>
      <c r="C3720" s="0" t="str">
        <f aca="false">INDEX(Intent_Analysis!$B$5:$B$81,MATCH(B3720,Intent_Analysis!$A$5:$A$81,0))</f>
        <v>Account &amp; identity</v>
      </c>
      <c r="D3720" s="0" t="n">
        <f aca="false">INDEX(Intent_Analysis!$E$5:$E$81,MATCH(B3720,Intent_Analysis!$A$5:$A$81,0))</f>
        <v>2</v>
      </c>
    </row>
    <row r="3721" customFormat="false" ht="15" hidden="false" customHeight="false" outlineLevel="0" collapsed="false">
      <c r="A3721" s="0" t="s">
        <v>4045</v>
      </c>
      <c r="B3721" s="0" t="s">
        <v>37</v>
      </c>
      <c r="C3721" s="0" t="str">
        <f aca="false">INDEX(Intent_Analysis!$B$5:$B$81,MATCH(B3721,Intent_Analysis!$A$5:$A$81,0))</f>
        <v>Account &amp; identity</v>
      </c>
      <c r="D3721" s="0" t="n">
        <f aca="false">INDEX(Intent_Analysis!$E$5:$E$81,MATCH(B3721,Intent_Analysis!$A$5:$A$81,0))</f>
        <v>2</v>
      </c>
    </row>
    <row r="3722" customFormat="false" ht="15" hidden="false" customHeight="false" outlineLevel="0" collapsed="false">
      <c r="A3722" s="0" t="s">
        <v>4046</v>
      </c>
      <c r="B3722" s="0" t="s">
        <v>37</v>
      </c>
      <c r="C3722" s="0" t="str">
        <f aca="false">INDEX(Intent_Analysis!$B$5:$B$81,MATCH(B3722,Intent_Analysis!$A$5:$A$81,0))</f>
        <v>Account &amp; identity</v>
      </c>
      <c r="D3722" s="0" t="n">
        <f aca="false">INDEX(Intent_Analysis!$E$5:$E$81,MATCH(B3722,Intent_Analysis!$A$5:$A$81,0))</f>
        <v>2</v>
      </c>
    </row>
    <row r="3723" customFormat="false" ht="15" hidden="false" customHeight="false" outlineLevel="0" collapsed="false">
      <c r="A3723" s="0" t="s">
        <v>4047</v>
      </c>
      <c r="B3723" s="0" t="s">
        <v>37</v>
      </c>
      <c r="C3723" s="0" t="str">
        <f aca="false">INDEX(Intent_Analysis!$B$5:$B$81,MATCH(B3723,Intent_Analysis!$A$5:$A$81,0))</f>
        <v>Account &amp; identity</v>
      </c>
      <c r="D3723" s="0" t="n">
        <f aca="false">INDEX(Intent_Analysis!$E$5:$E$81,MATCH(B3723,Intent_Analysis!$A$5:$A$81,0))</f>
        <v>2</v>
      </c>
    </row>
    <row r="3724" customFormat="false" ht="15" hidden="false" customHeight="false" outlineLevel="0" collapsed="false">
      <c r="A3724" s="0" t="s">
        <v>4048</v>
      </c>
      <c r="B3724" s="0" t="s">
        <v>37</v>
      </c>
      <c r="C3724" s="0" t="str">
        <f aca="false">INDEX(Intent_Analysis!$B$5:$B$81,MATCH(B3724,Intent_Analysis!$A$5:$A$81,0))</f>
        <v>Account &amp; identity</v>
      </c>
      <c r="D3724" s="0" t="n">
        <f aca="false">INDEX(Intent_Analysis!$E$5:$E$81,MATCH(B3724,Intent_Analysis!$A$5:$A$81,0))</f>
        <v>2</v>
      </c>
    </row>
    <row r="3725" customFormat="false" ht="15" hidden="false" customHeight="false" outlineLevel="0" collapsed="false">
      <c r="A3725" s="0" t="s">
        <v>4049</v>
      </c>
      <c r="B3725" s="0" t="s">
        <v>37</v>
      </c>
      <c r="C3725" s="0" t="str">
        <f aca="false">INDEX(Intent_Analysis!$B$5:$B$81,MATCH(B3725,Intent_Analysis!$A$5:$A$81,0))</f>
        <v>Account &amp; identity</v>
      </c>
      <c r="D3725" s="0" t="n">
        <f aca="false">INDEX(Intent_Analysis!$E$5:$E$81,MATCH(B3725,Intent_Analysis!$A$5:$A$81,0))</f>
        <v>2</v>
      </c>
    </row>
    <row r="3726" customFormat="false" ht="15" hidden="false" customHeight="false" outlineLevel="0" collapsed="false">
      <c r="A3726" s="0" t="s">
        <v>4050</v>
      </c>
      <c r="B3726" s="0" t="s">
        <v>37</v>
      </c>
      <c r="C3726" s="0" t="str">
        <f aca="false">INDEX(Intent_Analysis!$B$5:$B$81,MATCH(B3726,Intent_Analysis!$A$5:$A$81,0))</f>
        <v>Account &amp; identity</v>
      </c>
      <c r="D3726" s="0" t="n">
        <f aca="false">INDEX(Intent_Analysis!$E$5:$E$81,MATCH(B3726,Intent_Analysis!$A$5:$A$81,0))</f>
        <v>2</v>
      </c>
    </row>
    <row r="3727" customFormat="false" ht="15" hidden="false" customHeight="false" outlineLevel="0" collapsed="false">
      <c r="A3727" s="0" t="s">
        <v>4051</v>
      </c>
      <c r="B3727" s="0" t="s">
        <v>37</v>
      </c>
      <c r="C3727" s="0" t="str">
        <f aca="false">INDEX(Intent_Analysis!$B$5:$B$81,MATCH(B3727,Intent_Analysis!$A$5:$A$81,0))</f>
        <v>Account &amp; identity</v>
      </c>
      <c r="D3727" s="0" t="n">
        <f aca="false">INDEX(Intent_Analysis!$E$5:$E$81,MATCH(B3727,Intent_Analysis!$A$5:$A$81,0))</f>
        <v>2</v>
      </c>
    </row>
    <row r="3728" customFormat="false" ht="15" hidden="false" customHeight="false" outlineLevel="0" collapsed="false">
      <c r="A3728" s="0" t="s">
        <v>4052</v>
      </c>
      <c r="B3728" s="0" t="s">
        <v>37</v>
      </c>
      <c r="C3728" s="0" t="str">
        <f aca="false">INDEX(Intent_Analysis!$B$5:$B$81,MATCH(B3728,Intent_Analysis!$A$5:$A$81,0))</f>
        <v>Account &amp; identity</v>
      </c>
      <c r="D3728" s="0" t="n">
        <f aca="false">INDEX(Intent_Analysis!$E$5:$E$81,MATCH(B3728,Intent_Analysis!$A$5:$A$81,0))</f>
        <v>2</v>
      </c>
    </row>
    <row r="3729" customFormat="false" ht="15" hidden="false" customHeight="false" outlineLevel="0" collapsed="false">
      <c r="A3729" s="0" t="s">
        <v>4053</v>
      </c>
      <c r="B3729" s="0" t="s">
        <v>37</v>
      </c>
      <c r="C3729" s="0" t="str">
        <f aca="false">INDEX(Intent_Analysis!$B$5:$B$81,MATCH(B3729,Intent_Analysis!$A$5:$A$81,0))</f>
        <v>Account &amp; identity</v>
      </c>
      <c r="D3729" s="0" t="n">
        <f aca="false">INDEX(Intent_Analysis!$E$5:$E$81,MATCH(B3729,Intent_Analysis!$A$5:$A$81,0))</f>
        <v>2</v>
      </c>
    </row>
    <row r="3730" customFormat="false" ht="15" hidden="false" customHeight="false" outlineLevel="0" collapsed="false">
      <c r="A3730" s="0" t="s">
        <v>4054</v>
      </c>
      <c r="B3730" s="0" t="s">
        <v>37</v>
      </c>
      <c r="C3730" s="0" t="str">
        <f aca="false">INDEX(Intent_Analysis!$B$5:$B$81,MATCH(B3730,Intent_Analysis!$A$5:$A$81,0))</f>
        <v>Account &amp; identity</v>
      </c>
      <c r="D3730" s="0" t="n">
        <f aca="false">INDEX(Intent_Analysis!$E$5:$E$81,MATCH(B3730,Intent_Analysis!$A$5:$A$81,0))</f>
        <v>2</v>
      </c>
    </row>
    <row r="3731" customFormat="false" ht="15" hidden="false" customHeight="false" outlineLevel="0" collapsed="false">
      <c r="A3731" s="0" t="s">
        <v>4055</v>
      </c>
      <c r="B3731" s="0" t="s">
        <v>37</v>
      </c>
      <c r="C3731" s="0" t="str">
        <f aca="false">INDEX(Intent_Analysis!$B$5:$B$81,MATCH(B3731,Intent_Analysis!$A$5:$A$81,0))</f>
        <v>Account &amp; identity</v>
      </c>
      <c r="D3731" s="0" t="n">
        <f aca="false">INDEX(Intent_Analysis!$E$5:$E$81,MATCH(B3731,Intent_Analysis!$A$5:$A$81,0))</f>
        <v>2</v>
      </c>
    </row>
    <row r="3732" customFormat="false" ht="15" hidden="false" customHeight="false" outlineLevel="0" collapsed="false">
      <c r="A3732" s="0" t="s">
        <v>4056</v>
      </c>
      <c r="B3732" s="0" t="s">
        <v>37</v>
      </c>
      <c r="C3732" s="0" t="str">
        <f aca="false">INDEX(Intent_Analysis!$B$5:$B$81,MATCH(B3732,Intent_Analysis!$A$5:$A$81,0))</f>
        <v>Account &amp; identity</v>
      </c>
      <c r="D3732" s="0" t="n">
        <f aca="false">INDEX(Intent_Analysis!$E$5:$E$81,MATCH(B3732,Intent_Analysis!$A$5:$A$81,0))</f>
        <v>2</v>
      </c>
    </row>
    <row r="3733" customFormat="false" ht="15" hidden="false" customHeight="false" outlineLevel="0" collapsed="false">
      <c r="A3733" s="0" t="s">
        <v>4057</v>
      </c>
      <c r="B3733" s="0" t="s">
        <v>37</v>
      </c>
      <c r="C3733" s="0" t="str">
        <f aca="false">INDEX(Intent_Analysis!$B$5:$B$81,MATCH(B3733,Intent_Analysis!$A$5:$A$81,0))</f>
        <v>Account &amp; identity</v>
      </c>
      <c r="D3733" s="0" t="n">
        <f aca="false">INDEX(Intent_Analysis!$E$5:$E$81,MATCH(B3733,Intent_Analysis!$A$5:$A$81,0))</f>
        <v>2</v>
      </c>
    </row>
    <row r="3734" customFormat="false" ht="15" hidden="false" customHeight="false" outlineLevel="0" collapsed="false">
      <c r="A3734" s="0" t="s">
        <v>4058</v>
      </c>
      <c r="B3734" s="0" t="s">
        <v>37</v>
      </c>
      <c r="C3734" s="0" t="str">
        <f aca="false">INDEX(Intent_Analysis!$B$5:$B$81,MATCH(B3734,Intent_Analysis!$A$5:$A$81,0))</f>
        <v>Account &amp; identity</v>
      </c>
      <c r="D3734" s="0" t="n">
        <f aca="false">INDEX(Intent_Analysis!$E$5:$E$81,MATCH(B3734,Intent_Analysis!$A$5:$A$81,0))</f>
        <v>2</v>
      </c>
    </row>
    <row r="3735" customFormat="false" ht="15" hidden="false" customHeight="false" outlineLevel="0" collapsed="false">
      <c r="A3735" s="0" t="s">
        <v>4059</v>
      </c>
      <c r="B3735" s="0" t="s">
        <v>37</v>
      </c>
      <c r="C3735" s="0" t="str">
        <f aca="false">INDEX(Intent_Analysis!$B$5:$B$81,MATCH(B3735,Intent_Analysis!$A$5:$A$81,0))</f>
        <v>Account &amp; identity</v>
      </c>
      <c r="D3735" s="0" t="n">
        <f aca="false">INDEX(Intent_Analysis!$E$5:$E$81,MATCH(B3735,Intent_Analysis!$A$5:$A$81,0))</f>
        <v>2</v>
      </c>
    </row>
    <row r="3736" customFormat="false" ht="15" hidden="false" customHeight="false" outlineLevel="0" collapsed="false">
      <c r="A3736" s="0" t="s">
        <v>4060</v>
      </c>
      <c r="B3736" s="0" t="s">
        <v>37</v>
      </c>
      <c r="C3736" s="0" t="str">
        <f aca="false">INDEX(Intent_Analysis!$B$5:$B$81,MATCH(B3736,Intent_Analysis!$A$5:$A$81,0))</f>
        <v>Account &amp; identity</v>
      </c>
      <c r="D3736" s="0" t="n">
        <f aca="false">INDEX(Intent_Analysis!$E$5:$E$81,MATCH(B3736,Intent_Analysis!$A$5:$A$81,0))</f>
        <v>2</v>
      </c>
    </row>
    <row r="3737" customFormat="false" ht="15" hidden="false" customHeight="false" outlineLevel="0" collapsed="false">
      <c r="A3737" s="0" t="s">
        <v>4061</v>
      </c>
      <c r="B3737" s="0" t="s">
        <v>37</v>
      </c>
      <c r="C3737" s="0" t="str">
        <f aca="false">INDEX(Intent_Analysis!$B$5:$B$81,MATCH(B3737,Intent_Analysis!$A$5:$A$81,0))</f>
        <v>Account &amp; identity</v>
      </c>
      <c r="D3737" s="0" t="n">
        <f aca="false">INDEX(Intent_Analysis!$E$5:$E$81,MATCH(B3737,Intent_Analysis!$A$5:$A$81,0))</f>
        <v>2</v>
      </c>
    </row>
    <row r="3738" customFormat="false" ht="15" hidden="false" customHeight="false" outlineLevel="0" collapsed="false">
      <c r="A3738" s="0" t="s">
        <v>4062</v>
      </c>
      <c r="B3738" s="0" t="s">
        <v>37</v>
      </c>
      <c r="C3738" s="0" t="str">
        <f aca="false">INDEX(Intent_Analysis!$B$5:$B$81,MATCH(B3738,Intent_Analysis!$A$5:$A$81,0))</f>
        <v>Account &amp; identity</v>
      </c>
      <c r="D3738" s="0" t="n">
        <f aca="false">INDEX(Intent_Analysis!$E$5:$E$81,MATCH(B3738,Intent_Analysis!$A$5:$A$81,0))</f>
        <v>2</v>
      </c>
    </row>
    <row r="3739" customFormat="false" ht="15" hidden="false" customHeight="false" outlineLevel="0" collapsed="false">
      <c r="A3739" s="0" t="s">
        <v>4063</v>
      </c>
      <c r="B3739" s="0" t="s">
        <v>37</v>
      </c>
      <c r="C3739" s="0" t="str">
        <f aca="false">INDEX(Intent_Analysis!$B$5:$B$81,MATCH(B3739,Intent_Analysis!$A$5:$A$81,0))</f>
        <v>Account &amp; identity</v>
      </c>
      <c r="D3739" s="0" t="n">
        <f aca="false">INDEX(Intent_Analysis!$E$5:$E$81,MATCH(B3739,Intent_Analysis!$A$5:$A$81,0))</f>
        <v>2</v>
      </c>
    </row>
    <row r="3740" customFormat="false" ht="15" hidden="false" customHeight="false" outlineLevel="0" collapsed="false">
      <c r="A3740" s="0" t="s">
        <v>4064</v>
      </c>
      <c r="B3740" s="0" t="s">
        <v>37</v>
      </c>
      <c r="C3740" s="0" t="str">
        <f aca="false">INDEX(Intent_Analysis!$B$5:$B$81,MATCH(B3740,Intent_Analysis!$A$5:$A$81,0))</f>
        <v>Account &amp; identity</v>
      </c>
      <c r="D3740" s="0" t="n">
        <f aca="false">INDEX(Intent_Analysis!$E$5:$E$81,MATCH(B3740,Intent_Analysis!$A$5:$A$81,0))</f>
        <v>2</v>
      </c>
    </row>
    <row r="3741" customFormat="false" ht="15" hidden="false" customHeight="false" outlineLevel="0" collapsed="false">
      <c r="A3741" s="0" t="s">
        <v>4065</v>
      </c>
      <c r="B3741" s="0" t="s">
        <v>37</v>
      </c>
      <c r="C3741" s="0" t="str">
        <f aca="false">INDEX(Intent_Analysis!$B$5:$B$81,MATCH(B3741,Intent_Analysis!$A$5:$A$81,0))</f>
        <v>Account &amp; identity</v>
      </c>
      <c r="D3741" s="0" t="n">
        <f aca="false">INDEX(Intent_Analysis!$E$5:$E$81,MATCH(B3741,Intent_Analysis!$A$5:$A$81,0))</f>
        <v>2</v>
      </c>
    </row>
    <row r="3742" customFormat="false" ht="15" hidden="false" customHeight="false" outlineLevel="0" collapsed="false">
      <c r="A3742" s="0" t="s">
        <v>4066</v>
      </c>
      <c r="B3742" s="0" t="s">
        <v>37</v>
      </c>
      <c r="C3742" s="0" t="str">
        <f aca="false">INDEX(Intent_Analysis!$B$5:$B$81,MATCH(B3742,Intent_Analysis!$A$5:$A$81,0))</f>
        <v>Account &amp; identity</v>
      </c>
      <c r="D3742" s="0" t="n">
        <f aca="false">INDEX(Intent_Analysis!$E$5:$E$81,MATCH(B3742,Intent_Analysis!$A$5:$A$81,0))</f>
        <v>2</v>
      </c>
    </row>
    <row r="3743" customFormat="false" ht="15" hidden="false" customHeight="false" outlineLevel="0" collapsed="false">
      <c r="A3743" s="0" t="s">
        <v>4067</v>
      </c>
      <c r="B3743" s="0" t="s">
        <v>37</v>
      </c>
      <c r="C3743" s="0" t="str">
        <f aca="false">INDEX(Intent_Analysis!$B$5:$B$81,MATCH(B3743,Intent_Analysis!$A$5:$A$81,0))</f>
        <v>Account &amp; identity</v>
      </c>
      <c r="D3743" s="0" t="n">
        <f aca="false">INDEX(Intent_Analysis!$E$5:$E$81,MATCH(B3743,Intent_Analysis!$A$5:$A$81,0))</f>
        <v>2</v>
      </c>
    </row>
    <row r="3744" customFormat="false" ht="15" hidden="false" customHeight="false" outlineLevel="0" collapsed="false">
      <c r="A3744" s="0" t="s">
        <v>4068</v>
      </c>
      <c r="B3744" s="0" t="s">
        <v>37</v>
      </c>
      <c r="C3744" s="0" t="str">
        <f aca="false">INDEX(Intent_Analysis!$B$5:$B$81,MATCH(B3744,Intent_Analysis!$A$5:$A$81,0))</f>
        <v>Account &amp; identity</v>
      </c>
      <c r="D3744" s="0" t="n">
        <f aca="false">INDEX(Intent_Analysis!$E$5:$E$81,MATCH(B3744,Intent_Analysis!$A$5:$A$81,0))</f>
        <v>2</v>
      </c>
    </row>
    <row r="3745" customFormat="false" ht="15" hidden="false" customHeight="false" outlineLevel="0" collapsed="false">
      <c r="A3745" s="0" t="s">
        <v>4069</v>
      </c>
      <c r="B3745" s="0" t="s">
        <v>37</v>
      </c>
      <c r="C3745" s="0" t="str">
        <f aca="false">INDEX(Intent_Analysis!$B$5:$B$81,MATCH(B3745,Intent_Analysis!$A$5:$A$81,0))</f>
        <v>Account &amp; identity</v>
      </c>
      <c r="D3745" s="0" t="n">
        <f aca="false">INDEX(Intent_Analysis!$E$5:$E$81,MATCH(B3745,Intent_Analysis!$A$5:$A$81,0))</f>
        <v>2</v>
      </c>
    </row>
    <row r="3746" customFormat="false" ht="15" hidden="false" customHeight="false" outlineLevel="0" collapsed="false">
      <c r="A3746" s="0" t="s">
        <v>4070</v>
      </c>
      <c r="B3746" s="0" t="s">
        <v>37</v>
      </c>
      <c r="C3746" s="0" t="str">
        <f aca="false">INDEX(Intent_Analysis!$B$5:$B$81,MATCH(B3746,Intent_Analysis!$A$5:$A$81,0))</f>
        <v>Account &amp; identity</v>
      </c>
      <c r="D3746" s="0" t="n">
        <f aca="false">INDEX(Intent_Analysis!$E$5:$E$81,MATCH(B3746,Intent_Analysis!$A$5:$A$81,0))</f>
        <v>2</v>
      </c>
    </row>
    <row r="3747" customFormat="false" ht="15" hidden="false" customHeight="false" outlineLevel="0" collapsed="false">
      <c r="A3747" s="0" t="s">
        <v>4071</v>
      </c>
      <c r="B3747" s="0" t="s">
        <v>37</v>
      </c>
      <c r="C3747" s="0" t="str">
        <f aca="false">INDEX(Intent_Analysis!$B$5:$B$81,MATCH(B3747,Intent_Analysis!$A$5:$A$81,0))</f>
        <v>Account &amp; identity</v>
      </c>
      <c r="D3747" s="0" t="n">
        <f aca="false">INDEX(Intent_Analysis!$E$5:$E$81,MATCH(B3747,Intent_Analysis!$A$5:$A$81,0))</f>
        <v>2</v>
      </c>
    </row>
    <row r="3748" customFormat="false" ht="15" hidden="false" customHeight="false" outlineLevel="0" collapsed="false">
      <c r="A3748" s="0" t="s">
        <v>4072</v>
      </c>
      <c r="B3748" s="0" t="s">
        <v>37</v>
      </c>
      <c r="C3748" s="0" t="str">
        <f aca="false">INDEX(Intent_Analysis!$B$5:$B$81,MATCH(B3748,Intent_Analysis!$A$5:$A$81,0))</f>
        <v>Account &amp; identity</v>
      </c>
      <c r="D3748" s="0" t="n">
        <f aca="false">INDEX(Intent_Analysis!$E$5:$E$81,MATCH(B3748,Intent_Analysis!$A$5:$A$81,0))</f>
        <v>2</v>
      </c>
    </row>
    <row r="3749" customFormat="false" ht="15" hidden="false" customHeight="false" outlineLevel="0" collapsed="false">
      <c r="A3749" s="0" t="s">
        <v>4073</v>
      </c>
      <c r="B3749" s="0" t="s">
        <v>37</v>
      </c>
      <c r="C3749" s="0" t="str">
        <f aca="false">INDEX(Intent_Analysis!$B$5:$B$81,MATCH(B3749,Intent_Analysis!$A$5:$A$81,0))</f>
        <v>Account &amp; identity</v>
      </c>
      <c r="D3749" s="0" t="n">
        <f aca="false">INDEX(Intent_Analysis!$E$5:$E$81,MATCH(B3749,Intent_Analysis!$A$5:$A$81,0))</f>
        <v>2</v>
      </c>
    </row>
    <row r="3750" customFormat="false" ht="15" hidden="false" customHeight="false" outlineLevel="0" collapsed="false">
      <c r="A3750" s="0" t="s">
        <v>4074</v>
      </c>
      <c r="B3750" s="0" t="s">
        <v>37</v>
      </c>
      <c r="C3750" s="0" t="str">
        <f aca="false">INDEX(Intent_Analysis!$B$5:$B$81,MATCH(B3750,Intent_Analysis!$A$5:$A$81,0))</f>
        <v>Account &amp; identity</v>
      </c>
      <c r="D3750" s="0" t="n">
        <f aca="false">INDEX(Intent_Analysis!$E$5:$E$81,MATCH(B3750,Intent_Analysis!$A$5:$A$81,0))</f>
        <v>2</v>
      </c>
    </row>
    <row r="3751" customFormat="false" ht="15" hidden="false" customHeight="false" outlineLevel="0" collapsed="false">
      <c r="A3751" s="0" t="s">
        <v>4075</v>
      </c>
      <c r="B3751" s="0" t="s">
        <v>37</v>
      </c>
      <c r="C3751" s="0" t="str">
        <f aca="false">INDEX(Intent_Analysis!$B$5:$B$81,MATCH(B3751,Intent_Analysis!$A$5:$A$81,0))</f>
        <v>Account &amp; identity</v>
      </c>
      <c r="D3751" s="0" t="n">
        <f aca="false">INDEX(Intent_Analysis!$E$5:$E$81,MATCH(B3751,Intent_Analysis!$A$5:$A$81,0))</f>
        <v>2</v>
      </c>
    </row>
    <row r="3752" customFormat="false" ht="15" hidden="false" customHeight="false" outlineLevel="0" collapsed="false">
      <c r="A3752" s="0" t="s">
        <v>4076</v>
      </c>
      <c r="B3752" s="0" t="s">
        <v>37</v>
      </c>
      <c r="C3752" s="0" t="str">
        <f aca="false">INDEX(Intent_Analysis!$B$5:$B$81,MATCH(B3752,Intent_Analysis!$A$5:$A$81,0))</f>
        <v>Account &amp; identity</v>
      </c>
      <c r="D3752" s="0" t="n">
        <f aca="false">INDEX(Intent_Analysis!$E$5:$E$81,MATCH(B3752,Intent_Analysis!$A$5:$A$81,0))</f>
        <v>2</v>
      </c>
    </row>
    <row r="3753" customFormat="false" ht="15" hidden="false" customHeight="false" outlineLevel="0" collapsed="false">
      <c r="A3753" s="0" t="s">
        <v>4077</v>
      </c>
      <c r="B3753" s="0" t="s">
        <v>37</v>
      </c>
      <c r="C3753" s="0" t="str">
        <f aca="false">INDEX(Intent_Analysis!$B$5:$B$81,MATCH(B3753,Intent_Analysis!$A$5:$A$81,0))</f>
        <v>Account &amp; identity</v>
      </c>
      <c r="D3753" s="0" t="n">
        <f aca="false">INDEX(Intent_Analysis!$E$5:$E$81,MATCH(B3753,Intent_Analysis!$A$5:$A$81,0))</f>
        <v>2</v>
      </c>
    </row>
    <row r="3754" customFormat="false" ht="15" hidden="false" customHeight="false" outlineLevel="0" collapsed="false">
      <c r="A3754" s="0" t="s">
        <v>4078</v>
      </c>
      <c r="B3754" s="0" t="s">
        <v>37</v>
      </c>
      <c r="C3754" s="0" t="str">
        <f aca="false">INDEX(Intent_Analysis!$B$5:$B$81,MATCH(B3754,Intent_Analysis!$A$5:$A$81,0))</f>
        <v>Account &amp; identity</v>
      </c>
      <c r="D3754" s="0" t="n">
        <f aca="false">INDEX(Intent_Analysis!$E$5:$E$81,MATCH(B3754,Intent_Analysis!$A$5:$A$81,0))</f>
        <v>2</v>
      </c>
    </row>
    <row r="3755" customFormat="false" ht="15" hidden="false" customHeight="false" outlineLevel="0" collapsed="false">
      <c r="A3755" s="0" t="s">
        <v>4079</v>
      </c>
      <c r="B3755" s="0" t="s">
        <v>37</v>
      </c>
      <c r="C3755" s="0" t="str">
        <f aca="false">INDEX(Intent_Analysis!$B$5:$B$81,MATCH(B3755,Intent_Analysis!$A$5:$A$81,0))</f>
        <v>Account &amp; identity</v>
      </c>
      <c r="D3755" s="0" t="n">
        <f aca="false">INDEX(Intent_Analysis!$E$5:$E$81,MATCH(B3755,Intent_Analysis!$A$5:$A$81,0))</f>
        <v>2</v>
      </c>
    </row>
    <row r="3756" customFormat="false" ht="15" hidden="false" customHeight="false" outlineLevel="0" collapsed="false">
      <c r="A3756" s="0" t="s">
        <v>4080</v>
      </c>
      <c r="B3756" s="0" t="s">
        <v>37</v>
      </c>
      <c r="C3756" s="0" t="str">
        <f aca="false">INDEX(Intent_Analysis!$B$5:$B$81,MATCH(B3756,Intent_Analysis!$A$5:$A$81,0))</f>
        <v>Account &amp; identity</v>
      </c>
      <c r="D3756" s="0" t="n">
        <f aca="false">INDEX(Intent_Analysis!$E$5:$E$81,MATCH(B3756,Intent_Analysis!$A$5:$A$81,0))</f>
        <v>2</v>
      </c>
    </row>
    <row r="3757" customFormat="false" ht="15" hidden="false" customHeight="false" outlineLevel="0" collapsed="false">
      <c r="A3757" s="0" t="s">
        <v>4081</v>
      </c>
      <c r="B3757" s="0" t="s">
        <v>37</v>
      </c>
      <c r="C3757" s="0" t="str">
        <f aca="false">INDEX(Intent_Analysis!$B$5:$B$81,MATCH(B3757,Intent_Analysis!$A$5:$A$81,0))</f>
        <v>Account &amp; identity</v>
      </c>
      <c r="D3757" s="0" t="n">
        <f aca="false">INDEX(Intent_Analysis!$E$5:$E$81,MATCH(B3757,Intent_Analysis!$A$5:$A$81,0))</f>
        <v>2</v>
      </c>
    </row>
    <row r="3758" customFormat="false" ht="15" hidden="false" customHeight="false" outlineLevel="0" collapsed="false">
      <c r="A3758" s="0" t="s">
        <v>4082</v>
      </c>
      <c r="B3758" s="0" t="s">
        <v>37</v>
      </c>
      <c r="C3758" s="0" t="str">
        <f aca="false">INDEX(Intent_Analysis!$B$5:$B$81,MATCH(B3758,Intent_Analysis!$A$5:$A$81,0))</f>
        <v>Account &amp; identity</v>
      </c>
      <c r="D3758" s="0" t="n">
        <f aca="false">INDEX(Intent_Analysis!$E$5:$E$81,MATCH(B3758,Intent_Analysis!$A$5:$A$81,0))</f>
        <v>2</v>
      </c>
    </row>
    <row r="3759" customFormat="false" ht="15" hidden="false" customHeight="false" outlineLevel="0" collapsed="false">
      <c r="A3759" s="0" t="s">
        <v>4083</v>
      </c>
      <c r="B3759" s="0" t="s">
        <v>37</v>
      </c>
      <c r="C3759" s="0" t="str">
        <f aca="false">INDEX(Intent_Analysis!$B$5:$B$81,MATCH(B3759,Intent_Analysis!$A$5:$A$81,0))</f>
        <v>Account &amp; identity</v>
      </c>
      <c r="D3759" s="0" t="n">
        <f aca="false">INDEX(Intent_Analysis!$E$5:$E$81,MATCH(B3759,Intent_Analysis!$A$5:$A$81,0))</f>
        <v>2</v>
      </c>
    </row>
    <row r="3760" customFormat="false" ht="15" hidden="false" customHeight="false" outlineLevel="0" collapsed="false">
      <c r="A3760" s="0" t="s">
        <v>4084</v>
      </c>
      <c r="B3760" s="0" t="s">
        <v>37</v>
      </c>
      <c r="C3760" s="0" t="str">
        <f aca="false">INDEX(Intent_Analysis!$B$5:$B$81,MATCH(B3760,Intent_Analysis!$A$5:$A$81,0))</f>
        <v>Account &amp; identity</v>
      </c>
      <c r="D3760" s="0" t="n">
        <f aca="false">INDEX(Intent_Analysis!$E$5:$E$81,MATCH(B3760,Intent_Analysis!$A$5:$A$81,0))</f>
        <v>2</v>
      </c>
    </row>
    <row r="3761" customFormat="false" ht="15" hidden="false" customHeight="false" outlineLevel="0" collapsed="false">
      <c r="A3761" s="0" t="s">
        <v>4085</v>
      </c>
      <c r="B3761" s="0" t="s">
        <v>37</v>
      </c>
      <c r="C3761" s="0" t="str">
        <f aca="false">INDEX(Intent_Analysis!$B$5:$B$81,MATCH(B3761,Intent_Analysis!$A$5:$A$81,0))</f>
        <v>Account &amp; identity</v>
      </c>
      <c r="D3761" s="0" t="n">
        <f aca="false">INDEX(Intent_Analysis!$E$5:$E$81,MATCH(B3761,Intent_Analysis!$A$5:$A$81,0))</f>
        <v>2</v>
      </c>
    </row>
    <row r="3762" customFormat="false" ht="15" hidden="false" customHeight="false" outlineLevel="0" collapsed="false">
      <c r="A3762" s="0" t="s">
        <v>4086</v>
      </c>
      <c r="B3762" s="0" t="s">
        <v>37</v>
      </c>
      <c r="C3762" s="0" t="str">
        <f aca="false">INDEX(Intent_Analysis!$B$5:$B$81,MATCH(B3762,Intent_Analysis!$A$5:$A$81,0))</f>
        <v>Account &amp; identity</v>
      </c>
      <c r="D3762" s="0" t="n">
        <f aca="false">INDEX(Intent_Analysis!$E$5:$E$81,MATCH(B3762,Intent_Analysis!$A$5:$A$81,0))</f>
        <v>2</v>
      </c>
    </row>
    <row r="3763" customFormat="false" ht="15" hidden="false" customHeight="false" outlineLevel="0" collapsed="false">
      <c r="A3763" s="0" t="s">
        <v>4087</v>
      </c>
      <c r="B3763" s="0" t="s">
        <v>37</v>
      </c>
      <c r="C3763" s="0" t="str">
        <f aca="false">INDEX(Intent_Analysis!$B$5:$B$81,MATCH(B3763,Intent_Analysis!$A$5:$A$81,0))</f>
        <v>Account &amp; identity</v>
      </c>
      <c r="D3763" s="0" t="n">
        <f aca="false">INDEX(Intent_Analysis!$E$5:$E$81,MATCH(B3763,Intent_Analysis!$A$5:$A$81,0))</f>
        <v>2</v>
      </c>
    </row>
    <row r="3764" customFormat="false" ht="15" hidden="false" customHeight="false" outlineLevel="0" collapsed="false">
      <c r="A3764" s="0" t="s">
        <v>4088</v>
      </c>
      <c r="B3764" s="0" t="s">
        <v>37</v>
      </c>
      <c r="C3764" s="0" t="str">
        <f aca="false">INDEX(Intent_Analysis!$B$5:$B$81,MATCH(B3764,Intent_Analysis!$A$5:$A$81,0))</f>
        <v>Account &amp; identity</v>
      </c>
      <c r="D3764" s="0" t="n">
        <f aca="false">INDEX(Intent_Analysis!$E$5:$E$81,MATCH(B3764,Intent_Analysis!$A$5:$A$81,0))</f>
        <v>2</v>
      </c>
    </row>
    <row r="3765" customFormat="false" ht="15" hidden="false" customHeight="false" outlineLevel="0" collapsed="false">
      <c r="A3765" s="0" t="s">
        <v>4089</v>
      </c>
      <c r="B3765" s="0" t="s">
        <v>37</v>
      </c>
      <c r="C3765" s="0" t="str">
        <f aca="false">INDEX(Intent_Analysis!$B$5:$B$81,MATCH(B3765,Intent_Analysis!$A$5:$A$81,0))</f>
        <v>Account &amp; identity</v>
      </c>
      <c r="D3765" s="0" t="n">
        <f aca="false">INDEX(Intent_Analysis!$E$5:$E$81,MATCH(B3765,Intent_Analysis!$A$5:$A$81,0))</f>
        <v>2</v>
      </c>
    </row>
    <row r="3766" customFormat="false" ht="15" hidden="false" customHeight="false" outlineLevel="0" collapsed="false">
      <c r="A3766" s="0" t="s">
        <v>4090</v>
      </c>
      <c r="B3766" s="0" t="s">
        <v>37</v>
      </c>
      <c r="C3766" s="0" t="str">
        <f aca="false">INDEX(Intent_Analysis!$B$5:$B$81,MATCH(B3766,Intent_Analysis!$A$5:$A$81,0))</f>
        <v>Account &amp; identity</v>
      </c>
      <c r="D3766" s="0" t="n">
        <f aca="false">INDEX(Intent_Analysis!$E$5:$E$81,MATCH(B3766,Intent_Analysis!$A$5:$A$81,0))</f>
        <v>2</v>
      </c>
    </row>
    <row r="3767" customFormat="false" ht="15" hidden="false" customHeight="false" outlineLevel="0" collapsed="false">
      <c r="A3767" s="0" t="s">
        <v>4091</v>
      </c>
      <c r="B3767" s="0" t="s">
        <v>37</v>
      </c>
      <c r="C3767" s="0" t="str">
        <f aca="false">INDEX(Intent_Analysis!$B$5:$B$81,MATCH(B3767,Intent_Analysis!$A$5:$A$81,0))</f>
        <v>Account &amp; identity</v>
      </c>
      <c r="D3767" s="0" t="n">
        <f aca="false">INDEX(Intent_Analysis!$E$5:$E$81,MATCH(B3767,Intent_Analysis!$A$5:$A$81,0))</f>
        <v>2</v>
      </c>
    </row>
    <row r="3768" customFormat="false" ht="15" hidden="false" customHeight="false" outlineLevel="0" collapsed="false">
      <c r="A3768" s="0" t="s">
        <v>4092</v>
      </c>
      <c r="B3768" s="0" t="s">
        <v>37</v>
      </c>
      <c r="C3768" s="0" t="str">
        <f aca="false">INDEX(Intent_Analysis!$B$5:$B$81,MATCH(B3768,Intent_Analysis!$A$5:$A$81,0))</f>
        <v>Account &amp; identity</v>
      </c>
      <c r="D3768" s="0" t="n">
        <f aca="false">INDEX(Intent_Analysis!$E$5:$E$81,MATCH(B3768,Intent_Analysis!$A$5:$A$81,0))</f>
        <v>2</v>
      </c>
    </row>
    <row r="3769" customFormat="false" ht="15" hidden="false" customHeight="false" outlineLevel="0" collapsed="false">
      <c r="A3769" s="0" t="s">
        <v>4093</v>
      </c>
      <c r="B3769" s="0" t="s">
        <v>37</v>
      </c>
      <c r="C3769" s="0" t="str">
        <f aca="false">INDEX(Intent_Analysis!$B$5:$B$81,MATCH(B3769,Intent_Analysis!$A$5:$A$81,0))</f>
        <v>Account &amp; identity</v>
      </c>
      <c r="D3769" s="0" t="n">
        <f aca="false">INDEX(Intent_Analysis!$E$5:$E$81,MATCH(B3769,Intent_Analysis!$A$5:$A$81,0))</f>
        <v>2</v>
      </c>
    </row>
    <row r="3770" customFormat="false" ht="15" hidden="false" customHeight="false" outlineLevel="0" collapsed="false">
      <c r="A3770" s="0" t="s">
        <v>4094</v>
      </c>
      <c r="B3770" s="0" t="s">
        <v>37</v>
      </c>
      <c r="C3770" s="0" t="str">
        <f aca="false">INDEX(Intent_Analysis!$B$5:$B$81,MATCH(B3770,Intent_Analysis!$A$5:$A$81,0))</f>
        <v>Account &amp; identity</v>
      </c>
      <c r="D3770" s="0" t="n">
        <f aca="false">INDEX(Intent_Analysis!$E$5:$E$81,MATCH(B3770,Intent_Analysis!$A$5:$A$81,0))</f>
        <v>2</v>
      </c>
    </row>
    <row r="3771" customFormat="false" ht="15" hidden="false" customHeight="false" outlineLevel="0" collapsed="false">
      <c r="A3771" s="0" t="s">
        <v>4095</v>
      </c>
      <c r="B3771" s="0" t="s">
        <v>37</v>
      </c>
      <c r="C3771" s="0" t="str">
        <f aca="false">INDEX(Intent_Analysis!$B$5:$B$81,MATCH(B3771,Intent_Analysis!$A$5:$A$81,0))</f>
        <v>Account &amp; identity</v>
      </c>
      <c r="D3771" s="0" t="n">
        <f aca="false">INDEX(Intent_Analysis!$E$5:$E$81,MATCH(B3771,Intent_Analysis!$A$5:$A$81,0))</f>
        <v>2</v>
      </c>
    </row>
    <row r="3772" customFormat="false" ht="15" hidden="false" customHeight="false" outlineLevel="0" collapsed="false">
      <c r="A3772" s="0" t="s">
        <v>4096</v>
      </c>
      <c r="B3772" s="0" t="s">
        <v>37</v>
      </c>
      <c r="C3772" s="0" t="str">
        <f aca="false">INDEX(Intent_Analysis!$B$5:$B$81,MATCH(B3772,Intent_Analysis!$A$5:$A$81,0))</f>
        <v>Account &amp; identity</v>
      </c>
      <c r="D3772" s="0" t="n">
        <f aca="false">INDEX(Intent_Analysis!$E$5:$E$81,MATCH(B3772,Intent_Analysis!$A$5:$A$81,0))</f>
        <v>2</v>
      </c>
    </row>
    <row r="3773" customFormat="false" ht="15" hidden="false" customHeight="false" outlineLevel="0" collapsed="false">
      <c r="A3773" s="0" t="s">
        <v>4097</v>
      </c>
      <c r="B3773" s="0" t="s">
        <v>35</v>
      </c>
      <c r="C3773" s="0" t="str">
        <f aca="false">INDEX(Intent_Analysis!$B$5:$B$81,MATCH(B3773,Intent_Analysis!$A$5:$A$81,0))</f>
        <v>Account &amp; identity</v>
      </c>
      <c r="D3773" s="0" t="n">
        <f aca="false">INDEX(Intent_Analysis!$E$5:$E$81,MATCH(B3773,Intent_Analysis!$A$5:$A$81,0))</f>
        <v>1</v>
      </c>
    </row>
    <row r="3774" customFormat="false" ht="15" hidden="false" customHeight="false" outlineLevel="0" collapsed="false">
      <c r="A3774" s="0" t="s">
        <v>4098</v>
      </c>
      <c r="B3774" s="0" t="s">
        <v>35</v>
      </c>
      <c r="C3774" s="0" t="str">
        <f aca="false">INDEX(Intent_Analysis!$B$5:$B$81,MATCH(B3774,Intent_Analysis!$A$5:$A$81,0))</f>
        <v>Account &amp; identity</v>
      </c>
      <c r="D3774" s="0" t="n">
        <f aca="false">INDEX(Intent_Analysis!$E$5:$E$81,MATCH(B3774,Intent_Analysis!$A$5:$A$81,0))</f>
        <v>1</v>
      </c>
    </row>
    <row r="3775" customFormat="false" ht="15" hidden="false" customHeight="false" outlineLevel="0" collapsed="false">
      <c r="A3775" s="0" t="s">
        <v>4099</v>
      </c>
      <c r="B3775" s="0" t="s">
        <v>35</v>
      </c>
      <c r="C3775" s="0" t="str">
        <f aca="false">INDEX(Intent_Analysis!$B$5:$B$81,MATCH(B3775,Intent_Analysis!$A$5:$A$81,0))</f>
        <v>Account &amp; identity</v>
      </c>
      <c r="D3775" s="0" t="n">
        <f aca="false">INDEX(Intent_Analysis!$E$5:$E$81,MATCH(B3775,Intent_Analysis!$A$5:$A$81,0))</f>
        <v>1</v>
      </c>
    </row>
    <row r="3776" customFormat="false" ht="15" hidden="false" customHeight="false" outlineLevel="0" collapsed="false">
      <c r="A3776" s="0" t="s">
        <v>4100</v>
      </c>
      <c r="B3776" s="0" t="s">
        <v>35</v>
      </c>
      <c r="C3776" s="0" t="str">
        <f aca="false">INDEX(Intent_Analysis!$B$5:$B$81,MATCH(B3776,Intent_Analysis!$A$5:$A$81,0))</f>
        <v>Account &amp; identity</v>
      </c>
      <c r="D3776" s="0" t="n">
        <f aca="false">INDEX(Intent_Analysis!$E$5:$E$81,MATCH(B3776,Intent_Analysis!$A$5:$A$81,0))</f>
        <v>1</v>
      </c>
    </row>
    <row r="3777" customFormat="false" ht="15" hidden="false" customHeight="false" outlineLevel="0" collapsed="false">
      <c r="A3777" s="0" t="s">
        <v>4101</v>
      </c>
      <c r="B3777" s="0" t="s">
        <v>35</v>
      </c>
      <c r="C3777" s="0" t="str">
        <f aca="false">INDEX(Intent_Analysis!$B$5:$B$81,MATCH(B3777,Intent_Analysis!$A$5:$A$81,0))</f>
        <v>Account &amp; identity</v>
      </c>
      <c r="D3777" s="0" t="n">
        <f aca="false">INDEX(Intent_Analysis!$E$5:$E$81,MATCH(B3777,Intent_Analysis!$A$5:$A$81,0))</f>
        <v>1</v>
      </c>
    </row>
    <row r="3778" customFormat="false" ht="15" hidden="false" customHeight="false" outlineLevel="0" collapsed="false">
      <c r="A3778" s="0" t="s">
        <v>4102</v>
      </c>
      <c r="B3778" s="0" t="s">
        <v>35</v>
      </c>
      <c r="C3778" s="0" t="str">
        <f aca="false">INDEX(Intent_Analysis!$B$5:$B$81,MATCH(B3778,Intent_Analysis!$A$5:$A$81,0))</f>
        <v>Account &amp; identity</v>
      </c>
      <c r="D3778" s="0" t="n">
        <f aca="false">INDEX(Intent_Analysis!$E$5:$E$81,MATCH(B3778,Intent_Analysis!$A$5:$A$81,0))</f>
        <v>1</v>
      </c>
    </row>
    <row r="3779" customFormat="false" ht="15" hidden="false" customHeight="false" outlineLevel="0" collapsed="false">
      <c r="A3779" s="0" t="s">
        <v>4103</v>
      </c>
      <c r="B3779" s="0" t="s">
        <v>35</v>
      </c>
      <c r="C3779" s="0" t="str">
        <f aca="false">INDEX(Intent_Analysis!$B$5:$B$81,MATCH(B3779,Intent_Analysis!$A$5:$A$81,0))</f>
        <v>Account &amp; identity</v>
      </c>
      <c r="D3779" s="0" t="n">
        <f aca="false">INDEX(Intent_Analysis!$E$5:$E$81,MATCH(B3779,Intent_Analysis!$A$5:$A$81,0))</f>
        <v>1</v>
      </c>
    </row>
    <row r="3780" customFormat="false" ht="15" hidden="false" customHeight="false" outlineLevel="0" collapsed="false">
      <c r="A3780" s="0" t="s">
        <v>4104</v>
      </c>
      <c r="B3780" s="0" t="s">
        <v>35</v>
      </c>
      <c r="C3780" s="0" t="str">
        <f aca="false">INDEX(Intent_Analysis!$B$5:$B$81,MATCH(B3780,Intent_Analysis!$A$5:$A$81,0))</f>
        <v>Account &amp; identity</v>
      </c>
      <c r="D3780" s="0" t="n">
        <f aca="false">INDEX(Intent_Analysis!$E$5:$E$81,MATCH(B3780,Intent_Analysis!$A$5:$A$81,0))</f>
        <v>1</v>
      </c>
    </row>
    <row r="3781" customFormat="false" ht="15" hidden="false" customHeight="false" outlineLevel="0" collapsed="false">
      <c r="A3781" s="0" t="s">
        <v>4105</v>
      </c>
      <c r="B3781" s="0" t="s">
        <v>35</v>
      </c>
      <c r="C3781" s="0" t="str">
        <f aca="false">INDEX(Intent_Analysis!$B$5:$B$81,MATCH(B3781,Intent_Analysis!$A$5:$A$81,0))</f>
        <v>Account &amp; identity</v>
      </c>
      <c r="D3781" s="0" t="n">
        <f aca="false">INDEX(Intent_Analysis!$E$5:$E$81,MATCH(B3781,Intent_Analysis!$A$5:$A$81,0))</f>
        <v>1</v>
      </c>
    </row>
    <row r="3782" customFormat="false" ht="15" hidden="false" customHeight="false" outlineLevel="0" collapsed="false">
      <c r="A3782" s="0" t="s">
        <v>4106</v>
      </c>
      <c r="B3782" s="0" t="s">
        <v>35</v>
      </c>
      <c r="C3782" s="0" t="str">
        <f aca="false">INDEX(Intent_Analysis!$B$5:$B$81,MATCH(B3782,Intent_Analysis!$A$5:$A$81,0))</f>
        <v>Account &amp; identity</v>
      </c>
      <c r="D3782" s="0" t="n">
        <f aca="false">INDEX(Intent_Analysis!$E$5:$E$81,MATCH(B3782,Intent_Analysis!$A$5:$A$81,0))</f>
        <v>1</v>
      </c>
    </row>
    <row r="3783" customFormat="false" ht="15" hidden="false" customHeight="false" outlineLevel="0" collapsed="false">
      <c r="A3783" s="0" t="s">
        <v>4107</v>
      </c>
      <c r="B3783" s="0" t="s">
        <v>35</v>
      </c>
      <c r="C3783" s="0" t="str">
        <f aca="false">INDEX(Intent_Analysis!$B$5:$B$81,MATCH(B3783,Intent_Analysis!$A$5:$A$81,0))</f>
        <v>Account &amp; identity</v>
      </c>
      <c r="D3783" s="0" t="n">
        <f aca="false">INDEX(Intent_Analysis!$E$5:$E$81,MATCH(B3783,Intent_Analysis!$A$5:$A$81,0))</f>
        <v>1</v>
      </c>
    </row>
    <row r="3784" customFormat="false" ht="15" hidden="false" customHeight="false" outlineLevel="0" collapsed="false">
      <c r="A3784" s="0" t="s">
        <v>4108</v>
      </c>
      <c r="B3784" s="0" t="s">
        <v>35</v>
      </c>
      <c r="C3784" s="0" t="str">
        <f aca="false">INDEX(Intent_Analysis!$B$5:$B$81,MATCH(B3784,Intent_Analysis!$A$5:$A$81,0))</f>
        <v>Account &amp; identity</v>
      </c>
      <c r="D3784" s="0" t="n">
        <f aca="false">INDEX(Intent_Analysis!$E$5:$E$81,MATCH(B3784,Intent_Analysis!$A$5:$A$81,0))</f>
        <v>1</v>
      </c>
    </row>
    <row r="3785" customFormat="false" ht="15" hidden="false" customHeight="false" outlineLevel="0" collapsed="false">
      <c r="A3785" s="0" t="s">
        <v>4109</v>
      </c>
      <c r="B3785" s="0" t="s">
        <v>35</v>
      </c>
      <c r="C3785" s="0" t="str">
        <f aca="false">INDEX(Intent_Analysis!$B$5:$B$81,MATCH(B3785,Intent_Analysis!$A$5:$A$81,0))</f>
        <v>Account &amp; identity</v>
      </c>
      <c r="D3785" s="0" t="n">
        <f aca="false">INDEX(Intent_Analysis!$E$5:$E$81,MATCH(B3785,Intent_Analysis!$A$5:$A$81,0))</f>
        <v>1</v>
      </c>
    </row>
    <row r="3786" customFormat="false" ht="15" hidden="false" customHeight="false" outlineLevel="0" collapsed="false">
      <c r="A3786" s="0" t="s">
        <v>4110</v>
      </c>
      <c r="B3786" s="0" t="s">
        <v>35</v>
      </c>
      <c r="C3786" s="0" t="str">
        <f aca="false">INDEX(Intent_Analysis!$B$5:$B$81,MATCH(B3786,Intent_Analysis!$A$5:$A$81,0))</f>
        <v>Account &amp; identity</v>
      </c>
      <c r="D3786" s="0" t="n">
        <f aca="false">INDEX(Intent_Analysis!$E$5:$E$81,MATCH(B3786,Intent_Analysis!$A$5:$A$81,0))</f>
        <v>1</v>
      </c>
    </row>
    <row r="3787" customFormat="false" ht="15" hidden="false" customHeight="false" outlineLevel="0" collapsed="false">
      <c r="A3787" s="0" t="s">
        <v>4111</v>
      </c>
      <c r="B3787" s="0" t="s">
        <v>35</v>
      </c>
      <c r="C3787" s="0" t="str">
        <f aca="false">INDEX(Intent_Analysis!$B$5:$B$81,MATCH(B3787,Intent_Analysis!$A$5:$A$81,0))</f>
        <v>Account &amp; identity</v>
      </c>
      <c r="D3787" s="0" t="n">
        <f aca="false">INDEX(Intent_Analysis!$E$5:$E$81,MATCH(B3787,Intent_Analysis!$A$5:$A$81,0))</f>
        <v>1</v>
      </c>
    </row>
    <row r="3788" customFormat="false" ht="15" hidden="false" customHeight="false" outlineLevel="0" collapsed="false">
      <c r="A3788" s="0" t="s">
        <v>4112</v>
      </c>
      <c r="B3788" s="0" t="s">
        <v>35</v>
      </c>
      <c r="C3788" s="0" t="str">
        <f aca="false">INDEX(Intent_Analysis!$B$5:$B$81,MATCH(B3788,Intent_Analysis!$A$5:$A$81,0))</f>
        <v>Account &amp; identity</v>
      </c>
      <c r="D3788" s="0" t="n">
        <f aca="false">INDEX(Intent_Analysis!$E$5:$E$81,MATCH(B3788,Intent_Analysis!$A$5:$A$81,0))</f>
        <v>1</v>
      </c>
    </row>
    <row r="3789" customFormat="false" ht="15" hidden="false" customHeight="false" outlineLevel="0" collapsed="false">
      <c r="A3789" s="0" t="s">
        <v>4113</v>
      </c>
      <c r="B3789" s="0" t="s">
        <v>35</v>
      </c>
      <c r="C3789" s="0" t="str">
        <f aca="false">INDEX(Intent_Analysis!$B$5:$B$81,MATCH(B3789,Intent_Analysis!$A$5:$A$81,0))</f>
        <v>Account &amp; identity</v>
      </c>
      <c r="D3789" s="0" t="n">
        <f aca="false">INDEX(Intent_Analysis!$E$5:$E$81,MATCH(B3789,Intent_Analysis!$A$5:$A$81,0))</f>
        <v>1</v>
      </c>
    </row>
    <row r="3790" customFormat="false" ht="15" hidden="false" customHeight="false" outlineLevel="0" collapsed="false">
      <c r="A3790" s="0" t="s">
        <v>4114</v>
      </c>
      <c r="B3790" s="0" t="s">
        <v>35</v>
      </c>
      <c r="C3790" s="0" t="str">
        <f aca="false">INDEX(Intent_Analysis!$B$5:$B$81,MATCH(B3790,Intent_Analysis!$A$5:$A$81,0))</f>
        <v>Account &amp; identity</v>
      </c>
      <c r="D3790" s="0" t="n">
        <f aca="false">INDEX(Intent_Analysis!$E$5:$E$81,MATCH(B3790,Intent_Analysis!$A$5:$A$81,0))</f>
        <v>1</v>
      </c>
    </row>
    <row r="3791" customFormat="false" ht="15" hidden="false" customHeight="false" outlineLevel="0" collapsed="false">
      <c r="A3791" s="0" t="s">
        <v>4115</v>
      </c>
      <c r="B3791" s="0" t="s">
        <v>35</v>
      </c>
      <c r="C3791" s="0" t="str">
        <f aca="false">INDEX(Intent_Analysis!$B$5:$B$81,MATCH(B3791,Intent_Analysis!$A$5:$A$81,0))</f>
        <v>Account &amp; identity</v>
      </c>
      <c r="D3791" s="0" t="n">
        <f aca="false">INDEX(Intent_Analysis!$E$5:$E$81,MATCH(B3791,Intent_Analysis!$A$5:$A$81,0))</f>
        <v>1</v>
      </c>
    </row>
    <row r="3792" customFormat="false" ht="15" hidden="false" customHeight="false" outlineLevel="0" collapsed="false">
      <c r="A3792" s="0" t="s">
        <v>4116</v>
      </c>
      <c r="B3792" s="0" t="s">
        <v>35</v>
      </c>
      <c r="C3792" s="0" t="str">
        <f aca="false">INDEX(Intent_Analysis!$B$5:$B$81,MATCH(B3792,Intent_Analysis!$A$5:$A$81,0))</f>
        <v>Account &amp; identity</v>
      </c>
      <c r="D3792" s="0" t="n">
        <f aca="false">INDEX(Intent_Analysis!$E$5:$E$81,MATCH(B3792,Intent_Analysis!$A$5:$A$81,0))</f>
        <v>1</v>
      </c>
    </row>
    <row r="3793" customFormat="false" ht="15" hidden="false" customHeight="false" outlineLevel="0" collapsed="false">
      <c r="A3793" s="0" t="s">
        <v>4117</v>
      </c>
      <c r="B3793" s="0" t="s">
        <v>35</v>
      </c>
      <c r="C3793" s="0" t="str">
        <f aca="false">INDEX(Intent_Analysis!$B$5:$B$81,MATCH(B3793,Intent_Analysis!$A$5:$A$81,0))</f>
        <v>Account &amp; identity</v>
      </c>
      <c r="D3793" s="0" t="n">
        <f aca="false">INDEX(Intent_Analysis!$E$5:$E$81,MATCH(B3793,Intent_Analysis!$A$5:$A$81,0))</f>
        <v>1</v>
      </c>
    </row>
    <row r="3794" customFormat="false" ht="15" hidden="false" customHeight="false" outlineLevel="0" collapsed="false">
      <c r="A3794" s="0" t="s">
        <v>4118</v>
      </c>
      <c r="B3794" s="0" t="s">
        <v>35</v>
      </c>
      <c r="C3794" s="0" t="str">
        <f aca="false">INDEX(Intent_Analysis!$B$5:$B$81,MATCH(B3794,Intent_Analysis!$A$5:$A$81,0))</f>
        <v>Account &amp; identity</v>
      </c>
      <c r="D3794" s="0" t="n">
        <f aca="false">INDEX(Intent_Analysis!$E$5:$E$81,MATCH(B3794,Intent_Analysis!$A$5:$A$81,0))</f>
        <v>1</v>
      </c>
    </row>
    <row r="3795" customFormat="false" ht="15" hidden="false" customHeight="false" outlineLevel="0" collapsed="false">
      <c r="A3795" s="0" t="s">
        <v>4119</v>
      </c>
      <c r="B3795" s="0" t="s">
        <v>35</v>
      </c>
      <c r="C3795" s="0" t="str">
        <f aca="false">INDEX(Intent_Analysis!$B$5:$B$81,MATCH(B3795,Intent_Analysis!$A$5:$A$81,0))</f>
        <v>Account &amp; identity</v>
      </c>
      <c r="D3795" s="0" t="n">
        <f aca="false">INDEX(Intent_Analysis!$E$5:$E$81,MATCH(B3795,Intent_Analysis!$A$5:$A$81,0))</f>
        <v>1</v>
      </c>
    </row>
    <row r="3796" customFormat="false" ht="15" hidden="false" customHeight="false" outlineLevel="0" collapsed="false">
      <c r="A3796" s="0" t="s">
        <v>4120</v>
      </c>
      <c r="B3796" s="0" t="s">
        <v>35</v>
      </c>
      <c r="C3796" s="0" t="str">
        <f aca="false">INDEX(Intent_Analysis!$B$5:$B$81,MATCH(B3796,Intent_Analysis!$A$5:$A$81,0))</f>
        <v>Account &amp; identity</v>
      </c>
      <c r="D3796" s="0" t="n">
        <f aca="false">INDEX(Intent_Analysis!$E$5:$E$81,MATCH(B3796,Intent_Analysis!$A$5:$A$81,0))</f>
        <v>1</v>
      </c>
    </row>
    <row r="3797" customFormat="false" ht="15" hidden="false" customHeight="false" outlineLevel="0" collapsed="false">
      <c r="A3797" s="0" t="s">
        <v>4121</v>
      </c>
      <c r="B3797" s="0" t="s">
        <v>35</v>
      </c>
      <c r="C3797" s="0" t="str">
        <f aca="false">INDEX(Intent_Analysis!$B$5:$B$81,MATCH(B3797,Intent_Analysis!$A$5:$A$81,0))</f>
        <v>Account &amp; identity</v>
      </c>
      <c r="D3797" s="0" t="n">
        <f aca="false">INDEX(Intent_Analysis!$E$5:$E$81,MATCH(B3797,Intent_Analysis!$A$5:$A$81,0))</f>
        <v>1</v>
      </c>
    </row>
    <row r="3798" customFormat="false" ht="15" hidden="false" customHeight="false" outlineLevel="0" collapsed="false">
      <c r="A3798" s="0" t="s">
        <v>4122</v>
      </c>
      <c r="B3798" s="0" t="s">
        <v>35</v>
      </c>
      <c r="C3798" s="0" t="str">
        <f aca="false">INDEX(Intent_Analysis!$B$5:$B$81,MATCH(B3798,Intent_Analysis!$A$5:$A$81,0))</f>
        <v>Account &amp; identity</v>
      </c>
      <c r="D3798" s="0" t="n">
        <f aca="false">INDEX(Intent_Analysis!$E$5:$E$81,MATCH(B3798,Intent_Analysis!$A$5:$A$81,0))</f>
        <v>1</v>
      </c>
    </row>
    <row r="3799" customFormat="false" ht="15" hidden="false" customHeight="false" outlineLevel="0" collapsed="false">
      <c r="A3799" s="0" t="s">
        <v>4123</v>
      </c>
      <c r="B3799" s="0" t="s">
        <v>35</v>
      </c>
      <c r="C3799" s="0" t="str">
        <f aca="false">INDEX(Intent_Analysis!$B$5:$B$81,MATCH(B3799,Intent_Analysis!$A$5:$A$81,0))</f>
        <v>Account &amp; identity</v>
      </c>
      <c r="D3799" s="0" t="n">
        <f aca="false">INDEX(Intent_Analysis!$E$5:$E$81,MATCH(B3799,Intent_Analysis!$A$5:$A$81,0))</f>
        <v>1</v>
      </c>
    </row>
    <row r="3800" customFormat="false" ht="15" hidden="false" customHeight="false" outlineLevel="0" collapsed="false">
      <c r="A3800" s="0" t="s">
        <v>4124</v>
      </c>
      <c r="B3800" s="0" t="s">
        <v>35</v>
      </c>
      <c r="C3800" s="0" t="str">
        <f aca="false">INDEX(Intent_Analysis!$B$5:$B$81,MATCH(B3800,Intent_Analysis!$A$5:$A$81,0))</f>
        <v>Account &amp; identity</v>
      </c>
      <c r="D3800" s="0" t="n">
        <f aca="false">INDEX(Intent_Analysis!$E$5:$E$81,MATCH(B3800,Intent_Analysis!$A$5:$A$81,0))</f>
        <v>1</v>
      </c>
    </row>
    <row r="3801" customFormat="false" ht="15" hidden="false" customHeight="false" outlineLevel="0" collapsed="false">
      <c r="A3801" s="0" t="s">
        <v>4125</v>
      </c>
      <c r="B3801" s="0" t="s">
        <v>35</v>
      </c>
      <c r="C3801" s="0" t="str">
        <f aca="false">INDEX(Intent_Analysis!$B$5:$B$81,MATCH(B3801,Intent_Analysis!$A$5:$A$81,0))</f>
        <v>Account &amp; identity</v>
      </c>
      <c r="D3801" s="0" t="n">
        <f aca="false">INDEX(Intent_Analysis!$E$5:$E$81,MATCH(B3801,Intent_Analysis!$A$5:$A$81,0))</f>
        <v>1</v>
      </c>
    </row>
    <row r="3802" customFormat="false" ht="15" hidden="false" customHeight="false" outlineLevel="0" collapsed="false">
      <c r="A3802" s="0" t="s">
        <v>4126</v>
      </c>
      <c r="B3802" s="0" t="s">
        <v>35</v>
      </c>
      <c r="C3802" s="0" t="str">
        <f aca="false">INDEX(Intent_Analysis!$B$5:$B$81,MATCH(B3802,Intent_Analysis!$A$5:$A$81,0))</f>
        <v>Account &amp; identity</v>
      </c>
      <c r="D3802" s="0" t="n">
        <f aca="false">INDEX(Intent_Analysis!$E$5:$E$81,MATCH(B3802,Intent_Analysis!$A$5:$A$81,0))</f>
        <v>1</v>
      </c>
    </row>
    <row r="3803" customFormat="false" ht="15" hidden="false" customHeight="false" outlineLevel="0" collapsed="false">
      <c r="A3803" s="0" t="s">
        <v>4127</v>
      </c>
      <c r="B3803" s="0" t="s">
        <v>35</v>
      </c>
      <c r="C3803" s="0" t="str">
        <f aca="false">INDEX(Intent_Analysis!$B$5:$B$81,MATCH(B3803,Intent_Analysis!$A$5:$A$81,0))</f>
        <v>Account &amp; identity</v>
      </c>
      <c r="D3803" s="0" t="n">
        <f aca="false">INDEX(Intent_Analysis!$E$5:$E$81,MATCH(B3803,Intent_Analysis!$A$5:$A$81,0))</f>
        <v>1</v>
      </c>
    </row>
    <row r="3804" customFormat="false" ht="15" hidden="false" customHeight="false" outlineLevel="0" collapsed="false">
      <c r="A3804" s="0" t="s">
        <v>4128</v>
      </c>
      <c r="B3804" s="0" t="s">
        <v>35</v>
      </c>
      <c r="C3804" s="0" t="str">
        <f aca="false">INDEX(Intent_Analysis!$B$5:$B$81,MATCH(B3804,Intent_Analysis!$A$5:$A$81,0))</f>
        <v>Account &amp; identity</v>
      </c>
      <c r="D3804" s="0" t="n">
        <f aca="false">INDEX(Intent_Analysis!$E$5:$E$81,MATCH(B3804,Intent_Analysis!$A$5:$A$81,0))</f>
        <v>1</v>
      </c>
    </row>
    <row r="3805" customFormat="false" ht="15" hidden="false" customHeight="false" outlineLevel="0" collapsed="false">
      <c r="A3805" s="0" t="s">
        <v>4129</v>
      </c>
      <c r="B3805" s="0" t="s">
        <v>35</v>
      </c>
      <c r="C3805" s="0" t="str">
        <f aca="false">INDEX(Intent_Analysis!$B$5:$B$81,MATCH(B3805,Intent_Analysis!$A$5:$A$81,0))</f>
        <v>Account &amp; identity</v>
      </c>
      <c r="D3805" s="0" t="n">
        <f aca="false">INDEX(Intent_Analysis!$E$5:$E$81,MATCH(B3805,Intent_Analysis!$A$5:$A$81,0))</f>
        <v>1</v>
      </c>
    </row>
    <row r="3806" customFormat="false" ht="15" hidden="false" customHeight="false" outlineLevel="0" collapsed="false">
      <c r="A3806" s="0" t="s">
        <v>4130</v>
      </c>
      <c r="B3806" s="0" t="s">
        <v>35</v>
      </c>
      <c r="C3806" s="0" t="str">
        <f aca="false">INDEX(Intent_Analysis!$B$5:$B$81,MATCH(B3806,Intent_Analysis!$A$5:$A$81,0))</f>
        <v>Account &amp; identity</v>
      </c>
      <c r="D3806" s="0" t="n">
        <f aca="false">INDEX(Intent_Analysis!$E$5:$E$81,MATCH(B3806,Intent_Analysis!$A$5:$A$81,0))</f>
        <v>1</v>
      </c>
    </row>
    <row r="3807" customFormat="false" ht="15" hidden="false" customHeight="false" outlineLevel="0" collapsed="false">
      <c r="A3807" s="0" t="s">
        <v>4131</v>
      </c>
      <c r="B3807" s="0" t="s">
        <v>35</v>
      </c>
      <c r="C3807" s="0" t="str">
        <f aca="false">INDEX(Intent_Analysis!$B$5:$B$81,MATCH(B3807,Intent_Analysis!$A$5:$A$81,0))</f>
        <v>Account &amp; identity</v>
      </c>
      <c r="D3807" s="0" t="n">
        <f aca="false">INDEX(Intent_Analysis!$E$5:$E$81,MATCH(B3807,Intent_Analysis!$A$5:$A$81,0))</f>
        <v>1</v>
      </c>
    </row>
    <row r="3808" customFormat="false" ht="15" hidden="false" customHeight="false" outlineLevel="0" collapsed="false">
      <c r="A3808" s="0" t="s">
        <v>4132</v>
      </c>
      <c r="B3808" s="0" t="s">
        <v>35</v>
      </c>
      <c r="C3808" s="0" t="str">
        <f aca="false">INDEX(Intent_Analysis!$B$5:$B$81,MATCH(B3808,Intent_Analysis!$A$5:$A$81,0))</f>
        <v>Account &amp; identity</v>
      </c>
      <c r="D3808" s="0" t="n">
        <f aca="false">INDEX(Intent_Analysis!$E$5:$E$81,MATCH(B3808,Intent_Analysis!$A$5:$A$81,0))</f>
        <v>1</v>
      </c>
    </row>
    <row r="3809" customFormat="false" ht="15" hidden="false" customHeight="false" outlineLevel="0" collapsed="false">
      <c r="A3809" s="0" t="s">
        <v>4133</v>
      </c>
      <c r="B3809" s="0" t="s">
        <v>35</v>
      </c>
      <c r="C3809" s="0" t="str">
        <f aca="false">INDEX(Intent_Analysis!$B$5:$B$81,MATCH(B3809,Intent_Analysis!$A$5:$A$81,0))</f>
        <v>Account &amp; identity</v>
      </c>
      <c r="D3809" s="0" t="n">
        <f aca="false">INDEX(Intent_Analysis!$E$5:$E$81,MATCH(B3809,Intent_Analysis!$A$5:$A$81,0))</f>
        <v>1</v>
      </c>
    </row>
    <row r="3810" customFormat="false" ht="15" hidden="false" customHeight="false" outlineLevel="0" collapsed="false">
      <c r="A3810" s="0" t="s">
        <v>4134</v>
      </c>
      <c r="B3810" s="0" t="s">
        <v>35</v>
      </c>
      <c r="C3810" s="0" t="str">
        <f aca="false">INDEX(Intent_Analysis!$B$5:$B$81,MATCH(B3810,Intent_Analysis!$A$5:$A$81,0))</f>
        <v>Account &amp; identity</v>
      </c>
      <c r="D3810" s="0" t="n">
        <f aca="false">INDEX(Intent_Analysis!$E$5:$E$81,MATCH(B3810,Intent_Analysis!$A$5:$A$81,0))</f>
        <v>1</v>
      </c>
    </row>
    <row r="3811" customFormat="false" ht="15" hidden="false" customHeight="false" outlineLevel="0" collapsed="false">
      <c r="A3811" s="0" t="s">
        <v>4135</v>
      </c>
      <c r="B3811" s="0" t="s">
        <v>35</v>
      </c>
      <c r="C3811" s="0" t="str">
        <f aca="false">INDEX(Intent_Analysis!$B$5:$B$81,MATCH(B3811,Intent_Analysis!$A$5:$A$81,0))</f>
        <v>Account &amp; identity</v>
      </c>
      <c r="D3811" s="0" t="n">
        <f aca="false">INDEX(Intent_Analysis!$E$5:$E$81,MATCH(B3811,Intent_Analysis!$A$5:$A$81,0))</f>
        <v>1</v>
      </c>
    </row>
    <row r="3812" customFormat="false" ht="15" hidden="false" customHeight="false" outlineLevel="0" collapsed="false">
      <c r="A3812" s="0" t="s">
        <v>4136</v>
      </c>
      <c r="B3812" s="0" t="s">
        <v>35</v>
      </c>
      <c r="C3812" s="0" t="str">
        <f aca="false">INDEX(Intent_Analysis!$B$5:$B$81,MATCH(B3812,Intent_Analysis!$A$5:$A$81,0))</f>
        <v>Account &amp; identity</v>
      </c>
      <c r="D3812" s="0" t="n">
        <f aca="false">INDEX(Intent_Analysis!$E$5:$E$81,MATCH(B3812,Intent_Analysis!$A$5:$A$81,0))</f>
        <v>1</v>
      </c>
    </row>
    <row r="3813" customFormat="false" ht="15" hidden="false" customHeight="false" outlineLevel="0" collapsed="false">
      <c r="A3813" s="0" t="s">
        <v>4137</v>
      </c>
      <c r="B3813" s="0" t="s">
        <v>35</v>
      </c>
      <c r="C3813" s="0" t="str">
        <f aca="false">INDEX(Intent_Analysis!$B$5:$B$81,MATCH(B3813,Intent_Analysis!$A$5:$A$81,0))</f>
        <v>Account &amp; identity</v>
      </c>
      <c r="D3813" s="0" t="n">
        <f aca="false">INDEX(Intent_Analysis!$E$5:$E$81,MATCH(B3813,Intent_Analysis!$A$5:$A$81,0))</f>
        <v>1</v>
      </c>
    </row>
    <row r="3814" customFormat="false" ht="15" hidden="false" customHeight="false" outlineLevel="0" collapsed="false">
      <c r="A3814" s="0" t="s">
        <v>4138</v>
      </c>
      <c r="B3814" s="0" t="s">
        <v>35</v>
      </c>
      <c r="C3814" s="0" t="str">
        <f aca="false">INDEX(Intent_Analysis!$B$5:$B$81,MATCH(B3814,Intent_Analysis!$A$5:$A$81,0))</f>
        <v>Account &amp; identity</v>
      </c>
      <c r="D3814" s="0" t="n">
        <f aca="false">INDEX(Intent_Analysis!$E$5:$E$81,MATCH(B3814,Intent_Analysis!$A$5:$A$81,0))</f>
        <v>1</v>
      </c>
    </row>
    <row r="3815" customFormat="false" ht="15" hidden="false" customHeight="false" outlineLevel="0" collapsed="false">
      <c r="A3815" s="0" t="s">
        <v>4139</v>
      </c>
      <c r="B3815" s="0" t="s">
        <v>35</v>
      </c>
      <c r="C3815" s="0" t="str">
        <f aca="false">INDEX(Intent_Analysis!$B$5:$B$81,MATCH(B3815,Intent_Analysis!$A$5:$A$81,0))</f>
        <v>Account &amp; identity</v>
      </c>
      <c r="D3815" s="0" t="n">
        <f aca="false">INDEX(Intent_Analysis!$E$5:$E$81,MATCH(B3815,Intent_Analysis!$A$5:$A$81,0))</f>
        <v>1</v>
      </c>
    </row>
    <row r="3816" customFormat="false" ht="15" hidden="false" customHeight="false" outlineLevel="0" collapsed="false">
      <c r="A3816" s="0" t="s">
        <v>4140</v>
      </c>
      <c r="B3816" s="0" t="s">
        <v>35</v>
      </c>
      <c r="C3816" s="0" t="str">
        <f aca="false">INDEX(Intent_Analysis!$B$5:$B$81,MATCH(B3816,Intent_Analysis!$A$5:$A$81,0))</f>
        <v>Account &amp; identity</v>
      </c>
      <c r="D3816" s="0" t="n">
        <f aca="false">INDEX(Intent_Analysis!$E$5:$E$81,MATCH(B3816,Intent_Analysis!$A$5:$A$81,0))</f>
        <v>1</v>
      </c>
    </row>
    <row r="3817" customFormat="false" ht="15" hidden="false" customHeight="false" outlineLevel="0" collapsed="false">
      <c r="A3817" s="0" t="s">
        <v>4141</v>
      </c>
      <c r="B3817" s="0" t="s">
        <v>35</v>
      </c>
      <c r="C3817" s="0" t="str">
        <f aca="false">INDEX(Intent_Analysis!$B$5:$B$81,MATCH(B3817,Intent_Analysis!$A$5:$A$81,0))</f>
        <v>Account &amp; identity</v>
      </c>
      <c r="D3817" s="0" t="n">
        <f aca="false">INDEX(Intent_Analysis!$E$5:$E$81,MATCH(B3817,Intent_Analysis!$A$5:$A$81,0))</f>
        <v>1</v>
      </c>
    </row>
    <row r="3818" customFormat="false" ht="15" hidden="false" customHeight="false" outlineLevel="0" collapsed="false">
      <c r="A3818" s="0" t="s">
        <v>4142</v>
      </c>
      <c r="B3818" s="0" t="s">
        <v>35</v>
      </c>
      <c r="C3818" s="0" t="str">
        <f aca="false">INDEX(Intent_Analysis!$B$5:$B$81,MATCH(B3818,Intent_Analysis!$A$5:$A$81,0))</f>
        <v>Account &amp; identity</v>
      </c>
      <c r="D3818" s="0" t="n">
        <f aca="false">INDEX(Intent_Analysis!$E$5:$E$81,MATCH(B3818,Intent_Analysis!$A$5:$A$81,0))</f>
        <v>1</v>
      </c>
    </row>
    <row r="3819" customFormat="false" ht="15" hidden="false" customHeight="false" outlineLevel="0" collapsed="false">
      <c r="A3819" s="0" t="s">
        <v>4143</v>
      </c>
      <c r="B3819" s="0" t="s">
        <v>35</v>
      </c>
      <c r="C3819" s="0" t="str">
        <f aca="false">INDEX(Intent_Analysis!$B$5:$B$81,MATCH(B3819,Intent_Analysis!$A$5:$A$81,0))</f>
        <v>Account &amp; identity</v>
      </c>
      <c r="D3819" s="0" t="n">
        <f aca="false">INDEX(Intent_Analysis!$E$5:$E$81,MATCH(B3819,Intent_Analysis!$A$5:$A$81,0))</f>
        <v>1</v>
      </c>
    </row>
    <row r="3820" customFormat="false" ht="15" hidden="false" customHeight="false" outlineLevel="0" collapsed="false">
      <c r="A3820" s="0" t="s">
        <v>4144</v>
      </c>
      <c r="B3820" s="0" t="s">
        <v>35</v>
      </c>
      <c r="C3820" s="0" t="str">
        <f aca="false">INDEX(Intent_Analysis!$B$5:$B$81,MATCH(B3820,Intent_Analysis!$A$5:$A$81,0))</f>
        <v>Account &amp; identity</v>
      </c>
      <c r="D3820" s="0" t="n">
        <f aca="false">INDEX(Intent_Analysis!$E$5:$E$81,MATCH(B3820,Intent_Analysis!$A$5:$A$81,0))</f>
        <v>1</v>
      </c>
    </row>
    <row r="3821" customFormat="false" ht="15" hidden="false" customHeight="false" outlineLevel="0" collapsed="false">
      <c r="A3821" s="0" t="s">
        <v>4145</v>
      </c>
      <c r="B3821" s="0" t="s">
        <v>35</v>
      </c>
      <c r="C3821" s="0" t="str">
        <f aca="false">INDEX(Intent_Analysis!$B$5:$B$81,MATCH(B3821,Intent_Analysis!$A$5:$A$81,0))</f>
        <v>Account &amp; identity</v>
      </c>
      <c r="D3821" s="0" t="n">
        <f aca="false">INDEX(Intent_Analysis!$E$5:$E$81,MATCH(B3821,Intent_Analysis!$A$5:$A$81,0))</f>
        <v>1</v>
      </c>
    </row>
    <row r="3822" customFormat="false" ht="15" hidden="false" customHeight="false" outlineLevel="0" collapsed="false">
      <c r="A3822" s="0" t="s">
        <v>4146</v>
      </c>
      <c r="B3822" s="0" t="s">
        <v>35</v>
      </c>
      <c r="C3822" s="0" t="str">
        <f aca="false">INDEX(Intent_Analysis!$B$5:$B$81,MATCH(B3822,Intent_Analysis!$A$5:$A$81,0))</f>
        <v>Account &amp; identity</v>
      </c>
      <c r="D3822" s="0" t="n">
        <f aca="false">INDEX(Intent_Analysis!$E$5:$E$81,MATCH(B3822,Intent_Analysis!$A$5:$A$81,0))</f>
        <v>1</v>
      </c>
    </row>
    <row r="3823" customFormat="false" ht="15" hidden="false" customHeight="false" outlineLevel="0" collapsed="false">
      <c r="A3823" s="0" t="s">
        <v>4147</v>
      </c>
      <c r="B3823" s="0" t="s">
        <v>35</v>
      </c>
      <c r="C3823" s="0" t="str">
        <f aca="false">INDEX(Intent_Analysis!$B$5:$B$81,MATCH(B3823,Intent_Analysis!$A$5:$A$81,0))</f>
        <v>Account &amp; identity</v>
      </c>
      <c r="D3823" s="0" t="n">
        <f aca="false">INDEX(Intent_Analysis!$E$5:$E$81,MATCH(B3823,Intent_Analysis!$A$5:$A$81,0))</f>
        <v>1</v>
      </c>
    </row>
    <row r="3824" customFormat="false" ht="15" hidden="false" customHeight="false" outlineLevel="0" collapsed="false">
      <c r="A3824" s="0" t="s">
        <v>4148</v>
      </c>
      <c r="B3824" s="0" t="s">
        <v>35</v>
      </c>
      <c r="C3824" s="0" t="str">
        <f aca="false">INDEX(Intent_Analysis!$B$5:$B$81,MATCH(B3824,Intent_Analysis!$A$5:$A$81,0))</f>
        <v>Account &amp; identity</v>
      </c>
      <c r="D3824" s="0" t="n">
        <f aca="false">INDEX(Intent_Analysis!$E$5:$E$81,MATCH(B3824,Intent_Analysis!$A$5:$A$81,0))</f>
        <v>1</v>
      </c>
    </row>
    <row r="3825" customFormat="false" ht="15" hidden="false" customHeight="false" outlineLevel="0" collapsed="false">
      <c r="A3825" s="0" t="s">
        <v>4149</v>
      </c>
      <c r="B3825" s="0" t="s">
        <v>35</v>
      </c>
      <c r="C3825" s="0" t="str">
        <f aca="false">INDEX(Intent_Analysis!$B$5:$B$81,MATCH(B3825,Intent_Analysis!$A$5:$A$81,0))</f>
        <v>Account &amp; identity</v>
      </c>
      <c r="D3825" s="0" t="n">
        <f aca="false">INDEX(Intent_Analysis!$E$5:$E$81,MATCH(B3825,Intent_Analysis!$A$5:$A$81,0))</f>
        <v>1</v>
      </c>
    </row>
    <row r="3826" customFormat="false" ht="15" hidden="false" customHeight="false" outlineLevel="0" collapsed="false">
      <c r="A3826" s="0" t="s">
        <v>4150</v>
      </c>
      <c r="B3826" s="0" t="s">
        <v>35</v>
      </c>
      <c r="C3826" s="0" t="str">
        <f aca="false">INDEX(Intent_Analysis!$B$5:$B$81,MATCH(B3826,Intent_Analysis!$A$5:$A$81,0))</f>
        <v>Account &amp; identity</v>
      </c>
      <c r="D3826" s="0" t="n">
        <f aca="false">INDEX(Intent_Analysis!$E$5:$E$81,MATCH(B3826,Intent_Analysis!$A$5:$A$81,0))</f>
        <v>1</v>
      </c>
    </row>
    <row r="3827" customFormat="false" ht="15" hidden="false" customHeight="false" outlineLevel="0" collapsed="false">
      <c r="A3827" s="0" t="s">
        <v>4151</v>
      </c>
      <c r="B3827" s="0" t="s">
        <v>35</v>
      </c>
      <c r="C3827" s="0" t="str">
        <f aca="false">INDEX(Intent_Analysis!$B$5:$B$81,MATCH(B3827,Intent_Analysis!$A$5:$A$81,0))</f>
        <v>Account &amp; identity</v>
      </c>
      <c r="D3827" s="0" t="n">
        <f aca="false">INDEX(Intent_Analysis!$E$5:$E$81,MATCH(B3827,Intent_Analysis!$A$5:$A$81,0))</f>
        <v>1</v>
      </c>
    </row>
    <row r="3828" customFormat="false" ht="15" hidden="false" customHeight="false" outlineLevel="0" collapsed="false">
      <c r="A3828" s="0" t="s">
        <v>4152</v>
      </c>
      <c r="B3828" s="0" t="s">
        <v>35</v>
      </c>
      <c r="C3828" s="0" t="str">
        <f aca="false">INDEX(Intent_Analysis!$B$5:$B$81,MATCH(B3828,Intent_Analysis!$A$5:$A$81,0))</f>
        <v>Account &amp; identity</v>
      </c>
      <c r="D3828" s="0" t="n">
        <f aca="false">INDEX(Intent_Analysis!$E$5:$E$81,MATCH(B3828,Intent_Analysis!$A$5:$A$81,0))</f>
        <v>1</v>
      </c>
    </row>
    <row r="3829" customFormat="false" ht="15" hidden="false" customHeight="false" outlineLevel="0" collapsed="false">
      <c r="A3829" s="0" t="s">
        <v>4153</v>
      </c>
      <c r="B3829" s="0" t="s">
        <v>35</v>
      </c>
      <c r="C3829" s="0" t="str">
        <f aca="false">INDEX(Intent_Analysis!$B$5:$B$81,MATCH(B3829,Intent_Analysis!$A$5:$A$81,0))</f>
        <v>Account &amp; identity</v>
      </c>
      <c r="D3829" s="0" t="n">
        <f aca="false">INDEX(Intent_Analysis!$E$5:$E$81,MATCH(B3829,Intent_Analysis!$A$5:$A$81,0))</f>
        <v>1</v>
      </c>
    </row>
    <row r="3830" customFormat="false" ht="15" hidden="false" customHeight="false" outlineLevel="0" collapsed="false">
      <c r="A3830" s="0" t="s">
        <v>4154</v>
      </c>
      <c r="B3830" s="0" t="s">
        <v>35</v>
      </c>
      <c r="C3830" s="0" t="str">
        <f aca="false">INDEX(Intent_Analysis!$B$5:$B$81,MATCH(B3830,Intent_Analysis!$A$5:$A$81,0))</f>
        <v>Account &amp; identity</v>
      </c>
      <c r="D3830" s="0" t="n">
        <f aca="false">INDEX(Intent_Analysis!$E$5:$E$81,MATCH(B3830,Intent_Analysis!$A$5:$A$81,0))</f>
        <v>1</v>
      </c>
    </row>
    <row r="3831" customFormat="false" ht="15" hidden="false" customHeight="false" outlineLevel="0" collapsed="false">
      <c r="A3831" s="0" t="s">
        <v>4155</v>
      </c>
      <c r="B3831" s="0" t="s">
        <v>35</v>
      </c>
      <c r="C3831" s="0" t="str">
        <f aca="false">INDEX(Intent_Analysis!$B$5:$B$81,MATCH(B3831,Intent_Analysis!$A$5:$A$81,0))</f>
        <v>Account &amp; identity</v>
      </c>
      <c r="D3831" s="0" t="n">
        <f aca="false">INDEX(Intent_Analysis!$E$5:$E$81,MATCH(B3831,Intent_Analysis!$A$5:$A$81,0))</f>
        <v>1</v>
      </c>
    </row>
    <row r="3832" customFormat="false" ht="15" hidden="false" customHeight="false" outlineLevel="0" collapsed="false">
      <c r="A3832" s="0" t="s">
        <v>4156</v>
      </c>
      <c r="B3832" s="0" t="s">
        <v>35</v>
      </c>
      <c r="C3832" s="0" t="str">
        <f aca="false">INDEX(Intent_Analysis!$B$5:$B$81,MATCH(B3832,Intent_Analysis!$A$5:$A$81,0))</f>
        <v>Account &amp; identity</v>
      </c>
      <c r="D3832" s="0" t="n">
        <f aca="false">INDEX(Intent_Analysis!$E$5:$E$81,MATCH(B3832,Intent_Analysis!$A$5:$A$81,0))</f>
        <v>1</v>
      </c>
    </row>
    <row r="3833" customFormat="false" ht="15" hidden="false" customHeight="false" outlineLevel="0" collapsed="false">
      <c r="A3833" s="0" t="s">
        <v>4157</v>
      </c>
      <c r="B3833" s="0" t="s">
        <v>35</v>
      </c>
      <c r="C3833" s="0" t="str">
        <f aca="false">INDEX(Intent_Analysis!$B$5:$B$81,MATCH(B3833,Intent_Analysis!$A$5:$A$81,0))</f>
        <v>Account &amp; identity</v>
      </c>
      <c r="D3833" s="0" t="n">
        <f aca="false">INDEX(Intent_Analysis!$E$5:$E$81,MATCH(B3833,Intent_Analysis!$A$5:$A$81,0))</f>
        <v>1</v>
      </c>
    </row>
    <row r="3834" customFormat="false" ht="15" hidden="false" customHeight="false" outlineLevel="0" collapsed="false">
      <c r="A3834" s="0" t="s">
        <v>4158</v>
      </c>
      <c r="B3834" s="0" t="s">
        <v>35</v>
      </c>
      <c r="C3834" s="0" t="str">
        <f aca="false">INDEX(Intent_Analysis!$B$5:$B$81,MATCH(B3834,Intent_Analysis!$A$5:$A$81,0))</f>
        <v>Account &amp; identity</v>
      </c>
      <c r="D3834" s="0" t="n">
        <f aca="false">INDEX(Intent_Analysis!$E$5:$E$81,MATCH(B3834,Intent_Analysis!$A$5:$A$81,0))</f>
        <v>1</v>
      </c>
    </row>
    <row r="3835" customFormat="false" ht="15" hidden="false" customHeight="false" outlineLevel="0" collapsed="false">
      <c r="A3835" s="0" t="s">
        <v>4159</v>
      </c>
      <c r="B3835" s="0" t="s">
        <v>35</v>
      </c>
      <c r="C3835" s="0" t="str">
        <f aca="false">INDEX(Intent_Analysis!$B$5:$B$81,MATCH(B3835,Intent_Analysis!$A$5:$A$81,0))</f>
        <v>Account &amp; identity</v>
      </c>
      <c r="D3835" s="0" t="n">
        <f aca="false">INDEX(Intent_Analysis!$E$5:$E$81,MATCH(B3835,Intent_Analysis!$A$5:$A$81,0))</f>
        <v>1</v>
      </c>
    </row>
    <row r="3836" customFormat="false" ht="15" hidden="false" customHeight="false" outlineLevel="0" collapsed="false">
      <c r="A3836" s="0" t="s">
        <v>4160</v>
      </c>
      <c r="B3836" s="0" t="s">
        <v>35</v>
      </c>
      <c r="C3836" s="0" t="str">
        <f aca="false">INDEX(Intent_Analysis!$B$5:$B$81,MATCH(B3836,Intent_Analysis!$A$5:$A$81,0))</f>
        <v>Account &amp; identity</v>
      </c>
      <c r="D3836" s="0" t="n">
        <f aca="false">INDEX(Intent_Analysis!$E$5:$E$81,MATCH(B3836,Intent_Analysis!$A$5:$A$81,0))</f>
        <v>1</v>
      </c>
    </row>
    <row r="3837" customFormat="false" ht="15" hidden="false" customHeight="false" outlineLevel="0" collapsed="false">
      <c r="A3837" s="0" t="s">
        <v>4161</v>
      </c>
      <c r="B3837" s="0" t="s">
        <v>35</v>
      </c>
      <c r="C3837" s="0" t="str">
        <f aca="false">INDEX(Intent_Analysis!$B$5:$B$81,MATCH(B3837,Intent_Analysis!$A$5:$A$81,0))</f>
        <v>Account &amp; identity</v>
      </c>
      <c r="D3837" s="0" t="n">
        <f aca="false">INDEX(Intent_Analysis!$E$5:$E$81,MATCH(B3837,Intent_Analysis!$A$5:$A$81,0))</f>
        <v>1</v>
      </c>
    </row>
    <row r="3838" customFormat="false" ht="15" hidden="false" customHeight="false" outlineLevel="0" collapsed="false">
      <c r="A3838" s="0" t="s">
        <v>4162</v>
      </c>
      <c r="B3838" s="0" t="s">
        <v>35</v>
      </c>
      <c r="C3838" s="0" t="str">
        <f aca="false">INDEX(Intent_Analysis!$B$5:$B$81,MATCH(B3838,Intent_Analysis!$A$5:$A$81,0))</f>
        <v>Account &amp; identity</v>
      </c>
      <c r="D3838" s="0" t="n">
        <f aca="false">INDEX(Intent_Analysis!$E$5:$E$81,MATCH(B3838,Intent_Analysis!$A$5:$A$81,0))</f>
        <v>1</v>
      </c>
    </row>
    <row r="3839" customFormat="false" ht="15" hidden="false" customHeight="false" outlineLevel="0" collapsed="false">
      <c r="A3839" s="0" t="s">
        <v>4163</v>
      </c>
      <c r="B3839" s="0" t="s">
        <v>35</v>
      </c>
      <c r="C3839" s="0" t="str">
        <f aca="false">INDEX(Intent_Analysis!$B$5:$B$81,MATCH(B3839,Intent_Analysis!$A$5:$A$81,0))</f>
        <v>Account &amp; identity</v>
      </c>
      <c r="D3839" s="0" t="n">
        <f aca="false">INDEX(Intent_Analysis!$E$5:$E$81,MATCH(B3839,Intent_Analysis!$A$5:$A$81,0))</f>
        <v>1</v>
      </c>
    </row>
    <row r="3840" customFormat="false" ht="15" hidden="false" customHeight="false" outlineLevel="0" collapsed="false">
      <c r="A3840" s="0" t="s">
        <v>4164</v>
      </c>
      <c r="B3840" s="0" t="s">
        <v>35</v>
      </c>
      <c r="C3840" s="0" t="str">
        <f aca="false">INDEX(Intent_Analysis!$B$5:$B$81,MATCH(B3840,Intent_Analysis!$A$5:$A$81,0))</f>
        <v>Account &amp; identity</v>
      </c>
      <c r="D3840" s="0" t="n">
        <f aca="false">INDEX(Intent_Analysis!$E$5:$E$81,MATCH(B3840,Intent_Analysis!$A$5:$A$81,0))</f>
        <v>1</v>
      </c>
    </row>
    <row r="3841" customFormat="false" ht="15" hidden="false" customHeight="false" outlineLevel="0" collapsed="false">
      <c r="A3841" s="0" t="s">
        <v>4165</v>
      </c>
      <c r="B3841" s="0" t="s">
        <v>35</v>
      </c>
      <c r="C3841" s="0" t="str">
        <f aca="false">INDEX(Intent_Analysis!$B$5:$B$81,MATCH(B3841,Intent_Analysis!$A$5:$A$81,0))</f>
        <v>Account &amp; identity</v>
      </c>
      <c r="D3841" s="0" t="n">
        <f aca="false">INDEX(Intent_Analysis!$E$5:$E$81,MATCH(B3841,Intent_Analysis!$A$5:$A$81,0))</f>
        <v>1</v>
      </c>
    </row>
    <row r="3842" customFormat="false" ht="15" hidden="false" customHeight="false" outlineLevel="0" collapsed="false">
      <c r="A3842" s="0" t="s">
        <v>4166</v>
      </c>
      <c r="B3842" s="0" t="s">
        <v>35</v>
      </c>
      <c r="C3842" s="0" t="str">
        <f aca="false">INDEX(Intent_Analysis!$B$5:$B$81,MATCH(B3842,Intent_Analysis!$A$5:$A$81,0))</f>
        <v>Account &amp; identity</v>
      </c>
      <c r="D3842" s="0" t="n">
        <f aca="false">INDEX(Intent_Analysis!$E$5:$E$81,MATCH(B3842,Intent_Analysis!$A$5:$A$81,0))</f>
        <v>1</v>
      </c>
    </row>
    <row r="3843" customFormat="false" ht="15" hidden="false" customHeight="false" outlineLevel="0" collapsed="false">
      <c r="A3843" s="0" t="s">
        <v>4167</v>
      </c>
      <c r="B3843" s="0" t="s">
        <v>35</v>
      </c>
      <c r="C3843" s="0" t="str">
        <f aca="false">INDEX(Intent_Analysis!$B$5:$B$81,MATCH(B3843,Intent_Analysis!$A$5:$A$81,0))</f>
        <v>Account &amp; identity</v>
      </c>
      <c r="D3843" s="0" t="n">
        <f aca="false">INDEX(Intent_Analysis!$E$5:$E$81,MATCH(B3843,Intent_Analysis!$A$5:$A$81,0))</f>
        <v>1</v>
      </c>
    </row>
    <row r="3844" customFormat="false" ht="15" hidden="false" customHeight="false" outlineLevel="0" collapsed="false">
      <c r="A3844" s="0" t="s">
        <v>4168</v>
      </c>
      <c r="B3844" s="0" t="s">
        <v>35</v>
      </c>
      <c r="C3844" s="0" t="str">
        <f aca="false">INDEX(Intent_Analysis!$B$5:$B$81,MATCH(B3844,Intent_Analysis!$A$5:$A$81,0))</f>
        <v>Account &amp; identity</v>
      </c>
      <c r="D3844" s="0" t="n">
        <f aca="false">INDEX(Intent_Analysis!$E$5:$E$81,MATCH(B3844,Intent_Analysis!$A$5:$A$81,0))</f>
        <v>1</v>
      </c>
    </row>
    <row r="3845" customFormat="false" ht="15" hidden="false" customHeight="false" outlineLevel="0" collapsed="false">
      <c r="A3845" s="0" t="s">
        <v>4169</v>
      </c>
      <c r="B3845" s="0" t="s">
        <v>35</v>
      </c>
      <c r="C3845" s="0" t="str">
        <f aca="false">INDEX(Intent_Analysis!$B$5:$B$81,MATCH(B3845,Intent_Analysis!$A$5:$A$81,0))</f>
        <v>Account &amp; identity</v>
      </c>
      <c r="D3845" s="0" t="n">
        <f aca="false">INDEX(Intent_Analysis!$E$5:$E$81,MATCH(B3845,Intent_Analysis!$A$5:$A$81,0))</f>
        <v>1</v>
      </c>
    </row>
    <row r="3846" customFormat="false" ht="15" hidden="false" customHeight="false" outlineLevel="0" collapsed="false">
      <c r="A3846" s="0" t="s">
        <v>4170</v>
      </c>
      <c r="B3846" s="0" t="s">
        <v>35</v>
      </c>
      <c r="C3846" s="0" t="str">
        <f aca="false">INDEX(Intent_Analysis!$B$5:$B$81,MATCH(B3846,Intent_Analysis!$A$5:$A$81,0))</f>
        <v>Account &amp; identity</v>
      </c>
      <c r="D3846" s="0" t="n">
        <f aca="false">INDEX(Intent_Analysis!$E$5:$E$81,MATCH(B3846,Intent_Analysis!$A$5:$A$81,0))</f>
        <v>1</v>
      </c>
    </row>
    <row r="3847" customFormat="false" ht="15" hidden="false" customHeight="false" outlineLevel="0" collapsed="false">
      <c r="A3847" s="0" t="s">
        <v>4171</v>
      </c>
      <c r="B3847" s="0" t="s">
        <v>35</v>
      </c>
      <c r="C3847" s="0" t="str">
        <f aca="false">INDEX(Intent_Analysis!$B$5:$B$81,MATCH(B3847,Intent_Analysis!$A$5:$A$81,0))</f>
        <v>Account &amp; identity</v>
      </c>
      <c r="D3847" s="0" t="n">
        <f aca="false">INDEX(Intent_Analysis!$E$5:$E$81,MATCH(B3847,Intent_Analysis!$A$5:$A$81,0))</f>
        <v>1</v>
      </c>
    </row>
    <row r="3848" customFormat="false" ht="15" hidden="false" customHeight="false" outlineLevel="0" collapsed="false">
      <c r="A3848" s="0" t="s">
        <v>4172</v>
      </c>
      <c r="B3848" s="0" t="s">
        <v>35</v>
      </c>
      <c r="C3848" s="0" t="str">
        <f aca="false">INDEX(Intent_Analysis!$B$5:$B$81,MATCH(B3848,Intent_Analysis!$A$5:$A$81,0))</f>
        <v>Account &amp; identity</v>
      </c>
      <c r="D3848" s="0" t="n">
        <f aca="false">INDEX(Intent_Analysis!$E$5:$E$81,MATCH(B3848,Intent_Analysis!$A$5:$A$81,0))</f>
        <v>1</v>
      </c>
    </row>
    <row r="3849" customFormat="false" ht="15" hidden="false" customHeight="false" outlineLevel="0" collapsed="false">
      <c r="A3849" s="0" t="s">
        <v>4173</v>
      </c>
      <c r="B3849" s="0" t="s">
        <v>35</v>
      </c>
      <c r="C3849" s="0" t="str">
        <f aca="false">INDEX(Intent_Analysis!$B$5:$B$81,MATCH(B3849,Intent_Analysis!$A$5:$A$81,0))</f>
        <v>Account &amp; identity</v>
      </c>
      <c r="D3849" s="0" t="n">
        <f aca="false">INDEX(Intent_Analysis!$E$5:$E$81,MATCH(B3849,Intent_Analysis!$A$5:$A$81,0))</f>
        <v>1</v>
      </c>
    </row>
    <row r="3850" customFormat="false" ht="15" hidden="false" customHeight="false" outlineLevel="0" collapsed="false">
      <c r="A3850" s="0" t="s">
        <v>4174</v>
      </c>
      <c r="B3850" s="0" t="s">
        <v>35</v>
      </c>
      <c r="C3850" s="0" t="str">
        <f aca="false">INDEX(Intent_Analysis!$B$5:$B$81,MATCH(B3850,Intent_Analysis!$A$5:$A$81,0))</f>
        <v>Account &amp; identity</v>
      </c>
      <c r="D3850" s="0" t="n">
        <f aca="false">INDEX(Intent_Analysis!$E$5:$E$81,MATCH(B3850,Intent_Analysis!$A$5:$A$81,0))</f>
        <v>1</v>
      </c>
    </row>
    <row r="3851" customFormat="false" ht="15" hidden="false" customHeight="false" outlineLevel="0" collapsed="false">
      <c r="A3851" s="0" t="s">
        <v>4175</v>
      </c>
      <c r="B3851" s="0" t="s">
        <v>35</v>
      </c>
      <c r="C3851" s="0" t="str">
        <f aca="false">INDEX(Intent_Analysis!$B$5:$B$81,MATCH(B3851,Intent_Analysis!$A$5:$A$81,0))</f>
        <v>Account &amp; identity</v>
      </c>
      <c r="D3851" s="0" t="n">
        <f aca="false">INDEX(Intent_Analysis!$E$5:$E$81,MATCH(B3851,Intent_Analysis!$A$5:$A$81,0))</f>
        <v>1</v>
      </c>
    </row>
    <row r="3852" customFormat="false" ht="15" hidden="false" customHeight="false" outlineLevel="0" collapsed="false">
      <c r="A3852" s="0" t="s">
        <v>4176</v>
      </c>
      <c r="B3852" s="0" t="s">
        <v>35</v>
      </c>
      <c r="C3852" s="0" t="str">
        <f aca="false">INDEX(Intent_Analysis!$B$5:$B$81,MATCH(B3852,Intent_Analysis!$A$5:$A$81,0))</f>
        <v>Account &amp; identity</v>
      </c>
      <c r="D3852" s="0" t="n">
        <f aca="false">INDEX(Intent_Analysis!$E$5:$E$81,MATCH(B3852,Intent_Analysis!$A$5:$A$81,0))</f>
        <v>1</v>
      </c>
    </row>
    <row r="3853" customFormat="false" ht="15" hidden="false" customHeight="false" outlineLevel="0" collapsed="false">
      <c r="A3853" s="0" t="s">
        <v>4177</v>
      </c>
      <c r="B3853" s="0" t="s">
        <v>35</v>
      </c>
      <c r="C3853" s="0" t="str">
        <f aca="false">INDEX(Intent_Analysis!$B$5:$B$81,MATCH(B3853,Intent_Analysis!$A$5:$A$81,0))</f>
        <v>Account &amp; identity</v>
      </c>
      <c r="D3853" s="0" t="n">
        <f aca="false">INDEX(Intent_Analysis!$E$5:$E$81,MATCH(B3853,Intent_Analysis!$A$5:$A$81,0))</f>
        <v>1</v>
      </c>
    </row>
    <row r="3854" customFormat="false" ht="15" hidden="false" customHeight="false" outlineLevel="0" collapsed="false">
      <c r="A3854" s="0" t="s">
        <v>4178</v>
      </c>
      <c r="B3854" s="0" t="s">
        <v>35</v>
      </c>
      <c r="C3854" s="0" t="str">
        <f aca="false">INDEX(Intent_Analysis!$B$5:$B$81,MATCH(B3854,Intent_Analysis!$A$5:$A$81,0))</f>
        <v>Account &amp; identity</v>
      </c>
      <c r="D3854" s="0" t="n">
        <f aca="false">INDEX(Intent_Analysis!$E$5:$E$81,MATCH(B3854,Intent_Analysis!$A$5:$A$81,0))</f>
        <v>1</v>
      </c>
    </row>
    <row r="3855" customFormat="false" ht="15" hidden="false" customHeight="false" outlineLevel="0" collapsed="false">
      <c r="A3855" s="0" t="s">
        <v>4179</v>
      </c>
      <c r="B3855" s="0" t="s">
        <v>35</v>
      </c>
      <c r="C3855" s="0" t="str">
        <f aca="false">INDEX(Intent_Analysis!$B$5:$B$81,MATCH(B3855,Intent_Analysis!$A$5:$A$81,0))</f>
        <v>Account &amp; identity</v>
      </c>
      <c r="D3855" s="0" t="n">
        <f aca="false">INDEX(Intent_Analysis!$E$5:$E$81,MATCH(B3855,Intent_Analysis!$A$5:$A$81,0))</f>
        <v>1</v>
      </c>
    </row>
    <row r="3856" customFormat="false" ht="15" hidden="false" customHeight="false" outlineLevel="0" collapsed="false">
      <c r="A3856" s="0" t="s">
        <v>4180</v>
      </c>
      <c r="B3856" s="0" t="s">
        <v>35</v>
      </c>
      <c r="C3856" s="0" t="str">
        <f aca="false">INDEX(Intent_Analysis!$B$5:$B$81,MATCH(B3856,Intent_Analysis!$A$5:$A$81,0))</f>
        <v>Account &amp; identity</v>
      </c>
      <c r="D3856" s="0" t="n">
        <f aca="false">INDEX(Intent_Analysis!$E$5:$E$81,MATCH(B3856,Intent_Analysis!$A$5:$A$81,0))</f>
        <v>1</v>
      </c>
    </row>
    <row r="3857" customFormat="false" ht="15" hidden="false" customHeight="false" outlineLevel="0" collapsed="false">
      <c r="A3857" s="0" t="s">
        <v>4181</v>
      </c>
      <c r="B3857" s="0" t="s">
        <v>35</v>
      </c>
      <c r="C3857" s="0" t="str">
        <f aca="false">INDEX(Intent_Analysis!$B$5:$B$81,MATCH(B3857,Intent_Analysis!$A$5:$A$81,0))</f>
        <v>Account &amp; identity</v>
      </c>
      <c r="D3857" s="0" t="n">
        <f aca="false">INDEX(Intent_Analysis!$E$5:$E$81,MATCH(B3857,Intent_Analysis!$A$5:$A$81,0))</f>
        <v>1</v>
      </c>
    </row>
    <row r="3858" customFormat="false" ht="15" hidden="false" customHeight="false" outlineLevel="0" collapsed="false">
      <c r="A3858" s="0" t="s">
        <v>4182</v>
      </c>
      <c r="B3858" s="0" t="s">
        <v>35</v>
      </c>
      <c r="C3858" s="0" t="str">
        <f aca="false">INDEX(Intent_Analysis!$B$5:$B$81,MATCH(B3858,Intent_Analysis!$A$5:$A$81,0))</f>
        <v>Account &amp; identity</v>
      </c>
      <c r="D3858" s="0" t="n">
        <f aca="false">INDEX(Intent_Analysis!$E$5:$E$81,MATCH(B3858,Intent_Analysis!$A$5:$A$81,0))</f>
        <v>1</v>
      </c>
    </row>
    <row r="3859" customFormat="false" ht="15" hidden="false" customHeight="false" outlineLevel="0" collapsed="false">
      <c r="A3859" s="0" t="s">
        <v>4183</v>
      </c>
      <c r="B3859" s="0" t="s">
        <v>35</v>
      </c>
      <c r="C3859" s="0" t="str">
        <f aca="false">INDEX(Intent_Analysis!$B$5:$B$81,MATCH(B3859,Intent_Analysis!$A$5:$A$81,0))</f>
        <v>Account &amp; identity</v>
      </c>
      <c r="D3859" s="0" t="n">
        <f aca="false">INDEX(Intent_Analysis!$E$5:$E$81,MATCH(B3859,Intent_Analysis!$A$5:$A$81,0))</f>
        <v>1</v>
      </c>
    </row>
    <row r="3860" customFormat="false" ht="15" hidden="false" customHeight="false" outlineLevel="0" collapsed="false">
      <c r="A3860" s="0" t="s">
        <v>4184</v>
      </c>
      <c r="B3860" s="0" t="s">
        <v>35</v>
      </c>
      <c r="C3860" s="0" t="str">
        <f aca="false">INDEX(Intent_Analysis!$B$5:$B$81,MATCH(B3860,Intent_Analysis!$A$5:$A$81,0))</f>
        <v>Account &amp; identity</v>
      </c>
      <c r="D3860" s="0" t="n">
        <f aca="false">INDEX(Intent_Analysis!$E$5:$E$81,MATCH(B3860,Intent_Analysis!$A$5:$A$81,0))</f>
        <v>1</v>
      </c>
    </row>
    <row r="3861" customFormat="false" ht="15" hidden="false" customHeight="false" outlineLevel="0" collapsed="false">
      <c r="A3861" s="0" t="s">
        <v>4185</v>
      </c>
      <c r="B3861" s="0" t="s">
        <v>35</v>
      </c>
      <c r="C3861" s="0" t="str">
        <f aca="false">INDEX(Intent_Analysis!$B$5:$B$81,MATCH(B3861,Intent_Analysis!$A$5:$A$81,0))</f>
        <v>Account &amp; identity</v>
      </c>
      <c r="D3861" s="0" t="n">
        <f aca="false">INDEX(Intent_Analysis!$E$5:$E$81,MATCH(B3861,Intent_Analysis!$A$5:$A$81,0))</f>
        <v>1</v>
      </c>
    </row>
    <row r="3862" customFormat="false" ht="15" hidden="false" customHeight="false" outlineLevel="0" collapsed="false">
      <c r="A3862" s="0" t="s">
        <v>4186</v>
      </c>
      <c r="B3862" s="0" t="s">
        <v>35</v>
      </c>
      <c r="C3862" s="0" t="str">
        <f aca="false">INDEX(Intent_Analysis!$B$5:$B$81,MATCH(B3862,Intent_Analysis!$A$5:$A$81,0))</f>
        <v>Account &amp; identity</v>
      </c>
      <c r="D3862" s="0" t="n">
        <f aca="false">INDEX(Intent_Analysis!$E$5:$E$81,MATCH(B3862,Intent_Analysis!$A$5:$A$81,0))</f>
        <v>1</v>
      </c>
    </row>
    <row r="3863" customFormat="false" ht="15" hidden="false" customHeight="false" outlineLevel="0" collapsed="false">
      <c r="A3863" s="0" t="s">
        <v>4187</v>
      </c>
      <c r="B3863" s="0" t="s">
        <v>35</v>
      </c>
      <c r="C3863" s="0" t="str">
        <f aca="false">INDEX(Intent_Analysis!$B$5:$B$81,MATCH(B3863,Intent_Analysis!$A$5:$A$81,0))</f>
        <v>Account &amp; identity</v>
      </c>
      <c r="D3863" s="0" t="n">
        <f aca="false">INDEX(Intent_Analysis!$E$5:$E$81,MATCH(B3863,Intent_Analysis!$A$5:$A$81,0))</f>
        <v>1</v>
      </c>
    </row>
    <row r="3864" customFormat="false" ht="15" hidden="false" customHeight="false" outlineLevel="0" collapsed="false">
      <c r="A3864" s="0" t="s">
        <v>4188</v>
      </c>
      <c r="B3864" s="0" t="s">
        <v>35</v>
      </c>
      <c r="C3864" s="0" t="str">
        <f aca="false">INDEX(Intent_Analysis!$B$5:$B$81,MATCH(B3864,Intent_Analysis!$A$5:$A$81,0))</f>
        <v>Account &amp; identity</v>
      </c>
      <c r="D3864" s="0" t="n">
        <f aca="false">INDEX(Intent_Analysis!$E$5:$E$81,MATCH(B3864,Intent_Analysis!$A$5:$A$81,0))</f>
        <v>1</v>
      </c>
    </row>
    <row r="3865" customFormat="false" ht="15" hidden="false" customHeight="false" outlineLevel="0" collapsed="false">
      <c r="A3865" s="0" t="s">
        <v>4189</v>
      </c>
      <c r="B3865" s="0" t="s">
        <v>35</v>
      </c>
      <c r="C3865" s="0" t="str">
        <f aca="false">INDEX(Intent_Analysis!$B$5:$B$81,MATCH(B3865,Intent_Analysis!$A$5:$A$81,0))</f>
        <v>Account &amp; identity</v>
      </c>
      <c r="D3865" s="0" t="n">
        <f aca="false">INDEX(Intent_Analysis!$E$5:$E$81,MATCH(B3865,Intent_Analysis!$A$5:$A$81,0))</f>
        <v>1</v>
      </c>
    </row>
    <row r="3866" customFormat="false" ht="15" hidden="false" customHeight="false" outlineLevel="0" collapsed="false">
      <c r="A3866" s="0" t="s">
        <v>4190</v>
      </c>
      <c r="B3866" s="0" t="s">
        <v>35</v>
      </c>
      <c r="C3866" s="0" t="str">
        <f aca="false">INDEX(Intent_Analysis!$B$5:$B$81,MATCH(B3866,Intent_Analysis!$A$5:$A$81,0))</f>
        <v>Account &amp; identity</v>
      </c>
      <c r="D3866" s="0" t="n">
        <f aca="false">INDEX(Intent_Analysis!$E$5:$E$81,MATCH(B3866,Intent_Analysis!$A$5:$A$81,0))</f>
        <v>1</v>
      </c>
    </row>
    <row r="3867" customFormat="false" ht="15" hidden="false" customHeight="false" outlineLevel="0" collapsed="false">
      <c r="A3867" s="0" t="s">
        <v>4191</v>
      </c>
      <c r="B3867" s="0" t="s">
        <v>35</v>
      </c>
      <c r="C3867" s="0" t="str">
        <f aca="false">INDEX(Intent_Analysis!$B$5:$B$81,MATCH(B3867,Intent_Analysis!$A$5:$A$81,0))</f>
        <v>Account &amp; identity</v>
      </c>
      <c r="D3867" s="0" t="n">
        <f aca="false">INDEX(Intent_Analysis!$E$5:$E$81,MATCH(B3867,Intent_Analysis!$A$5:$A$81,0))</f>
        <v>1</v>
      </c>
    </row>
    <row r="3868" customFormat="false" ht="15" hidden="false" customHeight="false" outlineLevel="0" collapsed="false">
      <c r="A3868" s="0" t="s">
        <v>4192</v>
      </c>
      <c r="B3868" s="0" t="s">
        <v>35</v>
      </c>
      <c r="C3868" s="0" t="str">
        <f aca="false">INDEX(Intent_Analysis!$B$5:$B$81,MATCH(B3868,Intent_Analysis!$A$5:$A$81,0))</f>
        <v>Account &amp; identity</v>
      </c>
      <c r="D3868" s="0" t="n">
        <f aca="false">INDEX(Intent_Analysis!$E$5:$E$81,MATCH(B3868,Intent_Analysis!$A$5:$A$81,0))</f>
        <v>1</v>
      </c>
    </row>
    <row r="3869" customFormat="false" ht="15" hidden="false" customHeight="false" outlineLevel="0" collapsed="false">
      <c r="A3869" s="0" t="s">
        <v>4193</v>
      </c>
      <c r="B3869" s="0" t="s">
        <v>35</v>
      </c>
      <c r="C3869" s="0" t="str">
        <f aca="false">INDEX(Intent_Analysis!$B$5:$B$81,MATCH(B3869,Intent_Analysis!$A$5:$A$81,0))</f>
        <v>Account &amp; identity</v>
      </c>
      <c r="D3869" s="0" t="n">
        <f aca="false">INDEX(Intent_Analysis!$E$5:$E$81,MATCH(B3869,Intent_Analysis!$A$5:$A$81,0))</f>
        <v>1</v>
      </c>
    </row>
    <row r="3870" customFormat="false" ht="15" hidden="false" customHeight="false" outlineLevel="0" collapsed="false">
      <c r="A3870" s="0" t="s">
        <v>4194</v>
      </c>
      <c r="B3870" s="0" t="s">
        <v>35</v>
      </c>
      <c r="C3870" s="0" t="str">
        <f aca="false">INDEX(Intent_Analysis!$B$5:$B$81,MATCH(B3870,Intent_Analysis!$A$5:$A$81,0))</f>
        <v>Account &amp; identity</v>
      </c>
      <c r="D3870" s="0" t="n">
        <f aca="false">INDEX(Intent_Analysis!$E$5:$E$81,MATCH(B3870,Intent_Analysis!$A$5:$A$81,0))</f>
        <v>1</v>
      </c>
    </row>
    <row r="3871" customFormat="false" ht="15" hidden="false" customHeight="false" outlineLevel="0" collapsed="false">
      <c r="A3871" s="0" t="s">
        <v>4195</v>
      </c>
      <c r="B3871" s="0" t="s">
        <v>35</v>
      </c>
      <c r="C3871" s="0" t="str">
        <f aca="false">INDEX(Intent_Analysis!$B$5:$B$81,MATCH(B3871,Intent_Analysis!$A$5:$A$81,0))</f>
        <v>Account &amp; identity</v>
      </c>
      <c r="D3871" s="0" t="n">
        <f aca="false">INDEX(Intent_Analysis!$E$5:$E$81,MATCH(B3871,Intent_Analysis!$A$5:$A$81,0))</f>
        <v>1</v>
      </c>
    </row>
    <row r="3872" customFormat="false" ht="15" hidden="false" customHeight="false" outlineLevel="0" collapsed="false">
      <c r="A3872" s="0" t="s">
        <v>4196</v>
      </c>
      <c r="B3872" s="0" t="s">
        <v>35</v>
      </c>
      <c r="C3872" s="0" t="str">
        <f aca="false">INDEX(Intent_Analysis!$B$5:$B$81,MATCH(B3872,Intent_Analysis!$A$5:$A$81,0))</f>
        <v>Account &amp; identity</v>
      </c>
      <c r="D3872" s="0" t="n">
        <f aca="false">INDEX(Intent_Analysis!$E$5:$E$81,MATCH(B3872,Intent_Analysis!$A$5:$A$81,0))</f>
        <v>1</v>
      </c>
    </row>
    <row r="3873" customFormat="false" ht="15" hidden="false" customHeight="false" outlineLevel="0" collapsed="false">
      <c r="A3873" s="0" t="s">
        <v>4197</v>
      </c>
      <c r="B3873" s="0" t="s">
        <v>35</v>
      </c>
      <c r="C3873" s="0" t="str">
        <f aca="false">INDEX(Intent_Analysis!$B$5:$B$81,MATCH(B3873,Intent_Analysis!$A$5:$A$81,0))</f>
        <v>Account &amp; identity</v>
      </c>
      <c r="D3873" s="0" t="n">
        <f aca="false">INDEX(Intent_Analysis!$E$5:$E$81,MATCH(B3873,Intent_Analysis!$A$5:$A$81,0))</f>
        <v>1</v>
      </c>
    </row>
    <row r="3874" customFormat="false" ht="15" hidden="false" customHeight="false" outlineLevel="0" collapsed="false">
      <c r="A3874" s="0" t="s">
        <v>4198</v>
      </c>
      <c r="B3874" s="0" t="s">
        <v>35</v>
      </c>
      <c r="C3874" s="0" t="str">
        <f aca="false">INDEX(Intent_Analysis!$B$5:$B$81,MATCH(B3874,Intent_Analysis!$A$5:$A$81,0))</f>
        <v>Account &amp; identity</v>
      </c>
      <c r="D3874" s="0" t="n">
        <f aca="false">INDEX(Intent_Analysis!$E$5:$E$81,MATCH(B3874,Intent_Analysis!$A$5:$A$81,0))</f>
        <v>1</v>
      </c>
    </row>
    <row r="3875" customFormat="false" ht="15" hidden="false" customHeight="false" outlineLevel="0" collapsed="false">
      <c r="A3875" s="0" t="s">
        <v>4199</v>
      </c>
      <c r="B3875" s="0" t="s">
        <v>35</v>
      </c>
      <c r="C3875" s="0" t="str">
        <f aca="false">INDEX(Intent_Analysis!$B$5:$B$81,MATCH(B3875,Intent_Analysis!$A$5:$A$81,0))</f>
        <v>Account &amp; identity</v>
      </c>
      <c r="D3875" s="0" t="n">
        <f aca="false">INDEX(Intent_Analysis!$E$5:$E$81,MATCH(B3875,Intent_Analysis!$A$5:$A$81,0))</f>
        <v>1</v>
      </c>
    </row>
    <row r="3876" customFormat="false" ht="15" hidden="false" customHeight="false" outlineLevel="0" collapsed="false">
      <c r="A3876" s="0" t="s">
        <v>4200</v>
      </c>
      <c r="B3876" s="0" t="s">
        <v>35</v>
      </c>
      <c r="C3876" s="0" t="str">
        <f aca="false">INDEX(Intent_Analysis!$B$5:$B$81,MATCH(B3876,Intent_Analysis!$A$5:$A$81,0))</f>
        <v>Account &amp; identity</v>
      </c>
      <c r="D3876" s="0" t="n">
        <f aca="false">INDEX(Intent_Analysis!$E$5:$E$81,MATCH(B3876,Intent_Analysis!$A$5:$A$81,0))</f>
        <v>1</v>
      </c>
    </row>
    <row r="3877" customFormat="false" ht="15" hidden="false" customHeight="false" outlineLevel="0" collapsed="false">
      <c r="A3877" s="0" t="s">
        <v>4201</v>
      </c>
      <c r="B3877" s="0" t="s">
        <v>35</v>
      </c>
      <c r="C3877" s="0" t="str">
        <f aca="false">INDEX(Intent_Analysis!$B$5:$B$81,MATCH(B3877,Intent_Analysis!$A$5:$A$81,0))</f>
        <v>Account &amp; identity</v>
      </c>
      <c r="D3877" s="0" t="n">
        <f aca="false">INDEX(Intent_Analysis!$E$5:$E$81,MATCH(B3877,Intent_Analysis!$A$5:$A$81,0))</f>
        <v>1</v>
      </c>
    </row>
    <row r="3878" customFormat="false" ht="15" hidden="false" customHeight="false" outlineLevel="0" collapsed="false">
      <c r="A3878" s="0" t="s">
        <v>4202</v>
      </c>
      <c r="B3878" s="0" t="s">
        <v>35</v>
      </c>
      <c r="C3878" s="0" t="str">
        <f aca="false">INDEX(Intent_Analysis!$B$5:$B$81,MATCH(B3878,Intent_Analysis!$A$5:$A$81,0))</f>
        <v>Account &amp; identity</v>
      </c>
      <c r="D3878" s="0" t="n">
        <f aca="false">INDEX(Intent_Analysis!$E$5:$E$81,MATCH(B3878,Intent_Analysis!$A$5:$A$81,0))</f>
        <v>1</v>
      </c>
    </row>
    <row r="3879" customFormat="false" ht="15" hidden="false" customHeight="false" outlineLevel="0" collapsed="false">
      <c r="A3879" s="0" t="s">
        <v>4203</v>
      </c>
      <c r="B3879" s="0" t="s">
        <v>35</v>
      </c>
      <c r="C3879" s="0" t="str">
        <f aca="false">INDEX(Intent_Analysis!$B$5:$B$81,MATCH(B3879,Intent_Analysis!$A$5:$A$81,0))</f>
        <v>Account &amp; identity</v>
      </c>
      <c r="D3879" s="0" t="n">
        <f aca="false">INDEX(Intent_Analysis!$E$5:$E$81,MATCH(B3879,Intent_Analysis!$A$5:$A$81,0))</f>
        <v>1</v>
      </c>
    </row>
    <row r="3880" customFormat="false" ht="15" hidden="false" customHeight="false" outlineLevel="0" collapsed="false">
      <c r="A3880" s="0" t="s">
        <v>4204</v>
      </c>
      <c r="B3880" s="0" t="s">
        <v>35</v>
      </c>
      <c r="C3880" s="0" t="str">
        <f aca="false">INDEX(Intent_Analysis!$B$5:$B$81,MATCH(B3880,Intent_Analysis!$A$5:$A$81,0))</f>
        <v>Account &amp; identity</v>
      </c>
      <c r="D3880" s="0" t="n">
        <f aca="false">INDEX(Intent_Analysis!$E$5:$E$81,MATCH(B3880,Intent_Analysis!$A$5:$A$81,0))</f>
        <v>1</v>
      </c>
    </row>
    <row r="3881" customFormat="false" ht="15" hidden="false" customHeight="false" outlineLevel="0" collapsed="false">
      <c r="A3881" s="0" t="s">
        <v>4205</v>
      </c>
      <c r="B3881" s="0" t="s">
        <v>35</v>
      </c>
      <c r="C3881" s="0" t="str">
        <f aca="false">INDEX(Intent_Analysis!$B$5:$B$81,MATCH(B3881,Intent_Analysis!$A$5:$A$81,0))</f>
        <v>Account &amp; identity</v>
      </c>
      <c r="D3881" s="0" t="n">
        <f aca="false">INDEX(Intent_Analysis!$E$5:$E$81,MATCH(B3881,Intent_Analysis!$A$5:$A$81,0))</f>
        <v>1</v>
      </c>
    </row>
    <row r="3882" customFormat="false" ht="15" hidden="false" customHeight="false" outlineLevel="0" collapsed="false">
      <c r="A3882" s="0" t="s">
        <v>4206</v>
      </c>
      <c r="B3882" s="0" t="s">
        <v>35</v>
      </c>
      <c r="C3882" s="0" t="str">
        <f aca="false">INDEX(Intent_Analysis!$B$5:$B$81,MATCH(B3882,Intent_Analysis!$A$5:$A$81,0))</f>
        <v>Account &amp; identity</v>
      </c>
      <c r="D3882" s="0" t="n">
        <f aca="false">INDEX(Intent_Analysis!$E$5:$E$81,MATCH(B3882,Intent_Analysis!$A$5:$A$81,0))</f>
        <v>1</v>
      </c>
    </row>
    <row r="3883" customFormat="false" ht="15" hidden="false" customHeight="false" outlineLevel="0" collapsed="false">
      <c r="A3883" s="0" t="s">
        <v>4207</v>
      </c>
      <c r="B3883" s="0" t="s">
        <v>35</v>
      </c>
      <c r="C3883" s="0" t="str">
        <f aca="false">INDEX(Intent_Analysis!$B$5:$B$81,MATCH(B3883,Intent_Analysis!$A$5:$A$81,0))</f>
        <v>Account &amp; identity</v>
      </c>
      <c r="D3883" s="0" t="n">
        <f aca="false">INDEX(Intent_Analysis!$E$5:$E$81,MATCH(B3883,Intent_Analysis!$A$5:$A$81,0))</f>
        <v>1</v>
      </c>
    </row>
    <row r="3884" customFormat="false" ht="15" hidden="false" customHeight="false" outlineLevel="0" collapsed="false">
      <c r="A3884" s="0" t="s">
        <v>4208</v>
      </c>
      <c r="B3884" s="0" t="s">
        <v>35</v>
      </c>
      <c r="C3884" s="0" t="str">
        <f aca="false">INDEX(Intent_Analysis!$B$5:$B$81,MATCH(B3884,Intent_Analysis!$A$5:$A$81,0))</f>
        <v>Account &amp; identity</v>
      </c>
      <c r="D3884" s="0" t="n">
        <f aca="false">INDEX(Intent_Analysis!$E$5:$E$81,MATCH(B3884,Intent_Analysis!$A$5:$A$81,0))</f>
        <v>1</v>
      </c>
    </row>
    <row r="3885" customFormat="false" ht="15" hidden="false" customHeight="false" outlineLevel="0" collapsed="false">
      <c r="A3885" s="0" t="s">
        <v>4209</v>
      </c>
      <c r="B3885" s="0" t="s">
        <v>35</v>
      </c>
      <c r="C3885" s="0" t="str">
        <f aca="false">INDEX(Intent_Analysis!$B$5:$B$81,MATCH(B3885,Intent_Analysis!$A$5:$A$81,0))</f>
        <v>Account &amp; identity</v>
      </c>
      <c r="D3885" s="0" t="n">
        <f aca="false">INDEX(Intent_Analysis!$E$5:$E$81,MATCH(B3885,Intent_Analysis!$A$5:$A$81,0))</f>
        <v>1</v>
      </c>
    </row>
    <row r="3886" customFormat="false" ht="15" hidden="false" customHeight="false" outlineLevel="0" collapsed="false">
      <c r="A3886" s="0" t="s">
        <v>4210</v>
      </c>
      <c r="B3886" s="0" t="s">
        <v>35</v>
      </c>
      <c r="C3886" s="0" t="str">
        <f aca="false">INDEX(Intent_Analysis!$B$5:$B$81,MATCH(B3886,Intent_Analysis!$A$5:$A$81,0))</f>
        <v>Account &amp; identity</v>
      </c>
      <c r="D3886" s="0" t="n">
        <f aca="false">INDEX(Intent_Analysis!$E$5:$E$81,MATCH(B3886,Intent_Analysis!$A$5:$A$81,0))</f>
        <v>1</v>
      </c>
    </row>
    <row r="3887" customFormat="false" ht="15" hidden="false" customHeight="false" outlineLevel="0" collapsed="false">
      <c r="A3887" s="0" t="s">
        <v>4211</v>
      </c>
      <c r="B3887" s="0" t="s">
        <v>35</v>
      </c>
      <c r="C3887" s="0" t="str">
        <f aca="false">INDEX(Intent_Analysis!$B$5:$B$81,MATCH(B3887,Intent_Analysis!$A$5:$A$81,0))</f>
        <v>Account &amp; identity</v>
      </c>
      <c r="D3887" s="0" t="n">
        <f aca="false">INDEX(Intent_Analysis!$E$5:$E$81,MATCH(B3887,Intent_Analysis!$A$5:$A$81,0))</f>
        <v>1</v>
      </c>
    </row>
    <row r="3888" customFormat="false" ht="15" hidden="false" customHeight="false" outlineLevel="0" collapsed="false">
      <c r="A3888" s="0" t="s">
        <v>4212</v>
      </c>
      <c r="B3888" s="0" t="s">
        <v>35</v>
      </c>
      <c r="C3888" s="0" t="str">
        <f aca="false">INDEX(Intent_Analysis!$B$5:$B$81,MATCH(B3888,Intent_Analysis!$A$5:$A$81,0))</f>
        <v>Account &amp; identity</v>
      </c>
      <c r="D3888" s="0" t="n">
        <f aca="false">INDEX(Intent_Analysis!$E$5:$E$81,MATCH(B3888,Intent_Analysis!$A$5:$A$81,0))</f>
        <v>1</v>
      </c>
    </row>
    <row r="3889" customFormat="false" ht="15" hidden="false" customHeight="false" outlineLevel="0" collapsed="false">
      <c r="A3889" s="0" t="s">
        <v>4213</v>
      </c>
      <c r="B3889" s="0" t="s">
        <v>35</v>
      </c>
      <c r="C3889" s="0" t="str">
        <f aca="false">INDEX(Intent_Analysis!$B$5:$B$81,MATCH(B3889,Intent_Analysis!$A$5:$A$81,0))</f>
        <v>Account &amp; identity</v>
      </c>
      <c r="D3889" s="0" t="n">
        <f aca="false">INDEX(Intent_Analysis!$E$5:$E$81,MATCH(B3889,Intent_Analysis!$A$5:$A$81,0))</f>
        <v>1</v>
      </c>
    </row>
    <row r="3890" customFormat="false" ht="15" hidden="false" customHeight="false" outlineLevel="0" collapsed="false">
      <c r="A3890" s="0" t="s">
        <v>4214</v>
      </c>
      <c r="B3890" s="0" t="s">
        <v>35</v>
      </c>
      <c r="C3890" s="0" t="str">
        <f aca="false">INDEX(Intent_Analysis!$B$5:$B$81,MATCH(B3890,Intent_Analysis!$A$5:$A$81,0))</f>
        <v>Account &amp; identity</v>
      </c>
      <c r="D3890" s="0" t="n">
        <f aca="false">INDEX(Intent_Analysis!$E$5:$E$81,MATCH(B3890,Intent_Analysis!$A$5:$A$81,0))</f>
        <v>1</v>
      </c>
    </row>
    <row r="3891" customFormat="false" ht="15" hidden="false" customHeight="false" outlineLevel="0" collapsed="false">
      <c r="A3891" s="0" t="s">
        <v>4215</v>
      </c>
      <c r="B3891" s="0" t="s">
        <v>35</v>
      </c>
      <c r="C3891" s="0" t="str">
        <f aca="false">INDEX(Intent_Analysis!$B$5:$B$81,MATCH(B3891,Intent_Analysis!$A$5:$A$81,0))</f>
        <v>Account &amp; identity</v>
      </c>
      <c r="D3891" s="0" t="n">
        <f aca="false">INDEX(Intent_Analysis!$E$5:$E$81,MATCH(B3891,Intent_Analysis!$A$5:$A$81,0))</f>
        <v>1</v>
      </c>
    </row>
    <row r="3892" customFormat="false" ht="15" hidden="false" customHeight="false" outlineLevel="0" collapsed="false">
      <c r="A3892" s="0" t="s">
        <v>4216</v>
      </c>
      <c r="B3892" s="0" t="s">
        <v>35</v>
      </c>
      <c r="C3892" s="0" t="str">
        <f aca="false">INDEX(Intent_Analysis!$B$5:$B$81,MATCH(B3892,Intent_Analysis!$A$5:$A$81,0))</f>
        <v>Account &amp; identity</v>
      </c>
      <c r="D3892" s="0" t="n">
        <f aca="false">INDEX(Intent_Analysis!$E$5:$E$81,MATCH(B3892,Intent_Analysis!$A$5:$A$81,0))</f>
        <v>1</v>
      </c>
    </row>
    <row r="3893" customFormat="false" ht="15" hidden="false" customHeight="false" outlineLevel="0" collapsed="false">
      <c r="A3893" s="0" t="s">
        <v>4217</v>
      </c>
      <c r="B3893" s="0" t="s">
        <v>35</v>
      </c>
      <c r="C3893" s="0" t="str">
        <f aca="false">INDEX(Intent_Analysis!$B$5:$B$81,MATCH(B3893,Intent_Analysis!$A$5:$A$81,0))</f>
        <v>Account &amp; identity</v>
      </c>
      <c r="D3893" s="0" t="n">
        <f aca="false">INDEX(Intent_Analysis!$E$5:$E$81,MATCH(B3893,Intent_Analysis!$A$5:$A$81,0))</f>
        <v>1</v>
      </c>
    </row>
    <row r="3894" customFormat="false" ht="15" hidden="false" customHeight="false" outlineLevel="0" collapsed="false">
      <c r="A3894" s="0" t="s">
        <v>4218</v>
      </c>
      <c r="B3894" s="0" t="s">
        <v>43</v>
      </c>
      <c r="C3894" s="0" t="str">
        <f aca="false">INDEX(Intent_Analysis!$B$5:$B$81,MATCH(B3894,Intent_Analysis!$A$5:$A$81,0))</f>
        <v>Account &amp; identity</v>
      </c>
      <c r="D3894" s="0" t="n">
        <f aca="false">INDEX(Intent_Analysis!$E$5:$E$81,MATCH(B3894,Intent_Analysis!$A$5:$A$81,0))</f>
        <v>2</v>
      </c>
    </row>
    <row r="3895" customFormat="false" ht="15" hidden="false" customHeight="false" outlineLevel="0" collapsed="false">
      <c r="A3895" s="0" t="s">
        <v>4219</v>
      </c>
      <c r="B3895" s="0" t="s">
        <v>43</v>
      </c>
      <c r="C3895" s="0" t="str">
        <f aca="false">INDEX(Intent_Analysis!$B$5:$B$81,MATCH(B3895,Intent_Analysis!$A$5:$A$81,0))</f>
        <v>Account &amp; identity</v>
      </c>
      <c r="D3895" s="0" t="n">
        <f aca="false">INDEX(Intent_Analysis!$E$5:$E$81,MATCH(B3895,Intent_Analysis!$A$5:$A$81,0))</f>
        <v>2</v>
      </c>
    </row>
    <row r="3896" customFormat="false" ht="15" hidden="false" customHeight="false" outlineLevel="0" collapsed="false">
      <c r="A3896" s="0" t="s">
        <v>4220</v>
      </c>
      <c r="B3896" s="0" t="s">
        <v>43</v>
      </c>
      <c r="C3896" s="0" t="str">
        <f aca="false">INDEX(Intent_Analysis!$B$5:$B$81,MATCH(B3896,Intent_Analysis!$A$5:$A$81,0))</f>
        <v>Account &amp; identity</v>
      </c>
      <c r="D3896" s="0" t="n">
        <f aca="false">INDEX(Intent_Analysis!$E$5:$E$81,MATCH(B3896,Intent_Analysis!$A$5:$A$81,0))</f>
        <v>2</v>
      </c>
    </row>
    <row r="3897" customFormat="false" ht="15" hidden="false" customHeight="false" outlineLevel="0" collapsed="false">
      <c r="A3897" s="0" t="s">
        <v>4221</v>
      </c>
      <c r="B3897" s="0" t="s">
        <v>43</v>
      </c>
      <c r="C3897" s="0" t="str">
        <f aca="false">INDEX(Intent_Analysis!$B$5:$B$81,MATCH(B3897,Intent_Analysis!$A$5:$A$81,0))</f>
        <v>Account &amp; identity</v>
      </c>
      <c r="D3897" s="0" t="n">
        <f aca="false">INDEX(Intent_Analysis!$E$5:$E$81,MATCH(B3897,Intent_Analysis!$A$5:$A$81,0))</f>
        <v>2</v>
      </c>
    </row>
    <row r="3898" customFormat="false" ht="15" hidden="false" customHeight="false" outlineLevel="0" collapsed="false">
      <c r="A3898" s="0" t="s">
        <v>4222</v>
      </c>
      <c r="B3898" s="0" t="s">
        <v>43</v>
      </c>
      <c r="C3898" s="0" t="str">
        <f aca="false">INDEX(Intent_Analysis!$B$5:$B$81,MATCH(B3898,Intent_Analysis!$A$5:$A$81,0))</f>
        <v>Account &amp; identity</v>
      </c>
      <c r="D3898" s="0" t="n">
        <f aca="false">INDEX(Intent_Analysis!$E$5:$E$81,MATCH(B3898,Intent_Analysis!$A$5:$A$81,0))</f>
        <v>2</v>
      </c>
    </row>
    <row r="3899" customFormat="false" ht="15" hidden="false" customHeight="false" outlineLevel="0" collapsed="false">
      <c r="A3899" s="0" t="s">
        <v>4223</v>
      </c>
      <c r="B3899" s="0" t="s">
        <v>43</v>
      </c>
      <c r="C3899" s="0" t="str">
        <f aca="false">INDEX(Intent_Analysis!$B$5:$B$81,MATCH(B3899,Intent_Analysis!$A$5:$A$81,0))</f>
        <v>Account &amp; identity</v>
      </c>
      <c r="D3899" s="0" t="n">
        <f aca="false">INDEX(Intent_Analysis!$E$5:$E$81,MATCH(B3899,Intent_Analysis!$A$5:$A$81,0))</f>
        <v>2</v>
      </c>
    </row>
    <row r="3900" customFormat="false" ht="15" hidden="false" customHeight="false" outlineLevel="0" collapsed="false">
      <c r="A3900" s="0" t="s">
        <v>4224</v>
      </c>
      <c r="B3900" s="0" t="s">
        <v>43</v>
      </c>
      <c r="C3900" s="0" t="str">
        <f aca="false">INDEX(Intent_Analysis!$B$5:$B$81,MATCH(B3900,Intent_Analysis!$A$5:$A$81,0))</f>
        <v>Account &amp; identity</v>
      </c>
      <c r="D3900" s="0" t="n">
        <f aca="false">INDEX(Intent_Analysis!$E$5:$E$81,MATCH(B3900,Intent_Analysis!$A$5:$A$81,0))</f>
        <v>2</v>
      </c>
    </row>
    <row r="3901" customFormat="false" ht="15" hidden="false" customHeight="false" outlineLevel="0" collapsed="false">
      <c r="A3901" s="0" t="s">
        <v>4225</v>
      </c>
      <c r="B3901" s="0" t="s">
        <v>43</v>
      </c>
      <c r="C3901" s="0" t="str">
        <f aca="false">INDEX(Intent_Analysis!$B$5:$B$81,MATCH(B3901,Intent_Analysis!$A$5:$A$81,0))</f>
        <v>Account &amp; identity</v>
      </c>
      <c r="D3901" s="0" t="n">
        <f aca="false">INDEX(Intent_Analysis!$E$5:$E$81,MATCH(B3901,Intent_Analysis!$A$5:$A$81,0))</f>
        <v>2</v>
      </c>
    </row>
    <row r="3902" customFormat="false" ht="15" hidden="false" customHeight="false" outlineLevel="0" collapsed="false">
      <c r="A3902" s="0" t="s">
        <v>4226</v>
      </c>
      <c r="B3902" s="0" t="s">
        <v>43</v>
      </c>
      <c r="C3902" s="0" t="str">
        <f aca="false">INDEX(Intent_Analysis!$B$5:$B$81,MATCH(B3902,Intent_Analysis!$A$5:$A$81,0))</f>
        <v>Account &amp; identity</v>
      </c>
      <c r="D3902" s="0" t="n">
        <f aca="false">INDEX(Intent_Analysis!$E$5:$E$81,MATCH(B3902,Intent_Analysis!$A$5:$A$81,0))</f>
        <v>2</v>
      </c>
    </row>
    <row r="3903" customFormat="false" ht="15" hidden="false" customHeight="false" outlineLevel="0" collapsed="false">
      <c r="A3903" s="0" t="s">
        <v>4227</v>
      </c>
      <c r="B3903" s="0" t="s">
        <v>43</v>
      </c>
      <c r="C3903" s="0" t="str">
        <f aca="false">INDEX(Intent_Analysis!$B$5:$B$81,MATCH(B3903,Intent_Analysis!$A$5:$A$81,0))</f>
        <v>Account &amp; identity</v>
      </c>
      <c r="D3903" s="0" t="n">
        <f aca="false">INDEX(Intent_Analysis!$E$5:$E$81,MATCH(B3903,Intent_Analysis!$A$5:$A$81,0))</f>
        <v>2</v>
      </c>
    </row>
    <row r="3904" customFormat="false" ht="15" hidden="false" customHeight="false" outlineLevel="0" collapsed="false">
      <c r="A3904" s="0" t="s">
        <v>4228</v>
      </c>
      <c r="B3904" s="0" t="s">
        <v>43</v>
      </c>
      <c r="C3904" s="0" t="str">
        <f aca="false">INDEX(Intent_Analysis!$B$5:$B$81,MATCH(B3904,Intent_Analysis!$A$5:$A$81,0))</f>
        <v>Account &amp; identity</v>
      </c>
      <c r="D3904" s="0" t="n">
        <f aca="false">INDEX(Intent_Analysis!$E$5:$E$81,MATCH(B3904,Intent_Analysis!$A$5:$A$81,0))</f>
        <v>2</v>
      </c>
    </row>
    <row r="3905" customFormat="false" ht="15" hidden="false" customHeight="false" outlineLevel="0" collapsed="false">
      <c r="A3905" s="0" t="s">
        <v>4229</v>
      </c>
      <c r="B3905" s="0" t="s">
        <v>43</v>
      </c>
      <c r="C3905" s="0" t="str">
        <f aca="false">INDEX(Intent_Analysis!$B$5:$B$81,MATCH(B3905,Intent_Analysis!$A$5:$A$81,0))</f>
        <v>Account &amp; identity</v>
      </c>
      <c r="D3905" s="0" t="n">
        <f aca="false">INDEX(Intent_Analysis!$E$5:$E$81,MATCH(B3905,Intent_Analysis!$A$5:$A$81,0))</f>
        <v>2</v>
      </c>
    </row>
    <row r="3906" customFormat="false" ht="15" hidden="false" customHeight="false" outlineLevel="0" collapsed="false">
      <c r="A3906" s="0" t="s">
        <v>4230</v>
      </c>
      <c r="B3906" s="0" t="s">
        <v>43</v>
      </c>
      <c r="C3906" s="0" t="str">
        <f aca="false">INDEX(Intent_Analysis!$B$5:$B$81,MATCH(B3906,Intent_Analysis!$A$5:$A$81,0))</f>
        <v>Account &amp; identity</v>
      </c>
      <c r="D3906" s="0" t="n">
        <f aca="false">INDEX(Intent_Analysis!$E$5:$E$81,MATCH(B3906,Intent_Analysis!$A$5:$A$81,0))</f>
        <v>2</v>
      </c>
    </row>
    <row r="3907" customFormat="false" ht="15" hidden="false" customHeight="false" outlineLevel="0" collapsed="false">
      <c r="A3907" s="0" t="s">
        <v>4231</v>
      </c>
      <c r="B3907" s="0" t="s">
        <v>43</v>
      </c>
      <c r="C3907" s="0" t="str">
        <f aca="false">INDEX(Intent_Analysis!$B$5:$B$81,MATCH(B3907,Intent_Analysis!$A$5:$A$81,0))</f>
        <v>Account &amp; identity</v>
      </c>
      <c r="D3907" s="0" t="n">
        <f aca="false">INDEX(Intent_Analysis!$E$5:$E$81,MATCH(B3907,Intent_Analysis!$A$5:$A$81,0))</f>
        <v>2</v>
      </c>
    </row>
    <row r="3908" customFormat="false" ht="15" hidden="false" customHeight="false" outlineLevel="0" collapsed="false">
      <c r="A3908" s="0" t="s">
        <v>4232</v>
      </c>
      <c r="B3908" s="0" t="s">
        <v>43</v>
      </c>
      <c r="C3908" s="0" t="str">
        <f aca="false">INDEX(Intent_Analysis!$B$5:$B$81,MATCH(B3908,Intent_Analysis!$A$5:$A$81,0))</f>
        <v>Account &amp; identity</v>
      </c>
      <c r="D3908" s="0" t="n">
        <f aca="false">INDEX(Intent_Analysis!$E$5:$E$81,MATCH(B3908,Intent_Analysis!$A$5:$A$81,0))</f>
        <v>2</v>
      </c>
    </row>
    <row r="3909" customFormat="false" ht="15" hidden="false" customHeight="false" outlineLevel="0" collapsed="false">
      <c r="A3909" s="0" t="s">
        <v>4233</v>
      </c>
      <c r="B3909" s="0" t="s">
        <v>43</v>
      </c>
      <c r="C3909" s="0" t="str">
        <f aca="false">INDEX(Intent_Analysis!$B$5:$B$81,MATCH(B3909,Intent_Analysis!$A$5:$A$81,0))</f>
        <v>Account &amp; identity</v>
      </c>
      <c r="D3909" s="0" t="n">
        <f aca="false">INDEX(Intent_Analysis!$E$5:$E$81,MATCH(B3909,Intent_Analysis!$A$5:$A$81,0))</f>
        <v>2</v>
      </c>
    </row>
    <row r="3910" customFormat="false" ht="15" hidden="false" customHeight="false" outlineLevel="0" collapsed="false">
      <c r="A3910" s="0" t="s">
        <v>4234</v>
      </c>
      <c r="B3910" s="0" t="s">
        <v>43</v>
      </c>
      <c r="C3910" s="0" t="str">
        <f aca="false">INDEX(Intent_Analysis!$B$5:$B$81,MATCH(B3910,Intent_Analysis!$A$5:$A$81,0))</f>
        <v>Account &amp; identity</v>
      </c>
      <c r="D3910" s="0" t="n">
        <f aca="false">INDEX(Intent_Analysis!$E$5:$E$81,MATCH(B3910,Intent_Analysis!$A$5:$A$81,0))</f>
        <v>2</v>
      </c>
    </row>
    <row r="3911" customFormat="false" ht="15" hidden="false" customHeight="false" outlineLevel="0" collapsed="false">
      <c r="A3911" s="0" t="s">
        <v>4235</v>
      </c>
      <c r="B3911" s="0" t="s">
        <v>43</v>
      </c>
      <c r="C3911" s="0" t="str">
        <f aca="false">INDEX(Intent_Analysis!$B$5:$B$81,MATCH(B3911,Intent_Analysis!$A$5:$A$81,0))</f>
        <v>Account &amp; identity</v>
      </c>
      <c r="D3911" s="0" t="n">
        <f aca="false">INDEX(Intent_Analysis!$E$5:$E$81,MATCH(B3911,Intent_Analysis!$A$5:$A$81,0))</f>
        <v>2</v>
      </c>
    </row>
    <row r="3912" customFormat="false" ht="15" hidden="false" customHeight="false" outlineLevel="0" collapsed="false">
      <c r="A3912" s="0" t="s">
        <v>4236</v>
      </c>
      <c r="B3912" s="0" t="s">
        <v>43</v>
      </c>
      <c r="C3912" s="0" t="str">
        <f aca="false">INDEX(Intent_Analysis!$B$5:$B$81,MATCH(B3912,Intent_Analysis!$A$5:$A$81,0))</f>
        <v>Account &amp; identity</v>
      </c>
      <c r="D3912" s="0" t="n">
        <f aca="false">INDEX(Intent_Analysis!$E$5:$E$81,MATCH(B3912,Intent_Analysis!$A$5:$A$81,0))</f>
        <v>2</v>
      </c>
    </row>
    <row r="3913" customFormat="false" ht="15" hidden="false" customHeight="false" outlineLevel="0" collapsed="false">
      <c r="A3913" s="0" t="s">
        <v>4237</v>
      </c>
      <c r="B3913" s="0" t="s">
        <v>43</v>
      </c>
      <c r="C3913" s="0" t="str">
        <f aca="false">INDEX(Intent_Analysis!$B$5:$B$81,MATCH(B3913,Intent_Analysis!$A$5:$A$81,0))</f>
        <v>Account &amp; identity</v>
      </c>
      <c r="D3913" s="0" t="n">
        <f aca="false">INDEX(Intent_Analysis!$E$5:$E$81,MATCH(B3913,Intent_Analysis!$A$5:$A$81,0))</f>
        <v>2</v>
      </c>
    </row>
    <row r="3914" customFormat="false" ht="15" hidden="false" customHeight="false" outlineLevel="0" collapsed="false">
      <c r="A3914" s="0" t="s">
        <v>4238</v>
      </c>
      <c r="B3914" s="0" t="s">
        <v>43</v>
      </c>
      <c r="C3914" s="0" t="str">
        <f aca="false">INDEX(Intent_Analysis!$B$5:$B$81,MATCH(B3914,Intent_Analysis!$A$5:$A$81,0))</f>
        <v>Account &amp; identity</v>
      </c>
      <c r="D3914" s="0" t="n">
        <f aca="false">INDEX(Intent_Analysis!$E$5:$E$81,MATCH(B3914,Intent_Analysis!$A$5:$A$81,0))</f>
        <v>2</v>
      </c>
    </row>
    <row r="3915" customFormat="false" ht="15" hidden="false" customHeight="false" outlineLevel="0" collapsed="false">
      <c r="A3915" s="0" t="s">
        <v>4239</v>
      </c>
      <c r="B3915" s="0" t="s">
        <v>43</v>
      </c>
      <c r="C3915" s="0" t="str">
        <f aca="false">INDEX(Intent_Analysis!$B$5:$B$81,MATCH(B3915,Intent_Analysis!$A$5:$A$81,0))</f>
        <v>Account &amp; identity</v>
      </c>
      <c r="D3915" s="0" t="n">
        <f aca="false">INDEX(Intent_Analysis!$E$5:$E$81,MATCH(B3915,Intent_Analysis!$A$5:$A$81,0))</f>
        <v>2</v>
      </c>
    </row>
    <row r="3916" customFormat="false" ht="15" hidden="false" customHeight="false" outlineLevel="0" collapsed="false">
      <c r="A3916" s="0" t="s">
        <v>4240</v>
      </c>
      <c r="B3916" s="0" t="s">
        <v>43</v>
      </c>
      <c r="C3916" s="0" t="str">
        <f aca="false">INDEX(Intent_Analysis!$B$5:$B$81,MATCH(B3916,Intent_Analysis!$A$5:$A$81,0))</f>
        <v>Account &amp; identity</v>
      </c>
      <c r="D3916" s="0" t="n">
        <f aca="false">INDEX(Intent_Analysis!$E$5:$E$81,MATCH(B3916,Intent_Analysis!$A$5:$A$81,0))</f>
        <v>2</v>
      </c>
    </row>
    <row r="3917" customFormat="false" ht="15" hidden="false" customHeight="false" outlineLevel="0" collapsed="false">
      <c r="A3917" s="0" t="s">
        <v>4241</v>
      </c>
      <c r="B3917" s="0" t="s">
        <v>43</v>
      </c>
      <c r="C3917" s="0" t="str">
        <f aca="false">INDEX(Intent_Analysis!$B$5:$B$81,MATCH(B3917,Intent_Analysis!$A$5:$A$81,0))</f>
        <v>Account &amp; identity</v>
      </c>
      <c r="D3917" s="0" t="n">
        <f aca="false">INDEX(Intent_Analysis!$E$5:$E$81,MATCH(B3917,Intent_Analysis!$A$5:$A$81,0))</f>
        <v>2</v>
      </c>
    </row>
    <row r="3918" customFormat="false" ht="15" hidden="false" customHeight="false" outlineLevel="0" collapsed="false">
      <c r="A3918" s="0" t="s">
        <v>4242</v>
      </c>
      <c r="B3918" s="0" t="s">
        <v>43</v>
      </c>
      <c r="C3918" s="0" t="str">
        <f aca="false">INDEX(Intent_Analysis!$B$5:$B$81,MATCH(B3918,Intent_Analysis!$A$5:$A$81,0))</f>
        <v>Account &amp; identity</v>
      </c>
      <c r="D3918" s="0" t="n">
        <f aca="false">INDEX(Intent_Analysis!$E$5:$E$81,MATCH(B3918,Intent_Analysis!$A$5:$A$81,0))</f>
        <v>2</v>
      </c>
    </row>
    <row r="3919" customFormat="false" ht="15" hidden="false" customHeight="false" outlineLevel="0" collapsed="false">
      <c r="A3919" s="0" t="s">
        <v>4243</v>
      </c>
      <c r="B3919" s="0" t="s">
        <v>43</v>
      </c>
      <c r="C3919" s="0" t="str">
        <f aca="false">INDEX(Intent_Analysis!$B$5:$B$81,MATCH(B3919,Intent_Analysis!$A$5:$A$81,0))</f>
        <v>Account &amp; identity</v>
      </c>
      <c r="D3919" s="0" t="n">
        <f aca="false">INDEX(Intent_Analysis!$E$5:$E$81,MATCH(B3919,Intent_Analysis!$A$5:$A$81,0))</f>
        <v>2</v>
      </c>
    </row>
    <row r="3920" customFormat="false" ht="15" hidden="false" customHeight="false" outlineLevel="0" collapsed="false">
      <c r="A3920" s="0" t="s">
        <v>4244</v>
      </c>
      <c r="B3920" s="0" t="s">
        <v>43</v>
      </c>
      <c r="C3920" s="0" t="str">
        <f aca="false">INDEX(Intent_Analysis!$B$5:$B$81,MATCH(B3920,Intent_Analysis!$A$5:$A$81,0))</f>
        <v>Account &amp; identity</v>
      </c>
      <c r="D3920" s="0" t="n">
        <f aca="false">INDEX(Intent_Analysis!$E$5:$E$81,MATCH(B3920,Intent_Analysis!$A$5:$A$81,0))</f>
        <v>2</v>
      </c>
    </row>
    <row r="3921" customFormat="false" ht="15" hidden="false" customHeight="false" outlineLevel="0" collapsed="false">
      <c r="A3921" s="0" t="s">
        <v>4245</v>
      </c>
      <c r="B3921" s="0" t="s">
        <v>43</v>
      </c>
      <c r="C3921" s="0" t="str">
        <f aca="false">INDEX(Intent_Analysis!$B$5:$B$81,MATCH(B3921,Intent_Analysis!$A$5:$A$81,0))</f>
        <v>Account &amp; identity</v>
      </c>
      <c r="D3921" s="0" t="n">
        <f aca="false">INDEX(Intent_Analysis!$E$5:$E$81,MATCH(B3921,Intent_Analysis!$A$5:$A$81,0))</f>
        <v>2</v>
      </c>
    </row>
    <row r="3922" customFormat="false" ht="15" hidden="false" customHeight="false" outlineLevel="0" collapsed="false">
      <c r="A3922" s="0" t="s">
        <v>4246</v>
      </c>
      <c r="B3922" s="0" t="s">
        <v>43</v>
      </c>
      <c r="C3922" s="0" t="str">
        <f aca="false">INDEX(Intent_Analysis!$B$5:$B$81,MATCH(B3922,Intent_Analysis!$A$5:$A$81,0))</f>
        <v>Account &amp; identity</v>
      </c>
      <c r="D3922" s="0" t="n">
        <f aca="false">INDEX(Intent_Analysis!$E$5:$E$81,MATCH(B3922,Intent_Analysis!$A$5:$A$81,0))</f>
        <v>2</v>
      </c>
    </row>
    <row r="3923" customFormat="false" ht="15" hidden="false" customHeight="false" outlineLevel="0" collapsed="false">
      <c r="A3923" s="0" t="s">
        <v>4247</v>
      </c>
      <c r="B3923" s="0" t="s">
        <v>43</v>
      </c>
      <c r="C3923" s="0" t="str">
        <f aca="false">INDEX(Intent_Analysis!$B$5:$B$81,MATCH(B3923,Intent_Analysis!$A$5:$A$81,0))</f>
        <v>Account &amp; identity</v>
      </c>
      <c r="D3923" s="0" t="n">
        <f aca="false">INDEX(Intent_Analysis!$E$5:$E$81,MATCH(B3923,Intent_Analysis!$A$5:$A$81,0))</f>
        <v>2</v>
      </c>
    </row>
    <row r="3924" customFormat="false" ht="15" hidden="false" customHeight="false" outlineLevel="0" collapsed="false">
      <c r="A3924" s="0" t="s">
        <v>4248</v>
      </c>
      <c r="B3924" s="0" t="s">
        <v>43</v>
      </c>
      <c r="C3924" s="0" t="str">
        <f aca="false">INDEX(Intent_Analysis!$B$5:$B$81,MATCH(B3924,Intent_Analysis!$A$5:$A$81,0))</f>
        <v>Account &amp; identity</v>
      </c>
      <c r="D3924" s="0" t="n">
        <f aca="false">INDEX(Intent_Analysis!$E$5:$E$81,MATCH(B3924,Intent_Analysis!$A$5:$A$81,0))</f>
        <v>2</v>
      </c>
    </row>
    <row r="3925" customFormat="false" ht="15" hidden="false" customHeight="false" outlineLevel="0" collapsed="false">
      <c r="A3925" s="0" t="s">
        <v>4249</v>
      </c>
      <c r="B3925" s="0" t="s">
        <v>43</v>
      </c>
      <c r="C3925" s="0" t="str">
        <f aca="false">INDEX(Intent_Analysis!$B$5:$B$81,MATCH(B3925,Intent_Analysis!$A$5:$A$81,0))</f>
        <v>Account &amp; identity</v>
      </c>
      <c r="D3925" s="0" t="n">
        <f aca="false">INDEX(Intent_Analysis!$E$5:$E$81,MATCH(B3925,Intent_Analysis!$A$5:$A$81,0))</f>
        <v>2</v>
      </c>
    </row>
    <row r="3926" customFormat="false" ht="15" hidden="false" customHeight="false" outlineLevel="0" collapsed="false">
      <c r="A3926" s="0" t="s">
        <v>4250</v>
      </c>
      <c r="B3926" s="0" t="s">
        <v>43</v>
      </c>
      <c r="C3926" s="0" t="str">
        <f aca="false">INDEX(Intent_Analysis!$B$5:$B$81,MATCH(B3926,Intent_Analysis!$A$5:$A$81,0))</f>
        <v>Account &amp; identity</v>
      </c>
      <c r="D3926" s="0" t="n">
        <f aca="false">INDEX(Intent_Analysis!$E$5:$E$81,MATCH(B3926,Intent_Analysis!$A$5:$A$81,0))</f>
        <v>2</v>
      </c>
    </row>
    <row r="3927" customFormat="false" ht="15" hidden="false" customHeight="false" outlineLevel="0" collapsed="false">
      <c r="A3927" s="0" t="s">
        <v>4251</v>
      </c>
      <c r="B3927" s="0" t="s">
        <v>43</v>
      </c>
      <c r="C3927" s="0" t="str">
        <f aca="false">INDEX(Intent_Analysis!$B$5:$B$81,MATCH(B3927,Intent_Analysis!$A$5:$A$81,0))</f>
        <v>Account &amp; identity</v>
      </c>
      <c r="D3927" s="0" t="n">
        <f aca="false">INDEX(Intent_Analysis!$E$5:$E$81,MATCH(B3927,Intent_Analysis!$A$5:$A$81,0))</f>
        <v>2</v>
      </c>
    </row>
    <row r="3928" customFormat="false" ht="15" hidden="false" customHeight="false" outlineLevel="0" collapsed="false">
      <c r="A3928" s="0" t="s">
        <v>4252</v>
      </c>
      <c r="B3928" s="0" t="s">
        <v>43</v>
      </c>
      <c r="C3928" s="0" t="str">
        <f aca="false">INDEX(Intent_Analysis!$B$5:$B$81,MATCH(B3928,Intent_Analysis!$A$5:$A$81,0))</f>
        <v>Account &amp; identity</v>
      </c>
      <c r="D3928" s="0" t="n">
        <f aca="false">INDEX(Intent_Analysis!$E$5:$E$81,MATCH(B3928,Intent_Analysis!$A$5:$A$81,0))</f>
        <v>2</v>
      </c>
    </row>
    <row r="3929" customFormat="false" ht="15" hidden="false" customHeight="false" outlineLevel="0" collapsed="false">
      <c r="A3929" s="0" t="s">
        <v>4253</v>
      </c>
      <c r="B3929" s="0" t="s">
        <v>43</v>
      </c>
      <c r="C3929" s="0" t="str">
        <f aca="false">INDEX(Intent_Analysis!$B$5:$B$81,MATCH(B3929,Intent_Analysis!$A$5:$A$81,0))</f>
        <v>Account &amp; identity</v>
      </c>
      <c r="D3929" s="0" t="n">
        <f aca="false">INDEX(Intent_Analysis!$E$5:$E$81,MATCH(B3929,Intent_Analysis!$A$5:$A$81,0))</f>
        <v>2</v>
      </c>
    </row>
    <row r="3930" customFormat="false" ht="15" hidden="false" customHeight="false" outlineLevel="0" collapsed="false">
      <c r="A3930" s="0" t="s">
        <v>4254</v>
      </c>
      <c r="B3930" s="0" t="s">
        <v>43</v>
      </c>
      <c r="C3930" s="0" t="str">
        <f aca="false">INDEX(Intent_Analysis!$B$5:$B$81,MATCH(B3930,Intent_Analysis!$A$5:$A$81,0))</f>
        <v>Account &amp; identity</v>
      </c>
      <c r="D3930" s="0" t="n">
        <f aca="false">INDEX(Intent_Analysis!$E$5:$E$81,MATCH(B3930,Intent_Analysis!$A$5:$A$81,0))</f>
        <v>2</v>
      </c>
    </row>
    <row r="3931" customFormat="false" ht="15" hidden="false" customHeight="false" outlineLevel="0" collapsed="false">
      <c r="A3931" s="0" t="s">
        <v>4255</v>
      </c>
      <c r="B3931" s="0" t="s">
        <v>43</v>
      </c>
      <c r="C3931" s="0" t="str">
        <f aca="false">INDEX(Intent_Analysis!$B$5:$B$81,MATCH(B3931,Intent_Analysis!$A$5:$A$81,0))</f>
        <v>Account &amp; identity</v>
      </c>
      <c r="D3931" s="0" t="n">
        <f aca="false">INDEX(Intent_Analysis!$E$5:$E$81,MATCH(B3931,Intent_Analysis!$A$5:$A$81,0))</f>
        <v>2</v>
      </c>
    </row>
    <row r="3932" customFormat="false" ht="15" hidden="false" customHeight="false" outlineLevel="0" collapsed="false">
      <c r="A3932" s="0" t="s">
        <v>4256</v>
      </c>
      <c r="B3932" s="0" t="s">
        <v>43</v>
      </c>
      <c r="C3932" s="0" t="str">
        <f aca="false">INDEX(Intent_Analysis!$B$5:$B$81,MATCH(B3932,Intent_Analysis!$A$5:$A$81,0))</f>
        <v>Account &amp; identity</v>
      </c>
      <c r="D3932" s="0" t="n">
        <f aca="false">INDEX(Intent_Analysis!$E$5:$E$81,MATCH(B3932,Intent_Analysis!$A$5:$A$81,0))</f>
        <v>2</v>
      </c>
    </row>
    <row r="3933" customFormat="false" ht="15" hidden="false" customHeight="false" outlineLevel="0" collapsed="false">
      <c r="A3933" s="0" t="s">
        <v>4257</v>
      </c>
      <c r="B3933" s="0" t="s">
        <v>43</v>
      </c>
      <c r="C3933" s="0" t="str">
        <f aca="false">INDEX(Intent_Analysis!$B$5:$B$81,MATCH(B3933,Intent_Analysis!$A$5:$A$81,0))</f>
        <v>Account &amp; identity</v>
      </c>
      <c r="D3933" s="0" t="n">
        <f aca="false">INDEX(Intent_Analysis!$E$5:$E$81,MATCH(B3933,Intent_Analysis!$A$5:$A$81,0))</f>
        <v>2</v>
      </c>
    </row>
    <row r="3934" customFormat="false" ht="15" hidden="false" customHeight="false" outlineLevel="0" collapsed="false">
      <c r="A3934" s="0" t="s">
        <v>4258</v>
      </c>
      <c r="B3934" s="0" t="s">
        <v>43</v>
      </c>
      <c r="C3934" s="0" t="str">
        <f aca="false">INDEX(Intent_Analysis!$B$5:$B$81,MATCH(B3934,Intent_Analysis!$A$5:$A$81,0))</f>
        <v>Account &amp; identity</v>
      </c>
      <c r="D3934" s="0" t="n">
        <f aca="false">INDEX(Intent_Analysis!$E$5:$E$81,MATCH(B3934,Intent_Analysis!$A$5:$A$81,0))</f>
        <v>2</v>
      </c>
    </row>
    <row r="3935" customFormat="false" ht="15" hidden="false" customHeight="false" outlineLevel="0" collapsed="false">
      <c r="A3935" s="0" t="s">
        <v>4259</v>
      </c>
      <c r="B3935" s="0" t="s">
        <v>43</v>
      </c>
      <c r="C3935" s="0" t="str">
        <f aca="false">INDEX(Intent_Analysis!$B$5:$B$81,MATCH(B3935,Intent_Analysis!$A$5:$A$81,0))</f>
        <v>Account &amp; identity</v>
      </c>
      <c r="D3935" s="0" t="n">
        <f aca="false">INDEX(Intent_Analysis!$E$5:$E$81,MATCH(B3935,Intent_Analysis!$A$5:$A$81,0))</f>
        <v>2</v>
      </c>
    </row>
    <row r="3936" customFormat="false" ht="15" hidden="false" customHeight="false" outlineLevel="0" collapsed="false">
      <c r="A3936" s="0" t="s">
        <v>4260</v>
      </c>
      <c r="B3936" s="0" t="s">
        <v>43</v>
      </c>
      <c r="C3936" s="0" t="str">
        <f aca="false">INDEX(Intent_Analysis!$B$5:$B$81,MATCH(B3936,Intent_Analysis!$A$5:$A$81,0))</f>
        <v>Account &amp; identity</v>
      </c>
      <c r="D3936" s="0" t="n">
        <f aca="false">INDEX(Intent_Analysis!$E$5:$E$81,MATCH(B3936,Intent_Analysis!$A$5:$A$81,0))</f>
        <v>2</v>
      </c>
    </row>
    <row r="3937" customFormat="false" ht="15" hidden="false" customHeight="false" outlineLevel="0" collapsed="false">
      <c r="A3937" s="0" t="s">
        <v>4261</v>
      </c>
      <c r="B3937" s="0" t="s">
        <v>43</v>
      </c>
      <c r="C3937" s="0" t="str">
        <f aca="false">INDEX(Intent_Analysis!$B$5:$B$81,MATCH(B3937,Intent_Analysis!$A$5:$A$81,0))</f>
        <v>Account &amp; identity</v>
      </c>
      <c r="D3937" s="0" t="n">
        <f aca="false">INDEX(Intent_Analysis!$E$5:$E$81,MATCH(B3937,Intent_Analysis!$A$5:$A$81,0))</f>
        <v>2</v>
      </c>
    </row>
    <row r="3938" customFormat="false" ht="15" hidden="false" customHeight="false" outlineLevel="0" collapsed="false">
      <c r="A3938" s="0" t="s">
        <v>4262</v>
      </c>
      <c r="B3938" s="0" t="s">
        <v>43</v>
      </c>
      <c r="C3938" s="0" t="str">
        <f aca="false">INDEX(Intent_Analysis!$B$5:$B$81,MATCH(B3938,Intent_Analysis!$A$5:$A$81,0))</f>
        <v>Account &amp; identity</v>
      </c>
      <c r="D3938" s="0" t="n">
        <f aca="false">INDEX(Intent_Analysis!$E$5:$E$81,MATCH(B3938,Intent_Analysis!$A$5:$A$81,0))</f>
        <v>2</v>
      </c>
    </row>
    <row r="3939" customFormat="false" ht="15" hidden="false" customHeight="false" outlineLevel="0" collapsed="false">
      <c r="A3939" s="0" t="s">
        <v>4263</v>
      </c>
      <c r="B3939" s="0" t="s">
        <v>43</v>
      </c>
      <c r="C3939" s="0" t="str">
        <f aca="false">INDEX(Intent_Analysis!$B$5:$B$81,MATCH(B3939,Intent_Analysis!$A$5:$A$81,0))</f>
        <v>Account &amp; identity</v>
      </c>
      <c r="D3939" s="0" t="n">
        <f aca="false">INDEX(Intent_Analysis!$E$5:$E$81,MATCH(B3939,Intent_Analysis!$A$5:$A$81,0))</f>
        <v>2</v>
      </c>
    </row>
    <row r="3940" customFormat="false" ht="15" hidden="false" customHeight="false" outlineLevel="0" collapsed="false">
      <c r="A3940" s="0" t="s">
        <v>4264</v>
      </c>
      <c r="B3940" s="0" t="s">
        <v>43</v>
      </c>
      <c r="C3940" s="0" t="str">
        <f aca="false">INDEX(Intent_Analysis!$B$5:$B$81,MATCH(B3940,Intent_Analysis!$A$5:$A$81,0))</f>
        <v>Account &amp; identity</v>
      </c>
      <c r="D3940" s="0" t="n">
        <f aca="false">INDEX(Intent_Analysis!$E$5:$E$81,MATCH(B3940,Intent_Analysis!$A$5:$A$81,0))</f>
        <v>2</v>
      </c>
    </row>
    <row r="3941" customFormat="false" ht="15" hidden="false" customHeight="false" outlineLevel="0" collapsed="false">
      <c r="A3941" s="0" t="s">
        <v>4265</v>
      </c>
      <c r="B3941" s="0" t="s">
        <v>43</v>
      </c>
      <c r="C3941" s="0" t="str">
        <f aca="false">INDEX(Intent_Analysis!$B$5:$B$81,MATCH(B3941,Intent_Analysis!$A$5:$A$81,0))</f>
        <v>Account &amp; identity</v>
      </c>
      <c r="D3941" s="0" t="n">
        <f aca="false">INDEX(Intent_Analysis!$E$5:$E$81,MATCH(B3941,Intent_Analysis!$A$5:$A$81,0))</f>
        <v>2</v>
      </c>
    </row>
    <row r="3942" customFormat="false" ht="15" hidden="false" customHeight="false" outlineLevel="0" collapsed="false">
      <c r="A3942" s="0" t="s">
        <v>4266</v>
      </c>
      <c r="B3942" s="0" t="s">
        <v>43</v>
      </c>
      <c r="C3942" s="0" t="str">
        <f aca="false">INDEX(Intent_Analysis!$B$5:$B$81,MATCH(B3942,Intent_Analysis!$A$5:$A$81,0))</f>
        <v>Account &amp; identity</v>
      </c>
      <c r="D3942" s="0" t="n">
        <f aca="false">INDEX(Intent_Analysis!$E$5:$E$81,MATCH(B3942,Intent_Analysis!$A$5:$A$81,0))</f>
        <v>2</v>
      </c>
    </row>
    <row r="3943" customFormat="false" ht="15" hidden="false" customHeight="false" outlineLevel="0" collapsed="false">
      <c r="A3943" s="0" t="s">
        <v>4267</v>
      </c>
      <c r="B3943" s="0" t="s">
        <v>43</v>
      </c>
      <c r="C3943" s="0" t="str">
        <f aca="false">INDEX(Intent_Analysis!$B$5:$B$81,MATCH(B3943,Intent_Analysis!$A$5:$A$81,0))</f>
        <v>Account &amp; identity</v>
      </c>
      <c r="D3943" s="0" t="n">
        <f aca="false">INDEX(Intent_Analysis!$E$5:$E$81,MATCH(B3943,Intent_Analysis!$A$5:$A$81,0))</f>
        <v>2</v>
      </c>
    </row>
    <row r="3944" customFormat="false" ht="15" hidden="false" customHeight="false" outlineLevel="0" collapsed="false">
      <c r="A3944" s="0" t="s">
        <v>4268</v>
      </c>
      <c r="B3944" s="0" t="s">
        <v>43</v>
      </c>
      <c r="C3944" s="0" t="str">
        <f aca="false">INDEX(Intent_Analysis!$B$5:$B$81,MATCH(B3944,Intent_Analysis!$A$5:$A$81,0))</f>
        <v>Account &amp; identity</v>
      </c>
      <c r="D3944" s="0" t="n">
        <f aca="false">INDEX(Intent_Analysis!$E$5:$E$81,MATCH(B3944,Intent_Analysis!$A$5:$A$81,0))</f>
        <v>2</v>
      </c>
    </row>
    <row r="3945" customFormat="false" ht="15" hidden="false" customHeight="false" outlineLevel="0" collapsed="false">
      <c r="A3945" s="0" t="s">
        <v>4269</v>
      </c>
      <c r="B3945" s="0" t="s">
        <v>43</v>
      </c>
      <c r="C3945" s="0" t="str">
        <f aca="false">INDEX(Intent_Analysis!$B$5:$B$81,MATCH(B3945,Intent_Analysis!$A$5:$A$81,0))</f>
        <v>Account &amp; identity</v>
      </c>
      <c r="D3945" s="0" t="n">
        <f aca="false">INDEX(Intent_Analysis!$E$5:$E$81,MATCH(B3945,Intent_Analysis!$A$5:$A$81,0))</f>
        <v>2</v>
      </c>
    </row>
    <row r="3946" customFormat="false" ht="15" hidden="false" customHeight="false" outlineLevel="0" collapsed="false">
      <c r="A3946" s="0" t="s">
        <v>4270</v>
      </c>
      <c r="B3946" s="0" t="s">
        <v>43</v>
      </c>
      <c r="C3946" s="0" t="str">
        <f aca="false">INDEX(Intent_Analysis!$B$5:$B$81,MATCH(B3946,Intent_Analysis!$A$5:$A$81,0))</f>
        <v>Account &amp; identity</v>
      </c>
      <c r="D3946" s="0" t="n">
        <f aca="false">INDEX(Intent_Analysis!$E$5:$E$81,MATCH(B3946,Intent_Analysis!$A$5:$A$81,0))</f>
        <v>2</v>
      </c>
    </row>
    <row r="3947" customFormat="false" ht="15" hidden="false" customHeight="false" outlineLevel="0" collapsed="false">
      <c r="A3947" s="0" t="s">
        <v>4271</v>
      </c>
      <c r="B3947" s="0" t="s">
        <v>43</v>
      </c>
      <c r="C3947" s="0" t="str">
        <f aca="false">INDEX(Intent_Analysis!$B$5:$B$81,MATCH(B3947,Intent_Analysis!$A$5:$A$81,0))</f>
        <v>Account &amp; identity</v>
      </c>
      <c r="D3947" s="0" t="n">
        <f aca="false">INDEX(Intent_Analysis!$E$5:$E$81,MATCH(B3947,Intent_Analysis!$A$5:$A$81,0))</f>
        <v>2</v>
      </c>
    </row>
    <row r="3948" customFormat="false" ht="15" hidden="false" customHeight="false" outlineLevel="0" collapsed="false">
      <c r="A3948" s="0" t="s">
        <v>4272</v>
      </c>
      <c r="B3948" s="0" t="s">
        <v>43</v>
      </c>
      <c r="C3948" s="0" t="str">
        <f aca="false">INDEX(Intent_Analysis!$B$5:$B$81,MATCH(B3948,Intent_Analysis!$A$5:$A$81,0))</f>
        <v>Account &amp; identity</v>
      </c>
      <c r="D3948" s="0" t="n">
        <f aca="false">INDEX(Intent_Analysis!$E$5:$E$81,MATCH(B3948,Intent_Analysis!$A$5:$A$81,0))</f>
        <v>2</v>
      </c>
    </row>
    <row r="3949" customFormat="false" ht="15" hidden="false" customHeight="false" outlineLevel="0" collapsed="false">
      <c r="A3949" s="0" t="s">
        <v>4273</v>
      </c>
      <c r="B3949" s="0" t="s">
        <v>43</v>
      </c>
      <c r="C3949" s="0" t="str">
        <f aca="false">INDEX(Intent_Analysis!$B$5:$B$81,MATCH(B3949,Intent_Analysis!$A$5:$A$81,0))</f>
        <v>Account &amp; identity</v>
      </c>
      <c r="D3949" s="0" t="n">
        <f aca="false">INDEX(Intent_Analysis!$E$5:$E$81,MATCH(B3949,Intent_Analysis!$A$5:$A$81,0))</f>
        <v>2</v>
      </c>
    </row>
    <row r="3950" customFormat="false" ht="15" hidden="false" customHeight="false" outlineLevel="0" collapsed="false">
      <c r="A3950" s="0" t="s">
        <v>4274</v>
      </c>
      <c r="B3950" s="0" t="s">
        <v>43</v>
      </c>
      <c r="C3950" s="0" t="str">
        <f aca="false">INDEX(Intent_Analysis!$B$5:$B$81,MATCH(B3950,Intent_Analysis!$A$5:$A$81,0))</f>
        <v>Account &amp; identity</v>
      </c>
      <c r="D3950" s="0" t="n">
        <f aca="false">INDEX(Intent_Analysis!$E$5:$E$81,MATCH(B3950,Intent_Analysis!$A$5:$A$81,0))</f>
        <v>2</v>
      </c>
    </row>
    <row r="3951" customFormat="false" ht="15" hidden="false" customHeight="false" outlineLevel="0" collapsed="false">
      <c r="A3951" s="0" t="s">
        <v>4275</v>
      </c>
      <c r="B3951" s="0" t="s">
        <v>43</v>
      </c>
      <c r="C3951" s="0" t="str">
        <f aca="false">INDEX(Intent_Analysis!$B$5:$B$81,MATCH(B3951,Intent_Analysis!$A$5:$A$81,0))</f>
        <v>Account &amp; identity</v>
      </c>
      <c r="D3951" s="0" t="n">
        <f aca="false">INDEX(Intent_Analysis!$E$5:$E$81,MATCH(B3951,Intent_Analysis!$A$5:$A$81,0))</f>
        <v>2</v>
      </c>
    </row>
    <row r="3952" customFormat="false" ht="15" hidden="false" customHeight="false" outlineLevel="0" collapsed="false">
      <c r="A3952" s="0" t="s">
        <v>4276</v>
      </c>
      <c r="B3952" s="0" t="s">
        <v>43</v>
      </c>
      <c r="C3952" s="0" t="str">
        <f aca="false">INDEX(Intent_Analysis!$B$5:$B$81,MATCH(B3952,Intent_Analysis!$A$5:$A$81,0))</f>
        <v>Account &amp; identity</v>
      </c>
      <c r="D3952" s="0" t="n">
        <f aca="false">INDEX(Intent_Analysis!$E$5:$E$81,MATCH(B3952,Intent_Analysis!$A$5:$A$81,0))</f>
        <v>2</v>
      </c>
    </row>
    <row r="3953" customFormat="false" ht="15" hidden="false" customHeight="false" outlineLevel="0" collapsed="false">
      <c r="A3953" s="0" t="s">
        <v>4277</v>
      </c>
      <c r="B3953" s="0" t="s">
        <v>43</v>
      </c>
      <c r="C3953" s="0" t="str">
        <f aca="false">INDEX(Intent_Analysis!$B$5:$B$81,MATCH(B3953,Intent_Analysis!$A$5:$A$81,0))</f>
        <v>Account &amp; identity</v>
      </c>
      <c r="D3953" s="0" t="n">
        <f aca="false">INDEX(Intent_Analysis!$E$5:$E$81,MATCH(B3953,Intent_Analysis!$A$5:$A$81,0))</f>
        <v>2</v>
      </c>
    </row>
    <row r="3954" customFormat="false" ht="15" hidden="false" customHeight="false" outlineLevel="0" collapsed="false">
      <c r="A3954" s="0" t="s">
        <v>4278</v>
      </c>
      <c r="B3954" s="0" t="s">
        <v>43</v>
      </c>
      <c r="C3954" s="0" t="str">
        <f aca="false">INDEX(Intent_Analysis!$B$5:$B$81,MATCH(B3954,Intent_Analysis!$A$5:$A$81,0))</f>
        <v>Account &amp; identity</v>
      </c>
      <c r="D3954" s="0" t="n">
        <f aca="false">INDEX(Intent_Analysis!$E$5:$E$81,MATCH(B3954,Intent_Analysis!$A$5:$A$81,0))</f>
        <v>2</v>
      </c>
    </row>
    <row r="3955" customFormat="false" ht="15" hidden="false" customHeight="false" outlineLevel="0" collapsed="false">
      <c r="A3955" s="0" t="s">
        <v>4279</v>
      </c>
      <c r="B3955" s="0" t="s">
        <v>43</v>
      </c>
      <c r="C3955" s="0" t="str">
        <f aca="false">INDEX(Intent_Analysis!$B$5:$B$81,MATCH(B3955,Intent_Analysis!$A$5:$A$81,0))</f>
        <v>Account &amp; identity</v>
      </c>
      <c r="D3955" s="0" t="n">
        <f aca="false">INDEX(Intent_Analysis!$E$5:$E$81,MATCH(B3955,Intent_Analysis!$A$5:$A$81,0))</f>
        <v>2</v>
      </c>
    </row>
    <row r="3956" customFormat="false" ht="15" hidden="false" customHeight="false" outlineLevel="0" collapsed="false">
      <c r="A3956" s="0" t="s">
        <v>4280</v>
      </c>
      <c r="B3956" s="0" t="s">
        <v>43</v>
      </c>
      <c r="C3956" s="0" t="str">
        <f aca="false">INDEX(Intent_Analysis!$B$5:$B$81,MATCH(B3956,Intent_Analysis!$A$5:$A$81,0))</f>
        <v>Account &amp; identity</v>
      </c>
      <c r="D3956" s="0" t="n">
        <f aca="false">INDEX(Intent_Analysis!$E$5:$E$81,MATCH(B3956,Intent_Analysis!$A$5:$A$81,0))</f>
        <v>2</v>
      </c>
    </row>
    <row r="3957" customFormat="false" ht="15" hidden="false" customHeight="false" outlineLevel="0" collapsed="false">
      <c r="A3957" s="0" t="s">
        <v>4281</v>
      </c>
      <c r="B3957" s="0" t="s">
        <v>43</v>
      </c>
      <c r="C3957" s="0" t="str">
        <f aca="false">INDEX(Intent_Analysis!$B$5:$B$81,MATCH(B3957,Intent_Analysis!$A$5:$A$81,0))</f>
        <v>Account &amp; identity</v>
      </c>
      <c r="D3957" s="0" t="n">
        <f aca="false">INDEX(Intent_Analysis!$E$5:$E$81,MATCH(B3957,Intent_Analysis!$A$5:$A$81,0))</f>
        <v>2</v>
      </c>
    </row>
    <row r="3958" customFormat="false" ht="15" hidden="false" customHeight="false" outlineLevel="0" collapsed="false">
      <c r="A3958" s="0" t="s">
        <v>4282</v>
      </c>
      <c r="B3958" s="0" t="s">
        <v>43</v>
      </c>
      <c r="C3958" s="0" t="str">
        <f aca="false">INDEX(Intent_Analysis!$B$5:$B$81,MATCH(B3958,Intent_Analysis!$A$5:$A$81,0))</f>
        <v>Account &amp; identity</v>
      </c>
      <c r="D3958" s="0" t="n">
        <f aca="false">INDEX(Intent_Analysis!$E$5:$E$81,MATCH(B3958,Intent_Analysis!$A$5:$A$81,0))</f>
        <v>2</v>
      </c>
    </row>
    <row r="3959" customFormat="false" ht="15" hidden="false" customHeight="false" outlineLevel="0" collapsed="false">
      <c r="A3959" s="0" t="s">
        <v>4283</v>
      </c>
      <c r="B3959" s="0" t="s">
        <v>43</v>
      </c>
      <c r="C3959" s="0" t="str">
        <f aca="false">INDEX(Intent_Analysis!$B$5:$B$81,MATCH(B3959,Intent_Analysis!$A$5:$A$81,0))</f>
        <v>Account &amp; identity</v>
      </c>
      <c r="D3959" s="0" t="n">
        <f aca="false">INDEX(Intent_Analysis!$E$5:$E$81,MATCH(B3959,Intent_Analysis!$A$5:$A$81,0))</f>
        <v>2</v>
      </c>
    </row>
    <row r="3960" customFormat="false" ht="15" hidden="false" customHeight="false" outlineLevel="0" collapsed="false">
      <c r="A3960" s="0" t="s">
        <v>4284</v>
      </c>
      <c r="B3960" s="0" t="s">
        <v>43</v>
      </c>
      <c r="C3960" s="0" t="str">
        <f aca="false">INDEX(Intent_Analysis!$B$5:$B$81,MATCH(B3960,Intent_Analysis!$A$5:$A$81,0))</f>
        <v>Account &amp; identity</v>
      </c>
      <c r="D3960" s="0" t="n">
        <f aca="false">INDEX(Intent_Analysis!$E$5:$E$81,MATCH(B3960,Intent_Analysis!$A$5:$A$81,0))</f>
        <v>2</v>
      </c>
    </row>
    <row r="3961" customFormat="false" ht="15" hidden="false" customHeight="false" outlineLevel="0" collapsed="false">
      <c r="A3961" s="0" t="s">
        <v>4285</v>
      </c>
      <c r="B3961" s="0" t="s">
        <v>43</v>
      </c>
      <c r="C3961" s="0" t="str">
        <f aca="false">INDEX(Intent_Analysis!$B$5:$B$81,MATCH(B3961,Intent_Analysis!$A$5:$A$81,0))</f>
        <v>Account &amp; identity</v>
      </c>
      <c r="D3961" s="0" t="n">
        <f aca="false">INDEX(Intent_Analysis!$E$5:$E$81,MATCH(B3961,Intent_Analysis!$A$5:$A$81,0))</f>
        <v>2</v>
      </c>
    </row>
    <row r="3962" customFormat="false" ht="15" hidden="false" customHeight="false" outlineLevel="0" collapsed="false">
      <c r="A3962" s="0" t="s">
        <v>4286</v>
      </c>
      <c r="B3962" s="0" t="s">
        <v>43</v>
      </c>
      <c r="C3962" s="0" t="str">
        <f aca="false">INDEX(Intent_Analysis!$B$5:$B$81,MATCH(B3962,Intent_Analysis!$A$5:$A$81,0))</f>
        <v>Account &amp; identity</v>
      </c>
      <c r="D3962" s="0" t="n">
        <f aca="false">INDEX(Intent_Analysis!$E$5:$E$81,MATCH(B3962,Intent_Analysis!$A$5:$A$81,0))</f>
        <v>2</v>
      </c>
    </row>
    <row r="3963" customFormat="false" ht="15" hidden="false" customHeight="false" outlineLevel="0" collapsed="false">
      <c r="A3963" s="0" t="s">
        <v>4287</v>
      </c>
      <c r="B3963" s="0" t="s">
        <v>43</v>
      </c>
      <c r="C3963" s="0" t="str">
        <f aca="false">INDEX(Intent_Analysis!$B$5:$B$81,MATCH(B3963,Intent_Analysis!$A$5:$A$81,0))</f>
        <v>Account &amp; identity</v>
      </c>
      <c r="D3963" s="0" t="n">
        <f aca="false">INDEX(Intent_Analysis!$E$5:$E$81,MATCH(B3963,Intent_Analysis!$A$5:$A$81,0))</f>
        <v>2</v>
      </c>
    </row>
    <row r="3964" customFormat="false" ht="15" hidden="false" customHeight="false" outlineLevel="0" collapsed="false">
      <c r="A3964" s="0" t="s">
        <v>4288</v>
      </c>
      <c r="B3964" s="0" t="s">
        <v>43</v>
      </c>
      <c r="C3964" s="0" t="str">
        <f aca="false">INDEX(Intent_Analysis!$B$5:$B$81,MATCH(B3964,Intent_Analysis!$A$5:$A$81,0))</f>
        <v>Account &amp; identity</v>
      </c>
      <c r="D3964" s="0" t="n">
        <f aca="false">INDEX(Intent_Analysis!$E$5:$E$81,MATCH(B3964,Intent_Analysis!$A$5:$A$81,0))</f>
        <v>2</v>
      </c>
    </row>
    <row r="3965" customFormat="false" ht="15" hidden="false" customHeight="false" outlineLevel="0" collapsed="false">
      <c r="A3965" s="0" t="s">
        <v>4289</v>
      </c>
      <c r="B3965" s="0" t="s">
        <v>43</v>
      </c>
      <c r="C3965" s="0" t="str">
        <f aca="false">INDEX(Intent_Analysis!$B$5:$B$81,MATCH(B3965,Intent_Analysis!$A$5:$A$81,0))</f>
        <v>Account &amp; identity</v>
      </c>
      <c r="D3965" s="0" t="n">
        <f aca="false">INDEX(Intent_Analysis!$E$5:$E$81,MATCH(B3965,Intent_Analysis!$A$5:$A$81,0))</f>
        <v>2</v>
      </c>
    </row>
    <row r="3966" customFormat="false" ht="15" hidden="false" customHeight="false" outlineLevel="0" collapsed="false">
      <c r="A3966" s="0" t="s">
        <v>4290</v>
      </c>
      <c r="B3966" s="0" t="s">
        <v>43</v>
      </c>
      <c r="C3966" s="0" t="str">
        <f aca="false">INDEX(Intent_Analysis!$B$5:$B$81,MATCH(B3966,Intent_Analysis!$A$5:$A$81,0))</f>
        <v>Account &amp; identity</v>
      </c>
      <c r="D3966" s="0" t="n">
        <f aca="false">INDEX(Intent_Analysis!$E$5:$E$81,MATCH(B3966,Intent_Analysis!$A$5:$A$81,0))</f>
        <v>2</v>
      </c>
    </row>
    <row r="3967" customFormat="false" ht="15" hidden="false" customHeight="false" outlineLevel="0" collapsed="false">
      <c r="A3967" s="0" t="s">
        <v>4291</v>
      </c>
      <c r="B3967" s="0" t="s">
        <v>43</v>
      </c>
      <c r="C3967" s="0" t="str">
        <f aca="false">INDEX(Intent_Analysis!$B$5:$B$81,MATCH(B3967,Intent_Analysis!$A$5:$A$81,0))</f>
        <v>Account &amp; identity</v>
      </c>
      <c r="D3967" s="0" t="n">
        <f aca="false">INDEX(Intent_Analysis!$E$5:$E$81,MATCH(B3967,Intent_Analysis!$A$5:$A$81,0))</f>
        <v>2</v>
      </c>
    </row>
    <row r="3968" customFormat="false" ht="15" hidden="false" customHeight="false" outlineLevel="0" collapsed="false">
      <c r="A3968" s="0" t="s">
        <v>4292</v>
      </c>
      <c r="B3968" s="0" t="s">
        <v>43</v>
      </c>
      <c r="C3968" s="0" t="str">
        <f aca="false">INDEX(Intent_Analysis!$B$5:$B$81,MATCH(B3968,Intent_Analysis!$A$5:$A$81,0))</f>
        <v>Account &amp; identity</v>
      </c>
      <c r="D3968" s="0" t="n">
        <f aca="false">INDEX(Intent_Analysis!$E$5:$E$81,MATCH(B3968,Intent_Analysis!$A$5:$A$81,0))</f>
        <v>2</v>
      </c>
    </row>
    <row r="3969" customFormat="false" ht="15" hidden="false" customHeight="false" outlineLevel="0" collapsed="false">
      <c r="A3969" s="0" t="s">
        <v>4293</v>
      </c>
      <c r="B3969" s="0" t="s">
        <v>43</v>
      </c>
      <c r="C3969" s="0" t="str">
        <f aca="false">INDEX(Intent_Analysis!$B$5:$B$81,MATCH(B3969,Intent_Analysis!$A$5:$A$81,0))</f>
        <v>Account &amp; identity</v>
      </c>
      <c r="D3969" s="0" t="n">
        <f aca="false">INDEX(Intent_Analysis!$E$5:$E$81,MATCH(B3969,Intent_Analysis!$A$5:$A$81,0))</f>
        <v>2</v>
      </c>
    </row>
    <row r="3970" customFormat="false" ht="15" hidden="false" customHeight="false" outlineLevel="0" collapsed="false">
      <c r="A3970" s="0" t="s">
        <v>4294</v>
      </c>
      <c r="B3970" s="0" t="s">
        <v>43</v>
      </c>
      <c r="C3970" s="0" t="str">
        <f aca="false">INDEX(Intent_Analysis!$B$5:$B$81,MATCH(B3970,Intent_Analysis!$A$5:$A$81,0))</f>
        <v>Account &amp; identity</v>
      </c>
      <c r="D3970" s="0" t="n">
        <f aca="false">INDEX(Intent_Analysis!$E$5:$E$81,MATCH(B3970,Intent_Analysis!$A$5:$A$81,0))</f>
        <v>2</v>
      </c>
    </row>
    <row r="3971" customFormat="false" ht="15" hidden="false" customHeight="false" outlineLevel="0" collapsed="false">
      <c r="A3971" s="0" t="s">
        <v>4295</v>
      </c>
      <c r="B3971" s="0" t="s">
        <v>43</v>
      </c>
      <c r="C3971" s="0" t="str">
        <f aca="false">INDEX(Intent_Analysis!$B$5:$B$81,MATCH(B3971,Intent_Analysis!$A$5:$A$81,0))</f>
        <v>Account &amp; identity</v>
      </c>
      <c r="D3971" s="0" t="n">
        <f aca="false">INDEX(Intent_Analysis!$E$5:$E$81,MATCH(B3971,Intent_Analysis!$A$5:$A$81,0))</f>
        <v>2</v>
      </c>
    </row>
    <row r="3972" customFormat="false" ht="15" hidden="false" customHeight="false" outlineLevel="0" collapsed="false">
      <c r="A3972" s="0" t="s">
        <v>4296</v>
      </c>
      <c r="B3972" s="0" t="s">
        <v>43</v>
      </c>
      <c r="C3972" s="0" t="str">
        <f aca="false">INDEX(Intent_Analysis!$B$5:$B$81,MATCH(B3972,Intent_Analysis!$A$5:$A$81,0))</f>
        <v>Account &amp; identity</v>
      </c>
      <c r="D3972" s="0" t="n">
        <f aca="false">INDEX(Intent_Analysis!$E$5:$E$81,MATCH(B3972,Intent_Analysis!$A$5:$A$81,0))</f>
        <v>2</v>
      </c>
    </row>
    <row r="3973" customFormat="false" ht="15" hidden="false" customHeight="false" outlineLevel="0" collapsed="false">
      <c r="A3973" s="0" t="s">
        <v>4297</v>
      </c>
      <c r="B3973" s="0" t="s">
        <v>43</v>
      </c>
      <c r="C3973" s="0" t="str">
        <f aca="false">INDEX(Intent_Analysis!$B$5:$B$81,MATCH(B3973,Intent_Analysis!$A$5:$A$81,0))</f>
        <v>Account &amp; identity</v>
      </c>
      <c r="D3973" s="0" t="n">
        <f aca="false">INDEX(Intent_Analysis!$E$5:$E$81,MATCH(B3973,Intent_Analysis!$A$5:$A$81,0))</f>
        <v>2</v>
      </c>
    </row>
    <row r="3974" customFormat="false" ht="15" hidden="false" customHeight="false" outlineLevel="0" collapsed="false">
      <c r="A3974" s="0" t="s">
        <v>4298</v>
      </c>
      <c r="B3974" s="0" t="s">
        <v>43</v>
      </c>
      <c r="C3974" s="0" t="str">
        <f aca="false">INDEX(Intent_Analysis!$B$5:$B$81,MATCH(B3974,Intent_Analysis!$A$5:$A$81,0))</f>
        <v>Account &amp; identity</v>
      </c>
      <c r="D3974" s="0" t="n">
        <f aca="false">INDEX(Intent_Analysis!$E$5:$E$81,MATCH(B3974,Intent_Analysis!$A$5:$A$81,0))</f>
        <v>2</v>
      </c>
    </row>
    <row r="3975" customFormat="false" ht="15" hidden="false" customHeight="false" outlineLevel="0" collapsed="false">
      <c r="A3975" s="0" t="s">
        <v>4299</v>
      </c>
      <c r="B3975" s="0" t="s">
        <v>43</v>
      </c>
      <c r="C3975" s="0" t="str">
        <f aca="false">INDEX(Intent_Analysis!$B$5:$B$81,MATCH(B3975,Intent_Analysis!$A$5:$A$81,0))</f>
        <v>Account &amp; identity</v>
      </c>
      <c r="D3975" s="0" t="n">
        <f aca="false">INDEX(Intent_Analysis!$E$5:$E$81,MATCH(B3975,Intent_Analysis!$A$5:$A$81,0))</f>
        <v>2</v>
      </c>
    </row>
    <row r="3976" customFormat="false" ht="15" hidden="false" customHeight="false" outlineLevel="0" collapsed="false">
      <c r="A3976" s="0" t="s">
        <v>4300</v>
      </c>
      <c r="B3976" s="0" t="s">
        <v>43</v>
      </c>
      <c r="C3976" s="0" t="str">
        <f aca="false">INDEX(Intent_Analysis!$B$5:$B$81,MATCH(B3976,Intent_Analysis!$A$5:$A$81,0))</f>
        <v>Account &amp; identity</v>
      </c>
      <c r="D3976" s="0" t="n">
        <f aca="false">INDEX(Intent_Analysis!$E$5:$E$81,MATCH(B3976,Intent_Analysis!$A$5:$A$81,0))</f>
        <v>2</v>
      </c>
    </row>
    <row r="3977" customFormat="false" ht="15" hidden="false" customHeight="false" outlineLevel="0" collapsed="false">
      <c r="A3977" s="0" t="s">
        <v>4301</v>
      </c>
      <c r="B3977" s="0" t="s">
        <v>43</v>
      </c>
      <c r="C3977" s="0" t="str">
        <f aca="false">INDEX(Intent_Analysis!$B$5:$B$81,MATCH(B3977,Intent_Analysis!$A$5:$A$81,0))</f>
        <v>Account &amp; identity</v>
      </c>
      <c r="D3977" s="0" t="n">
        <f aca="false">INDEX(Intent_Analysis!$E$5:$E$81,MATCH(B3977,Intent_Analysis!$A$5:$A$81,0))</f>
        <v>2</v>
      </c>
    </row>
    <row r="3978" customFormat="false" ht="15" hidden="false" customHeight="false" outlineLevel="0" collapsed="false">
      <c r="A3978" s="0" t="s">
        <v>4302</v>
      </c>
      <c r="B3978" s="0" t="s">
        <v>43</v>
      </c>
      <c r="C3978" s="0" t="str">
        <f aca="false">INDEX(Intent_Analysis!$B$5:$B$81,MATCH(B3978,Intent_Analysis!$A$5:$A$81,0))</f>
        <v>Account &amp; identity</v>
      </c>
      <c r="D3978" s="0" t="n">
        <f aca="false">INDEX(Intent_Analysis!$E$5:$E$81,MATCH(B3978,Intent_Analysis!$A$5:$A$81,0))</f>
        <v>2</v>
      </c>
    </row>
    <row r="3979" customFormat="false" ht="15" hidden="false" customHeight="false" outlineLevel="0" collapsed="false">
      <c r="A3979" s="0" t="s">
        <v>4303</v>
      </c>
      <c r="B3979" s="0" t="s">
        <v>43</v>
      </c>
      <c r="C3979" s="0" t="str">
        <f aca="false">INDEX(Intent_Analysis!$B$5:$B$81,MATCH(B3979,Intent_Analysis!$A$5:$A$81,0))</f>
        <v>Account &amp; identity</v>
      </c>
      <c r="D3979" s="0" t="n">
        <f aca="false">INDEX(Intent_Analysis!$E$5:$E$81,MATCH(B3979,Intent_Analysis!$A$5:$A$81,0))</f>
        <v>2</v>
      </c>
    </row>
    <row r="3980" customFormat="false" ht="15" hidden="false" customHeight="false" outlineLevel="0" collapsed="false">
      <c r="A3980" s="0" t="s">
        <v>4304</v>
      </c>
      <c r="B3980" s="0" t="s">
        <v>43</v>
      </c>
      <c r="C3980" s="0" t="str">
        <f aca="false">INDEX(Intent_Analysis!$B$5:$B$81,MATCH(B3980,Intent_Analysis!$A$5:$A$81,0))</f>
        <v>Account &amp; identity</v>
      </c>
      <c r="D3980" s="0" t="n">
        <f aca="false">INDEX(Intent_Analysis!$E$5:$E$81,MATCH(B3980,Intent_Analysis!$A$5:$A$81,0))</f>
        <v>2</v>
      </c>
    </row>
    <row r="3981" customFormat="false" ht="15" hidden="false" customHeight="false" outlineLevel="0" collapsed="false">
      <c r="A3981" s="0" t="s">
        <v>4305</v>
      </c>
      <c r="B3981" s="0" t="s">
        <v>43</v>
      </c>
      <c r="C3981" s="0" t="str">
        <f aca="false">INDEX(Intent_Analysis!$B$5:$B$81,MATCH(B3981,Intent_Analysis!$A$5:$A$81,0))</f>
        <v>Account &amp; identity</v>
      </c>
      <c r="D3981" s="0" t="n">
        <f aca="false">INDEX(Intent_Analysis!$E$5:$E$81,MATCH(B3981,Intent_Analysis!$A$5:$A$81,0))</f>
        <v>2</v>
      </c>
    </row>
    <row r="3982" customFormat="false" ht="15" hidden="false" customHeight="false" outlineLevel="0" collapsed="false">
      <c r="A3982" s="0" t="s">
        <v>4306</v>
      </c>
      <c r="B3982" s="0" t="s">
        <v>43</v>
      </c>
      <c r="C3982" s="0" t="str">
        <f aca="false">INDEX(Intent_Analysis!$B$5:$B$81,MATCH(B3982,Intent_Analysis!$A$5:$A$81,0))</f>
        <v>Account &amp; identity</v>
      </c>
      <c r="D3982" s="0" t="n">
        <f aca="false">INDEX(Intent_Analysis!$E$5:$E$81,MATCH(B3982,Intent_Analysis!$A$5:$A$81,0))</f>
        <v>2</v>
      </c>
    </row>
    <row r="3983" customFormat="false" ht="15" hidden="false" customHeight="false" outlineLevel="0" collapsed="false">
      <c r="A3983" s="0" t="s">
        <v>4307</v>
      </c>
      <c r="B3983" s="0" t="s">
        <v>43</v>
      </c>
      <c r="C3983" s="0" t="str">
        <f aca="false">INDEX(Intent_Analysis!$B$5:$B$81,MATCH(B3983,Intent_Analysis!$A$5:$A$81,0))</f>
        <v>Account &amp; identity</v>
      </c>
      <c r="D3983" s="0" t="n">
        <f aca="false">INDEX(Intent_Analysis!$E$5:$E$81,MATCH(B3983,Intent_Analysis!$A$5:$A$81,0))</f>
        <v>2</v>
      </c>
    </row>
    <row r="3984" customFormat="false" ht="15" hidden="false" customHeight="false" outlineLevel="0" collapsed="false">
      <c r="A3984" s="0" t="s">
        <v>4308</v>
      </c>
      <c r="B3984" s="0" t="s">
        <v>43</v>
      </c>
      <c r="C3984" s="0" t="str">
        <f aca="false">INDEX(Intent_Analysis!$B$5:$B$81,MATCH(B3984,Intent_Analysis!$A$5:$A$81,0))</f>
        <v>Account &amp; identity</v>
      </c>
      <c r="D3984" s="0" t="n">
        <f aca="false">INDEX(Intent_Analysis!$E$5:$E$81,MATCH(B3984,Intent_Analysis!$A$5:$A$81,0))</f>
        <v>2</v>
      </c>
    </row>
    <row r="3985" customFormat="false" ht="15" hidden="false" customHeight="false" outlineLevel="0" collapsed="false">
      <c r="A3985" s="0" t="s">
        <v>4309</v>
      </c>
      <c r="B3985" s="0" t="s">
        <v>43</v>
      </c>
      <c r="C3985" s="0" t="str">
        <f aca="false">INDEX(Intent_Analysis!$B$5:$B$81,MATCH(B3985,Intent_Analysis!$A$5:$A$81,0))</f>
        <v>Account &amp; identity</v>
      </c>
      <c r="D3985" s="0" t="n">
        <f aca="false">INDEX(Intent_Analysis!$E$5:$E$81,MATCH(B3985,Intent_Analysis!$A$5:$A$81,0))</f>
        <v>2</v>
      </c>
    </row>
    <row r="3986" customFormat="false" ht="15" hidden="false" customHeight="false" outlineLevel="0" collapsed="false">
      <c r="A3986" s="0" t="s">
        <v>4310</v>
      </c>
      <c r="B3986" s="0" t="s">
        <v>43</v>
      </c>
      <c r="C3986" s="0" t="str">
        <f aca="false">INDEX(Intent_Analysis!$B$5:$B$81,MATCH(B3986,Intent_Analysis!$A$5:$A$81,0))</f>
        <v>Account &amp; identity</v>
      </c>
      <c r="D3986" s="0" t="n">
        <f aca="false">INDEX(Intent_Analysis!$E$5:$E$81,MATCH(B3986,Intent_Analysis!$A$5:$A$81,0))</f>
        <v>2</v>
      </c>
    </row>
    <row r="3987" customFormat="false" ht="15" hidden="false" customHeight="false" outlineLevel="0" collapsed="false">
      <c r="A3987" s="0" t="s">
        <v>4311</v>
      </c>
      <c r="B3987" s="0" t="s">
        <v>43</v>
      </c>
      <c r="C3987" s="0" t="str">
        <f aca="false">INDEX(Intent_Analysis!$B$5:$B$81,MATCH(B3987,Intent_Analysis!$A$5:$A$81,0))</f>
        <v>Account &amp; identity</v>
      </c>
      <c r="D3987" s="0" t="n">
        <f aca="false">INDEX(Intent_Analysis!$E$5:$E$81,MATCH(B3987,Intent_Analysis!$A$5:$A$81,0))</f>
        <v>2</v>
      </c>
    </row>
    <row r="3988" customFormat="false" ht="15" hidden="false" customHeight="false" outlineLevel="0" collapsed="false">
      <c r="A3988" s="0" t="s">
        <v>4312</v>
      </c>
      <c r="B3988" s="0" t="s">
        <v>43</v>
      </c>
      <c r="C3988" s="0" t="str">
        <f aca="false">INDEX(Intent_Analysis!$B$5:$B$81,MATCH(B3988,Intent_Analysis!$A$5:$A$81,0))</f>
        <v>Account &amp; identity</v>
      </c>
      <c r="D3988" s="0" t="n">
        <f aca="false">INDEX(Intent_Analysis!$E$5:$E$81,MATCH(B3988,Intent_Analysis!$A$5:$A$81,0))</f>
        <v>2</v>
      </c>
    </row>
    <row r="3989" customFormat="false" ht="15" hidden="false" customHeight="false" outlineLevel="0" collapsed="false">
      <c r="A3989" s="0" t="s">
        <v>4313</v>
      </c>
      <c r="B3989" s="0" t="s">
        <v>43</v>
      </c>
      <c r="C3989" s="0" t="str">
        <f aca="false">INDEX(Intent_Analysis!$B$5:$B$81,MATCH(B3989,Intent_Analysis!$A$5:$A$81,0))</f>
        <v>Account &amp; identity</v>
      </c>
      <c r="D3989" s="0" t="n">
        <f aca="false">INDEX(Intent_Analysis!$E$5:$E$81,MATCH(B3989,Intent_Analysis!$A$5:$A$81,0))</f>
        <v>2</v>
      </c>
    </row>
    <row r="3990" customFormat="false" ht="15" hidden="false" customHeight="false" outlineLevel="0" collapsed="false">
      <c r="A3990" s="0" t="s">
        <v>4314</v>
      </c>
      <c r="B3990" s="0" t="s">
        <v>43</v>
      </c>
      <c r="C3990" s="0" t="str">
        <f aca="false">INDEX(Intent_Analysis!$B$5:$B$81,MATCH(B3990,Intent_Analysis!$A$5:$A$81,0))</f>
        <v>Account &amp; identity</v>
      </c>
      <c r="D3990" s="0" t="n">
        <f aca="false">INDEX(Intent_Analysis!$E$5:$E$81,MATCH(B3990,Intent_Analysis!$A$5:$A$81,0))</f>
        <v>2</v>
      </c>
    </row>
    <row r="3991" customFormat="false" ht="15" hidden="false" customHeight="false" outlineLevel="0" collapsed="false">
      <c r="A3991" s="0" t="s">
        <v>4315</v>
      </c>
      <c r="B3991" s="0" t="s">
        <v>43</v>
      </c>
      <c r="C3991" s="0" t="str">
        <f aca="false">INDEX(Intent_Analysis!$B$5:$B$81,MATCH(B3991,Intent_Analysis!$A$5:$A$81,0))</f>
        <v>Account &amp; identity</v>
      </c>
      <c r="D3991" s="0" t="n">
        <f aca="false">INDEX(Intent_Analysis!$E$5:$E$81,MATCH(B3991,Intent_Analysis!$A$5:$A$81,0))</f>
        <v>2</v>
      </c>
    </row>
    <row r="3992" customFormat="false" ht="15" hidden="false" customHeight="false" outlineLevel="0" collapsed="false">
      <c r="A3992" s="0" t="s">
        <v>4316</v>
      </c>
      <c r="B3992" s="0" t="s">
        <v>43</v>
      </c>
      <c r="C3992" s="0" t="str">
        <f aca="false">INDEX(Intent_Analysis!$B$5:$B$81,MATCH(B3992,Intent_Analysis!$A$5:$A$81,0))</f>
        <v>Account &amp; identity</v>
      </c>
      <c r="D3992" s="0" t="n">
        <f aca="false">INDEX(Intent_Analysis!$E$5:$E$81,MATCH(B3992,Intent_Analysis!$A$5:$A$81,0))</f>
        <v>2</v>
      </c>
    </row>
    <row r="3993" customFormat="false" ht="15" hidden="false" customHeight="false" outlineLevel="0" collapsed="false">
      <c r="A3993" s="0" t="s">
        <v>4317</v>
      </c>
      <c r="B3993" s="0" t="s">
        <v>43</v>
      </c>
      <c r="C3993" s="0" t="str">
        <f aca="false">INDEX(Intent_Analysis!$B$5:$B$81,MATCH(B3993,Intent_Analysis!$A$5:$A$81,0))</f>
        <v>Account &amp; identity</v>
      </c>
      <c r="D3993" s="0" t="n">
        <f aca="false">INDEX(Intent_Analysis!$E$5:$E$81,MATCH(B3993,Intent_Analysis!$A$5:$A$81,0))</f>
        <v>2</v>
      </c>
    </row>
    <row r="3994" customFormat="false" ht="15" hidden="false" customHeight="false" outlineLevel="0" collapsed="false">
      <c r="A3994" s="0" t="s">
        <v>4318</v>
      </c>
      <c r="B3994" s="0" t="s">
        <v>43</v>
      </c>
      <c r="C3994" s="0" t="str">
        <f aca="false">INDEX(Intent_Analysis!$B$5:$B$81,MATCH(B3994,Intent_Analysis!$A$5:$A$81,0))</f>
        <v>Account &amp; identity</v>
      </c>
      <c r="D3994" s="0" t="n">
        <f aca="false">INDEX(Intent_Analysis!$E$5:$E$81,MATCH(B3994,Intent_Analysis!$A$5:$A$81,0))</f>
        <v>2</v>
      </c>
    </row>
    <row r="3995" customFormat="false" ht="15" hidden="false" customHeight="false" outlineLevel="0" collapsed="false">
      <c r="A3995" s="0" t="s">
        <v>4319</v>
      </c>
      <c r="B3995" s="0" t="s">
        <v>43</v>
      </c>
      <c r="C3995" s="0" t="str">
        <f aca="false">INDEX(Intent_Analysis!$B$5:$B$81,MATCH(B3995,Intent_Analysis!$A$5:$A$81,0))</f>
        <v>Account &amp; identity</v>
      </c>
      <c r="D3995" s="0" t="n">
        <f aca="false">INDEX(Intent_Analysis!$E$5:$E$81,MATCH(B3995,Intent_Analysis!$A$5:$A$81,0))</f>
        <v>2</v>
      </c>
    </row>
    <row r="3996" customFormat="false" ht="15" hidden="false" customHeight="false" outlineLevel="0" collapsed="false">
      <c r="A3996" s="0" t="s">
        <v>4320</v>
      </c>
      <c r="B3996" s="0" t="s">
        <v>52</v>
      </c>
      <c r="C3996" s="0" t="str">
        <f aca="false">INDEX(Intent_Analysis!$B$5:$B$81,MATCH(B3996,Intent_Analysis!$A$5:$A$81,0))</f>
        <v>Card delivery &amp; activation</v>
      </c>
      <c r="D3996" s="0" t="n">
        <f aca="false">INDEX(Intent_Analysis!$E$5:$E$81,MATCH(B3996,Intent_Analysis!$A$5:$A$81,0))</f>
        <v>1</v>
      </c>
    </row>
    <row r="3997" customFormat="false" ht="15" hidden="false" customHeight="false" outlineLevel="0" collapsed="false">
      <c r="A3997" s="0" t="s">
        <v>4321</v>
      </c>
      <c r="B3997" s="0" t="s">
        <v>52</v>
      </c>
      <c r="C3997" s="0" t="str">
        <f aca="false">INDEX(Intent_Analysis!$B$5:$B$81,MATCH(B3997,Intent_Analysis!$A$5:$A$81,0))</f>
        <v>Card delivery &amp; activation</v>
      </c>
      <c r="D3997" s="0" t="n">
        <f aca="false">INDEX(Intent_Analysis!$E$5:$E$81,MATCH(B3997,Intent_Analysis!$A$5:$A$81,0))</f>
        <v>1</v>
      </c>
    </row>
    <row r="3998" customFormat="false" ht="15" hidden="false" customHeight="false" outlineLevel="0" collapsed="false">
      <c r="A3998" s="0" t="s">
        <v>4322</v>
      </c>
      <c r="B3998" s="0" t="s">
        <v>52</v>
      </c>
      <c r="C3998" s="0" t="str">
        <f aca="false">INDEX(Intent_Analysis!$B$5:$B$81,MATCH(B3998,Intent_Analysis!$A$5:$A$81,0))</f>
        <v>Card delivery &amp; activation</v>
      </c>
      <c r="D3998" s="0" t="n">
        <f aca="false">INDEX(Intent_Analysis!$E$5:$E$81,MATCH(B3998,Intent_Analysis!$A$5:$A$81,0))</f>
        <v>1</v>
      </c>
    </row>
    <row r="3999" customFormat="false" ht="15" hidden="false" customHeight="false" outlineLevel="0" collapsed="false">
      <c r="A3999" s="0" t="s">
        <v>4323</v>
      </c>
      <c r="B3999" s="0" t="s">
        <v>52</v>
      </c>
      <c r="C3999" s="0" t="str">
        <f aca="false">INDEX(Intent_Analysis!$B$5:$B$81,MATCH(B3999,Intent_Analysis!$A$5:$A$81,0))</f>
        <v>Card delivery &amp; activation</v>
      </c>
      <c r="D3999" s="0" t="n">
        <f aca="false">INDEX(Intent_Analysis!$E$5:$E$81,MATCH(B3999,Intent_Analysis!$A$5:$A$81,0))</f>
        <v>1</v>
      </c>
    </row>
    <row r="4000" customFormat="false" ht="15" hidden="false" customHeight="false" outlineLevel="0" collapsed="false">
      <c r="A4000" s="0" t="s">
        <v>4324</v>
      </c>
      <c r="B4000" s="0" t="s">
        <v>52</v>
      </c>
      <c r="C4000" s="0" t="str">
        <f aca="false">INDEX(Intent_Analysis!$B$5:$B$81,MATCH(B4000,Intent_Analysis!$A$5:$A$81,0))</f>
        <v>Card delivery &amp; activation</v>
      </c>
      <c r="D4000" s="0" t="n">
        <f aca="false">INDEX(Intent_Analysis!$E$5:$E$81,MATCH(B4000,Intent_Analysis!$A$5:$A$81,0))</f>
        <v>1</v>
      </c>
    </row>
    <row r="4001" customFormat="false" ht="15" hidden="false" customHeight="false" outlineLevel="0" collapsed="false">
      <c r="A4001" s="0" t="s">
        <v>4325</v>
      </c>
      <c r="B4001" s="0" t="s">
        <v>52</v>
      </c>
      <c r="C4001" s="0" t="str">
        <f aca="false">INDEX(Intent_Analysis!$B$5:$B$81,MATCH(B4001,Intent_Analysis!$A$5:$A$81,0))</f>
        <v>Card delivery &amp; activation</v>
      </c>
      <c r="D4001" s="0" t="n">
        <f aca="false">INDEX(Intent_Analysis!$E$5:$E$81,MATCH(B4001,Intent_Analysis!$A$5:$A$81,0))</f>
        <v>1</v>
      </c>
    </row>
    <row r="4002" customFormat="false" ht="15" hidden="false" customHeight="false" outlineLevel="0" collapsed="false">
      <c r="A4002" s="0" t="s">
        <v>4326</v>
      </c>
      <c r="B4002" s="0" t="s">
        <v>52</v>
      </c>
      <c r="C4002" s="0" t="str">
        <f aca="false">INDEX(Intent_Analysis!$B$5:$B$81,MATCH(B4002,Intent_Analysis!$A$5:$A$81,0))</f>
        <v>Card delivery &amp; activation</v>
      </c>
      <c r="D4002" s="0" t="n">
        <f aca="false">INDEX(Intent_Analysis!$E$5:$E$81,MATCH(B4002,Intent_Analysis!$A$5:$A$81,0))</f>
        <v>1</v>
      </c>
    </row>
    <row r="4003" customFormat="false" ht="15" hidden="false" customHeight="false" outlineLevel="0" collapsed="false">
      <c r="A4003" s="0" t="s">
        <v>4327</v>
      </c>
      <c r="B4003" s="0" t="s">
        <v>52</v>
      </c>
      <c r="C4003" s="0" t="str">
        <f aca="false">INDEX(Intent_Analysis!$B$5:$B$81,MATCH(B4003,Intent_Analysis!$A$5:$A$81,0))</f>
        <v>Card delivery &amp; activation</v>
      </c>
      <c r="D4003" s="0" t="n">
        <f aca="false">INDEX(Intent_Analysis!$E$5:$E$81,MATCH(B4003,Intent_Analysis!$A$5:$A$81,0))</f>
        <v>1</v>
      </c>
    </row>
    <row r="4004" customFormat="false" ht="15" hidden="false" customHeight="false" outlineLevel="0" collapsed="false">
      <c r="A4004" s="0" t="s">
        <v>4328</v>
      </c>
      <c r="B4004" s="0" t="s">
        <v>52</v>
      </c>
      <c r="C4004" s="0" t="str">
        <f aca="false">INDEX(Intent_Analysis!$B$5:$B$81,MATCH(B4004,Intent_Analysis!$A$5:$A$81,0))</f>
        <v>Card delivery &amp; activation</v>
      </c>
      <c r="D4004" s="0" t="n">
        <f aca="false">INDEX(Intent_Analysis!$E$5:$E$81,MATCH(B4004,Intent_Analysis!$A$5:$A$81,0))</f>
        <v>1</v>
      </c>
    </row>
    <row r="4005" customFormat="false" ht="15" hidden="false" customHeight="false" outlineLevel="0" collapsed="false">
      <c r="A4005" s="0" t="s">
        <v>4329</v>
      </c>
      <c r="B4005" s="0" t="s">
        <v>52</v>
      </c>
      <c r="C4005" s="0" t="str">
        <f aca="false">INDEX(Intent_Analysis!$B$5:$B$81,MATCH(B4005,Intent_Analysis!$A$5:$A$81,0))</f>
        <v>Card delivery &amp; activation</v>
      </c>
      <c r="D4005" s="0" t="n">
        <f aca="false">INDEX(Intent_Analysis!$E$5:$E$81,MATCH(B4005,Intent_Analysis!$A$5:$A$81,0))</f>
        <v>1</v>
      </c>
    </row>
    <row r="4006" customFormat="false" ht="15" hidden="false" customHeight="false" outlineLevel="0" collapsed="false">
      <c r="A4006" s="0" t="s">
        <v>4330</v>
      </c>
      <c r="B4006" s="0" t="s">
        <v>52</v>
      </c>
      <c r="C4006" s="0" t="str">
        <f aca="false">INDEX(Intent_Analysis!$B$5:$B$81,MATCH(B4006,Intent_Analysis!$A$5:$A$81,0))</f>
        <v>Card delivery &amp; activation</v>
      </c>
      <c r="D4006" s="0" t="n">
        <f aca="false">INDEX(Intent_Analysis!$E$5:$E$81,MATCH(B4006,Intent_Analysis!$A$5:$A$81,0))</f>
        <v>1</v>
      </c>
    </row>
    <row r="4007" customFormat="false" ht="15" hidden="false" customHeight="false" outlineLevel="0" collapsed="false">
      <c r="A4007" s="0" t="s">
        <v>4331</v>
      </c>
      <c r="B4007" s="0" t="s">
        <v>52</v>
      </c>
      <c r="C4007" s="0" t="str">
        <f aca="false">INDEX(Intent_Analysis!$B$5:$B$81,MATCH(B4007,Intent_Analysis!$A$5:$A$81,0))</f>
        <v>Card delivery &amp; activation</v>
      </c>
      <c r="D4007" s="0" t="n">
        <f aca="false">INDEX(Intent_Analysis!$E$5:$E$81,MATCH(B4007,Intent_Analysis!$A$5:$A$81,0))</f>
        <v>1</v>
      </c>
    </row>
    <row r="4008" customFormat="false" ht="15" hidden="false" customHeight="false" outlineLevel="0" collapsed="false">
      <c r="A4008" s="0" t="s">
        <v>4332</v>
      </c>
      <c r="B4008" s="0" t="s">
        <v>52</v>
      </c>
      <c r="C4008" s="0" t="str">
        <f aca="false">INDEX(Intent_Analysis!$B$5:$B$81,MATCH(B4008,Intent_Analysis!$A$5:$A$81,0))</f>
        <v>Card delivery &amp; activation</v>
      </c>
      <c r="D4008" s="0" t="n">
        <f aca="false">INDEX(Intent_Analysis!$E$5:$E$81,MATCH(B4008,Intent_Analysis!$A$5:$A$81,0))</f>
        <v>1</v>
      </c>
    </row>
    <row r="4009" customFormat="false" ht="15" hidden="false" customHeight="false" outlineLevel="0" collapsed="false">
      <c r="A4009" s="0" t="s">
        <v>4333</v>
      </c>
      <c r="B4009" s="0" t="s">
        <v>52</v>
      </c>
      <c r="C4009" s="0" t="str">
        <f aca="false">INDEX(Intent_Analysis!$B$5:$B$81,MATCH(B4009,Intent_Analysis!$A$5:$A$81,0))</f>
        <v>Card delivery &amp; activation</v>
      </c>
      <c r="D4009" s="0" t="n">
        <f aca="false">INDEX(Intent_Analysis!$E$5:$E$81,MATCH(B4009,Intent_Analysis!$A$5:$A$81,0))</f>
        <v>1</v>
      </c>
    </row>
    <row r="4010" customFormat="false" ht="15" hidden="false" customHeight="false" outlineLevel="0" collapsed="false">
      <c r="A4010" s="0" t="s">
        <v>4334</v>
      </c>
      <c r="B4010" s="0" t="s">
        <v>52</v>
      </c>
      <c r="C4010" s="0" t="str">
        <f aca="false">INDEX(Intent_Analysis!$B$5:$B$81,MATCH(B4010,Intent_Analysis!$A$5:$A$81,0))</f>
        <v>Card delivery &amp; activation</v>
      </c>
      <c r="D4010" s="0" t="n">
        <f aca="false">INDEX(Intent_Analysis!$E$5:$E$81,MATCH(B4010,Intent_Analysis!$A$5:$A$81,0))</f>
        <v>1</v>
      </c>
    </row>
    <row r="4011" customFormat="false" ht="15" hidden="false" customHeight="false" outlineLevel="0" collapsed="false">
      <c r="A4011" s="0" t="s">
        <v>4335</v>
      </c>
      <c r="B4011" s="0" t="s">
        <v>52</v>
      </c>
      <c r="C4011" s="0" t="str">
        <f aca="false">INDEX(Intent_Analysis!$B$5:$B$81,MATCH(B4011,Intent_Analysis!$A$5:$A$81,0))</f>
        <v>Card delivery &amp; activation</v>
      </c>
      <c r="D4011" s="0" t="n">
        <f aca="false">INDEX(Intent_Analysis!$E$5:$E$81,MATCH(B4011,Intent_Analysis!$A$5:$A$81,0))</f>
        <v>1</v>
      </c>
    </row>
    <row r="4012" customFormat="false" ht="15" hidden="false" customHeight="false" outlineLevel="0" collapsed="false">
      <c r="A4012" s="0" t="s">
        <v>4336</v>
      </c>
      <c r="B4012" s="0" t="s">
        <v>52</v>
      </c>
      <c r="C4012" s="0" t="str">
        <f aca="false">INDEX(Intent_Analysis!$B$5:$B$81,MATCH(B4012,Intent_Analysis!$A$5:$A$81,0))</f>
        <v>Card delivery &amp; activation</v>
      </c>
      <c r="D4012" s="0" t="n">
        <f aca="false">INDEX(Intent_Analysis!$E$5:$E$81,MATCH(B4012,Intent_Analysis!$A$5:$A$81,0))</f>
        <v>1</v>
      </c>
    </row>
    <row r="4013" customFormat="false" ht="15" hidden="false" customHeight="false" outlineLevel="0" collapsed="false">
      <c r="A4013" s="0" t="s">
        <v>4337</v>
      </c>
      <c r="B4013" s="0" t="s">
        <v>52</v>
      </c>
      <c r="C4013" s="0" t="str">
        <f aca="false">INDEX(Intent_Analysis!$B$5:$B$81,MATCH(B4013,Intent_Analysis!$A$5:$A$81,0))</f>
        <v>Card delivery &amp; activation</v>
      </c>
      <c r="D4013" s="0" t="n">
        <f aca="false">INDEX(Intent_Analysis!$E$5:$E$81,MATCH(B4013,Intent_Analysis!$A$5:$A$81,0))</f>
        <v>1</v>
      </c>
    </row>
    <row r="4014" customFormat="false" ht="15" hidden="false" customHeight="false" outlineLevel="0" collapsed="false">
      <c r="A4014" s="0" t="s">
        <v>4338</v>
      </c>
      <c r="B4014" s="0" t="s">
        <v>52</v>
      </c>
      <c r="C4014" s="0" t="str">
        <f aca="false">INDEX(Intent_Analysis!$B$5:$B$81,MATCH(B4014,Intent_Analysis!$A$5:$A$81,0))</f>
        <v>Card delivery &amp; activation</v>
      </c>
      <c r="D4014" s="0" t="n">
        <f aca="false">INDEX(Intent_Analysis!$E$5:$E$81,MATCH(B4014,Intent_Analysis!$A$5:$A$81,0))</f>
        <v>1</v>
      </c>
    </row>
    <row r="4015" customFormat="false" ht="15" hidden="false" customHeight="false" outlineLevel="0" collapsed="false">
      <c r="A4015" s="0" t="s">
        <v>4339</v>
      </c>
      <c r="B4015" s="0" t="s">
        <v>52</v>
      </c>
      <c r="C4015" s="0" t="str">
        <f aca="false">INDEX(Intent_Analysis!$B$5:$B$81,MATCH(B4015,Intent_Analysis!$A$5:$A$81,0))</f>
        <v>Card delivery &amp; activation</v>
      </c>
      <c r="D4015" s="0" t="n">
        <f aca="false">INDEX(Intent_Analysis!$E$5:$E$81,MATCH(B4015,Intent_Analysis!$A$5:$A$81,0))</f>
        <v>1</v>
      </c>
    </row>
    <row r="4016" customFormat="false" ht="15" hidden="false" customHeight="false" outlineLevel="0" collapsed="false">
      <c r="A4016" s="0" t="s">
        <v>4340</v>
      </c>
      <c r="B4016" s="0" t="s">
        <v>52</v>
      </c>
      <c r="C4016" s="0" t="str">
        <f aca="false">INDEX(Intent_Analysis!$B$5:$B$81,MATCH(B4016,Intent_Analysis!$A$5:$A$81,0))</f>
        <v>Card delivery &amp; activation</v>
      </c>
      <c r="D4016" s="0" t="n">
        <f aca="false">INDEX(Intent_Analysis!$E$5:$E$81,MATCH(B4016,Intent_Analysis!$A$5:$A$81,0))</f>
        <v>1</v>
      </c>
    </row>
    <row r="4017" customFormat="false" ht="15" hidden="false" customHeight="false" outlineLevel="0" collapsed="false">
      <c r="A4017" s="0" t="s">
        <v>4341</v>
      </c>
      <c r="B4017" s="0" t="s">
        <v>52</v>
      </c>
      <c r="C4017" s="0" t="str">
        <f aca="false">INDEX(Intent_Analysis!$B$5:$B$81,MATCH(B4017,Intent_Analysis!$A$5:$A$81,0))</f>
        <v>Card delivery &amp; activation</v>
      </c>
      <c r="D4017" s="0" t="n">
        <f aca="false">INDEX(Intent_Analysis!$E$5:$E$81,MATCH(B4017,Intent_Analysis!$A$5:$A$81,0))</f>
        <v>1</v>
      </c>
    </row>
    <row r="4018" customFormat="false" ht="15" hidden="false" customHeight="false" outlineLevel="0" collapsed="false">
      <c r="A4018" s="0" t="s">
        <v>4342</v>
      </c>
      <c r="B4018" s="0" t="s">
        <v>52</v>
      </c>
      <c r="C4018" s="0" t="str">
        <f aca="false">INDEX(Intent_Analysis!$B$5:$B$81,MATCH(B4018,Intent_Analysis!$A$5:$A$81,0))</f>
        <v>Card delivery &amp; activation</v>
      </c>
      <c r="D4018" s="0" t="n">
        <f aca="false">INDEX(Intent_Analysis!$E$5:$E$81,MATCH(B4018,Intent_Analysis!$A$5:$A$81,0))</f>
        <v>1</v>
      </c>
    </row>
    <row r="4019" customFormat="false" ht="15" hidden="false" customHeight="false" outlineLevel="0" collapsed="false">
      <c r="A4019" s="0" t="s">
        <v>4343</v>
      </c>
      <c r="B4019" s="0" t="s">
        <v>52</v>
      </c>
      <c r="C4019" s="0" t="str">
        <f aca="false">INDEX(Intent_Analysis!$B$5:$B$81,MATCH(B4019,Intent_Analysis!$A$5:$A$81,0))</f>
        <v>Card delivery &amp; activation</v>
      </c>
      <c r="D4019" s="0" t="n">
        <f aca="false">INDEX(Intent_Analysis!$E$5:$E$81,MATCH(B4019,Intent_Analysis!$A$5:$A$81,0))</f>
        <v>1</v>
      </c>
    </row>
    <row r="4020" customFormat="false" ht="15" hidden="false" customHeight="false" outlineLevel="0" collapsed="false">
      <c r="A4020" s="0" t="s">
        <v>4344</v>
      </c>
      <c r="B4020" s="0" t="s">
        <v>52</v>
      </c>
      <c r="C4020" s="0" t="str">
        <f aca="false">INDEX(Intent_Analysis!$B$5:$B$81,MATCH(B4020,Intent_Analysis!$A$5:$A$81,0))</f>
        <v>Card delivery &amp; activation</v>
      </c>
      <c r="D4020" s="0" t="n">
        <f aca="false">INDEX(Intent_Analysis!$E$5:$E$81,MATCH(B4020,Intent_Analysis!$A$5:$A$81,0))</f>
        <v>1</v>
      </c>
    </row>
    <row r="4021" customFormat="false" ht="15" hidden="false" customHeight="false" outlineLevel="0" collapsed="false">
      <c r="A4021" s="0" t="s">
        <v>4345</v>
      </c>
      <c r="B4021" s="0" t="s">
        <v>52</v>
      </c>
      <c r="C4021" s="0" t="str">
        <f aca="false">INDEX(Intent_Analysis!$B$5:$B$81,MATCH(B4021,Intent_Analysis!$A$5:$A$81,0))</f>
        <v>Card delivery &amp; activation</v>
      </c>
      <c r="D4021" s="0" t="n">
        <f aca="false">INDEX(Intent_Analysis!$E$5:$E$81,MATCH(B4021,Intent_Analysis!$A$5:$A$81,0))</f>
        <v>1</v>
      </c>
    </row>
    <row r="4022" customFormat="false" ht="15" hidden="false" customHeight="false" outlineLevel="0" collapsed="false">
      <c r="A4022" s="0" t="s">
        <v>4346</v>
      </c>
      <c r="B4022" s="0" t="s">
        <v>52</v>
      </c>
      <c r="C4022" s="0" t="str">
        <f aca="false">INDEX(Intent_Analysis!$B$5:$B$81,MATCH(B4022,Intent_Analysis!$A$5:$A$81,0))</f>
        <v>Card delivery &amp; activation</v>
      </c>
      <c r="D4022" s="0" t="n">
        <f aca="false">INDEX(Intent_Analysis!$E$5:$E$81,MATCH(B4022,Intent_Analysis!$A$5:$A$81,0))</f>
        <v>1</v>
      </c>
    </row>
    <row r="4023" customFormat="false" ht="15" hidden="false" customHeight="false" outlineLevel="0" collapsed="false">
      <c r="A4023" s="0" t="s">
        <v>4347</v>
      </c>
      <c r="B4023" s="0" t="s">
        <v>52</v>
      </c>
      <c r="C4023" s="0" t="str">
        <f aca="false">INDEX(Intent_Analysis!$B$5:$B$81,MATCH(B4023,Intent_Analysis!$A$5:$A$81,0))</f>
        <v>Card delivery &amp; activation</v>
      </c>
      <c r="D4023" s="0" t="n">
        <f aca="false">INDEX(Intent_Analysis!$E$5:$E$81,MATCH(B4023,Intent_Analysis!$A$5:$A$81,0))</f>
        <v>1</v>
      </c>
    </row>
    <row r="4024" customFormat="false" ht="15" hidden="false" customHeight="false" outlineLevel="0" collapsed="false">
      <c r="A4024" s="0" t="s">
        <v>4348</v>
      </c>
      <c r="B4024" s="0" t="s">
        <v>52</v>
      </c>
      <c r="C4024" s="0" t="str">
        <f aca="false">INDEX(Intent_Analysis!$B$5:$B$81,MATCH(B4024,Intent_Analysis!$A$5:$A$81,0))</f>
        <v>Card delivery &amp; activation</v>
      </c>
      <c r="D4024" s="0" t="n">
        <f aca="false">INDEX(Intent_Analysis!$E$5:$E$81,MATCH(B4024,Intent_Analysis!$A$5:$A$81,0))</f>
        <v>1</v>
      </c>
    </row>
    <row r="4025" customFormat="false" ht="15" hidden="false" customHeight="false" outlineLevel="0" collapsed="false">
      <c r="A4025" s="0" t="s">
        <v>4349</v>
      </c>
      <c r="B4025" s="0" t="s">
        <v>52</v>
      </c>
      <c r="C4025" s="0" t="str">
        <f aca="false">INDEX(Intent_Analysis!$B$5:$B$81,MATCH(B4025,Intent_Analysis!$A$5:$A$81,0))</f>
        <v>Card delivery &amp; activation</v>
      </c>
      <c r="D4025" s="0" t="n">
        <f aca="false">INDEX(Intent_Analysis!$E$5:$E$81,MATCH(B4025,Intent_Analysis!$A$5:$A$81,0))</f>
        <v>1</v>
      </c>
    </row>
    <row r="4026" customFormat="false" ht="15" hidden="false" customHeight="false" outlineLevel="0" collapsed="false">
      <c r="A4026" s="0" t="s">
        <v>4350</v>
      </c>
      <c r="B4026" s="0" t="s">
        <v>52</v>
      </c>
      <c r="C4026" s="0" t="str">
        <f aca="false">INDEX(Intent_Analysis!$B$5:$B$81,MATCH(B4026,Intent_Analysis!$A$5:$A$81,0))</f>
        <v>Card delivery &amp; activation</v>
      </c>
      <c r="D4026" s="0" t="n">
        <f aca="false">INDEX(Intent_Analysis!$E$5:$E$81,MATCH(B4026,Intent_Analysis!$A$5:$A$81,0))</f>
        <v>1</v>
      </c>
    </row>
    <row r="4027" customFormat="false" ht="15" hidden="false" customHeight="false" outlineLevel="0" collapsed="false">
      <c r="A4027" s="0" t="s">
        <v>4351</v>
      </c>
      <c r="B4027" s="0" t="s">
        <v>52</v>
      </c>
      <c r="C4027" s="0" t="str">
        <f aca="false">INDEX(Intent_Analysis!$B$5:$B$81,MATCH(B4027,Intent_Analysis!$A$5:$A$81,0))</f>
        <v>Card delivery &amp; activation</v>
      </c>
      <c r="D4027" s="0" t="n">
        <f aca="false">INDEX(Intent_Analysis!$E$5:$E$81,MATCH(B4027,Intent_Analysis!$A$5:$A$81,0))</f>
        <v>1</v>
      </c>
    </row>
    <row r="4028" customFormat="false" ht="15" hidden="false" customHeight="false" outlineLevel="0" collapsed="false">
      <c r="A4028" s="0" t="s">
        <v>4352</v>
      </c>
      <c r="B4028" s="0" t="s">
        <v>52</v>
      </c>
      <c r="C4028" s="0" t="str">
        <f aca="false">INDEX(Intent_Analysis!$B$5:$B$81,MATCH(B4028,Intent_Analysis!$A$5:$A$81,0))</f>
        <v>Card delivery &amp; activation</v>
      </c>
      <c r="D4028" s="0" t="n">
        <f aca="false">INDEX(Intent_Analysis!$E$5:$E$81,MATCH(B4028,Intent_Analysis!$A$5:$A$81,0))</f>
        <v>1</v>
      </c>
    </row>
    <row r="4029" customFormat="false" ht="15" hidden="false" customHeight="false" outlineLevel="0" collapsed="false">
      <c r="A4029" s="0" t="s">
        <v>4353</v>
      </c>
      <c r="B4029" s="0" t="s">
        <v>52</v>
      </c>
      <c r="C4029" s="0" t="str">
        <f aca="false">INDEX(Intent_Analysis!$B$5:$B$81,MATCH(B4029,Intent_Analysis!$A$5:$A$81,0))</f>
        <v>Card delivery &amp; activation</v>
      </c>
      <c r="D4029" s="0" t="n">
        <f aca="false">INDEX(Intent_Analysis!$E$5:$E$81,MATCH(B4029,Intent_Analysis!$A$5:$A$81,0))</f>
        <v>1</v>
      </c>
    </row>
    <row r="4030" customFormat="false" ht="15" hidden="false" customHeight="false" outlineLevel="0" collapsed="false">
      <c r="A4030" s="0" t="s">
        <v>4354</v>
      </c>
      <c r="B4030" s="0" t="s">
        <v>52</v>
      </c>
      <c r="C4030" s="0" t="str">
        <f aca="false">INDEX(Intent_Analysis!$B$5:$B$81,MATCH(B4030,Intent_Analysis!$A$5:$A$81,0))</f>
        <v>Card delivery &amp; activation</v>
      </c>
      <c r="D4030" s="0" t="n">
        <f aca="false">INDEX(Intent_Analysis!$E$5:$E$81,MATCH(B4030,Intent_Analysis!$A$5:$A$81,0))</f>
        <v>1</v>
      </c>
    </row>
    <row r="4031" customFormat="false" ht="15" hidden="false" customHeight="false" outlineLevel="0" collapsed="false">
      <c r="A4031" s="0" t="s">
        <v>4355</v>
      </c>
      <c r="B4031" s="0" t="s">
        <v>52</v>
      </c>
      <c r="C4031" s="0" t="str">
        <f aca="false">INDEX(Intent_Analysis!$B$5:$B$81,MATCH(B4031,Intent_Analysis!$A$5:$A$81,0))</f>
        <v>Card delivery &amp; activation</v>
      </c>
      <c r="D4031" s="0" t="n">
        <f aca="false">INDEX(Intent_Analysis!$E$5:$E$81,MATCH(B4031,Intent_Analysis!$A$5:$A$81,0))</f>
        <v>1</v>
      </c>
    </row>
    <row r="4032" customFormat="false" ht="15" hidden="false" customHeight="false" outlineLevel="0" collapsed="false">
      <c r="A4032" s="0" t="s">
        <v>4356</v>
      </c>
      <c r="B4032" s="0" t="s">
        <v>52</v>
      </c>
      <c r="C4032" s="0" t="str">
        <f aca="false">INDEX(Intent_Analysis!$B$5:$B$81,MATCH(B4032,Intent_Analysis!$A$5:$A$81,0))</f>
        <v>Card delivery &amp; activation</v>
      </c>
      <c r="D4032" s="0" t="n">
        <f aca="false">INDEX(Intent_Analysis!$E$5:$E$81,MATCH(B4032,Intent_Analysis!$A$5:$A$81,0))</f>
        <v>1</v>
      </c>
    </row>
    <row r="4033" customFormat="false" ht="15" hidden="false" customHeight="false" outlineLevel="0" collapsed="false">
      <c r="A4033" s="0" t="s">
        <v>4357</v>
      </c>
      <c r="B4033" s="0" t="s">
        <v>52</v>
      </c>
      <c r="C4033" s="0" t="str">
        <f aca="false">INDEX(Intent_Analysis!$B$5:$B$81,MATCH(B4033,Intent_Analysis!$A$5:$A$81,0))</f>
        <v>Card delivery &amp; activation</v>
      </c>
      <c r="D4033" s="0" t="n">
        <f aca="false">INDEX(Intent_Analysis!$E$5:$E$81,MATCH(B4033,Intent_Analysis!$A$5:$A$81,0))</f>
        <v>1</v>
      </c>
    </row>
    <row r="4034" customFormat="false" ht="15" hidden="false" customHeight="false" outlineLevel="0" collapsed="false">
      <c r="A4034" s="0" t="s">
        <v>4358</v>
      </c>
      <c r="B4034" s="0" t="s">
        <v>52</v>
      </c>
      <c r="C4034" s="0" t="str">
        <f aca="false">INDEX(Intent_Analysis!$B$5:$B$81,MATCH(B4034,Intent_Analysis!$A$5:$A$81,0))</f>
        <v>Card delivery &amp; activation</v>
      </c>
      <c r="D4034" s="0" t="n">
        <f aca="false">INDEX(Intent_Analysis!$E$5:$E$81,MATCH(B4034,Intent_Analysis!$A$5:$A$81,0))</f>
        <v>1</v>
      </c>
    </row>
    <row r="4035" customFormat="false" ht="15" hidden="false" customHeight="false" outlineLevel="0" collapsed="false">
      <c r="A4035" s="0" t="s">
        <v>4359</v>
      </c>
      <c r="B4035" s="0" t="s">
        <v>52</v>
      </c>
      <c r="C4035" s="0" t="str">
        <f aca="false">INDEX(Intent_Analysis!$B$5:$B$81,MATCH(B4035,Intent_Analysis!$A$5:$A$81,0))</f>
        <v>Card delivery &amp; activation</v>
      </c>
      <c r="D4035" s="0" t="n">
        <f aca="false">INDEX(Intent_Analysis!$E$5:$E$81,MATCH(B4035,Intent_Analysis!$A$5:$A$81,0))</f>
        <v>1</v>
      </c>
    </row>
    <row r="4036" customFormat="false" ht="15" hidden="false" customHeight="false" outlineLevel="0" collapsed="false">
      <c r="A4036" s="0" t="s">
        <v>4360</v>
      </c>
      <c r="B4036" s="0" t="s">
        <v>52</v>
      </c>
      <c r="C4036" s="0" t="str">
        <f aca="false">INDEX(Intent_Analysis!$B$5:$B$81,MATCH(B4036,Intent_Analysis!$A$5:$A$81,0))</f>
        <v>Card delivery &amp; activation</v>
      </c>
      <c r="D4036" s="0" t="n">
        <f aca="false">INDEX(Intent_Analysis!$E$5:$E$81,MATCH(B4036,Intent_Analysis!$A$5:$A$81,0))</f>
        <v>1</v>
      </c>
    </row>
    <row r="4037" customFormat="false" ht="15" hidden="false" customHeight="false" outlineLevel="0" collapsed="false">
      <c r="A4037" s="0" t="s">
        <v>4361</v>
      </c>
      <c r="B4037" s="0" t="s">
        <v>52</v>
      </c>
      <c r="C4037" s="0" t="str">
        <f aca="false">INDEX(Intent_Analysis!$B$5:$B$81,MATCH(B4037,Intent_Analysis!$A$5:$A$81,0))</f>
        <v>Card delivery &amp; activation</v>
      </c>
      <c r="D4037" s="0" t="n">
        <f aca="false">INDEX(Intent_Analysis!$E$5:$E$81,MATCH(B4037,Intent_Analysis!$A$5:$A$81,0))</f>
        <v>1</v>
      </c>
    </row>
    <row r="4038" customFormat="false" ht="15" hidden="false" customHeight="false" outlineLevel="0" collapsed="false">
      <c r="A4038" s="0" t="s">
        <v>4362</v>
      </c>
      <c r="B4038" s="0" t="s">
        <v>52</v>
      </c>
      <c r="C4038" s="0" t="str">
        <f aca="false">INDEX(Intent_Analysis!$B$5:$B$81,MATCH(B4038,Intent_Analysis!$A$5:$A$81,0))</f>
        <v>Card delivery &amp; activation</v>
      </c>
      <c r="D4038" s="0" t="n">
        <f aca="false">INDEX(Intent_Analysis!$E$5:$E$81,MATCH(B4038,Intent_Analysis!$A$5:$A$81,0))</f>
        <v>1</v>
      </c>
    </row>
    <row r="4039" customFormat="false" ht="15" hidden="false" customHeight="false" outlineLevel="0" collapsed="false">
      <c r="A4039" s="0" t="s">
        <v>4363</v>
      </c>
      <c r="B4039" s="0" t="s">
        <v>52</v>
      </c>
      <c r="C4039" s="0" t="str">
        <f aca="false">INDEX(Intent_Analysis!$B$5:$B$81,MATCH(B4039,Intent_Analysis!$A$5:$A$81,0))</f>
        <v>Card delivery &amp; activation</v>
      </c>
      <c r="D4039" s="0" t="n">
        <f aca="false">INDEX(Intent_Analysis!$E$5:$E$81,MATCH(B4039,Intent_Analysis!$A$5:$A$81,0))</f>
        <v>1</v>
      </c>
    </row>
    <row r="4040" customFormat="false" ht="15" hidden="false" customHeight="false" outlineLevel="0" collapsed="false">
      <c r="A4040" s="0" t="s">
        <v>4364</v>
      </c>
      <c r="B4040" s="0" t="s">
        <v>52</v>
      </c>
      <c r="C4040" s="0" t="str">
        <f aca="false">INDEX(Intent_Analysis!$B$5:$B$81,MATCH(B4040,Intent_Analysis!$A$5:$A$81,0))</f>
        <v>Card delivery &amp; activation</v>
      </c>
      <c r="D4040" s="0" t="n">
        <f aca="false">INDEX(Intent_Analysis!$E$5:$E$81,MATCH(B4040,Intent_Analysis!$A$5:$A$81,0))</f>
        <v>1</v>
      </c>
    </row>
    <row r="4041" customFormat="false" ht="15" hidden="false" customHeight="false" outlineLevel="0" collapsed="false">
      <c r="A4041" s="0" t="s">
        <v>4365</v>
      </c>
      <c r="B4041" s="0" t="s">
        <v>52</v>
      </c>
      <c r="C4041" s="0" t="str">
        <f aca="false">INDEX(Intent_Analysis!$B$5:$B$81,MATCH(B4041,Intent_Analysis!$A$5:$A$81,0))</f>
        <v>Card delivery &amp; activation</v>
      </c>
      <c r="D4041" s="0" t="n">
        <f aca="false">INDEX(Intent_Analysis!$E$5:$E$81,MATCH(B4041,Intent_Analysis!$A$5:$A$81,0))</f>
        <v>1</v>
      </c>
    </row>
    <row r="4042" customFormat="false" ht="15" hidden="false" customHeight="false" outlineLevel="0" collapsed="false">
      <c r="A4042" s="0" t="s">
        <v>4366</v>
      </c>
      <c r="B4042" s="0" t="s">
        <v>52</v>
      </c>
      <c r="C4042" s="0" t="str">
        <f aca="false">INDEX(Intent_Analysis!$B$5:$B$81,MATCH(B4042,Intent_Analysis!$A$5:$A$81,0))</f>
        <v>Card delivery &amp; activation</v>
      </c>
      <c r="D4042" s="0" t="n">
        <f aca="false">INDEX(Intent_Analysis!$E$5:$E$81,MATCH(B4042,Intent_Analysis!$A$5:$A$81,0))</f>
        <v>1</v>
      </c>
    </row>
    <row r="4043" customFormat="false" ht="15" hidden="false" customHeight="false" outlineLevel="0" collapsed="false">
      <c r="A4043" s="0" t="s">
        <v>4367</v>
      </c>
      <c r="B4043" s="0" t="s">
        <v>52</v>
      </c>
      <c r="C4043" s="0" t="str">
        <f aca="false">INDEX(Intent_Analysis!$B$5:$B$81,MATCH(B4043,Intent_Analysis!$A$5:$A$81,0))</f>
        <v>Card delivery &amp; activation</v>
      </c>
      <c r="D4043" s="0" t="n">
        <f aca="false">INDEX(Intent_Analysis!$E$5:$E$81,MATCH(B4043,Intent_Analysis!$A$5:$A$81,0))</f>
        <v>1</v>
      </c>
    </row>
    <row r="4044" customFormat="false" ht="15" hidden="false" customHeight="false" outlineLevel="0" collapsed="false">
      <c r="A4044" s="0" t="s">
        <v>4368</v>
      </c>
      <c r="B4044" s="0" t="s">
        <v>52</v>
      </c>
      <c r="C4044" s="0" t="str">
        <f aca="false">INDEX(Intent_Analysis!$B$5:$B$81,MATCH(B4044,Intent_Analysis!$A$5:$A$81,0))</f>
        <v>Card delivery &amp; activation</v>
      </c>
      <c r="D4044" s="0" t="n">
        <f aca="false">INDEX(Intent_Analysis!$E$5:$E$81,MATCH(B4044,Intent_Analysis!$A$5:$A$81,0))</f>
        <v>1</v>
      </c>
    </row>
    <row r="4045" customFormat="false" ht="15" hidden="false" customHeight="false" outlineLevel="0" collapsed="false">
      <c r="A4045" s="0" t="s">
        <v>4369</v>
      </c>
      <c r="B4045" s="0" t="s">
        <v>52</v>
      </c>
      <c r="C4045" s="0" t="str">
        <f aca="false">INDEX(Intent_Analysis!$B$5:$B$81,MATCH(B4045,Intent_Analysis!$A$5:$A$81,0))</f>
        <v>Card delivery &amp; activation</v>
      </c>
      <c r="D4045" s="0" t="n">
        <f aca="false">INDEX(Intent_Analysis!$E$5:$E$81,MATCH(B4045,Intent_Analysis!$A$5:$A$81,0))</f>
        <v>1</v>
      </c>
    </row>
    <row r="4046" customFormat="false" ht="15" hidden="false" customHeight="false" outlineLevel="0" collapsed="false">
      <c r="A4046" s="0" t="s">
        <v>4370</v>
      </c>
      <c r="B4046" s="0" t="s">
        <v>52</v>
      </c>
      <c r="C4046" s="0" t="str">
        <f aca="false">INDEX(Intent_Analysis!$B$5:$B$81,MATCH(B4046,Intent_Analysis!$A$5:$A$81,0))</f>
        <v>Card delivery &amp; activation</v>
      </c>
      <c r="D4046" s="0" t="n">
        <f aca="false">INDEX(Intent_Analysis!$E$5:$E$81,MATCH(B4046,Intent_Analysis!$A$5:$A$81,0))</f>
        <v>1</v>
      </c>
    </row>
    <row r="4047" customFormat="false" ht="15" hidden="false" customHeight="false" outlineLevel="0" collapsed="false">
      <c r="A4047" s="0" t="s">
        <v>4371</v>
      </c>
      <c r="B4047" s="0" t="s">
        <v>52</v>
      </c>
      <c r="C4047" s="0" t="str">
        <f aca="false">INDEX(Intent_Analysis!$B$5:$B$81,MATCH(B4047,Intent_Analysis!$A$5:$A$81,0))</f>
        <v>Card delivery &amp; activation</v>
      </c>
      <c r="D4047" s="0" t="n">
        <f aca="false">INDEX(Intent_Analysis!$E$5:$E$81,MATCH(B4047,Intent_Analysis!$A$5:$A$81,0))</f>
        <v>1</v>
      </c>
    </row>
    <row r="4048" customFormat="false" ht="15" hidden="false" customHeight="false" outlineLevel="0" collapsed="false">
      <c r="A4048" s="0" t="s">
        <v>4372</v>
      </c>
      <c r="B4048" s="0" t="s">
        <v>52</v>
      </c>
      <c r="C4048" s="0" t="str">
        <f aca="false">INDEX(Intent_Analysis!$B$5:$B$81,MATCH(B4048,Intent_Analysis!$A$5:$A$81,0))</f>
        <v>Card delivery &amp; activation</v>
      </c>
      <c r="D4048" s="0" t="n">
        <f aca="false">INDEX(Intent_Analysis!$E$5:$E$81,MATCH(B4048,Intent_Analysis!$A$5:$A$81,0))</f>
        <v>1</v>
      </c>
    </row>
    <row r="4049" customFormat="false" ht="15" hidden="false" customHeight="false" outlineLevel="0" collapsed="false">
      <c r="A4049" s="0" t="s">
        <v>4373</v>
      </c>
      <c r="B4049" s="0" t="s">
        <v>52</v>
      </c>
      <c r="C4049" s="0" t="str">
        <f aca="false">INDEX(Intent_Analysis!$B$5:$B$81,MATCH(B4049,Intent_Analysis!$A$5:$A$81,0))</f>
        <v>Card delivery &amp; activation</v>
      </c>
      <c r="D4049" s="0" t="n">
        <f aca="false">INDEX(Intent_Analysis!$E$5:$E$81,MATCH(B4049,Intent_Analysis!$A$5:$A$81,0))</f>
        <v>1</v>
      </c>
    </row>
    <row r="4050" customFormat="false" ht="15" hidden="false" customHeight="false" outlineLevel="0" collapsed="false">
      <c r="A4050" s="0" t="s">
        <v>4374</v>
      </c>
      <c r="B4050" s="0" t="s">
        <v>52</v>
      </c>
      <c r="C4050" s="0" t="str">
        <f aca="false">INDEX(Intent_Analysis!$B$5:$B$81,MATCH(B4050,Intent_Analysis!$A$5:$A$81,0))</f>
        <v>Card delivery &amp; activation</v>
      </c>
      <c r="D4050" s="0" t="n">
        <f aca="false">INDEX(Intent_Analysis!$E$5:$E$81,MATCH(B4050,Intent_Analysis!$A$5:$A$81,0))</f>
        <v>1</v>
      </c>
    </row>
    <row r="4051" customFormat="false" ht="15" hidden="false" customHeight="false" outlineLevel="0" collapsed="false">
      <c r="A4051" s="0" t="s">
        <v>4375</v>
      </c>
      <c r="B4051" s="0" t="s">
        <v>52</v>
      </c>
      <c r="C4051" s="0" t="str">
        <f aca="false">INDEX(Intent_Analysis!$B$5:$B$81,MATCH(B4051,Intent_Analysis!$A$5:$A$81,0))</f>
        <v>Card delivery &amp; activation</v>
      </c>
      <c r="D4051" s="0" t="n">
        <f aca="false">INDEX(Intent_Analysis!$E$5:$E$81,MATCH(B4051,Intent_Analysis!$A$5:$A$81,0))</f>
        <v>1</v>
      </c>
    </row>
    <row r="4052" customFormat="false" ht="15" hidden="false" customHeight="false" outlineLevel="0" collapsed="false">
      <c r="A4052" s="0" t="s">
        <v>4376</v>
      </c>
      <c r="B4052" s="0" t="s">
        <v>52</v>
      </c>
      <c r="C4052" s="0" t="str">
        <f aca="false">INDEX(Intent_Analysis!$B$5:$B$81,MATCH(B4052,Intent_Analysis!$A$5:$A$81,0))</f>
        <v>Card delivery &amp; activation</v>
      </c>
      <c r="D4052" s="0" t="n">
        <f aca="false">INDEX(Intent_Analysis!$E$5:$E$81,MATCH(B4052,Intent_Analysis!$A$5:$A$81,0))</f>
        <v>1</v>
      </c>
    </row>
    <row r="4053" customFormat="false" ht="15" hidden="false" customHeight="false" outlineLevel="0" collapsed="false">
      <c r="A4053" s="0" t="s">
        <v>4377</v>
      </c>
      <c r="B4053" s="0" t="s">
        <v>52</v>
      </c>
      <c r="C4053" s="0" t="str">
        <f aca="false">INDEX(Intent_Analysis!$B$5:$B$81,MATCH(B4053,Intent_Analysis!$A$5:$A$81,0))</f>
        <v>Card delivery &amp; activation</v>
      </c>
      <c r="D4053" s="0" t="n">
        <f aca="false">INDEX(Intent_Analysis!$E$5:$E$81,MATCH(B4053,Intent_Analysis!$A$5:$A$81,0))</f>
        <v>1</v>
      </c>
    </row>
    <row r="4054" customFormat="false" ht="15" hidden="false" customHeight="false" outlineLevel="0" collapsed="false">
      <c r="A4054" s="0" t="s">
        <v>4378</v>
      </c>
      <c r="B4054" s="0" t="s">
        <v>52</v>
      </c>
      <c r="C4054" s="0" t="str">
        <f aca="false">INDEX(Intent_Analysis!$B$5:$B$81,MATCH(B4054,Intent_Analysis!$A$5:$A$81,0))</f>
        <v>Card delivery &amp; activation</v>
      </c>
      <c r="D4054" s="0" t="n">
        <f aca="false">INDEX(Intent_Analysis!$E$5:$E$81,MATCH(B4054,Intent_Analysis!$A$5:$A$81,0))</f>
        <v>1</v>
      </c>
    </row>
    <row r="4055" customFormat="false" ht="15" hidden="false" customHeight="false" outlineLevel="0" collapsed="false">
      <c r="A4055" s="0" t="s">
        <v>4379</v>
      </c>
      <c r="B4055" s="0" t="s">
        <v>52</v>
      </c>
      <c r="C4055" s="0" t="str">
        <f aca="false">INDEX(Intent_Analysis!$B$5:$B$81,MATCH(B4055,Intent_Analysis!$A$5:$A$81,0))</f>
        <v>Card delivery &amp; activation</v>
      </c>
      <c r="D4055" s="0" t="n">
        <f aca="false">INDEX(Intent_Analysis!$E$5:$E$81,MATCH(B4055,Intent_Analysis!$A$5:$A$81,0))</f>
        <v>1</v>
      </c>
    </row>
    <row r="4056" customFormat="false" ht="15" hidden="false" customHeight="false" outlineLevel="0" collapsed="false">
      <c r="A4056" s="0" t="s">
        <v>4380</v>
      </c>
      <c r="B4056" s="0" t="s">
        <v>52</v>
      </c>
      <c r="C4056" s="0" t="str">
        <f aca="false">INDEX(Intent_Analysis!$B$5:$B$81,MATCH(B4056,Intent_Analysis!$A$5:$A$81,0))</f>
        <v>Card delivery &amp; activation</v>
      </c>
      <c r="D4056" s="0" t="n">
        <f aca="false">INDEX(Intent_Analysis!$E$5:$E$81,MATCH(B4056,Intent_Analysis!$A$5:$A$81,0))</f>
        <v>1</v>
      </c>
    </row>
    <row r="4057" customFormat="false" ht="15" hidden="false" customHeight="false" outlineLevel="0" collapsed="false">
      <c r="A4057" s="0" t="s">
        <v>4381</v>
      </c>
      <c r="B4057" s="0" t="s">
        <v>52</v>
      </c>
      <c r="C4057" s="0" t="str">
        <f aca="false">INDEX(Intent_Analysis!$B$5:$B$81,MATCH(B4057,Intent_Analysis!$A$5:$A$81,0))</f>
        <v>Card delivery &amp; activation</v>
      </c>
      <c r="D4057" s="0" t="n">
        <f aca="false">INDEX(Intent_Analysis!$E$5:$E$81,MATCH(B4057,Intent_Analysis!$A$5:$A$81,0))</f>
        <v>1</v>
      </c>
    </row>
    <row r="4058" customFormat="false" ht="15" hidden="false" customHeight="false" outlineLevel="0" collapsed="false">
      <c r="A4058" s="0" t="s">
        <v>4382</v>
      </c>
      <c r="B4058" s="0" t="s">
        <v>52</v>
      </c>
      <c r="C4058" s="0" t="str">
        <f aca="false">INDEX(Intent_Analysis!$B$5:$B$81,MATCH(B4058,Intent_Analysis!$A$5:$A$81,0))</f>
        <v>Card delivery &amp; activation</v>
      </c>
      <c r="D4058" s="0" t="n">
        <f aca="false">INDEX(Intent_Analysis!$E$5:$E$81,MATCH(B4058,Intent_Analysis!$A$5:$A$81,0))</f>
        <v>1</v>
      </c>
    </row>
    <row r="4059" customFormat="false" ht="15" hidden="false" customHeight="false" outlineLevel="0" collapsed="false">
      <c r="A4059" s="0" t="s">
        <v>4383</v>
      </c>
      <c r="B4059" s="0" t="s">
        <v>52</v>
      </c>
      <c r="C4059" s="0" t="str">
        <f aca="false">INDEX(Intent_Analysis!$B$5:$B$81,MATCH(B4059,Intent_Analysis!$A$5:$A$81,0))</f>
        <v>Card delivery &amp; activation</v>
      </c>
      <c r="D4059" s="0" t="n">
        <f aca="false">INDEX(Intent_Analysis!$E$5:$E$81,MATCH(B4059,Intent_Analysis!$A$5:$A$81,0))</f>
        <v>1</v>
      </c>
    </row>
    <row r="4060" customFormat="false" ht="15" hidden="false" customHeight="false" outlineLevel="0" collapsed="false">
      <c r="A4060" s="0" t="s">
        <v>4384</v>
      </c>
      <c r="B4060" s="0" t="s">
        <v>52</v>
      </c>
      <c r="C4060" s="0" t="str">
        <f aca="false">INDEX(Intent_Analysis!$B$5:$B$81,MATCH(B4060,Intent_Analysis!$A$5:$A$81,0))</f>
        <v>Card delivery &amp; activation</v>
      </c>
      <c r="D4060" s="0" t="n">
        <f aca="false">INDEX(Intent_Analysis!$E$5:$E$81,MATCH(B4060,Intent_Analysis!$A$5:$A$81,0))</f>
        <v>1</v>
      </c>
    </row>
    <row r="4061" customFormat="false" ht="15" hidden="false" customHeight="false" outlineLevel="0" collapsed="false">
      <c r="A4061" s="0" t="s">
        <v>4385</v>
      </c>
      <c r="B4061" s="0" t="s">
        <v>52</v>
      </c>
      <c r="C4061" s="0" t="str">
        <f aca="false">INDEX(Intent_Analysis!$B$5:$B$81,MATCH(B4061,Intent_Analysis!$A$5:$A$81,0))</f>
        <v>Card delivery &amp; activation</v>
      </c>
      <c r="D4061" s="0" t="n">
        <f aca="false">INDEX(Intent_Analysis!$E$5:$E$81,MATCH(B4061,Intent_Analysis!$A$5:$A$81,0))</f>
        <v>1</v>
      </c>
    </row>
    <row r="4062" customFormat="false" ht="15" hidden="false" customHeight="false" outlineLevel="0" collapsed="false">
      <c r="A4062" s="0" t="s">
        <v>4386</v>
      </c>
      <c r="B4062" s="0" t="s">
        <v>52</v>
      </c>
      <c r="C4062" s="0" t="str">
        <f aca="false">INDEX(Intent_Analysis!$B$5:$B$81,MATCH(B4062,Intent_Analysis!$A$5:$A$81,0))</f>
        <v>Card delivery &amp; activation</v>
      </c>
      <c r="D4062" s="0" t="n">
        <f aca="false">INDEX(Intent_Analysis!$E$5:$E$81,MATCH(B4062,Intent_Analysis!$A$5:$A$81,0))</f>
        <v>1</v>
      </c>
    </row>
    <row r="4063" customFormat="false" ht="15" hidden="false" customHeight="false" outlineLevel="0" collapsed="false">
      <c r="A4063" s="0" t="s">
        <v>4387</v>
      </c>
      <c r="B4063" s="0" t="s">
        <v>52</v>
      </c>
      <c r="C4063" s="0" t="str">
        <f aca="false">INDEX(Intent_Analysis!$B$5:$B$81,MATCH(B4063,Intent_Analysis!$A$5:$A$81,0))</f>
        <v>Card delivery &amp; activation</v>
      </c>
      <c r="D4063" s="0" t="n">
        <f aca="false">INDEX(Intent_Analysis!$E$5:$E$81,MATCH(B4063,Intent_Analysis!$A$5:$A$81,0))</f>
        <v>1</v>
      </c>
    </row>
    <row r="4064" customFormat="false" ht="15" hidden="false" customHeight="false" outlineLevel="0" collapsed="false">
      <c r="A4064" s="0" t="s">
        <v>4388</v>
      </c>
      <c r="B4064" s="0" t="s">
        <v>52</v>
      </c>
      <c r="C4064" s="0" t="str">
        <f aca="false">INDEX(Intent_Analysis!$B$5:$B$81,MATCH(B4064,Intent_Analysis!$A$5:$A$81,0))</f>
        <v>Card delivery &amp; activation</v>
      </c>
      <c r="D4064" s="0" t="n">
        <f aca="false">INDEX(Intent_Analysis!$E$5:$E$81,MATCH(B4064,Intent_Analysis!$A$5:$A$81,0))</f>
        <v>1</v>
      </c>
    </row>
    <row r="4065" customFormat="false" ht="15" hidden="false" customHeight="false" outlineLevel="0" collapsed="false">
      <c r="A4065" s="0" t="s">
        <v>4389</v>
      </c>
      <c r="B4065" s="0" t="s">
        <v>52</v>
      </c>
      <c r="C4065" s="0" t="str">
        <f aca="false">INDEX(Intent_Analysis!$B$5:$B$81,MATCH(B4065,Intent_Analysis!$A$5:$A$81,0))</f>
        <v>Card delivery &amp; activation</v>
      </c>
      <c r="D4065" s="0" t="n">
        <f aca="false">INDEX(Intent_Analysis!$E$5:$E$81,MATCH(B4065,Intent_Analysis!$A$5:$A$81,0))</f>
        <v>1</v>
      </c>
    </row>
    <row r="4066" customFormat="false" ht="15" hidden="false" customHeight="false" outlineLevel="0" collapsed="false">
      <c r="A4066" s="0" t="s">
        <v>4390</v>
      </c>
      <c r="B4066" s="0" t="s">
        <v>52</v>
      </c>
      <c r="C4066" s="0" t="str">
        <f aca="false">INDEX(Intent_Analysis!$B$5:$B$81,MATCH(B4066,Intent_Analysis!$A$5:$A$81,0))</f>
        <v>Card delivery &amp; activation</v>
      </c>
      <c r="D4066" s="0" t="n">
        <f aca="false">INDEX(Intent_Analysis!$E$5:$E$81,MATCH(B4066,Intent_Analysis!$A$5:$A$81,0))</f>
        <v>1</v>
      </c>
    </row>
    <row r="4067" customFormat="false" ht="15" hidden="false" customHeight="false" outlineLevel="0" collapsed="false">
      <c r="A4067" s="0" t="s">
        <v>4391</v>
      </c>
      <c r="B4067" s="0" t="s">
        <v>52</v>
      </c>
      <c r="C4067" s="0" t="str">
        <f aca="false">INDEX(Intent_Analysis!$B$5:$B$81,MATCH(B4067,Intent_Analysis!$A$5:$A$81,0))</f>
        <v>Card delivery &amp; activation</v>
      </c>
      <c r="D4067" s="0" t="n">
        <f aca="false">INDEX(Intent_Analysis!$E$5:$E$81,MATCH(B4067,Intent_Analysis!$A$5:$A$81,0))</f>
        <v>1</v>
      </c>
    </row>
    <row r="4068" customFormat="false" ht="15" hidden="false" customHeight="false" outlineLevel="0" collapsed="false">
      <c r="A4068" s="0" t="s">
        <v>4392</v>
      </c>
      <c r="B4068" s="0" t="s">
        <v>52</v>
      </c>
      <c r="C4068" s="0" t="str">
        <f aca="false">INDEX(Intent_Analysis!$B$5:$B$81,MATCH(B4068,Intent_Analysis!$A$5:$A$81,0))</f>
        <v>Card delivery &amp; activation</v>
      </c>
      <c r="D4068" s="0" t="n">
        <f aca="false">INDEX(Intent_Analysis!$E$5:$E$81,MATCH(B4068,Intent_Analysis!$A$5:$A$81,0))</f>
        <v>1</v>
      </c>
    </row>
    <row r="4069" customFormat="false" ht="15" hidden="false" customHeight="false" outlineLevel="0" collapsed="false">
      <c r="A4069" s="0" t="s">
        <v>4393</v>
      </c>
      <c r="B4069" s="0" t="s">
        <v>52</v>
      </c>
      <c r="C4069" s="0" t="str">
        <f aca="false">INDEX(Intent_Analysis!$B$5:$B$81,MATCH(B4069,Intent_Analysis!$A$5:$A$81,0))</f>
        <v>Card delivery &amp; activation</v>
      </c>
      <c r="D4069" s="0" t="n">
        <f aca="false">INDEX(Intent_Analysis!$E$5:$E$81,MATCH(B4069,Intent_Analysis!$A$5:$A$81,0))</f>
        <v>1</v>
      </c>
    </row>
    <row r="4070" customFormat="false" ht="15" hidden="false" customHeight="false" outlineLevel="0" collapsed="false">
      <c r="A4070" s="0" t="s">
        <v>4394</v>
      </c>
      <c r="B4070" s="0" t="s">
        <v>52</v>
      </c>
      <c r="C4070" s="0" t="str">
        <f aca="false">INDEX(Intent_Analysis!$B$5:$B$81,MATCH(B4070,Intent_Analysis!$A$5:$A$81,0))</f>
        <v>Card delivery &amp; activation</v>
      </c>
      <c r="D4070" s="0" t="n">
        <f aca="false">INDEX(Intent_Analysis!$E$5:$E$81,MATCH(B4070,Intent_Analysis!$A$5:$A$81,0))</f>
        <v>1</v>
      </c>
    </row>
    <row r="4071" customFormat="false" ht="15" hidden="false" customHeight="false" outlineLevel="0" collapsed="false">
      <c r="A4071" s="0" t="s">
        <v>4395</v>
      </c>
      <c r="B4071" s="0" t="s">
        <v>52</v>
      </c>
      <c r="C4071" s="0" t="str">
        <f aca="false">INDEX(Intent_Analysis!$B$5:$B$81,MATCH(B4071,Intent_Analysis!$A$5:$A$81,0))</f>
        <v>Card delivery &amp; activation</v>
      </c>
      <c r="D4071" s="0" t="n">
        <f aca="false">INDEX(Intent_Analysis!$E$5:$E$81,MATCH(B4071,Intent_Analysis!$A$5:$A$81,0))</f>
        <v>1</v>
      </c>
    </row>
    <row r="4072" customFormat="false" ht="15" hidden="false" customHeight="false" outlineLevel="0" collapsed="false">
      <c r="A4072" s="0" t="s">
        <v>4396</v>
      </c>
      <c r="B4072" s="0" t="s">
        <v>52</v>
      </c>
      <c r="C4072" s="0" t="str">
        <f aca="false">INDEX(Intent_Analysis!$B$5:$B$81,MATCH(B4072,Intent_Analysis!$A$5:$A$81,0))</f>
        <v>Card delivery &amp; activation</v>
      </c>
      <c r="D4072" s="0" t="n">
        <f aca="false">INDEX(Intent_Analysis!$E$5:$E$81,MATCH(B4072,Intent_Analysis!$A$5:$A$81,0))</f>
        <v>1</v>
      </c>
    </row>
    <row r="4073" customFormat="false" ht="15" hidden="false" customHeight="false" outlineLevel="0" collapsed="false">
      <c r="A4073" s="0" t="s">
        <v>4397</v>
      </c>
      <c r="B4073" s="0" t="s">
        <v>52</v>
      </c>
      <c r="C4073" s="0" t="str">
        <f aca="false">INDEX(Intent_Analysis!$B$5:$B$81,MATCH(B4073,Intent_Analysis!$A$5:$A$81,0))</f>
        <v>Card delivery &amp; activation</v>
      </c>
      <c r="D4073" s="0" t="n">
        <f aca="false">INDEX(Intent_Analysis!$E$5:$E$81,MATCH(B4073,Intent_Analysis!$A$5:$A$81,0))</f>
        <v>1</v>
      </c>
    </row>
    <row r="4074" customFormat="false" ht="15" hidden="false" customHeight="false" outlineLevel="0" collapsed="false">
      <c r="A4074" s="0" t="s">
        <v>4398</v>
      </c>
      <c r="B4074" s="0" t="s">
        <v>52</v>
      </c>
      <c r="C4074" s="0" t="str">
        <f aca="false">INDEX(Intent_Analysis!$B$5:$B$81,MATCH(B4074,Intent_Analysis!$A$5:$A$81,0))</f>
        <v>Card delivery &amp; activation</v>
      </c>
      <c r="D4074" s="0" t="n">
        <f aca="false">INDEX(Intent_Analysis!$E$5:$E$81,MATCH(B4074,Intent_Analysis!$A$5:$A$81,0))</f>
        <v>1</v>
      </c>
    </row>
    <row r="4075" customFormat="false" ht="15" hidden="false" customHeight="false" outlineLevel="0" collapsed="false">
      <c r="A4075" s="0" t="s">
        <v>4399</v>
      </c>
      <c r="B4075" s="0" t="s">
        <v>52</v>
      </c>
      <c r="C4075" s="0" t="str">
        <f aca="false">INDEX(Intent_Analysis!$B$5:$B$81,MATCH(B4075,Intent_Analysis!$A$5:$A$81,0))</f>
        <v>Card delivery &amp; activation</v>
      </c>
      <c r="D4075" s="0" t="n">
        <f aca="false">INDEX(Intent_Analysis!$E$5:$E$81,MATCH(B4075,Intent_Analysis!$A$5:$A$81,0))</f>
        <v>1</v>
      </c>
    </row>
    <row r="4076" customFormat="false" ht="15" hidden="false" customHeight="false" outlineLevel="0" collapsed="false">
      <c r="A4076" s="0" t="s">
        <v>4400</v>
      </c>
      <c r="B4076" s="0" t="s">
        <v>52</v>
      </c>
      <c r="C4076" s="0" t="str">
        <f aca="false">INDEX(Intent_Analysis!$B$5:$B$81,MATCH(B4076,Intent_Analysis!$A$5:$A$81,0))</f>
        <v>Card delivery &amp; activation</v>
      </c>
      <c r="D4076" s="0" t="n">
        <f aca="false">INDEX(Intent_Analysis!$E$5:$E$81,MATCH(B4076,Intent_Analysis!$A$5:$A$81,0))</f>
        <v>1</v>
      </c>
    </row>
    <row r="4077" customFormat="false" ht="15" hidden="false" customHeight="false" outlineLevel="0" collapsed="false">
      <c r="A4077" s="0" t="s">
        <v>4401</v>
      </c>
      <c r="B4077" s="0" t="s">
        <v>52</v>
      </c>
      <c r="C4077" s="0" t="str">
        <f aca="false">INDEX(Intent_Analysis!$B$5:$B$81,MATCH(B4077,Intent_Analysis!$A$5:$A$81,0))</f>
        <v>Card delivery &amp; activation</v>
      </c>
      <c r="D4077" s="0" t="n">
        <f aca="false">INDEX(Intent_Analysis!$E$5:$E$81,MATCH(B4077,Intent_Analysis!$A$5:$A$81,0))</f>
        <v>1</v>
      </c>
    </row>
    <row r="4078" customFormat="false" ht="15" hidden="false" customHeight="false" outlineLevel="0" collapsed="false">
      <c r="A4078" s="0" t="s">
        <v>4402</v>
      </c>
      <c r="B4078" s="0" t="s">
        <v>52</v>
      </c>
      <c r="C4078" s="0" t="str">
        <f aca="false">INDEX(Intent_Analysis!$B$5:$B$81,MATCH(B4078,Intent_Analysis!$A$5:$A$81,0))</f>
        <v>Card delivery &amp; activation</v>
      </c>
      <c r="D4078" s="0" t="n">
        <f aca="false">INDEX(Intent_Analysis!$E$5:$E$81,MATCH(B4078,Intent_Analysis!$A$5:$A$81,0))</f>
        <v>1</v>
      </c>
    </row>
    <row r="4079" customFormat="false" ht="15" hidden="false" customHeight="false" outlineLevel="0" collapsed="false">
      <c r="A4079" s="0" t="s">
        <v>4403</v>
      </c>
      <c r="B4079" s="0" t="s">
        <v>52</v>
      </c>
      <c r="C4079" s="0" t="str">
        <f aca="false">INDEX(Intent_Analysis!$B$5:$B$81,MATCH(B4079,Intent_Analysis!$A$5:$A$81,0))</f>
        <v>Card delivery &amp; activation</v>
      </c>
      <c r="D4079" s="0" t="n">
        <f aca="false">INDEX(Intent_Analysis!$E$5:$E$81,MATCH(B4079,Intent_Analysis!$A$5:$A$81,0))</f>
        <v>1</v>
      </c>
    </row>
    <row r="4080" customFormat="false" ht="15" hidden="false" customHeight="false" outlineLevel="0" collapsed="false">
      <c r="A4080" s="0" t="s">
        <v>4404</v>
      </c>
      <c r="B4080" s="0" t="s">
        <v>52</v>
      </c>
      <c r="C4080" s="0" t="str">
        <f aca="false">INDEX(Intent_Analysis!$B$5:$B$81,MATCH(B4080,Intent_Analysis!$A$5:$A$81,0))</f>
        <v>Card delivery &amp; activation</v>
      </c>
      <c r="D4080" s="0" t="n">
        <f aca="false">INDEX(Intent_Analysis!$E$5:$E$81,MATCH(B4080,Intent_Analysis!$A$5:$A$81,0))</f>
        <v>1</v>
      </c>
    </row>
    <row r="4081" customFormat="false" ht="15" hidden="false" customHeight="false" outlineLevel="0" collapsed="false">
      <c r="A4081" s="0" t="s">
        <v>4405</v>
      </c>
      <c r="B4081" s="0" t="s">
        <v>52</v>
      </c>
      <c r="C4081" s="0" t="str">
        <f aca="false">INDEX(Intent_Analysis!$B$5:$B$81,MATCH(B4081,Intent_Analysis!$A$5:$A$81,0))</f>
        <v>Card delivery &amp; activation</v>
      </c>
      <c r="D4081" s="0" t="n">
        <f aca="false">INDEX(Intent_Analysis!$E$5:$E$81,MATCH(B4081,Intent_Analysis!$A$5:$A$81,0))</f>
        <v>1</v>
      </c>
    </row>
    <row r="4082" customFormat="false" ht="15" hidden="false" customHeight="false" outlineLevel="0" collapsed="false">
      <c r="A4082" s="0" t="s">
        <v>4406</v>
      </c>
      <c r="B4082" s="0" t="s">
        <v>52</v>
      </c>
      <c r="C4082" s="0" t="str">
        <f aca="false">INDEX(Intent_Analysis!$B$5:$B$81,MATCH(B4082,Intent_Analysis!$A$5:$A$81,0))</f>
        <v>Card delivery &amp; activation</v>
      </c>
      <c r="D4082" s="0" t="n">
        <f aca="false">INDEX(Intent_Analysis!$E$5:$E$81,MATCH(B4082,Intent_Analysis!$A$5:$A$81,0))</f>
        <v>1</v>
      </c>
    </row>
    <row r="4083" customFormat="false" ht="15" hidden="false" customHeight="false" outlineLevel="0" collapsed="false">
      <c r="A4083" s="0" t="s">
        <v>4407</v>
      </c>
      <c r="B4083" s="0" t="s">
        <v>52</v>
      </c>
      <c r="C4083" s="0" t="str">
        <f aca="false">INDEX(Intent_Analysis!$B$5:$B$81,MATCH(B4083,Intent_Analysis!$A$5:$A$81,0))</f>
        <v>Card delivery &amp; activation</v>
      </c>
      <c r="D4083" s="0" t="n">
        <f aca="false">INDEX(Intent_Analysis!$E$5:$E$81,MATCH(B4083,Intent_Analysis!$A$5:$A$81,0))</f>
        <v>1</v>
      </c>
    </row>
    <row r="4084" customFormat="false" ht="15" hidden="false" customHeight="false" outlineLevel="0" collapsed="false">
      <c r="A4084" s="0" t="s">
        <v>4408</v>
      </c>
      <c r="B4084" s="0" t="s">
        <v>52</v>
      </c>
      <c r="C4084" s="0" t="str">
        <f aca="false">INDEX(Intent_Analysis!$B$5:$B$81,MATCH(B4084,Intent_Analysis!$A$5:$A$81,0))</f>
        <v>Card delivery &amp; activation</v>
      </c>
      <c r="D4084" s="0" t="n">
        <f aca="false">INDEX(Intent_Analysis!$E$5:$E$81,MATCH(B4084,Intent_Analysis!$A$5:$A$81,0))</f>
        <v>1</v>
      </c>
    </row>
    <row r="4085" customFormat="false" ht="15" hidden="false" customHeight="false" outlineLevel="0" collapsed="false">
      <c r="A4085" s="0" t="s">
        <v>4409</v>
      </c>
      <c r="B4085" s="0" t="s">
        <v>52</v>
      </c>
      <c r="C4085" s="0" t="str">
        <f aca="false">INDEX(Intent_Analysis!$B$5:$B$81,MATCH(B4085,Intent_Analysis!$A$5:$A$81,0))</f>
        <v>Card delivery &amp; activation</v>
      </c>
      <c r="D4085" s="0" t="n">
        <f aca="false">INDEX(Intent_Analysis!$E$5:$E$81,MATCH(B4085,Intent_Analysis!$A$5:$A$81,0))</f>
        <v>1</v>
      </c>
    </row>
    <row r="4086" customFormat="false" ht="15" hidden="false" customHeight="false" outlineLevel="0" collapsed="false">
      <c r="A4086" s="0" t="s">
        <v>4410</v>
      </c>
      <c r="B4086" s="0" t="s">
        <v>52</v>
      </c>
      <c r="C4086" s="0" t="str">
        <f aca="false">INDEX(Intent_Analysis!$B$5:$B$81,MATCH(B4086,Intent_Analysis!$A$5:$A$81,0))</f>
        <v>Card delivery &amp; activation</v>
      </c>
      <c r="D4086" s="0" t="n">
        <f aca="false">INDEX(Intent_Analysis!$E$5:$E$81,MATCH(B4086,Intent_Analysis!$A$5:$A$81,0))</f>
        <v>1</v>
      </c>
    </row>
    <row r="4087" customFormat="false" ht="15" hidden="false" customHeight="false" outlineLevel="0" collapsed="false">
      <c r="A4087" s="0" t="s">
        <v>4411</v>
      </c>
      <c r="B4087" s="0" t="s">
        <v>52</v>
      </c>
      <c r="C4087" s="0" t="str">
        <f aca="false">INDEX(Intent_Analysis!$B$5:$B$81,MATCH(B4087,Intent_Analysis!$A$5:$A$81,0))</f>
        <v>Card delivery &amp; activation</v>
      </c>
      <c r="D4087" s="0" t="n">
        <f aca="false">INDEX(Intent_Analysis!$E$5:$E$81,MATCH(B4087,Intent_Analysis!$A$5:$A$81,0))</f>
        <v>1</v>
      </c>
    </row>
    <row r="4088" customFormat="false" ht="15" hidden="false" customHeight="false" outlineLevel="0" collapsed="false">
      <c r="A4088" s="0" t="s">
        <v>4412</v>
      </c>
      <c r="B4088" s="0" t="s">
        <v>52</v>
      </c>
      <c r="C4088" s="0" t="str">
        <f aca="false">INDEX(Intent_Analysis!$B$5:$B$81,MATCH(B4088,Intent_Analysis!$A$5:$A$81,0))</f>
        <v>Card delivery &amp; activation</v>
      </c>
      <c r="D4088" s="0" t="n">
        <f aca="false">INDEX(Intent_Analysis!$E$5:$E$81,MATCH(B4088,Intent_Analysis!$A$5:$A$81,0))</f>
        <v>1</v>
      </c>
    </row>
    <row r="4089" customFormat="false" ht="15" hidden="false" customHeight="false" outlineLevel="0" collapsed="false">
      <c r="A4089" s="0" t="s">
        <v>4413</v>
      </c>
      <c r="B4089" s="0" t="s">
        <v>52</v>
      </c>
      <c r="C4089" s="0" t="str">
        <f aca="false">INDEX(Intent_Analysis!$B$5:$B$81,MATCH(B4089,Intent_Analysis!$A$5:$A$81,0))</f>
        <v>Card delivery &amp; activation</v>
      </c>
      <c r="D4089" s="0" t="n">
        <f aca="false">INDEX(Intent_Analysis!$E$5:$E$81,MATCH(B4089,Intent_Analysis!$A$5:$A$81,0))</f>
        <v>1</v>
      </c>
    </row>
    <row r="4090" customFormat="false" ht="15" hidden="false" customHeight="false" outlineLevel="0" collapsed="false">
      <c r="A4090" s="0" t="s">
        <v>4414</v>
      </c>
      <c r="B4090" s="0" t="s">
        <v>52</v>
      </c>
      <c r="C4090" s="0" t="str">
        <f aca="false">INDEX(Intent_Analysis!$B$5:$B$81,MATCH(B4090,Intent_Analysis!$A$5:$A$81,0))</f>
        <v>Card delivery &amp; activation</v>
      </c>
      <c r="D4090" s="0" t="n">
        <f aca="false">INDEX(Intent_Analysis!$E$5:$E$81,MATCH(B4090,Intent_Analysis!$A$5:$A$81,0))</f>
        <v>1</v>
      </c>
    </row>
    <row r="4091" customFormat="false" ht="15" hidden="false" customHeight="false" outlineLevel="0" collapsed="false">
      <c r="A4091" s="0" t="s">
        <v>4415</v>
      </c>
      <c r="B4091" s="0" t="s">
        <v>52</v>
      </c>
      <c r="C4091" s="0" t="str">
        <f aca="false">INDEX(Intent_Analysis!$B$5:$B$81,MATCH(B4091,Intent_Analysis!$A$5:$A$81,0))</f>
        <v>Card delivery &amp; activation</v>
      </c>
      <c r="D4091" s="0" t="n">
        <f aca="false">INDEX(Intent_Analysis!$E$5:$E$81,MATCH(B4091,Intent_Analysis!$A$5:$A$81,0))</f>
        <v>1</v>
      </c>
    </row>
    <row r="4092" customFormat="false" ht="15" hidden="false" customHeight="false" outlineLevel="0" collapsed="false">
      <c r="A4092" s="0" t="s">
        <v>4416</v>
      </c>
      <c r="B4092" s="0" t="s">
        <v>52</v>
      </c>
      <c r="C4092" s="0" t="str">
        <f aca="false">INDEX(Intent_Analysis!$B$5:$B$81,MATCH(B4092,Intent_Analysis!$A$5:$A$81,0))</f>
        <v>Card delivery &amp; activation</v>
      </c>
      <c r="D4092" s="0" t="n">
        <f aca="false">INDEX(Intent_Analysis!$E$5:$E$81,MATCH(B4092,Intent_Analysis!$A$5:$A$81,0))</f>
        <v>1</v>
      </c>
    </row>
    <row r="4093" customFormat="false" ht="15" hidden="false" customHeight="false" outlineLevel="0" collapsed="false">
      <c r="A4093" s="0" t="s">
        <v>4417</v>
      </c>
      <c r="B4093" s="0" t="s">
        <v>52</v>
      </c>
      <c r="C4093" s="0" t="str">
        <f aca="false">INDEX(Intent_Analysis!$B$5:$B$81,MATCH(B4093,Intent_Analysis!$A$5:$A$81,0))</f>
        <v>Card delivery &amp; activation</v>
      </c>
      <c r="D4093" s="0" t="n">
        <f aca="false">INDEX(Intent_Analysis!$E$5:$E$81,MATCH(B4093,Intent_Analysis!$A$5:$A$81,0))</f>
        <v>1</v>
      </c>
    </row>
    <row r="4094" customFormat="false" ht="15" hidden="false" customHeight="false" outlineLevel="0" collapsed="false">
      <c r="A4094" s="0" t="s">
        <v>4418</v>
      </c>
      <c r="B4094" s="0" t="s">
        <v>52</v>
      </c>
      <c r="C4094" s="0" t="str">
        <f aca="false">INDEX(Intent_Analysis!$B$5:$B$81,MATCH(B4094,Intent_Analysis!$A$5:$A$81,0))</f>
        <v>Card delivery &amp; activation</v>
      </c>
      <c r="D4094" s="0" t="n">
        <f aca="false">INDEX(Intent_Analysis!$E$5:$E$81,MATCH(B4094,Intent_Analysis!$A$5:$A$81,0))</f>
        <v>1</v>
      </c>
    </row>
    <row r="4095" customFormat="false" ht="15" hidden="false" customHeight="false" outlineLevel="0" collapsed="false">
      <c r="A4095" s="0" t="s">
        <v>4419</v>
      </c>
      <c r="B4095" s="0" t="s">
        <v>52</v>
      </c>
      <c r="C4095" s="0" t="str">
        <f aca="false">INDEX(Intent_Analysis!$B$5:$B$81,MATCH(B4095,Intent_Analysis!$A$5:$A$81,0))</f>
        <v>Card delivery &amp; activation</v>
      </c>
      <c r="D4095" s="0" t="n">
        <f aca="false">INDEX(Intent_Analysis!$E$5:$E$81,MATCH(B4095,Intent_Analysis!$A$5:$A$81,0))</f>
        <v>1</v>
      </c>
    </row>
    <row r="4096" customFormat="false" ht="15" hidden="false" customHeight="false" outlineLevel="0" collapsed="false">
      <c r="A4096" s="0" t="s">
        <v>4420</v>
      </c>
      <c r="B4096" s="0" t="s">
        <v>52</v>
      </c>
      <c r="C4096" s="0" t="str">
        <f aca="false">INDEX(Intent_Analysis!$B$5:$B$81,MATCH(B4096,Intent_Analysis!$A$5:$A$81,0))</f>
        <v>Card delivery &amp; activation</v>
      </c>
      <c r="D4096" s="0" t="n">
        <f aca="false">INDEX(Intent_Analysis!$E$5:$E$81,MATCH(B4096,Intent_Analysis!$A$5:$A$81,0))</f>
        <v>1</v>
      </c>
    </row>
    <row r="4097" customFormat="false" ht="15" hidden="false" customHeight="false" outlineLevel="0" collapsed="false">
      <c r="A4097" s="0" t="s">
        <v>4421</v>
      </c>
      <c r="B4097" s="0" t="s">
        <v>52</v>
      </c>
      <c r="C4097" s="0" t="str">
        <f aca="false">INDEX(Intent_Analysis!$B$5:$B$81,MATCH(B4097,Intent_Analysis!$A$5:$A$81,0))</f>
        <v>Card delivery &amp; activation</v>
      </c>
      <c r="D4097" s="0" t="n">
        <f aca="false">INDEX(Intent_Analysis!$E$5:$E$81,MATCH(B4097,Intent_Analysis!$A$5:$A$81,0))</f>
        <v>1</v>
      </c>
    </row>
    <row r="4098" customFormat="false" ht="15" hidden="false" customHeight="false" outlineLevel="0" collapsed="false">
      <c r="A4098" s="0" t="s">
        <v>4422</v>
      </c>
      <c r="B4098" s="0" t="s">
        <v>52</v>
      </c>
      <c r="C4098" s="0" t="str">
        <f aca="false">INDEX(Intent_Analysis!$B$5:$B$81,MATCH(B4098,Intent_Analysis!$A$5:$A$81,0))</f>
        <v>Card delivery &amp; activation</v>
      </c>
      <c r="D4098" s="0" t="n">
        <f aca="false">INDEX(Intent_Analysis!$E$5:$E$81,MATCH(B4098,Intent_Analysis!$A$5:$A$81,0))</f>
        <v>1</v>
      </c>
    </row>
    <row r="4099" customFormat="false" ht="15" hidden="false" customHeight="false" outlineLevel="0" collapsed="false">
      <c r="A4099" s="0" t="s">
        <v>4423</v>
      </c>
      <c r="B4099" s="0" t="s">
        <v>52</v>
      </c>
      <c r="C4099" s="0" t="str">
        <f aca="false">INDEX(Intent_Analysis!$B$5:$B$81,MATCH(B4099,Intent_Analysis!$A$5:$A$81,0))</f>
        <v>Card delivery &amp; activation</v>
      </c>
      <c r="D4099" s="0" t="n">
        <f aca="false">INDEX(Intent_Analysis!$E$5:$E$81,MATCH(B4099,Intent_Analysis!$A$5:$A$81,0))</f>
        <v>1</v>
      </c>
    </row>
    <row r="4100" customFormat="false" ht="15" hidden="false" customHeight="false" outlineLevel="0" collapsed="false">
      <c r="A4100" s="0" t="s">
        <v>4424</v>
      </c>
      <c r="B4100" s="0" t="s">
        <v>52</v>
      </c>
      <c r="C4100" s="0" t="str">
        <f aca="false">INDEX(Intent_Analysis!$B$5:$B$81,MATCH(B4100,Intent_Analysis!$A$5:$A$81,0))</f>
        <v>Card delivery &amp; activation</v>
      </c>
      <c r="D4100" s="0" t="n">
        <f aca="false">INDEX(Intent_Analysis!$E$5:$E$81,MATCH(B4100,Intent_Analysis!$A$5:$A$81,0))</f>
        <v>1</v>
      </c>
    </row>
    <row r="4101" customFormat="false" ht="15" hidden="false" customHeight="false" outlineLevel="0" collapsed="false">
      <c r="A4101" s="0" t="s">
        <v>4425</v>
      </c>
      <c r="B4101" s="0" t="s">
        <v>52</v>
      </c>
      <c r="C4101" s="0" t="str">
        <f aca="false">INDEX(Intent_Analysis!$B$5:$B$81,MATCH(B4101,Intent_Analysis!$A$5:$A$81,0))</f>
        <v>Card delivery &amp; activation</v>
      </c>
      <c r="D4101" s="0" t="n">
        <f aca="false">INDEX(Intent_Analysis!$E$5:$E$81,MATCH(B4101,Intent_Analysis!$A$5:$A$81,0))</f>
        <v>1</v>
      </c>
    </row>
    <row r="4102" customFormat="false" ht="15" hidden="false" customHeight="false" outlineLevel="0" collapsed="false">
      <c r="A4102" s="0" t="s">
        <v>4426</v>
      </c>
      <c r="B4102" s="0" t="s">
        <v>61</v>
      </c>
      <c r="C4102" s="0" t="str">
        <f aca="false">INDEX(Intent_Analysis!$B$5:$B$81,MATCH(B4102,Intent_Analysis!$A$5:$A$81,0))</f>
        <v>Card usage &amp; features</v>
      </c>
      <c r="D4102" s="0" t="n">
        <f aca="false">INDEX(Intent_Analysis!$E$5:$E$81,MATCH(B4102,Intent_Analysis!$A$5:$A$81,0))</f>
        <v>1</v>
      </c>
    </row>
    <row r="4103" customFormat="false" ht="15" hidden="false" customHeight="false" outlineLevel="0" collapsed="false">
      <c r="A4103" s="0" t="s">
        <v>4427</v>
      </c>
      <c r="B4103" s="0" t="s">
        <v>61</v>
      </c>
      <c r="C4103" s="0" t="str">
        <f aca="false">INDEX(Intent_Analysis!$B$5:$B$81,MATCH(B4103,Intent_Analysis!$A$5:$A$81,0))</f>
        <v>Card usage &amp; features</v>
      </c>
      <c r="D4103" s="0" t="n">
        <f aca="false">INDEX(Intent_Analysis!$E$5:$E$81,MATCH(B4103,Intent_Analysis!$A$5:$A$81,0))</f>
        <v>1</v>
      </c>
    </row>
    <row r="4104" customFormat="false" ht="15" hidden="false" customHeight="false" outlineLevel="0" collapsed="false">
      <c r="A4104" s="0" t="s">
        <v>4428</v>
      </c>
      <c r="B4104" s="0" t="s">
        <v>61</v>
      </c>
      <c r="C4104" s="0" t="str">
        <f aca="false">INDEX(Intent_Analysis!$B$5:$B$81,MATCH(B4104,Intent_Analysis!$A$5:$A$81,0))</f>
        <v>Card usage &amp; features</v>
      </c>
      <c r="D4104" s="0" t="n">
        <f aca="false">INDEX(Intent_Analysis!$E$5:$E$81,MATCH(B4104,Intent_Analysis!$A$5:$A$81,0))</f>
        <v>1</v>
      </c>
    </row>
    <row r="4105" customFormat="false" ht="15" hidden="false" customHeight="false" outlineLevel="0" collapsed="false">
      <c r="A4105" s="0" t="s">
        <v>4429</v>
      </c>
      <c r="B4105" s="0" t="s">
        <v>61</v>
      </c>
      <c r="C4105" s="0" t="str">
        <f aca="false">INDEX(Intent_Analysis!$B$5:$B$81,MATCH(B4105,Intent_Analysis!$A$5:$A$81,0))</f>
        <v>Card usage &amp; features</v>
      </c>
      <c r="D4105" s="0" t="n">
        <f aca="false">INDEX(Intent_Analysis!$E$5:$E$81,MATCH(B4105,Intent_Analysis!$A$5:$A$81,0))</f>
        <v>1</v>
      </c>
    </row>
    <row r="4106" customFormat="false" ht="15" hidden="false" customHeight="false" outlineLevel="0" collapsed="false">
      <c r="A4106" s="0" t="s">
        <v>4430</v>
      </c>
      <c r="B4106" s="0" t="s">
        <v>61</v>
      </c>
      <c r="C4106" s="0" t="str">
        <f aca="false">INDEX(Intent_Analysis!$B$5:$B$81,MATCH(B4106,Intent_Analysis!$A$5:$A$81,0))</f>
        <v>Card usage &amp; features</v>
      </c>
      <c r="D4106" s="0" t="n">
        <f aca="false">INDEX(Intent_Analysis!$E$5:$E$81,MATCH(B4106,Intent_Analysis!$A$5:$A$81,0))</f>
        <v>1</v>
      </c>
    </row>
    <row r="4107" customFormat="false" ht="15" hidden="false" customHeight="false" outlineLevel="0" collapsed="false">
      <c r="A4107" s="0" t="s">
        <v>4431</v>
      </c>
      <c r="B4107" s="0" t="s">
        <v>61</v>
      </c>
      <c r="C4107" s="0" t="str">
        <f aca="false">INDEX(Intent_Analysis!$B$5:$B$81,MATCH(B4107,Intent_Analysis!$A$5:$A$81,0))</f>
        <v>Card usage &amp; features</v>
      </c>
      <c r="D4107" s="0" t="n">
        <f aca="false">INDEX(Intent_Analysis!$E$5:$E$81,MATCH(B4107,Intent_Analysis!$A$5:$A$81,0))</f>
        <v>1</v>
      </c>
    </row>
    <row r="4108" customFormat="false" ht="15" hidden="false" customHeight="false" outlineLevel="0" collapsed="false">
      <c r="A4108" s="0" t="s">
        <v>4432</v>
      </c>
      <c r="B4108" s="0" t="s">
        <v>61</v>
      </c>
      <c r="C4108" s="0" t="str">
        <f aca="false">INDEX(Intent_Analysis!$B$5:$B$81,MATCH(B4108,Intent_Analysis!$A$5:$A$81,0))</f>
        <v>Card usage &amp; features</v>
      </c>
      <c r="D4108" s="0" t="n">
        <f aca="false">INDEX(Intent_Analysis!$E$5:$E$81,MATCH(B4108,Intent_Analysis!$A$5:$A$81,0))</f>
        <v>1</v>
      </c>
    </row>
    <row r="4109" customFormat="false" ht="15" hidden="false" customHeight="false" outlineLevel="0" collapsed="false">
      <c r="A4109" s="0" t="s">
        <v>4433</v>
      </c>
      <c r="B4109" s="0" t="s">
        <v>61</v>
      </c>
      <c r="C4109" s="0" t="str">
        <f aca="false">INDEX(Intent_Analysis!$B$5:$B$81,MATCH(B4109,Intent_Analysis!$A$5:$A$81,0))</f>
        <v>Card usage &amp; features</v>
      </c>
      <c r="D4109" s="0" t="n">
        <f aca="false">INDEX(Intent_Analysis!$E$5:$E$81,MATCH(B4109,Intent_Analysis!$A$5:$A$81,0))</f>
        <v>1</v>
      </c>
    </row>
    <row r="4110" customFormat="false" ht="15" hidden="false" customHeight="false" outlineLevel="0" collapsed="false">
      <c r="A4110" s="0" t="s">
        <v>4434</v>
      </c>
      <c r="B4110" s="0" t="s">
        <v>61</v>
      </c>
      <c r="C4110" s="0" t="str">
        <f aca="false">INDEX(Intent_Analysis!$B$5:$B$81,MATCH(B4110,Intent_Analysis!$A$5:$A$81,0))</f>
        <v>Card usage &amp; features</v>
      </c>
      <c r="D4110" s="0" t="n">
        <f aca="false">INDEX(Intent_Analysis!$E$5:$E$81,MATCH(B4110,Intent_Analysis!$A$5:$A$81,0))</f>
        <v>1</v>
      </c>
    </row>
    <row r="4111" customFormat="false" ht="15" hidden="false" customHeight="false" outlineLevel="0" collapsed="false">
      <c r="A4111" s="0" t="s">
        <v>4435</v>
      </c>
      <c r="B4111" s="0" t="s">
        <v>61</v>
      </c>
      <c r="C4111" s="0" t="str">
        <f aca="false">INDEX(Intent_Analysis!$B$5:$B$81,MATCH(B4111,Intent_Analysis!$A$5:$A$81,0))</f>
        <v>Card usage &amp; features</v>
      </c>
      <c r="D4111" s="0" t="n">
        <f aca="false">INDEX(Intent_Analysis!$E$5:$E$81,MATCH(B4111,Intent_Analysis!$A$5:$A$81,0))</f>
        <v>1</v>
      </c>
    </row>
    <row r="4112" customFormat="false" ht="15" hidden="false" customHeight="false" outlineLevel="0" collapsed="false">
      <c r="A4112" s="0" t="s">
        <v>4436</v>
      </c>
      <c r="B4112" s="0" t="s">
        <v>61</v>
      </c>
      <c r="C4112" s="0" t="str">
        <f aca="false">INDEX(Intent_Analysis!$B$5:$B$81,MATCH(B4112,Intent_Analysis!$A$5:$A$81,0))</f>
        <v>Card usage &amp; features</v>
      </c>
      <c r="D4112" s="0" t="n">
        <f aca="false">INDEX(Intent_Analysis!$E$5:$E$81,MATCH(B4112,Intent_Analysis!$A$5:$A$81,0))</f>
        <v>1</v>
      </c>
    </row>
    <row r="4113" customFormat="false" ht="15" hidden="false" customHeight="false" outlineLevel="0" collapsed="false">
      <c r="A4113" s="0" t="s">
        <v>4437</v>
      </c>
      <c r="B4113" s="0" t="s">
        <v>61</v>
      </c>
      <c r="C4113" s="0" t="str">
        <f aca="false">INDEX(Intent_Analysis!$B$5:$B$81,MATCH(B4113,Intent_Analysis!$A$5:$A$81,0))</f>
        <v>Card usage &amp; features</v>
      </c>
      <c r="D4113" s="0" t="n">
        <f aca="false">INDEX(Intent_Analysis!$E$5:$E$81,MATCH(B4113,Intent_Analysis!$A$5:$A$81,0))</f>
        <v>1</v>
      </c>
    </row>
    <row r="4114" customFormat="false" ht="15" hidden="false" customHeight="false" outlineLevel="0" collapsed="false">
      <c r="A4114" s="0" t="s">
        <v>4438</v>
      </c>
      <c r="B4114" s="0" t="s">
        <v>61</v>
      </c>
      <c r="C4114" s="0" t="str">
        <f aca="false">INDEX(Intent_Analysis!$B$5:$B$81,MATCH(B4114,Intent_Analysis!$A$5:$A$81,0))</f>
        <v>Card usage &amp; features</v>
      </c>
      <c r="D4114" s="0" t="n">
        <f aca="false">INDEX(Intent_Analysis!$E$5:$E$81,MATCH(B4114,Intent_Analysis!$A$5:$A$81,0))</f>
        <v>1</v>
      </c>
    </row>
    <row r="4115" customFormat="false" ht="15" hidden="false" customHeight="false" outlineLevel="0" collapsed="false">
      <c r="A4115" s="0" t="s">
        <v>4439</v>
      </c>
      <c r="B4115" s="0" t="s">
        <v>61</v>
      </c>
      <c r="C4115" s="0" t="str">
        <f aca="false">INDEX(Intent_Analysis!$B$5:$B$81,MATCH(B4115,Intent_Analysis!$A$5:$A$81,0))</f>
        <v>Card usage &amp; features</v>
      </c>
      <c r="D4115" s="0" t="n">
        <f aca="false">INDEX(Intent_Analysis!$E$5:$E$81,MATCH(B4115,Intent_Analysis!$A$5:$A$81,0))</f>
        <v>1</v>
      </c>
    </row>
    <row r="4116" customFormat="false" ht="15" hidden="false" customHeight="false" outlineLevel="0" collapsed="false">
      <c r="A4116" s="0" t="s">
        <v>4440</v>
      </c>
      <c r="B4116" s="0" t="s">
        <v>61</v>
      </c>
      <c r="C4116" s="0" t="str">
        <f aca="false">INDEX(Intent_Analysis!$B$5:$B$81,MATCH(B4116,Intent_Analysis!$A$5:$A$81,0))</f>
        <v>Card usage &amp; features</v>
      </c>
      <c r="D4116" s="0" t="n">
        <f aca="false">INDEX(Intent_Analysis!$E$5:$E$81,MATCH(B4116,Intent_Analysis!$A$5:$A$81,0))</f>
        <v>1</v>
      </c>
    </row>
    <row r="4117" customFormat="false" ht="15" hidden="false" customHeight="false" outlineLevel="0" collapsed="false">
      <c r="A4117" s="0" t="s">
        <v>4441</v>
      </c>
      <c r="B4117" s="0" t="s">
        <v>61</v>
      </c>
      <c r="C4117" s="0" t="str">
        <f aca="false">INDEX(Intent_Analysis!$B$5:$B$81,MATCH(B4117,Intent_Analysis!$A$5:$A$81,0))</f>
        <v>Card usage &amp; features</v>
      </c>
      <c r="D4117" s="0" t="n">
        <f aca="false">INDEX(Intent_Analysis!$E$5:$E$81,MATCH(B4117,Intent_Analysis!$A$5:$A$81,0))</f>
        <v>1</v>
      </c>
    </row>
    <row r="4118" customFormat="false" ht="15" hidden="false" customHeight="false" outlineLevel="0" collapsed="false">
      <c r="A4118" s="0" t="s">
        <v>4442</v>
      </c>
      <c r="B4118" s="0" t="s">
        <v>61</v>
      </c>
      <c r="C4118" s="0" t="str">
        <f aca="false">INDEX(Intent_Analysis!$B$5:$B$81,MATCH(B4118,Intent_Analysis!$A$5:$A$81,0))</f>
        <v>Card usage &amp; features</v>
      </c>
      <c r="D4118" s="0" t="n">
        <f aca="false">INDEX(Intent_Analysis!$E$5:$E$81,MATCH(B4118,Intent_Analysis!$A$5:$A$81,0))</f>
        <v>1</v>
      </c>
    </row>
    <row r="4119" customFormat="false" ht="15" hidden="false" customHeight="false" outlineLevel="0" collapsed="false">
      <c r="A4119" s="0" t="s">
        <v>4443</v>
      </c>
      <c r="B4119" s="0" t="s">
        <v>61</v>
      </c>
      <c r="C4119" s="0" t="str">
        <f aca="false">INDEX(Intent_Analysis!$B$5:$B$81,MATCH(B4119,Intent_Analysis!$A$5:$A$81,0))</f>
        <v>Card usage &amp; features</v>
      </c>
      <c r="D4119" s="0" t="n">
        <f aca="false">INDEX(Intent_Analysis!$E$5:$E$81,MATCH(B4119,Intent_Analysis!$A$5:$A$81,0))</f>
        <v>1</v>
      </c>
    </row>
    <row r="4120" customFormat="false" ht="15" hidden="false" customHeight="false" outlineLevel="0" collapsed="false">
      <c r="A4120" s="0" t="s">
        <v>4444</v>
      </c>
      <c r="B4120" s="0" t="s">
        <v>61</v>
      </c>
      <c r="C4120" s="0" t="str">
        <f aca="false">INDEX(Intent_Analysis!$B$5:$B$81,MATCH(B4120,Intent_Analysis!$A$5:$A$81,0))</f>
        <v>Card usage &amp; features</v>
      </c>
      <c r="D4120" s="0" t="n">
        <f aca="false">INDEX(Intent_Analysis!$E$5:$E$81,MATCH(B4120,Intent_Analysis!$A$5:$A$81,0))</f>
        <v>1</v>
      </c>
    </row>
    <row r="4121" customFormat="false" ht="15" hidden="false" customHeight="false" outlineLevel="0" collapsed="false">
      <c r="A4121" s="0" t="s">
        <v>4445</v>
      </c>
      <c r="B4121" s="0" t="s">
        <v>61</v>
      </c>
      <c r="C4121" s="0" t="str">
        <f aca="false">INDEX(Intent_Analysis!$B$5:$B$81,MATCH(B4121,Intent_Analysis!$A$5:$A$81,0))</f>
        <v>Card usage &amp; features</v>
      </c>
      <c r="D4121" s="0" t="n">
        <f aca="false">INDEX(Intent_Analysis!$E$5:$E$81,MATCH(B4121,Intent_Analysis!$A$5:$A$81,0))</f>
        <v>1</v>
      </c>
    </row>
    <row r="4122" customFormat="false" ht="15" hidden="false" customHeight="false" outlineLevel="0" collapsed="false">
      <c r="A4122" s="0" t="s">
        <v>4446</v>
      </c>
      <c r="B4122" s="0" t="s">
        <v>61</v>
      </c>
      <c r="C4122" s="0" t="str">
        <f aca="false">INDEX(Intent_Analysis!$B$5:$B$81,MATCH(B4122,Intent_Analysis!$A$5:$A$81,0))</f>
        <v>Card usage &amp; features</v>
      </c>
      <c r="D4122" s="0" t="n">
        <f aca="false">INDEX(Intent_Analysis!$E$5:$E$81,MATCH(B4122,Intent_Analysis!$A$5:$A$81,0))</f>
        <v>1</v>
      </c>
    </row>
    <row r="4123" customFormat="false" ht="15" hidden="false" customHeight="false" outlineLevel="0" collapsed="false">
      <c r="A4123" s="0" t="s">
        <v>4447</v>
      </c>
      <c r="B4123" s="0" t="s">
        <v>61</v>
      </c>
      <c r="C4123" s="0" t="str">
        <f aca="false">INDEX(Intent_Analysis!$B$5:$B$81,MATCH(B4123,Intent_Analysis!$A$5:$A$81,0))</f>
        <v>Card usage &amp; features</v>
      </c>
      <c r="D4123" s="0" t="n">
        <f aca="false">INDEX(Intent_Analysis!$E$5:$E$81,MATCH(B4123,Intent_Analysis!$A$5:$A$81,0))</f>
        <v>1</v>
      </c>
    </row>
    <row r="4124" customFormat="false" ht="15" hidden="false" customHeight="false" outlineLevel="0" collapsed="false">
      <c r="A4124" s="0" t="s">
        <v>4448</v>
      </c>
      <c r="B4124" s="0" t="s">
        <v>61</v>
      </c>
      <c r="C4124" s="0" t="str">
        <f aca="false">INDEX(Intent_Analysis!$B$5:$B$81,MATCH(B4124,Intent_Analysis!$A$5:$A$81,0))</f>
        <v>Card usage &amp; features</v>
      </c>
      <c r="D4124" s="0" t="n">
        <f aca="false">INDEX(Intent_Analysis!$E$5:$E$81,MATCH(B4124,Intent_Analysis!$A$5:$A$81,0))</f>
        <v>1</v>
      </c>
    </row>
    <row r="4125" customFormat="false" ht="15" hidden="false" customHeight="false" outlineLevel="0" collapsed="false">
      <c r="A4125" s="0" t="s">
        <v>4449</v>
      </c>
      <c r="B4125" s="0" t="s">
        <v>61</v>
      </c>
      <c r="C4125" s="0" t="str">
        <f aca="false">INDEX(Intent_Analysis!$B$5:$B$81,MATCH(B4125,Intent_Analysis!$A$5:$A$81,0))</f>
        <v>Card usage &amp; features</v>
      </c>
      <c r="D4125" s="0" t="n">
        <f aca="false">INDEX(Intent_Analysis!$E$5:$E$81,MATCH(B4125,Intent_Analysis!$A$5:$A$81,0))</f>
        <v>1</v>
      </c>
    </row>
    <row r="4126" customFormat="false" ht="15" hidden="false" customHeight="false" outlineLevel="0" collapsed="false">
      <c r="A4126" s="0" t="s">
        <v>4450</v>
      </c>
      <c r="B4126" s="0" t="s">
        <v>61</v>
      </c>
      <c r="C4126" s="0" t="str">
        <f aca="false">INDEX(Intent_Analysis!$B$5:$B$81,MATCH(B4126,Intent_Analysis!$A$5:$A$81,0))</f>
        <v>Card usage &amp; features</v>
      </c>
      <c r="D4126" s="0" t="n">
        <f aca="false">INDEX(Intent_Analysis!$E$5:$E$81,MATCH(B4126,Intent_Analysis!$A$5:$A$81,0))</f>
        <v>1</v>
      </c>
    </row>
    <row r="4127" customFormat="false" ht="15" hidden="false" customHeight="false" outlineLevel="0" collapsed="false">
      <c r="A4127" s="0" t="s">
        <v>4451</v>
      </c>
      <c r="B4127" s="0" t="s">
        <v>61</v>
      </c>
      <c r="C4127" s="0" t="str">
        <f aca="false">INDEX(Intent_Analysis!$B$5:$B$81,MATCH(B4127,Intent_Analysis!$A$5:$A$81,0))</f>
        <v>Card usage &amp; features</v>
      </c>
      <c r="D4127" s="0" t="n">
        <f aca="false">INDEX(Intent_Analysis!$E$5:$E$81,MATCH(B4127,Intent_Analysis!$A$5:$A$81,0))</f>
        <v>1</v>
      </c>
    </row>
    <row r="4128" customFormat="false" ht="15" hidden="false" customHeight="false" outlineLevel="0" collapsed="false">
      <c r="A4128" s="0" t="s">
        <v>4452</v>
      </c>
      <c r="B4128" s="0" t="s">
        <v>61</v>
      </c>
      <c r="C4128" s="0" t="str">
        <f aca="false">INDEX(Intent_Analysis!$B$5:$B$81,MATCH(B4128,Intent_Analysis!$A$5:$A$81,0))</f>
        <v>Card usage &amp; features</v>
      </c>
      <c r="D4128" s="0" t="n">
        <f aca="false">INDEX(Intent_Analysis!$E$5:$E$81,MATCH(B4128,Intent_Analysis!$A$5:$A$81,0))</f>
        <v>1</v>
      </c>
    </row>
    <row r="4129" customFormat="false" ht="15" hidden="false" customHeight="false" outlineLevel="0" collapsed="false">
      <c r="A4129" s="0" t="s">
        <v>4453</v>
      </c>
      <c r="B4129" s="0" t="s">
        <v>61</v>
      </c>
      <c r="C4129" s="0" t="str">
        <f aca="false">INDEX(Intent_Analysis!$B$5:$B$81,MATCH(B4129,Intent_Analysis!$A$5:$A$81,0))</f>
        <v>Card usage &amp; features</v>
      </c>
      <c r="D4129" s="0" t="n">
        <f aca="false">INDEX(Intent_Analysis!$E$5:$E$81,MATCH(B4129,Intent_Analysis!$A$5:$A$81,0))</f>
        <v>1</v>
      </c>
    </row>
    <row r="4130" customFormat="false" ht="15" hidden="false" customHeight="false" outlineLevel="0" collapsed="false">
      <c r="A4130" s="0" t="s">
        <v>4454</v>
      </c>
      <c r="B4130" s="0" t="s">
        <v>61</v>
      </c>
      <c r="C4130" s="0" t="str">
        <f aca="false">INDEX(Intent_Analysis!$B$5:$B$81,MATCH(B4130,Intent_Analysis!$A$5:$A$81,0))</f>
        <v>Card usage &amp; features</v>
      </c>
      <c r="D4130" s="0" t="n">
        <f aca="false">INDEX(Intent_Analysis!$E$5:$E$81,MATCH(B4130,Intent_Analysis!$A$5:$A$81,0))</f>
        <v>1</v>
      </c>
    </row>
    <row r="4131" customFormat="false" ht="15" hidden="false" customHeight="false" outlineLevel="0" collapsed="false">
      <c r="A4131" s="0" t="s">
        <v>4455</v>
      </c>
      <c r="B4131" s="0" t="s">
        <v>61</v>
      </c>
      <c r="C4131" s="0" t="str">
        <f aca="false">INDEX(Intent_Analysis!$B$5:$B$81,MATCH(B4131,Intent_Analysis!$A$5:$A$81,0))</f>
        <v>Card usage &amp; features</v>
      </c>
      <c r="D4131" s="0" t="n">
        <f aca="false">INDEX(Intent_Analysis!$E$5:$E$81,MATCH(B4131,Intent_Analysis!$A$5:$A$81,0))</f>
        <v>1</v>
      </c>
    </row>
    <row r="4132" customFormat="false" ht="15" hidden="false" customHeight="false" outlineLevel="0" collapsed="false">
      <c r="A4132" s="0" t="s">
        <v>4456</v>
      </c>
      <c r="B4132" s="0" t="s">
        <v>61</v>
      </c>
      <c r="C4132" s="0" t="str">
        <f aca="false">INDEX(Intent_Analysis!$B$5:$B$81,MATCH(B4132,Intent_Analysis!$A$5:$A$81,0))</f>
        <v>Card usage &amp; features</v>
      </c>
      <c r="D4132" s="0" t="n">
        <f aca="false">INDEX(Intent_Analysis!$E$5:$E$81,MATCH(B4132,Intent_Analysis!$A$5:$A$81,0))</f>
        <v>1</v>
      </c>
    </row>
    <row r="4133" customFormat="false" ht="15" hidden="false" customHeight="false" outlineLevel="0" collapsed="false">
      <c r="A4133" s="0" t="s">
        <v>4457</v>
      </c>
      <c r="B4133" s="0" t="s">
        <v>61</v>
      </c>
      <c r="C4133" s="0" t="str">
        <f aca="false">INDEX(Intent_Analysis!$B$5:$B$81,MATCH(B4133,Intent_Analysis!$A$5:$A$81,0))</f>
        <v>Card usage &amp; features</v>
      </c>
      <c r="D4133" s="0" t="n">
        <f aca="false">INDEX(Intent_Analysis!$E$5:$E$81,MATCH(B4133,Intent_Analysis!$A$5:$A$81,0))</f>
        <v>1</v>
      </c>
    </row>
    <row r="4134" customFormat="false" ht="15" hidden="false" customHeight="false" outlineLevel="0" collapsed="false">
      <c r="A4134" s="0" t="s">
        <v>4458</v>
      </c>
      <c r="B4134" s="0" t="s">
        <v>61</v>
      </c>
      <c r="C4134" s="0" t="str">
        <f aca="false">INDEX(Intent_Analysis!$B$5:$B$81,MATCH(B4134,Intent_Analysis!$A$5:$A$81,0))</f>
        <v>Card usage &amp; features</v>
      </c>
      <c r="D4134" s="0" t="n">
        <f aca="false">INDEX(Intent_Analysis!$E$5:$E$81,MATCH(B4134,Intent_Analysis!$A$5:$A$81,0))</f>
        <v>1</v>
      </c>
    </row>
    <row r="4135" customFormat="false" ht="15" hidden="false" customHeight="false" outlineLevel="0" collapsed="false">
      <c r="A4135" s="0" t="s">
        <v>4459</v>
      </c>
      <c r="B4135" s="0" t="s">
        <v>61</v>
      </c>
      <c r="C4135" s="0" t="str">
        <f aca="false">INDEX(Intent_Analysis!$B$5:$B$81,MATCH(B4135,Intent_Analysis!$A$5:$A$81,0))</f>
        <v>Card usage &amp; features</v>
      </c>
      <c r="D4135" s="0" t="n">
        <f aca="false">INDEX(Intent_Analysis!$E$5:$E$81,MATCH(B4135,Intent_Analysis!$A$5:$A$81,0))</f>
        <v>1</v>
      </c>
    </row>
    <row r="4136" customFormat="false" ht="15" hidden="false" customHeight="false" outlineLevel="0" collapsed="false">
      <c r="A4136" s="0" t="s">
        <v>4460</v>
      </c>
      <c r="B4136" s="0" t="s">
        <v>61</v>
      </c>
      <c r="C4136" s="0" t="str">
        <f aca="false">INDEX(Intent_Analysis!$B$5:$B$81,MATCH(B4136,Intent_Analysis!$A$5:$A$81,0))</f>
        <v>Card usage &amp; features</v>
      </c>
      <c r="D4136" s="0" t="n">
        <f aca="false">INDEX(Intent_Analysis!$E$5:$E$81,MATCH(B4136,Intent_Analysis!$A$5:$A$81,0))</f>
        <v>1</v>
      </c>
    </row>
    <row r="4137" customFormat="false" ht="15" hidden="false" customHeight="false" outlineLevel="0" collapsed="false">
      <c r="A4137" s="0" t="s">
        <v>4461</v>
      </c>
      <c r="B4137" s="0" t="s">
        <v>61</v>
      </c>
      <c r="C4137" s="0" t="str">
        <f aca="false">INDEX(Intent_Analysis!$B$5:$B$81,MATCH(B4137,Intent_Analysis!$A$5:$A$81,0))</f>
        <v>Card usage &amp; features</v>
      </c>
      <c r="D4137" s="0" t="n">
        <f aca="false">INDEX(Intent_Analysis!$E$5:$E$81,MATCH(B4137,Intent_Analysis!$A$5:$A$81,0))</f>
        <v>1</v>
      </c>
    </row>
    <row r="4138" customFormat="false" ht="15" hidden="false" customHeight="false" outlineLevel="0" collapsed="false">
      <c r="A4138" s="0" t="s">
        <v>4462</v>
      </c>
      <c r="B4138" s="0" t="s">
        <v>61</v>
      </c>
      <c r="C4138" s="0" t="str">
        <f aca="false">INDEX(Intent_Analysis!$B$5:$B$81,MATCH(B4138,Intent_Analysis!$A$5:$A$81,0))</f>
        <v>Card usage &amp; features</v>
      </c>
      <c r="D4138" s="0" t="n">
        <f aca="false">INDEX(Intent_Analysis!$E$5:$E$81,MATCH(B4138,Intent_Analysis!$A$5:$A$81,0))</f>
        <v>1</v>
      </c>
    </row>
    <row r="4139" customFormat="false" ht="15" hidden="false" customHeight="false" outlineLevel="0" collapsed="false">
      <c r="A4139" s="0" t="s">
        <v>4463</v>
      </c>
      <c r="B4139" s="0" t="s">
        <v>61</v>
      </c>
      <c r="C4139" s="0" t="str">
        <f aca="false">INDEX(Intent_Analysis!$B$5:$B$81,MATCH(B4139,Intent_Analysis!$A$5:$A$81,0))</f>
        <v>Card usage &amp; features</v>
      </c>
      <c r="D4139" s="0" t="n">
        <f aca="false">INDEX(Intent_Analysis!$E$5:$E$81,MATCH(B4139,Intent_Analysis!$A$5:$A$81,0))</f>
        <v>1</v>
      </c>
    </row>
    <row r="4140" customFormat="false" ht="15" hidden="false" customHeight="false" outlineLevel="0" collapsed="false">
      <c r="A4140" s="0" t="s">
        <v>4464</v>
      </c>
      <c r="B4140" s="0" t="s">
        <v>61</v>
      </c>
      <c r="C4140" s="0" t="str">
        <f aca="false">INDEX(Intent_Analysis!$B$5:$B$81,MATCH(B4140,Intent_Analysis!$A$5:$A$81,0))</f>
        <v>Card usage &amp; features</v>
      </c>
      <c r="D4140" s="0" t="n">
        <f aca="false">INDEX(Intent_Analysis!$E$5:$E$81,MATCH(B4140,Intent_Analysis!$A$5:$A$81,0))</f>
        <v>1</v>
      </c>
    </row>
    <row r="4141" customFormat="false" ht="15" hidden="false" customHeight="false" outlineLevel="0" collapsed="false">
      <c r="A4141" s="0" t="s">
        <v>4465</v>
      </c>
      <c r="B4141" s="0" t="s">
        <v>61</v>
      </c>
      <c r="C4141" s="0" t="str">
        <f aca="false">INDEX(Intent_Analysis!$B$5:$B$81,MATCH(B4141,Intent_Analysis!$A$5:$A$81,0))</f>
        <v>Card usage &amp; features</v>
      </c>
      <c r="D4141" s="0" t="n">
        <f aca="false">INDEX(Intent_Analysis!$E$5:$E$81,MATCH(B4141,Intent_Analysis!$A$5:$A$81,0))</f>
        <v>1</v>
      </c>
    </row>
    <row r="4142" customFormat="false" ht="15" hidden="false" customHeight="false" outlineLevel="0" collapsed="false">
      <c r="A4142" s="0" t="s">
        <v>4466</v>
      </c>
      <c r="B4142" s="0" t="s">
        <v>61</v>
      </c>
      <c r="C4142" s="0" t="str">
        <f aca="false">INDEX(Intent_Analysis!$B$5:$B$81,MATCH(B4142,Intent_Analysis!$A$5:$A$81,0))</f>
        <v>Card usage &amp; features</v>
      </c>
      <c r="D4142" s="0" t="n">
        <f aca="false">INDEX(Intent_Analysis!$E$5:$E$81,MATCH(B4142,Intent_Analysis!$A$5:$A$81,0))</f>
        <v>1</v>
      </c>
    </row>
    <row r="4143" customFormat="false" ht="15" hidden="false" customHeight="false" outlineLevel="0" collapsed="false">
      <c r="A4143" s="0" t="s">
        <v>4467</v>
      </c>
      <c r="B4143" s="0" t="s">
        <v>61</v>
      </c>
      <c r="C4143" s="0" t="str">
        <f aca="false">INDEX(Intent_Analysis!$B$5:$B$81,MATCH(B4143,Intent_Analysis!$A$5:$A$81,0))</f>
        <v>Card usage &amp; features</v>
      </c>
      <c r="D4143" s="0" t="n">
        <f aca="false">INDEX(Intent_Analysis!$E$5:$E$81,MATCH(B4143,Intent_Analysis!$A$5:$A$81,0))</f>
        <v>1</v>
      </c>
    </row>
    <row r="4144" customFormat="false" ht="15" hidden="false" customHeight="false" outlineLevel="0" collapsed="false">
      <c r="A4144" s="0" t="s">
        <v>4468</v>
      </c>
      <c r="B4144" s="0" t="s">
        <v>61</v>
      </c>
      <c r="C4144" s="0" t="str">
        <f aca="false">INDEX(Intent_Analysis!$B$5:$B$81,MATCH(B4144,Intent_Analysis!$A$5:$A$81,0))</f>
        <v>Card usage &amp; features</v>
      </c>
      <c r="D4144" s="0" t="n">
        <f aca="false">INDEX(Intent_Analysis!$E$5:$E$81,MATCH(B4144,Intent_Analysis!$A$5:$A$81,0))</f>
        <v>1</v>
      </c>
    </row>
    <row r="4145" customFormat="false" ht="15" hidden="false" customHeight="false" outlineLevel="0" collapsed="false">
      <c r="A4145" s="0" t="s">
        <v>4469</v>
      </c>
      <c r="B4145" s="0" t="s">
        <v>61</v>
      </c>
      <c r="C4145" s="0" t="str">
        <f aca="false">INDEX(Intent_Analysis!$B$5:$B$81,MATCH(B4145,Intent_Analysis!$A$5:$A$81,0))</f>
        <v>Card usage &amp; features</v>
      </c>
      <c r="D4145" s="0" t="n">
        <f aca="false">INDEX(Intent_Analysis!$E$5:$E$81,MATCH(B4145,Intent_Analysis!$A$5:$A$81,0))</f>
        <v>1</v>
      </c>
    </row>
    <row r="4146" customFormat="false" ht="15" hidden="false" customHeight="false" outlineLevel="0" collapsed="false">
      <c r="A4146" s="0" t="s">
        <v>4470</v>
      </c>
      <c r="B4146" s="0" t="s">
        <v>61</v>
      </c>
      <c r="C4146" s="0" t="str">
        <f aca="false">INDEX(Intent_Analysis!$B$5:$B$81,MATCH(B4146,Intent_Analysis!$A$5:$A$81,0))</f>
        <v>Card usage &amp; features</v>
      </c>
      <c r="D4146" s="0" t="n">
        <f aca="false">INDEX(Intent_Analysis!$E$5:$E$81,MATCH(B4146,Intent_Analysis!$A$5:$A$81,0))</f>
        <v>1</v>
      </c>
    </row>
    <row r="4147" customFormat="false" ht="15" hidden="false" customHeight="false" outlineLevel="0" collapsed="false">
      <c r="A4147" s="0" t="s">
        <v>4471</v>
      </c>
      <c r="B4147" s="0" t="s">
        <v>61</v>
      </c>
      <c r="C4147" s="0" t="str">
        <f aca="false">INDEX(Intent_Analysis!$B$5:$B$81,MATCH(B4147,Intent_Analysis!$A$5:$A$81,0))</f>
        <v>Card usage &amp; features</v>
      </c>
      <c r="D4147" s="0" t="n">
        <f aca="false">INDEX(Intent_Analysis!$E$5:$E$81,MATCH(B4147,Intent_Analysis!$A$5:$A$81,0))</f>
        <v>1</v>
      </c>
    </row>
    <row r="4148" customFormat="false" ht="15" hidden="false" customHeight="false" outlineLevel="0" collapsed="false">
      <c r="A4148" s="0" t="s">
        <v>4472</v>
      </c>
      <c r="B4148" s="0" t="s">
        <v>61</v>
      </c>
      <c r="C4148" s="0" t="str">
        <f aca="false">INDEX(Intent_Analysis!$B$5:$B$81,MATCH(B4148,Intent_Analysis!$A$5:$A$81,0))</f>
        <v>Card usage &amp; features</v>
      </c>
      <c r="D4148" s="0" t="n">
        <f aca="false">INDEX(Intent_Analysis!$E$5:$E$81,MATCH(B4148,Intent_Analysis!$A$5:$A$81,0))</f>
        <v>1</v>
      </c>
    </row>
    <row r="4149" customFormat="false" ht="15" hidden="false" customHeight="false" outlineLevel="0" collapsed="false">
      <c r="A4149" s="0" t="s">
        <v>4473</v>
      </c>
      <c r="B4149" s="0" t="s">
        <v>61</v>
      </c>
      <c r="C4149" s="0" t="str">
        <f aca="false">INDEX(Intent_Analysis!$B$5:$B$81,MATCH(B4149,Intent_Analysis!$A$5:$A$81,0))</f>
        <v>Card usage &amp; features</v>
      </c>
      <c r="D4149" s="0" t="n">
        <f aca="false">INDEX(Intent_Analysis!$E$5:$E$81,MATCH(B4149,Intent_Analysis!$A$5:$A$81,0))</f>
        <v>1</v>
      </c>
    </row>
    <row r="4150" customFormat="false" ht="15" hidden="false" customHeight="false" outlineLevel="0" collapsed="false">
      <c r="A4150" s="0" t="s">
        <v>4474</v>
      </c>
      <c r="B4150" s="0" t="s">
        <v>61</v>
      </c>
      <c r="C4150" s="0" t="str">
        <f aca="false">INDEX(Intent_Analysis!$B$5:$B$81,MATCH(B4150,Intent_Analysis!$A$5:$A$81,0))</f>
        <v>Card usage &amp; features</v>
      </c>
      <c r="D4150" s="0" t="n">
        <f aca="false">INDEX(Intent_Analysis!$E$5:$E$81,MATCH(B4150,Intent_Analysis!$A$5:$A$81,0))</f>
        <v>1</v>
      </c>
    </row>
    <row r="4151" customFormat="false" ht="15" hidden="false" customHeight="false" outlineLevel="0" collapsed="false">
      <c r="A4151" s="0" t="s">
        <v>4475</v>
      </c>
      <c r="B4151" s="0" t="s">
        <v>61</v>
      </c>
      <c r="C4151" s="0" t="str">
        <f aca="false">INDEX(Intent_Analysis!$B$5:$B$81,MATCH(B4151,Intent_Analysis!$A$5:$A$81,0))</f>
        <v>Card usage &amp; features</v>
      </c>
      <c r="D4151" s="0" t="n">
        <f aca="false">INDEX(Intent_Analysis!$E$5:$E$81,MATCH(B4151,Intent_Analysis!$A$5:$A$81,0))</f>
        <v>1</v>
      </c>
    </row>
    <row r="4152" customFormat="false" ht="15" hidden="false" customHeight="false" outlineLevel="0" collapsed="false">
      <c r="A4152" s="0" t="s">
        <v>4476</v>
      </c>
      <c r="B4152" s="0" t="s">
        <v>61</v>
      </c>
      <c r="C4152" s="0" t="str">
        <f aca="false">INDEX(Intent_Analysis!$B$5:$B$81,MATCH(B4152,Intent_Analysis!$A$5:$A$81,0))</f>
        <v>Card usage &amp; features</v>
      </c>
      <c r="D4152" s="0" t="n">
        <f aca="false">INDEX(Intent_Analysis!$E$5:$E$81,MATCH(B4152,Intent_Analysis!$A$5:$A$81,0))</f>
        <v>1</v>
      </c>
    </row>
    <row r="4153" customFormat="false" ht="15" hidden="false" customHeight="false" outlineLevel="0" collapsed="false">
      <c r="A4153" s="0" t="s">
        <v>4477</v>
      </c>
      <c r="B4153" s="0" t="s">
        <v>61</v>
      </c>
      <c r="C4153" s="0" t="str">
        <f aca="false">INDEX(Intent_Analysis!$B$5:$B$81,MATCH(B4153,Intent_Analysis!$A$5:$A$81,0))</f>
        <v>Card usage &amp; features</v>
      </c>
      <c r="D4153" s="0" t="n">
        <f aca="false">INDEX(Intent_Analysis!$E$5:$E$81,MATCH(B4153,Intent_Analysis!$A$5:$A$81,0))</f>
        <v>1</v>
      </c>
    </row>
    <row r="4154" customFormat="false" ht="15" hidden="false" customHeight="false" outlineLevel="0" collapsed="false">
      <c r="A4154" s="0" t="s">
        <v>4478</v>
      </c>
      <c r="B4154" s="0" t="s">
        <v>61</v>
      </c>
      <c r="C4154" s="0" t="str">
        <f aca="false">INDEX(Intent_Analysis!$B$5:$B$81,MATCH(B4154,Intent_Analysis!$A$5:$A$81,0))</f>
        <v>Card usage &amp; features</v>
      </c>
      <c r="D4154" s="0" t="n">
        <f aca="false">INDEX(Intent_Analysis!$E$5:$E$81,MATCH(B4154,Intent_Analysis!$A$5:$A$81,0))</f>
        <v>1</v>
      </c>
    </row>
    <row r="4155" customFormat="false" ht="15" hidden="false" customHeight="false" outlineLevel="0" collapsed="false">
      <c r="A4155" s="0" t="s">
        <v>4479</v>
      </c>
      <c r="B4155" s="0" t="s">
        <v>61</v>
      </c>
      <c r="C4155" s="0" t="str">
        <f aca="false">INDEX(Intent_Analysis!$B$5:$B$81,MATCH(B4155,Intent_Analysis!$A$5:$A$81,0))</f>
        <v>Card usage &amp; features</v>
      </c>
      <c r="D4155" s="0" t="n">
        <f aca="false">INDEX(Intent_Analysis!$E$5:$E$81,MATCH(B4155,Intent_Analysis!$A$5:$A$81,0))</f>
        <v>1</v>
      </c>
    </row>
    <row r="4156" customFormat="false" ht="15" hidden="false" customHeight="false" outlineLevel="0" collapsed="false">
      <c r="A4156" s="0" t="s">
        <v>4480</v>
      </c>
      <c r="B4156" s="0" t="s">
        <v>61</v>
      </c>
      <c r="C4156" s="0" t="str">
        <f aca="false">INDEX(Intent_Analysis!$B$5:$B$81,MATCH(B4156,Intent_Analysis!$A$5:$A$81,0))</f>
        <v>Card usage &amp; features</v>
      </c>
      <c r="D4156" s="0" t="n">
        <f aca="false">INDEX(Intent_Analysis!$E$5:$E$81,MATCH(B4156,Intent_Analysis!$A$5:$A$81,0))</f>
        <v>1</v>
      </c>
    </row>
    <row r="4157" customFormat="false" ht="15" hidden="false" customHeight="false" outlineLevel="0" collapsed="false">
      <c r="A4157" s="0" t="s">
        <v>4481</v>
      </c>
      <c r="B4157" s="0" t="s">
        <v>61</v>
      </c>
      <c r="C4157" s="0" t="str">
        <f aca="false">INDEX(Intent_Analysis!$B$5:$B$81,MATCH(B4157,Intent_Analysis!$A$5:$A$81,0))</f>
        <v>Card usage &amp; features</v>
      </c>
      <c r="D4157" s="0" t="n">
        <f aca="false">INDEX(Intent_Analysis!$E$5:$E$81,MATCH(B4157,Intent_Analysis!$A$5:$A$81,0))</f>
        <v>1</v>
      </c>
    </row>
    <row r="4158" customFormat="false" ht="15" hidden="false" customHeight="false" outlineLevel="0" collapsed="false">
      <c r="A4158" s="0" t="s">
        <v>4482</v>
      </c>
      <c r="B4158" s="0" t="s">
        <v>61</v>
      </c>
      <c r="C4158" s="0" t="str">
        <f aca="false">INDEX(Intent_Analysis!$B$5:$B$81,MATCH(B4158,Intent_Analysis!$A$5:$A$81,0))</f>
        <v>Card usage &amp; features</v>
      </c>
      <c r="D4158" s="0" t="n">
        <f aca="false">INDEX(Intent_Analysis!$E$5:$E$81,MATCH(B4158,Intent_Analysis!$A$5:$A$81,0))</f>
        <v>1</v>
      </c>
    </row>
    <row r="4159" customFormat="false" ht="15" hidden="false" customHeight="false" outlineLevel="0" collapsed="false">
      <c r="A4159" s="0" t="s">
        <v>4483</v>
      </c>
      <c r="B4159" s="0" t="s">
        <v>61</v>
      </c>
      <c r="C4159" s="0" t="str">
        <f aca="false">INDEX(Intent_Analysis!$B$5:$B$81,MATCH(B4159,Intent_Analysis!$A$5:$A$81,0))</f>
        <v>Card usage &amp; features</v>
      </c>
      <c r="D4159" s="0" t="n">
        <f aca="false">INDEX(Intent_Analysis!$E$5:$E$81,MATCH(B4159,Intent_Analysis!$A$5:$A$81,0))</f>
        <v>1</v>
      </c>
    </row>
    <row r="4160" customFormat="false" ht="15" hidden="false" customHeight="false" outlineLevel="0" collapsed="false">
      <c r="A4160" s="0" t="s">
        <v>4484</v>
      </c>
      <c r="B4160" s="0" t="s">
        <v>61</v>
      </c>
      <c r="C4160" s="0" t="str">
        <f aca="false">INDEX(Intent_Analysis!$B$5:$B$81,MATCH(B4160,Intent_Analysis!$A$5:$A$81,0))</f>
        <v>Card usage &amp; features</v>
      </c>
      <c r="D4160" s="0" t="n">
        <f aca="false">INDEX(Intent_Analysis!$E$5:$E$81,MATCH(B4160,Intent_Analysis!$A$5:$A$81,0))</f>
        <v>1</v>
      </c>
    </row>
    <row r="4161" customFormat="false" ht="15" hidden="false" customHeight="false" outlineLevel="0" collapsed="false">
      <c r="A4161" s="0" t="s">
        <v>4485</v>
      </c>
      <c r="B4161" s="0" t="s">
        <v>61</v>
      </c>
      <c r="C4161" s="0" t="str">
        <f aca="false">INDEX(Intent_Analysis!$B$5:$B$81,MATCH(B4161,Intent_Analysis!$A$5:$A$81,0))</f>
        <v>Card usage &amp; features</v>
      </c>
      <c r="D4161" s="0" t="n">
        <f aca="false">INDEX(Intent_Analysis!$E$5:$E$81,MATCH(B4161,Intent_Analysis!$A$5:$A$81,0))</f>
        <v>1</v>
      </c>
    </row>
    <row r="4162" customFormat="false" ht="15" hidden="false" customHeight="false" outlineLevel="0" collapsed="false">
      <c r="A4162" s="0" t="s">
        <v>4486</v>
      </c>
      <c r="B4162" s="0" t="s">
        <v>61</v>
      </c>
      <c r="C4162" s="0" t="str">
        <f aca="false">INDEX(Intent_Analysis!$B$5:$B$81,MATCH(B4162,Intent_Analysis!$A$5:$A$81,0))</f>
        <v>Card usage &amp; features</v>
      </c>
      <c r="D4162" s="0" t="n">
        <f aca="false">INDEX(Intent_Analysis!$E$5:$E$81,MATCH(B4162,Intent_Analysis!$A$5:$A$81,0))</f>
        <v>1</v>
      </c>
    </row>
    <row r="4163" customFormat="false" ht="15" hidden="false" customHeight="false" outlineLevel="0" collapsed="false">
      <c r="A4163" s="0" t="s">
        <v>4487</v>
      </c>
      <c r="B4163" s="0" t="s">
        <v>61</v>
      </c>
      <c r="C4163" s="0" t="str">
        <f aca="false">INDEX(Intent_Analysis!$B$5:$B$81,MATCH(B4163,Intent_Analysis!$A$5:$A$81,0))</f>
        <v>Card usage &amp; features</v>
      </c>
      <c r="D4163" s="0" t="n">
        <f aca="false">INDEX(Intent_Analysis!$E$5:$E$81,MATCH(B4163,Intent_Analysis!$A$5:$A$81,0))</f>
        <v>1</v>
      </c>
    </row>
    <row r="4164" customFormat="false" ht="15" hidden="false" customHeight="false" outlineLevel="0" collapsed="false">
      <c r="A4164" s="0" t="s">
        <v>4488</v>
      </c>
      <c r="B4164" s="0" t="s">
        <v>61</v>
      </c>
      <c r="C4164" s="0" t="str">
        <f aca="false">INDEX(Intent_Analysis!$B$5:$B$81,MATCH(B4164,Intent_Analysis!$A$5:$A$81,0))</f>
        <v>Card usage &amp; features</v>
      </c>
      <c r="D4164" s="0" t="n">
        <f aca="false">INDEX(Intent_Analysis!$E$5:$E$81,MATCH(B4164,Intent_Analysis!$A$5:$A$81,0))</f>
        <v>1</v>
      </c>
    </row>
    <row r="4165" customFormat="false" ht="15" hidden="false" customHeight="false" outlineLevel="0" collapsed="false">
      <c r="A4165" s="0" t="s">
        <v>4489</v>
      </c>
      <c r="B4165" s="0" t="s">
        <v>61</v>
      </c>
      <c r="C4165" s="0" t="str">
        <f aca="false">INDEX(Intent_Analysis!$B$5:$B$81,MATCH(B4165,Intent_Analysis!$A$5:$A$81,0))</f>
        <v>Card usage &amp; features</v>
      </c>
      <c r="D4165" s="0" t="n">
        <f aca="false">INDEX(Intent_Analysis!$E$5:$E$81,MATCH(B4165,Intent_Analysis!$A$5:$A$81,0))</f>
        <v>1</v>
      </c>
    </row>
    <row r="4166" customFormat="false" ht="15" hidden="false" customHeight="false" outlineLevel="0" collapsed="false">
      <c r="A4166" s="0" t="s">
        <v>4490</v>
      </c>
      <c r="B4166" s="0" t="s">
        <v>61</v>
      </c>
      <c r="C4166" s="0" t="str">
        <f aca="false">INDEX(Intent_Analysis!$B$5:$B$81,MATCH(B4166,Intent_Analysis!$A$5:$A$81,0))</f>
        <v>Card usage &amp; features</v>
      </c>
      <c r="D4166" s="0" t="n">
        <f aca="false">INDEX(Intent_Analysis!$E$5:$E$81,MATCH(B4166,Intent_Analysis!$A$5:$A$81,0))</f>
        <v>1</v>
      </c>
    </row>
    <row r="4167" customFormat="false" ht="15" hidden="false" customHeight="false" outlineLevel="0" collapsed="false">
      <c r="A4167" s="0" t="s">
        <v>4491</v>
      </c>
      <c r="B4167" s="0" t="s">
        <v>61</v>
      </c>
      <c r="C4167" s="0" t="str">
        <f aca="false">INDEX(Intent_Analysis!$B$5:$B$81,MATCH(B4167,Intent_Analysis!$A$5:$A$81,0))</f>
        <v>Card usage &amp; features</v>
      </c>
      <c r="D4167" s="0" t="n">
        <f aca="false">INDEX(Intent_Analysis!$E$5:$E$81,MATCH(B4167,Intent_Analysis!$A$5:$A$81,0))</f>
        <v>1</v>
      </c>
    </row>
    <row r="4168" customFormat="false" ht="15" hidden="false" customHeight="false" outlineLevel="0" collapsed="false">
      <c r="A4168" s="0" t="s">
        <v>4492</v>
      </c>
      <c r="B4168" s="0" t="s">
        <v>61</v>
      </c>
      <c r="C4168" s="0" t="str">
        <f aca="false">INDEX(Intent_Analysis!$B$5:$B$81,MATCH(B4168,Intent_Analysis!$A$5:$A$81,0))</f>
        <v>Card usage &amp; features</v>
      </c>
      <c r="D4168" s="0" t="n">
        <f aca="false">INDEX(Intent_Analysis!$E$5:$E$81,MATCH(B4168,Intent_Analysis!$A$5:$A$81,0))</f>
        <v>1</v>
      </c>
    </row>
    <row r="4169" customFormat="false" ht="15" hidden="false" customHeight="false" outlineLevel="0" collapsed="false">
      <c r="A4169" s="0" t="s">
        <v>4493</v>
      </c>
      <c r="B4169" s="0" t="s">
        <v>61</v>
      </c>
      <c r="C4169" s="0" t="str">
        <f aca="false">INDEX(Intent_Analysis!$B$5:$B$81,MATCH(B4169,Intent_Analysis!$A$5:$A$81,0))</f>
        <v>Card usage &amp; features</v>
      </c>
      <c r="D4169" s="0" t="n">
        <f aca="false">INDEX(Intent_Analysis!$E$5:$E$81,MATCH(B4169,Intent_Analysis!$A$5:$A$81,0))</f>
        <v>1</v>
      </c>
    </row>
    <row r="4170" customFormat="false" ht="15" hidden="false" customHeight="false" outlineLevel="0" collapsed="false">
      <c r="A4170" s="0" t="s">
        <v>4494</v>
      </c>
      <c r="B4170" s="0" t="s">
        <v>61</v>
      </c>
      <c r="C4170" s="0" t="str">
        <f aca="false">INDEX(Intent_Analysis!$B$5:$B$81,MATCH(B4170,Intent_Analysis!$A$5:$A$81,0))</f>
        <v>Card usage &amp; features</v>
      </c>
      <c r="D4170" s="0" t="n">
        <f aca="false">INDEX(Intent_Analysis!$E$5:$E$81,MATCH(B4170,Intent_Analysis!$A$5:$A$81,0))</f>
        <v>1</v>
      </c>
    </row>
    <row r="4171" customFormat="false" ht="15" hidden="false" customHeight="false" outlineLevel="0" collapsed="false">
      <c r="A4171" s="0" t="s">
        <v>4495</v>
      </c>
      <c r="B4171" s="0" t="s">
        <v>61</v>
      </c>
      <c r="C4171" s="0" t="str">
        <f aca="false">INDEX(Intent_Analysis!$B$5:$B$81,MATCH(B4171,Intent_Analysis!$A$5:$A$81,0))</f>
        <v>Card usage &amp; features</v>
      </c>
      <c r="D4171" s="0" t="n">
        <f aca="false">INDEX(Intent_Analysis!$E$5:$E$81,MATCH(B4171,Intent_Analysis!$A$5:$A$81,0))</f>
        <v>1</v>
      </c>
    </row>
    <row r="4172" customFormat="false" ht="15" hidden="false" customHeight="false" outlineLevel="0" collapsed="false">
      <c r="A4172" s="0" t="s">
        <v>4496</v>
      </c>
      <c r="B4172" s="0" t="s">
        <v>61</v>
      </c>
      <c r="C4172" s="0" t="str">
        <f aca="false">INDEX(Intent_Analysis!$B$5:$B$81,MATCH(B4172,Intent_Analysis!$A$5:$A$81,0))</f>
        <v>Card usage &amp; features</v>
      </c>
      <c r="D4172" s="0" t="n">
        <f aca="false">INDEX(Intent_Analysis!$E$5:$E$81,MATCH(B4172,Intent_Analysis!$A$5:$A$81,0))</f>
        <v>1</v>
      </c>
    </row>
    <row r="4173" customFormat="false" ht="15" hidden="false" customHeight="false" outlineLevel="0" collapsed="false">
      <c r="A4173" s="0" t="s">
        <v>4497</v>
      </c>
      <c r="B4173" s="0" t="s">
        <v>61</v>
      </c>
      <c r="C4173" s="0" t="str">
        <f aca="false">INDEX(Intent_Analysis!$B$5:$B$81,MATCH(B4173,Intent_Analysis!$A$5:$A$81,0))</f>
        <v>Card usage &amp; features</v>
      </c>
      <c r="D4173" s="0" t="n">
        <f aca="false">INDEX(Intent_Analysis!$E$5:$E$81,MATCH(B4173,Intent_Analysis!$A$5:$A$81,0))</f>
        <v>1</v>
      </c>
    </row>
    <row r="4174" customFormat="false" ht="15" hidden="false" customHeight="false" outlineLevel="0" collapsed="false">
      <c r="A4174" s="0" t="s">
        <v>4498</v>
      </c>
      <c r="B4174" s="0" t="s">
        <v>61</v>
      </c>
      <c r="C4174" s="0" t="str">
        <f aca="false">INDEX(Intent_Analysis!$B$5:$B$81,MATCH(B4174,Intent_Analysis!$A$5:$A$81,0))</f>
        <v>Card usage &amp; features</v>
      </c>
      <c r="D4174" s="0" t="n">
        <f aca="false">INDEX(Intent_Analysis!$E$5:$E$81,MATCH(B4174,Intent_Analysis!$A$5:$A$81,0))</f>
        <v>1</v>
      </c>
    </row>
    <row r="4175" customFormat="false" ht="15" hidden="false" customHeight="false" outlineLevel="0" collapsed="false">
      <c r="A4175" s="0" t="s">
        <v>4499</v>
      </c>
      <c r="B4175" s="0" t="s">
        <v>61</v>
      </c>
      <c r="C4175" s="0" t="str">
        <f aca="false">INDEX(Intent_Analysis!$B$5:$B$81,MATCH(B4175,Intent_Analysis!$A$5:$A$81,0))</f>
        <v>Card usage &amp; features</v>
      </c>
      <c r="D4175" s="0" t="n">
        <f aca="false">INDEX(Intent_Analysis!$E$5:$E$81,MATCH(B4175,Intent_Analysis!$A$5:$A$81,0))</f>
        <v>1</v>
      </c>
    </row>
    <row r="4176" customFormat="false" ht="15" hidden="false" customHeight="false" outlineLevel="0" collapsed="false">
      <c r="A4176" s="0" t="s">
        <v>4500</v>
      </c>
      <c r="B4176" s="0" t="s">
        <v>61</v>
      </c>
      <c r="C4176" s="0" t="str">
        <f aca="false">INDEX(Intent_Analysis!$B$5:$B$81,MATCH(B4176,Intent_Analysis!$A$5:$A$81,0))</f>
        <v>Card usage &amp; features</v>
      </c>
      <c r="D4176" s="0" t="n">
        <f aca="false">INDEX(Intent_Analysis!$E$5:$E$81,MATCH(B4176,Intent_Analysis!$A$5:$A$81,0))</f>
        <v>1</v>
      </c>
    </row>
    <row r="4177" customFormat="false" ht="15" hidden="false" customHeight="false" outlineLevel="0" collapsed="false">
      <c r="A4177" s="0" t="s">
        <v>4501</v>
      </c>
      <c r="B4177" s="0" t="s">
        <v>61</v>
      </c>
      <c r="C4177" s="0" t="str">
        <f aca="false">INDEX(Intent_Analysis!$B$5:$B$81,MATCH(B4177,Intent_Analysis!$A$5:$A$81,0))</f>
        <v>Card usage &amp; features</v>
      </c>
      <c r="D4177" s="0" t="n">
        <f aca="false">INDEX(Intent_Analysis!$E$5:$E$81,MATCH(B4177,Intent_Analysis!$A$5:$A$81,0))</f>
        <v>1</v>
      </c>
    </row>
    <row r="4178" customFormat="false" ht="15" hidden="false" customHeight="false" outlineLevel="0" collapsed="false">
      <c r="A4178" s="0" t="s">
        <v>4502</v>
      </c>
      <c r="B4178" s="0" t="s">
        <v>61</v>
      </c>
      <c r="C4178" s="0" t="str">
        <f aca="false">INDEX(Intent_Analysis!$B$5:$B$81,MATCH(B4178,Intent_Analysis!$A$5:$A$81,0))</f>
        <v>Card usage &amp; features</v>
      </c>
      <c r="D4178" s="0" t="n">
        <f aca="false">INDEX(Intent_Analysis!$E$5:$E$81,MATCH(B4178,Intent_Analysis!$A$5:$A$81,0))</f>
        <v>1</v>
      </c>
    </row>
    <row r="4179" customFormat="false" ht="15" hidden="false" customHeight="false" outlineLevel="0" collapsed="false">
      <c r="A4179" s="0" t="s">
        <v>4503</v>
      </c>
      <c r="B4179" s="0" t="s">
        <v>61</v>
      </c>
      <c r="C4179" s="0" t="str">
        <f aca="false">INDEX(Intent_Analysis!$B$5:$B$81,MATCH(B4179,Intent_Analysis!$A$5:$A$81,0))</f>
        <v>Card usage &amp; features</v>
      </c>
      <c r="D4179" s="0" t="n">
        <f aca="false">INDEX(Intent_Analysis!$E$5:$E$81,MATCH(B4179,Intent_Analysis!$A$5:$A$81,0))</f>
        <v>1</v>
      </c>
    </row>
    <row r="4180" customFormat="false" ht="15" hidden="false" customHeight="false" outlineLevel="0" collapsed="false">
      <c r="A4180" s="0" t="s">
        <v>4504</v>
      </c>
      <c r="B4180" s="0" t="s">
        <v>61</v>
      </c>
      <c r="C4180" s="0" t="str">
        <f aca="false">INDEX(Intent_Analysis!$B$5:$B$81,MATCH(B4180,Intent_Analysis!$A$5:$A$81,0))</f>
        <v>Card usage &amp; features</v>
      </c>
      <c r="D4180" s="0" t="n">
        <f aca="false">INDEX(Intent_Analysis!$E$5:$E$81,MATCH(B4180,Intent_Analysis!$A$5:$A$81,0))</f>
        <v>1</v>
      </c>
    </row>
    <row r="4181" customFormat="false" ht="15" hidden="false" customHeight="false" outlineLevel="0" collapsed="false">
      <c r="A4181" s="0" t="s">
        <v>4505</v>
      </c>
      <c r="B4181" s="0" t="s">
        <v>61</v>
      </c>
      <c r="C4181" s="0" t="str">
        <f aca="false">INDEX(Intent_Analysis!$B$5:$B$81,MATCH(B4181,Intent_Analysis!$A$5:$A$81,0))</f>
        <v>Card usage &amp; features</v>
      </c>
      <c r="D4181" s="0" t="n">
        <f aca="false">INDEX(Intent_Analysis!$E$5:$E$81,MATCH(B4181,Intent_Analysis!$A$5:$A$81,0))</f>
        <v>1</v>
      </c>
    </row>
    <row r="4182" customFormat="false" ht="15" hidden="false" customHeight="false" outlineLevel="0" collapsed="false">
      <c r="A4182" s="0" t="s">
        <v>4506</v>
      </c>
      <c r="B4182" s="0" t="s">
        <v>61</v>
      </c>
      <c r="C4182" s="0" t="str">
        <f aca="false">INDEX(Intent_Analysis!$B$5:$B$81,MATCH(B4182,Intent_Analysis!$A$5:$A$81,0))</f>
        <v>Card usage &amp; features</v>
      </c>
      <c r="D4182" s="0" t="n">
        <f aca="false">INDEX(Intent_Analysis!$E$5:$E$81,MATCH(B4182,Intent_Analysis!$A$5:$A$81,0))</f>
        <v>1</v>
      </c>
    </row>
    <row r="4183" customFormat="false" ht="15" hidden="false" customHeight="false" outlineLevel="0" collapsed="false">
      <c r="A4183" s="0" t="s">
        <v>4507</v>
      </c>
      <c r="B4183" s="0" t="s">
        <v>61</v>
      </c>
      <c r="C4183" s="0" t="str">
        <f aca="false">INDEX(Intent_Analysis!$B$5:$B$81,MATCH(B4183,Intent_Analysis!$A$5:$A$81,0))</f>
        <v>Card usage &amp; features</v>
      </c>
      <c r="D4183" s="0" t="n">
        <f aca="false">INDEX(Intent_Analysis!$E$5:$E$81,MATCH(B4183,Intent_Analysis!$A$5:$A$81,0))</f>
        <v>1</v>
      </c>
    </row>
    <row r="4184" customFormat="false" ht="15" hidden="false" customHeight="false" outlineLevel="0" collapsed="false">
      <c r="A4184" s="0" t="s">
        <v>4508</v>
      </c>
      <c r="B4184" s="0" t="s">
        <v>61</v>
      </c>
      <c r="C4184" s="0" t="str">
        <f aca="false">INDEX(Intent_Analysis!$B$5:$B$81,MATCH(B4184,Intent_Analysis!$A$5:$A$81,0))</f>
        <v>Card usage &amp; features</v>
      </c>
      <c r="D4184" s="0" t="n">
        <f aca="false">INDEX(Intent_Analysis!$E$5:$E$81,MATCH(B4184,Intent_Analysis!$A$5:$A$81,0))</f>
        <v>1</v>
      </c>
    </row>
    <row r="4185" customFormat="false" ht="15" hidden="false" customHeight="false" outlineLevel="0" collapsed="false">
      <c r="A4185" s="0" t="s">
        <v>4509</v>
      </c>
      <c r="B4185" s="0" t="s">
        <v>61</v>
      </c>
      <c r="C4185" s="0" t="str">
        <f aca="false">INDEX(Intent_Analysis!$B$5:$B$81,MATCH(B4185,Intent_Analysis!$A$5:$A$81,0))</f>
        <v>Card usage &amp; features</v>
      </c>
      <c r="D4185" s="0" t="n">
        <f aca="false">INDEX(Intent_Analysis!$E$5:$E$81,MATCH(B4185,Intent_Analysis!$A$5:$A$81,0))</f>
        <v>1</v>
      </c>
    </row>
    <row r="4186" customFormat="false" ht="15" hidden="false" customHeight="false" outlineLevel="0" collapsed="false">
      <c r="A4186" s="0" t="s">
        <v>4510</v>
      </c>
      <c r="B4186" s="0" t="s">
        <v>61</v>
      </c>
      <c r="C4186" s="0" t="str">
        <f aca="false">INDEX(Intent_Analysis!$B$5:$B$81,MATCH(B4186,Intent_Analysis!$A$5:$A$81,0))</f>
        <v>Card usage &amp; features</v>
      </c>
      <c r="D4186" s="0" t="n">
        <f aca="false">INDEX(Intent_Analysis!$E$5:$E$81,MATCH(B4186,Intent_Analysis!$A$5:$A$81,0))</f>
        <v>1</v>
      </c>
    </row>
    <row r="4187" customFormat="false" ht="15" hidden="false" customHeight="false" outlineLevel="0" collapsed="false">
      <c r="A4187" s="0" t="s">
        <v>4511</v>
      </c>
      <c r="B4187" s="0" t="s">
        <v>61</v>
      </c>
      <c r="C4187" s="0" t="str">
        <f aca="false">INDEX(Intent_Analysis!$B$5:$B$81,MATCH(B4187,Intent_Analysis!$A$5:$A$81,0))</f>
        <v>Card usage &amp; features</v>
      </c>
      <c r="D4187" s="0" t="n">
        <f aca="false">INDEX(Intent_Analysis!$E$5:$E$81,MATCH(B4187,Intent_Analysis!$A$5:$A$81,0))</f>
        <v>1</v>
      </c>
    </row>
    <row r="4188" customFormat="false" ht="15" hidden="false" customHeight="false" outlineLevel="0" collapsed="false">
      <c r="A4188" s="0" t="s">
        <v>4512</v>
      </c>
      <c r="B4188" s="0" t="s">
        <v>61</v>
      </c>
      <c r="C4188" s="0" t="str">
        <f aca="false">INDEX(Intent_Analysis!$B$5:$B$81,MATCH(B4188,Intent_Analysis!$A$5:$A$81,0))</f>
        <v>Card usage &amp; features</v>
      </c>
      <c r="D4188" s="0" t="n">
        <f aca="false">INDEX(Intent_Analysis!$E$5:$E$81,MATCH(B4188,Intent_Analysis!$A$5:$A$81,0))</f>
        <v>1</v>
      </c>
    </row>
    <row r="4189" customFormat="false" ht="15" hidden="false" customHeight="false" outlineLevel="0" collapsed="false">
      <c r="A4189" s="0" t="s">
        <v>4513</v>
      </c>
      <c r="B4189" s="0" t="s">
        <v>61</v>
      </c>
      <c r="C4189" s="0" t="str">
        <f aca="false">INDEX(Intent_Analysis!$B$5:$B$81,MATCH(B4189,Intent_Analysis!$A$5:$A$81,0))</f>
        <v>Card usage &amp; features</v>
      </c>
      <c r="D4189" s="0" t="n">
        <f aca="false">INDEX(Intent_Analysis!$E$5:$E$81,MATCH(B4189,Intent_Analysis!$A$5:$A$81,0))</f>
        <v>1</v>
      </c>
    </row>
    <row r="4190" customFormat="false" ht="15" hidden="false" customHeight="false" outlineLevel="0" collapsed="false">
      <c r="A4190" s="0" t="s">
        <v>4514</v>
      </c>
      <c r="B4190" s="0" t="s">
        <v>61</v>
      </c>
      <c r="C4190" s="0" t="str">
        <f aca="false">INDEX(Intent_Analysis!$B$5:$B$81,MATCH(B4190,Intent_Analysis!$A$5:$A$81,0))</f>
        <v>Card usage &amp; features</v>
      </c>
      <c r="D4190" s="0" t="n">
        <f aca="false">INDEX(Intent_Analysis!$E$5:$E$81,MATCH(B4190,Intent_Analysis!$A$5:$A$81,0))</f>
        <v>1</v>
      </c>
    </row>
    <row r="4191" customFormat="false" ht="15" hidden="false" customHeight="false" outlineLevel="0" collapsed="false">
      <c r="A4191" s="0" t="s">
        <v>4515</v>
      </c>
      <c r="B4191" s="0" t="s">
        <v>61</v>
      </c>
      <c r="C4191" s="0" t="str">
        <f aca="false">INDEX(Intent_Analysis!$B$5:$B$81,MATCH(B4191,Intent_Analysis!$A$5:$A$81,0))</f>
        <v>Card usage &amp; features</v>
      </c>
      <c r="D4191" s="0" t="n">
        <f aca="false">INDEX(Intent_Analysis!$E$5:$E$81,MATCH(B4191,Intent_Analysis!$A$5:$A$81,0))</f>
        <v>1</v>
      </c>
    </row>
    <row r="4192" customFormat="false" ht="15" hidden="false" customHeight="false" outlineLevel="0" collapsed="false">
      <c r="A4192" s="0" t="s">
        <v>4516</v>
      </c>
      <c r="B4192" s="0" t="s">
        <v>61</v>
      </c>
      <c r="C4192" s="0" t="str">
        <f aca="false">INDEX(Intent_Analysis!$B$5:$B$81,MATCH(B4192,Intent_Analysis!$A$5:$A$81,0))</f>
        <v>Card usage &amp; features</v>
      </c>
      <c r="D4192" s="0" t="n">
        <f aca="false">INDEX(Intent_Analysis!$E$5:$E$81,MATCH(B4192,Intent_Analysis!$A$5:$A$81,0))</f>
        <v>1</v>
      </c>
    </row>
    <row r="4193" customFormat="false" ht="15" hidden="false" customHeight="false" outlineLevel="0" collapsed="false">
      <c r="A4193" s="0" t="s">
        <v>4517</v>
      </c>
      <c r="B4193" s="0" t="s">
        <v>61</v>
      </c>
      <c r="C4193" s="0" t="str">
        <f aca="false">INDEX(Intent_Analysis!$B$5:$B$81,MATCH(B4193,Intent_Analysis!$A$5:$A$81,0))</f>
        <v>Card usage &amp; features</v>
      </c>
      <c r="D4193" s="0" t="n">
        <f aca="false">INDEX(Intent_Analysis!$E$5:$E$81,MATCH(B4193,Intent_Analysis!$A$5:$A$81,0))</f>
        <v>1</v>
      </c>
    </row>
    <row r="4194" customFormat="false" ht="15" hidden="false" customHeight="false" outlineLevel="0" collapsed="false">
      <c r="A4194" s="0" t="s">
        <v>4518</v>
      </c>
      <c r="B4194" s="0" t="s">
        <v>61</v>
      </c>
      <c r="C4194" s="0" t="str">
        <f aca="false">INDEX(Intent_Analysis!$B$5:$B$81,MATCH(B4194,Intent_Analysis!$A$5:$A$81,0))</f>
        <v>Card usage &amp; features</v>
      </c>
      <c r="D4194" s="0" t="n">
        <f aca="false">INDEX(Intent_Analysis!$E$5:$E$81,MATCH(B4194,Intent_Analysis!$A$5:$A$81,0))</f>
        <v>1</v>
      </c>
    </row>
    <row r="4195" customFormat="false" ht="15" hidden="false" customHeight="false" outlineLevel="0" collapsed="false">
      <c r="A4195" s="0" t="s">
        <v>4519</v>
      </c>
      <c r="B4195" s="0" t="s">
        <v>61</v>
      </c>
      <c r="C4195" s="0" t="str">
        <f aca="false">INDEX(Intent_Analysis!$B$5:$B$81,MATCH(B4195,Intent_Analysis!$A$5:$A$81,0))</f>
        <v>Card usage &amp; features</v>
      </c>
      <c r="D4195" s="0" t="n">
        <f aca="false">INDEX(Intent_Analysis!$E$5:$E$81,MATCH(B4195,Intent_Analysis!$A$5:$A$81,0))</f>
        <v>1</v>
      </c>
    </row>
    <row r="4196" customFormat="false" ht="15" hidden="false" customHeight="false" outlineLevel="0" collapsed="false">
      <c r="A4196" s="0" t="s">
        <v>4520</v>
      </c>
      <c r="B4196" s="0" t="s">
        <v>61</v>
      </c>
      <c r="C4196" s="0" t="str">
        <f aca="false">INDEX(Intent_Analysis!$B$5:$B$81,MATCH(B4196,Intent_Analysis!$A$5:$A$81,0))</f>
        <v>Card usage &amp; features</v>
      </c>
      <c r="D4196" s="0" t="n">
        <f aca="false">INDEX(Intent_Analysis!$E$5:$E$81,MATCH(B4196,Intent_Analysis!$A$5:$A$81,0))</f>
        <v>1</v>
      </c>
    </row>
    <row r="4197" customFormat="false" ht="15" hidden="false" customHeight="false" outlineLevel="0" collapsed="false">
      <c r="A4197" s="0" t="s">
        <v>4521</v>
      </c>
      <c r="B4197" s="0" t="s">
        <v>61</v>
      </c>
      <c r="C4197" s="0" t="str">
        <f aca="false">INDEX(Intent_Analysis!$B$5:$B$81,MATCH(B4197,Intent_Analysis!$A$5:$A$81,0))</f>
        <v>Card usage &amp; features</v>
      </c>
      <c r="D4197" s="0" t="n">
        <f aca="false">INDEX(Intent_Analysis!$E$5:$E$81,MATCH(B4197,Intent_Analysis!$A$5:$A$81,0))</f>
        <v>1</v>
      </c>
    </row>
    <row r="4198" customFormat="false" ht="15" hidden="false" customHeight="false" outlineLevel="0" collapsed="false">
      <c r="A4198" s="0" t="s">
        <v>4522</v>
      </c>
      <c r="B4198" s="0" t="s">
        <v>61</v>
      </c>
      <c r="C4198" s="0" t="str">
        <f aca="false">INDEX(Intent_Analysis!$B$5:$B$81,MATCH(B4198,Intent_Analysis!$A$5:$A$81,0))</f>
        <v>Card usage &amp; features</v>
      </c>
      <c r="D4198" s="0" t="n">
        <f aca="false">INDEX(Intent_Analysis!$E$5:$E$81,MATCH(B4198,Intent_Analysis!$A$5:$A$81,0))</f>
        <v>1</v>
      </c>
    </row>
    <row r="4199" customFormat="false" ht="15" hidden="false" customHeight="false" outlineLevel="0" collapsed="false">
      <c r="A4199" s="0" t="s">
        <v>4523</v>
      </c>
      <c r="B4199" s="0" t="s">
        <v>61</v>
      </c>
      <c r="C4199" s="0" t="str">
        <f aca="false">INDEX(Intent_Analysis!$B$5:$B$81,MATCH(B4199,Intent_Analysis!$A$5:$A$81,0))</f>
        <v>Card usage &amp; features</v>
      </c>
      <c r="D4199" s="0" t="n">
        <f aca="false">INDEX(Intent_Analysis!$E$5:$E$81,MATCH(B4199,Intent_Analysis!$A$5:$A$81,0))</f>
        <v>1</v>
      </c>
    </row>
    <row r="4200" customFormat="false" ht="15" hidden="false" customHeight="false" outlineLevel="0" collapsed="false">
      <c r="A4200" s="0" t="s">
        <v>4524</v>
      </c>
      <c r="B4200" s="0" t="s">
        <v>61</v>
      </c>
      <c r="C4200" s="0" t="str">
        <f aca="false">INDEX(Intent_Analysis!$B$5:$B$81,MATCH(B4200,Intent_Analysis!$A$5:$A$81,0))</f>
        <v>Card usage &amp; features</v>
      </c>
      <c r="D4200" s="0" t="n">
        <f aca="false">INDEX(Intent_Analysis!$E$5:$E$81,MATCH(B4200,Intent_Analysis!$A$5:$A$81,0))</f>
        <v>1</v>
      </c>
    </row>
    <row r="4201" customFormat="false" ht="15" hidden="false" customHeight="false" outlineLevel="0" collapsed="false">
      <c r="A4201" s="0" t="s">
        <v>4525</v>
      </c>
      <c r="B4201" s="0" t="s">
        <v>61</v>
      </c>
      <c r="C4201" s="0" t="str">
        <f aca="false">INDEX(Intent_Analysis!$B$5:$B$81,MATCH(B4201,Intent_Analysis!$A$5:$A$81,0))</f>
        <v>Card usage &amp; features</v>
      </c>
      <c r="D4201" s="0" t="n">
        <f aca="false">INDEX(Intent_Analysis!$E$5:$E$81,MATCH(B4201,Intent_Analysis!$A$5:$A$81,0))</f>
        <v>1</v>
      </c>
    </row>
    <row r="4202" customFormat="false" ht="15" hidden="false" customHeight="false" outlineLevel="0" collapsed="false">
      <c r="A4202" s="0" t="s">
        <v>4526</v>
      </c>
      <c r="B4202" s="0" t="s">
        <v>61</v>
      </c>
      <c r="C4202" s="0" t="str">
        <f aca="false">INDEX(Intent_Analysis!$B$5:$B$81,MATCH(B4202,Intent_Analysis!$A$5:$A$81,0))</f>
        <v>Card usage &amp; features</v>
      </c>
      <c r="D4202" s="0" t="n">
        <f aca="false">INDEX(Intent_Analysis!$E$5:$E$81,MATCH(B4202,Intent_Analysis!$A$5:$A$81,0))</f>
        <v>1</v>
      </c>
    </row>
    <row r="4203" customFormat="false" ht="15" hidden="false" customHeight="false" outlineLevel="0" collapsed="false">
      <c r="A4203" s="0" t="s">
        <v>4527</v>
      </c>
      <c r="B4203" s="0" t="s">
        <v>61</v>
      </c>
      <c r="C4203" s="0" t="str">
        <f aca="false">INDEX(Intent_Analysis!$B$5:$B$81,MATCH(B4203,Intent_Analysis!$A$5:$A$81,0))</f>
        <v>Card usage &amp; features</v>
      </c>
      <c r="D4203" s="0" t="n">
        <f aca="false">INDEX(Intent_Analysis!$E$5:$E$81,MATCH(B4203,Intent_Analysis!$A$5:$A$81,0))</f>
        <v>1</v>
      </c>
    </row>
    <row r="4204" customFormat="false" ht="15" hidden="false" customHeight="false" outlineLevel="0" collapsed="false">
      <c r="A4204" s="0" t="s">
        <v>4528</v>
      </c>
      <c r="B4204" s="0" t="s">
        <v>61</v>
      </c>
      <c r="C4204" s="0" t="str">
        <f aca="false">INDEX(Intent_Analysis!$B$5:$B$81,MATCH(B4204,Intent_Analysis!$A$5:$A$81,0))</f>
        <v>Card usage &amp; features</v>
      </c>
      <c r="D4204" s="0" t="n">
        <f aca="false">INDEX(Intent_Analysis!$E$5:$E$81,MATCH(B4204,Intent_Analysis!$A$5:$A$81,0))</f>
        <v>1</v>
      </c>
    </row>
    <row r="4205" customFormat="false" ht="15" hidden="false" customHeight="false" outlineLevel="0" collapsed="false">
      <c r="A4205" s="0" t="s">
        <v>4529</v>
      </c>
      <c r="B4205" s="0" t="s">
        <v>61</v>
      </c>
      <c r="C4205" s="0" t="str">
        <f aca="false">INDEX(Intent_Analysis!$B$5:$B$81,MATCH(B4205,Intent_Analysis!$A$5:$A$81,0))</f>
        <v>Card usage &amp; features</v>
      </c>
      <c r="D4205" s="0" t="n">
        <f aca="false">INDEX(Intent_Analysis!$E$5:$E$81,MATCH(B4205,Intent_Analysis!$A$5:$A$81,0))</f>
        <v>1</v>
      </c>
    </row>
    <row r="4206" customFormat="false" ht="15" hidden="false" customHeight="false" outlineLevel="0" collapsed="false">
      <c r="A4206" s="0" t="s">
        <v>4530</v>
      </c>
      <c r="B4206" s="0" t="s">
        <v>61</v>
      </c>
      <c r="C4206" s="0" t="str">
        <f aca="false">INDEX(Intent_Analysis!$B$5:$B$81,MATCH(B4206,Intent_Analysis!$A$5:$A$81,0))</f>
        <v>Card usage &amp; features</v>
      </c>
      <c r="D4206" s="0" t="n">
        <f aca="false">INDEX(Intent_Analysis!$E$5:$E$81,MATCH(B4206,Intent_Analysis!$A$5:$A$81,0))</f>
        <v>1</v>
      </c>
    </row>
    <row r="4207" customFormat="false" ht="15" hidden="false" customHeight="false" outlineLevel="0" collapsed="false">
      <c r="A4207" s="0" t="s">
        <v>4531</v>
      </c>
      <c r="B4207" s="0" t="s">
        <v>61</v>
      </c>
      <c r="C4207" s="0" t="str">
        <f aca="false">INDEX(Intent_Analysis!$B$5:$B$81,MATCH(B4207,Intent_Analysis!$A$5:$A$81,0))</f>
        <v>Card usage &amp; features</v>
      </c>
      <c r="D4207" s="0" t="n">
        <f aca="false">INDEX(Intent_Analysis!$E$5:$E$81,MATCH(B4207,Intent_Analysis!$A$5:$A$81,0))</f>
        <v>1</v>
      </c>
    </row>
    <row r="4208" customFormat="false" ht="15" hidden="false" customHeight="false" outlineLevel="0" collapsed="false">
      <c r="A4208" s="0" t="s">
        <v>4532</v>
      </c>
      <c r="B4208" s="0" t="s">
        <v>61</v>
      </c>
      <c r="C4208" s="0" t="str">
        <f aca="false">INDEX(Intent_Analysis!$B$5:$B$81,MATCH(B4208,Intent_Analysis!$A$5:$A$81,0))</f>
        <v>Card usage &amp; features</v>
      </c>
      <c r="D4208" s="0" t="n">
        <f aca="false">INDEX(Intent_Analysis!$E$5:$E$81,MATCH(B4208,Intent_Analysis!$A$5:$A$81,0))</f>
        <v>1</v>
      </c>
    </row>
    <row r="4209" customFormat="false" ht="15" hidden="false" customHeight="false" outlineLevel="0" collapsed="false">
      <c r="A4209" s="0" t="s">
        <v>4533</v>
      </c>
      <c r="B4209" s="0" t="s">
        <v>61</v>
      </c>
      <c r="C4209" s="0" t="str">
        <f aca="false">INDEX(Intent_Analysis!$B$5:$B$81,MATCH(B4209,Intent_Analysis!$A$5:$A$81,0))</f>
        <v>Card usage &amp; features</v>
      </c>
      <c r="D4209" s="0" t="n">
        <f aca="false">INDEX(Intent_Analysis!$E$5:$E$81,MATCH(B4209,Intent_Analysis!$A$5:$A$81,0))</f>
        <v>1</v>
      </c>
    </row>
    <row r="4210" customFormat="false" ht="15" hidden="false" customHeight="false" outlineLevel="0" collapsed="false">
      <c r="A4210" s="0" t="s">
        <v>4534</v>
      </c>
      <c r="B4210" s="0" t="s">
        <v>61</v>
      </c>
      <c r="C4210" s="0" t="str">
        <f aca="false">INDEX(Intent_Analysis!$B$5:$B$81,MATCH(B4210,Intent_Analysis!$A$5:$A$81,0))</f>
        <v>Card usage &amp; features</v>
      </c>
      <c r="D4210" s="0" t="n">
        <f aca="false">INDEX(Intent_Analysis!$E$5:$E$81,MATCH(B4210,Intent_Analysis!$A$5:$A$81,0))</f>
        <v>1</v>
      </c>
    </row>
    <row r="4211" customFormat="false" ht="15" hidden="false" customHeight="false" outlineLevel="0" collapsed="false">
      <c r="A4211" s="0" t="s">
        <v>4535</v>
      </c>
      <c r="B4211" s="0" t="s">
        <v>61</v>
      </c>
      <c r="C4211" s="0" t="str">
        <f aca="false">INDEX(Intent_Analysis!$B$5:$B$81,MATCH(B4211,Intent_Analysis!$A$5:$A$81,0))</f>
        <v>Card usage &amp; features</v>
      </c>
      <c r="D4211" s="0" t="n">
        <f aca="false">INDEX(Intent_Analysis!$E$5:$E$81,MATCH(B4211,Intent_Analysis!$A$5:$A$81,0))</f>
        <v>1</v>
      </c>
    </row>
    <row r="4212" customFormat="false" ht="15" hidden="false" customHeight="false" outlineLevel="0" collapsed="false">
      <c r="A4212" s="0" t="s">
        <v>4536</v>
      </c>
      <c r="B4212" s="0" t="s">
        <v>61</v>
      </c>
      <c r="C4212" s="0" t="str">
        <f aca="false">INDEX(Intent_Analysis!$B$5:$B$81,MATCH(B4212,Intent_Analysis!$A$5:$A$81,0))</f>
        <v>Card usage &amp; features</v>
      </c>
      <c r="D4212" s="0" t="n">
        <f aca="false">INDEX(Intent_Analysis!$E$5:$E$81,MATCH(B4212,Intent_Analysis!$A$5:$A$81,0))</f>
        <v>1</v>
      </c>
    </row>
    <row r="4213" customFormat="false" ht="15" hidden="false" customHeight="false" outlineLevel="0" collapsed="false">
      <c r="A4213" s="0" t="s">
        <v>4537</v>
      </c>
      <c r="B4213" s="0" t="s">
        <v>61</v>
      </c>
      <c r="C4213" s="0" t="str">
        <f aca="false">INDEX(Intent_Analysis!$B$5:$B$81,MATCH(B4213,Intent_Analysis!$A$5:$A$81,0))</f>
        <v>Card usage &amp; features</v>
      </c>
      <c r="D4213" s="0" t="n">
        <f aca="false">INDEX(Intent_Analysis!$E$5:$E$81,MATCH(B4213,Intent_Analysis!$A$5:$A$81,0))</f>
        <v>1</v>
      </c>
    </row>
    <row r="4214" customFormat="false" ht="15" hidden="false" customHeight="false" outlineLevel="0" collapsed="false">
      <c r="A4214" s="0" t="s">
        <v>4538</v>
      </c>
      <c r="B4214" s="0" t="s">
        <v>61</v>
      </c>
      <c r="C4214" s="0" t="str">
        <f aca="false">INDEX(Intent_Analysis!$B$5:$B$81,MATCH(B4214,Intent_Analysis!$A$5:$A$81,0))</f>
        <v>Card usage &amp; features</v>
      </c>
      <c r="D4214" s="0" t="n">
        <f aca="false">INDEX(Intent_Analysis!$E$5:$E$81,MATCH(B4214,Intent_Analysis!$A$5:$A$81,0))</f>
        <v>1</v>
      </c>
    </row>
    <row r="4215" customFormat="false" ht="15" hidden="false" customHeight="false" outlineLevel="0" collapsed="false">
      <c r="A4215" s="0" t="s">
        <v>4539</v>
      </c>
      <c r="B4215" s="0" t="s">
        <v>61</v>
      </c>
      <c r="C4215" s="0" t="str">
        <f aca="false">INDEX(Intent_Analysis!$B$5:$B$81,MATCH(B4215,Intent_Analysis!$A$5:$A$81,0))</f>
        <v>Card usage &amp; features</v>
      </c>
      <c r="D4215" s="0" t="n">
        <f aca="false">INDEX(Intent_Analysis!$E$5:$E$81,MATCH(B4215,Intent_Analysis!$A$5:$A$81,0))</f>
        <v>1</v>
      </c>
    </row>
    <row r="4216" customFormat="false" ht="15" hidden="false" customHeight="false" outlineLevel="0" collapsed="false">
      <c r="A4216" s="0" t="s">
        <v>4540</v>
      </c>
      <c r="B4216" s="0" t="s">
        <v>61</v>
      </c>
      <c r="C4216" s="0" t="str">
        <f aca="false">INDEX(Intent_Analysis!$B$5:$B$81,MATCH(B4216,Intent_Analysis!$A$5:$A$81,0))</f>
        <v>Card usage &amp; features</v>
      </c>
      <c r="D4216" s="0" t="n">
        <f aca="false">INDEX(Intent_Analysis!$E$5:$E$81,MATCH(B4216,Intent_Analysis!$A$5:$A$81,0))</f>
        <v>1</v>
      </c>
    </row>
    <row r="4217" customFormat="false" ht="15" hidden="false" customHeight="false" outlineLevel="0" collapsed="false">
      <c r="A4217" s="0" t="s">
        <v>4541</v>
      </c>
      <c r="B4217" s="0" t="s">
        <v>61</v>
      </c>
      <c r="C4217" s="0" t="str">
        <f aca="false">INDEX(Intent_Analysis!$B$5:$B$81,MATCH(B4217,Intent_Analysis!$A$5:$A$81,0))</f>
        <v>Card usage &amp; features</v>
      </c>
      <c r="D4217" s="0" t="n">
        <f aca="false">INDEX(Intent_Analysis!$E$5:$E$81,MATCH(B4217,Intent_Analysis!$A$5:$A$81,0))</f>
        <v>1</v>
      </c>
    </row>
    <row r="4218" customFormat="false" ht="15" hidden="false" customHeight="false" outlineLevel="0" collapsed="false">
      <c r="A4218" s="0" t="s">
        <v>4542</v>
      </c>
      <c r="B4218" s="0" t="s">
        <v>61</v>
      </c>
      <c r="C4218" s="0" t="str">
        <f aca="false">INDEX(Intent_Analysis!$B$5:$B$81,MATCH(B4218,Intent_Analysis!$A$5:$A$81,0))</f>
        <v>Card usage &amp; features</v>
      </c>
      <c r="D4218" s="0" t="n">
        <f aca="false">INDEX(Intent_Analysis!$E$5:$E$81,MATCH(B4218,Intent_Analysis!$A$5:$A$81,0))</f>
        <v>1</v>
      </c>
    </row>
    <row r="4219" customFormat="false" ht="15" hidden="false" customHeight="false" outlineLevel="0" collapsed="false">
      <c r="A4219" s="0" t="s">
        <v>4543</v>
      </c>
      <c r="B4219" s="0" t="s">
        <v>61</v>
      </c>
      <c r="C4219" s="0" t="str">
        <f aca="false">INDEX(Intent_Analysis!$B$5:$B$81,MATCH(B4219,Intent_Analysis!$A$5:$A$81,0))</f>
        <v>Card usage &amp; features</v>
      </c>
      <c r="D4219" s="0" t="n">
        <f aca="false">INDEX(Intent_Analysis!$E$5:$E$81,MATCH(B4219,Intent_Analysis!$A$5:$A$81,0))</f>
        <v>1</v>
      </c>
    </row>
    <row r="4220" customFormat="false" ht="15" hidden="false" customHeight="false" outlineLevel="0" collapsed="false">
      <c r="A4220" s="0" t="s">
        <v>4544</v>
      </c>
      <c r="B4220" s="0" t="s">
        <v>61</v>
      </c>
      <c r="C4220" s="0" t="str">
        <f aca="false">INDEX(Intent_Analysis!$B$5:$B$81,MATCH(B4220,Intent_Analysis!$A$5:$A$81,0))</f>
        <v>Card usage &amp; features</v>
      </c>
      <c r="D4220" s="0" t="n">
        <f aca="false">INDEX(Intent_Analysis!$E$5:$E$81,MATCH(B4220,Intent_Analysis!$A$5:$A$81,0))</f>
        <v>1</v>
      </c>
    </row>
    <row r="4221" customFormat="false" ht="15" hidden="false" customHeight="false" outlineLevel="0" collapsed="false">
      <c r="A4221" s="0" t="s">
        <v>4545</v>
      </c>
      <c r="B4221" s="0" t="s">
        <v>61</v>
      </c>
      <c r="C4221" s="0" t="str">
        <f aca="false">INDEX(Intent_Analysis!$B$5:$B$81,MATCH(B4221,Intent_Analysis!$A$5:$A$81,0))</f>
        <v>Card usage &amp; features</v>
      </c>
      <c r="D4221" s="0" t="n">
        <f aca="false">INDEX(Intent_Analysis!$E$5:$E$81,MATCH(B4221,Intent_Analysis!$A$5:$A$81,0))</f>
        <v>1</v>
      </c>
    </row>
    <row r="4222" customFormat="false" ht="15" hidden="false" customHeight="false" outlineLevel="0" collapsed="false">
      <c r="A4222" s="0" t="s">
        <v>4546</v>
      </c>
      <c r="B4222" s="0" t="s">
        <v>61</v>
      </c>
      <c r="C4222" s="0" t="str">
        <f aca="false">INDEX(Intent_Analysis!$B$5:$B$81,MATCH(B4222,Intent_Analysis!$A$5:$A$81,0))</f>
        <v>Card usage &amp; features</v>
      </c>
      <c r="D4222" s="0" t="n">
        <f aca="false">INDEX(Intent_Analysis!$E$5:$E$81,MATCH(B4222,Intent_Analysis!$A$5:$A$81,0))</f>
        <v>1</v>
      </c>
    </row>
    <row r="4223" customFormat="false" ht="15" hidden="false" customHeight="false" outlineLevel="0" collapsed="false">
      <c r="A4223" s="0" t="s">
        <v>4547</v>
      </c>
      <c r="B4223" s="0" t="s">
        <v>61</v>
      </c>
      <c r="C4223" s="0" t="str">
        <f aca="false">INDEX(Intent_Analysis!$B$5:$B$81,MATCH(B4223,Intent_Analysis!$A$5:$A$81,0))</f>
        <v>Card usage &amp; features</v>
      </c>
      <c r="D4223" s="0" t="n">
        <f aca="false">INDEX(Intent_Analysis!$E$5:$E$81,MATCH(B4223,Intent_Analysis!$A$5:$A$81,0))</f>
        <v>1</v>
      </c>
    </row>
    <row r="4224" customFormat="false" ht="15" hidden="false" customHeight="false" outlineLevel="0" collapsed="false">
      <c r="A4224" s="0" t="s">
        <v>4548</v>
      </c>
      <c r="B4224" s="0" t="s">
        <v>61</v>
      </c>
      <c r="C4224" s="0" t="str">
        <f aca="false">INDEX(Intent_Analysis!$B$5:$B$81,MATCH(B4224,Intent_Analysis!$A$5:$A$81,0))</f>
        <v>Card usage &amp; features</v>
      </c>
      <c r="D4224" s="0" t="n">
        <f aca="false">INDEX(Intent_Analysis!$E$5:$E$81,MATCH(B4224,Intent_Analysis!$A$5:$A$81,0))</f>
        <v>1</v>
      </c>
    </row>
    <row r="4225" customFormat="false" ht="15" hidden="false" customHeight="false" outlineLevel="0" collapsed="false">
      <c r="A4225" s="0" t="s">
        <v>4549</v>
      </c>
      <c r="B4225" s="0" t="s">
        <v>61</v>
      </c>
      <c r="C4225" s="0" t="str">
        <f aca="false">INDEX(Intent_Analysis!$B$5:$B$81,MATCH(B4225,Intent_Analysis!$A$5:$A$81,0))</f>
        <v>Card usage &amp; features</v>
      </c>
      <c r="D4225" s="0" t="n">
        <f aca="false">INDEX(Intent_Analysis!$E$5:$E$81,MATCH(B4225,Intent_Analysis!$A$5:$A$81,0))</f>
        <v>1</v>
      </c>
    </row>
    <row r="4226" customFormat="false" ht="15" hidden="false" customHeight="false" outlineLevel="0" collapsed="false">
      <c r="A4226" s="0" t="s">
        <v>4550</v>
      </c>
      <c r="B4226" s="0" t="s">
        <v>61</v>
      </c>
      <c r="C4226" s="0" t="str">
        <f aca="false">INDEX(Intent_Analysis!$B$5:$B$81,MATCH(B4226,Intent_Analysis!$A$5:$A$81,0))</f>
        <v>Card usage &amp; features</v>
      </c>
      <c r="D4226" s="0" t="n">
        <f aca="false">INDEX(Intent_Analysis!$E$5:$E$81,MATCH(B4226,Intent_Analysis!$A$5:$A$81,0))</f>
        <v>1</v>
      </c>
    </row>
    <row r="4227" customFormat="false" ht="15" hidden="false" customHeight="false" outlineLevel="0" collapsed="false">
      <c r="A4227" s="0" t="s">
        <v>4551</v>
      </c>
      <c r="B4227" s="0" t="s">
        <v>61</v>
      </c>
      <c r="C4227" s="0" t="str">
        <f aca="false">INDEX(Intent_Analysis!$B$5:$B$81,MATCH(B4227,Intent_Analysis!$A$5:$A$81,0))</f>
        <v>Card usage &amp; features</v>
      </c>
      <c r="D4227" s="0" t="n">
        <f aca="false">INDEX(Intent_Analysis!$E$5:$E$81,MATCH(B4227,Intent_Analysis!$A$5:$A$81,0))</f>
        <v>1</v>
      </c>
    </row>
    <row r="4228" customFormat="false" ht="15" hidden="false" customHeight="false" outlineLevel="0" collapsed="false">
      <c r="A4228" s="0" t="s">
        <v>4552</v>
      </c>
      <c r="B4228" s="0" t="s">
        <v>61</v>
      </c>
      <c r="C4228" s="0" t="str">
        <f aca="false">INDEX(Intent_Analysis!$B$5:$B$81,MATCH(B4228,Intent_Analysis!$A$5:$A$81,0))</f>
        <v>Card usage &amp; features</v>
      </c>
      <c r="D4228" s="0" t="n">
        <f aca="false">INDEX(Intent_Analysis!$E$5:$E$81,MATCH(B4228,Intent_Analysis!$A$5:$A$81,0))</f>
        <v>1</v>
      </c>
    </row>
    <row r="4229" customFormat="false" ht="15" hidden="false" customHeight="false" outlineLevel="0" collapsed="false">
      <c r="A4229" s="0" t="s">
        <v>4553</v>
      </c>
      <c r="B4229" s="0" t="s">
        <v>61</v>
      </c>
      <c r="C4229" s="0" t="str">
        <f aca="false">INDEX(Intent_Analysis!$B$5:$B$81,MATCH(B4229,Intent_Analysis!$A$5:$A$81,0))</f>
        <v>Card usage &amp; features</v>
      </c>
      <c r="D4229" s="0" t="n">
        <f aca="false">INDEX(Intent_Analysis!$E$5:$E$81,MATCH(B4229,Intent_Analysis!$A$5:$A$81,0))</f>
        <v>1</v>
      </c>
    </row>
    <row r="4230" customFormat="false" ht="15" hidden="false" customHeight="false" outlineLevel="0" collapsed="false">
      <c r="A4230" s="0" t="s">
        <v>4554</v>
      </c>
      <c r="B4230" s="0" t="s">
        <v>61</v>
      </c>
      <c r="C4230" s="0" t="str">
        <f aca="false">INDEX(Intent_Analysis!$B$5:$B$81,MATCH(B4230,Intent_Analysis!$A$5:$A$81,0))</f>
        <v>Card usage &amp; features</v>
      </c>
      <c r="D4230" s="0" t="n">
        <f aca="false">INDEX(Intent_Analysis!$E$5:$E$81,MATCH(B4230,Intent_Analysis!$A$5:$A$81,0))</f>
        <v>1</v>
      </c>
    </row>
    <row r="4231" customFormat="false" ht="15" hidden="false" customHeight="false" outlineLevel="0" collapsed="false">
      <c r="A4231" s="0" t="s">
        <v>4555</v>
      </c>
      <c r="B4231" s="0" t="s">
        <v>61</v>
      </c>
      <c r="C4231" s="0" t="str">
        <f aca="false">INDEX(Intent_Analysis!$B$5:$B$81,MATCH(B4231,Intent_Analysis!$A$5:$A$81,0))</f>
        <v>Card usage &amp; features</v>
      </c>
      <c r="D4231" s="0" t="n">
        <f aca="false">INDEX(Intent_Analysis!$E$5:$E$81,MATCH(B4231,Intent_Analysis!$A$5:$A$81,0))</f>
        <v>1</v>
      </c>
    </row>
    <row r="4232" customFormat="false" ht="15" hidden="false" customHeight="false" outlineLevel="0" collapsed="false">
      <c r="A4232" s="0" t="s">
        <v>4556</v>
      </c>
      <c r="B4232" s="0" t="s">
        <v>61</v>
      </c>
      <c r="C4232" s="0" t="str">
        <f aca="false">INDEX(Intent_Analysis!$B$5:$B$81,MATCH(B4232,Intent_Analysis!$A$5:$A$81,0))</f>
        <v>Card usage &amp; features</v>
      </c>
      <c r="D4232" s="0" t="n">
        <f aca="false">INDEX(Intent_Analysis!$E$5:$E$81,MATCH(B4232,Intent_Analysis!$A$5:$A$81,0))</f>
        <v>1</v>
      </c>
    </row>
    <row r="4233" customFormat="false" ht="15" hidden="false" customHeight="false" outlineLevel="0" collapsed="false">
      <c r="A4233" s="0" t="s">
        <v>4557</v>
      </c>
      <c r="B4233" s="0" t="s">
        <v>61</v>
      </c>
      <c r="C4233" s="0" t="str">
        <f aca="false">INDEX(Intent_Analysis!$B$5:$B$81,MATCH(B4233,Intent_Analysis!$A$5:$A$81,0))</f>
        <v>Card usage &amp; features</v>
      </c>
      <c r="D4233" s="0" t="n">
        <f aca="false">INDEX(Intent_Analysis!$E$5:$E$81,MATCH(B4233,Intent_Analysis!$A$5:$A$81,0))</f>
        <v>1</v>
      </c>
    </row>
    <row r="4234" customFormat="false" ht="15" hidden="false" customHeight="false" outlineLevel="0" collapsed="false">
      <c r="A4234" s="0" t="s">
        <v>4558</v>
      </c>
      <c r="B4234" s="0" t="s">
        <v>61</v>
      </c>
      <c r="C4234" s="0" t="str">
        <f aca="false">INDEX(Intent_Analysis!$B$5:$B$81,MATCH(B4234,Intent_Analysis!$A$5:$A$81,0))</f>
        <v>Card usage &amp; features</v>
      </c>
      <c r="D4234" s="0" t="n">
        <f aca="false">INDEX(Intent_Analysis!$E$5:$E$81,MATCH(B4234,Intent_Analysis!$A$5:$A$81,0))</f>
        <v>1</v>
      </c>
    </row>
    <row r="4235" customFormat="false" ht="15" hidden="false" customHeight="false" outlineLevel="0" collapsed="false">
      <c r="A4235" s="0" t="s">
        <v>4559</v>
      </c>
      <c r="B4235" s="0" t="s">
        <v>61</v>
      </c>
      <c r="C4235" s="0" t="str">
        <f aca="false">INDEX(Intent_Analysis!$B$5:$B$81,MATCH(B4235,Intent_Analysis!$A$5:$A$81,0))</f>
        <v>Card usage &amp; features</v>
      </c>
      <c r="D4235" s="0" t="n">
        <f aca="false">INDEX(Intent_Analysis!$E$5:$E$81,MATCH(B4235,Intent_Analysis!$A$5:$A$81,0))</f>
        <v>1</v>
      </c>
    </row>
    <row r="4236" customFormat="false" ht="15" hidden="false" customHeight="false" outlineLevel="0" collapsed="false">
      <c r="A4236" s="0" t="s">
        <v>4560</v>
      </c>
      <c r="B4236" s="0" t="s">
        <v>61</v>
      </c>
      <c r="C4236" s="0" t="str">
        <f aca="false">INDEX(Intent_Analysis!$B$5:$B$81,MATCH(B4236,Intent_Analysis!$A$5:$A$81,0))</f>
        <v>Card usage &amp; features</v>
      </c>
      <c r="D4236" s="0" t="n">
        <f aca="false">INDEX(Intent_Analysis!$E$5:$E$81,MATCH(B4236,Intent_Analysis!$A$5:$A$81,0))</f>
        <v>1</v>
      </c>
    </row>
    <row r="4237" customFormat="false" ht="15" hidden="false" customHeight="false" outlineLevel="0" collapsed="false">
      <c r="A4237" s="0" t="s">
        <v>4561</v>
      </c>
      <c r="B4237" s="0" t="s">
        <v>109</v>
      </c>
      <c r="C4237" s="0" t="str">
        <f aca="false">INDEX(Intent_Analysis!$B$5:$B$81,MATCH(B4237,Intent_Analysis!$A$5:$A$81,0))</f>
        <v>Top-ups</v>
      </c>
      <c r="D4237" s="0" t="n">
        <f aca="false">INDEX(Intent_Analysis!$E$5:$E$81,MATCH(B4237,Intent_Analysis!$A$5:$A$81,0))</f>
        <v>1</v>
      </c>
    </row>
    <row r="4238" customFormat="false" ht="15" hidden="false" customHeight="false" outlineLevel="0" collapsed="false">
      <c r="A4238" s="0" t="s">
        <v>4562</v>
      </c>
      <c r="B4238" s="0" t="s">
        <v>109</v>
      </c>
      <c r="C4238" s="0" t="str">
        <f aca="false">INDEX(Intent_Analysis!$B$5:$B$81,MATCH(B4238,Intent_Analysis!$A$5:$A$81,0))</f>
        <v>Top-ups</v>
      </c>
      <c r="D4238" s="0" t="n">
        <f aca="false">INDEX(Intent_Analysis!$E$5:$E$81,MATCH(B4238,Intent_Analysis!$A$5:$A$81,0))</f>
        <v>1</v>
      </c>
    </row>
    <row r="4239" customFormat="false" ht="15" hidden="false" customHeight="false" outlineLevel="0" collapsed="false">
      <c r="A4239" s="0" t="s">
        <v>4563</v>
      </c>
      <c r="B4239" s="0" t="s">
        <v>109</v>
      </c>
      <c r="C4239" s="0" t="str">
        <f aca="false">INDEX(Intent_Analysis!$B$5:$B$81,MATCH(B4239,Intent_Analysis!$A$5:$A$81,0))</f>
        <v>Top-ups</v>
      </c>
      <c r="D4239" s="0" t="n">
        <f aca="false">INDEX(Intent_Analysis!$E$5:$E$81,MATCH(B4239,Intent_Analysis!$A$5:$A$81,0))</f>
        <v>1</v>
      </c>
    </row>
    <row r="4240" customFormat="false" ht="15" hidden="false" customHeight="false" outlineLevel="0" collapsed="false">
      <c r="A4240" s="0" t="s">
        <v>4564</v>
      </c>
      <c r="B4240" s="0" t="s">
        <v>109</v>
      </c>
      <c r="C4240" s="0" t="str">
        <f aca="false">INDEX(Intent_Analysis!$B$5:$B$81,MATCH(B4240,Intent_Analysis!$A$5:$A$81,0))</f>
        <v>Top-ups</v>
      </c>
      <c r="D4240" s="0" t="n">
        <f aca="false">INDEX(Intent_Analysis!$E$5:$E$81,MATCH(B4240,Intent_Analysis!$A$5:$A$81,0))</f>
        <v>1</v>
      </c>
    </row>
    <row r="4241" customFormat="false" ht="15" hidden="false" customHeight="false" outlineLevel="0" collapsed="false">
      <c r="A4241" s="0" t="s">
        <v>4565</v>
      </c>
      <c r="B4241" s="0" t="s">
        <v>109</v>
      </c>
      <c r="C4241" s="0" t="str">
        <f aca="false">INDEX(Intent_Analysis!$B$5:$B$81,MATCH(B4241,Intent_Analysis!$A$5:$A$81,0))</f>
        <v>Top-ups</v>
      </c>
      <c r="D4241" s="0" t="n">
        <f aca="false">INDEX(Intent_Analysis!$E$5:$E$81,MATCH(B4241,Intent_Analysis!$A$5:$A$81,0))</f>
        <v>1</v>
      </c>
    </row>
    <row r="4242" customFormat="false" ht="15" hidden="false" customHeight="false" outlineLevel="0" collapsed="false">
      <c r="A4242" s="0" t="s">
        <v>4566</v>
      </c>
      <c r="B4242" s="0" t="s">
        <v>109</v>
      </c>
      <c r="C4242" s="0" t="str">
        <f aca="false">INDEX(Intent_Analysis!$B$5:$B$81,MATCH(B4242,Intent_Analysis!$A$5:$A$81,0))</f>
        <v>Top-ups</v>
      </c>
      <c r="D4242" s="0" t="n">
        <f aca="false">INDEX(Intent_Analysis!$E$5:$E$81,MATCH(B4242,Intent_Analysis!$A$5:$A$81,0))</f>
        <v>1</v>
      </c>
    </row>
    <row r="4243" customFormat="false" ht="15" hidden="false" customHeight="false" outlineLevel="0" collapsed="false">
      <c r="A4243" s="0" t="s">
        <v>4567</v>
      </c>
      <c r="B4243" s="0" t="s">
        <v>109</v>
      </c>
      <c r="C4243" s="0" t="str">
        <f aca="false">INDEX(Intent_Analysis!$B$5:$B$81,MATCH(B4243,Intent_Analysis!$A$5:$A$81,0))</f>
        <v>Top-ups</v>
      </c>
      <c r="D4243" s="0" t="n">
        <f aca="false">INDEX(Intent_Analysis!$E$5:$E$81,MATCH(B4243,Intent_Analysis!$A$5:$A$81,0))</f>
        <v>1</v>
      </c>
    </row>
    <row r="4244" customFormat="false" ht="15" hidden="false" customHeight="false" outlineLevel="0" collapsed="false">
      <c r="A4244" s="0" t="s">
        <v>4568</v>
      </c>
      <c r="B4244" s="0" t="s">
        <v>109</v>
      </c>
      <c r="C4244" s="0" t="str">
        <f aca="false">INDEX(Intent_Analysis!$B$5:$B$81,MATCH(B4244,Intent_Analysis!$A$5:$A$81,0))</f>
        <v>Top-ups</v>
      </c>
      <c r="D4244" s="0" t="n">
        <f aca="false">INDEX(Intent_Analysis!$E$5:$E$81,MATCH(B4244,Intent_Analysis!$A$5:$A$81,0))</f>
        <v>1</v>
      </c>
    </row>
    <row r="4245" customFormat="false" ht="15" hidden="false" customHeight="false" outlineLevel="0" collapsed="false">
      <c r="A4245" s="0" t="s">
        <v>4569</v>
      </c>
      <c r="B4245" s="0" t="s">
        <v>109</v>
      </c>
      <c r="C4245" s="0" t="str">
        <f aca="false">INDEX(Intent_Analysis!$B$5:$B$81,MATCH(B4245,Intent_Analysis!$A$5:$A$81,0))</f>
        <v>Top-ups</v>
      </c>
      <c r="D4245" s="0" t="n">
        <f aca="false">INDEX(Intent_Analysis!$E$5:$E$81,MATCH(B4245,Intent_Analysis!$A$5:$A$81,0))</f>
        <v>1</v>
      </c>
    </row>
    <row r="4246" customFormat="false" ht="15" hidden="false" customHeight="false" outlineLevel="0" collapsed="false">
      <c r="A4246" s="0" t="s">
        <v>4570</v>
      </c>
      <c r="B4246" s="0" t="s">
        <v>109</v>
      </c>
      <c r="C4246" s="0" t="str">
        <f aca="false">INDEX(Intent_Analysis!$B$5:$B$81,MATCH(B4246,Intent_Analysis!$A$5:$A$81,0))</f>
        <v>Top-ups</v>
      </c>
      <c r="D4246" s="0" t="n">
        <f aca="false">INDEX(Intent_Analysis!$E$5:$E$81,MATCH(B4246,Intent_Analysis!$A$5:$A$81,0))</f>
        <v>1</v>
      </c>
    </row>
    <row r="4247" customFormat="false" ht="15" hidden="false" customHeight="false" outlineLevel="0" collapsed="false">
      <c r="A4247" s="0" t="s">
        <v>4571</v>
      </c>
      <c r="B4247" s="0" t="s">
        <v>109</v>
      </c>
      <c r="C4247" s="0" t="str">
        <f aca="false">INDEX(Intent_Analysis!$B$5:$B$81,MATCH(B4247,Intent_Analysis!$A$5:$A$81,0))</f>
        <v>Top-ups</v>
      </c>
      <c r="D4247" s="0" t="n">
        <f aca="false">INDEX(Intent_Analysis!$E$5:$E$81,MATCH(B4247,Intent_Analysis!$A$5:$A$81,0))</f>
        <v>1</v>
      </c>
    </row>
    <row r="4248" customFormat="false" ht="15" hidden="false" customHeight="false" outlineLevel="0" collapsed="false">
      <c r="A4248" s="0" t="s">
        <v>4572</v>
      </c>
      <c r="B4248" s="0" t="s">
        <v>109</v>
      </c>
      <c r="C4248" s="0" t="str">
        <f aca="false">INDEX(Intent_Analysis!$B$5:$B$81,MATCH(B4248,Intent_Analysis!$A$5:$A$81,0))</f>
        <v>Top-ups</v>
      </c>
      <c r="D4248" s="0" t="n">
        <f aca="false">INDEX(Intent_Analysis!$E$5:$E$81,MATCH(B4248,Intent_Analysis!$A$5:$A$81,0))</f>
        <v>1</v>
      </c>
    </row>
    <row r="4249" customFormat="false" ht="15" hidden="false" customHeight="false" outlineLevel="0" collapsed="false">
      <c r="A4249" s="0" t="s">
        <v>4573</v>
      </c>
      <c r="B4249" s="0" t="s">
        <v>109</v>
      </c>
      <c r="C4249" s="0" t="str">
        <f aca="false">INDEX(Intent_Analysis!$B$5:$B$81,MATCH(B4249,Intent_Analysis!$A$5:$A$81,0))</f>
        <v>Top-ups</v>
      </c>
      <c r="D4249" s="0" t="n">
        <f aca="false">INDEX(Intent_Analysis!$E$5:$E$81,MATCH(B4249,Intent_Analysis!$A$5:$A$81,0))</f>
        <v>1</v>
      </c>
    </row>
    <row r="4250" customFormat="false" ht="15" hidden="false" customHeight="false" outlineLevel="0" collapsed="false">
      <c r="A4250" s="0" t="s">
        <v>4574</v>
      </c>
      <c r="B4250" s="0" t="s">
        <v>109</v>
      </c>
      <c r="C4250" s="0" t="str">
        <f aca="false">INDEX(Intent_Analysis!$B$5:$B$81,MATCH(B4250,Intent_Analysis!$A$5:$A$81,0))</f>
        <v>Top-ups</v>
      </c>
      <c r="D4250" s="0" t="n">
        <f aca="false">INDEX(Intent_Analysis!$E$5:$E$81,MATCH(B4250,Intent_Analysis!$A$5:$A$81,0))</f>
        <v>1</v>
      </c>
    </row>
    <row r="4251" customFormat="false" ht="15" hidden="false" customHeight="false" outlineLevel="0" collapsed="false">
      <c r="A4251" s="0" t="s">
        <v>4575</v>
      </c>
      <c r="B4251" s="0" t="s">
        <v>109</v>
      </c>
      <c r="C4251" s="0" t="str">
        <f aca="false">INDEX(Intent_Analysis!$B$5:$B$81,MATCH(B4251,Intent_Analysis!$A$5:$A$81,0))</f>
        <v>Top-ups</v>
      </c>
      <c r="D4251" s="0" t="n">
        <f aca="false">INDEX(Intent_Analysis!$E$5:$E$81,MATCH(B4251,Intent_Analysis!$A$5:$A$81,0))</f>
        <v>1</v>
      </c>
    </row>
    <row r="4252" customFormat="false" ht="15" hidden="false" customHeight="false" outlineLevel="0" collapsed="false">
      <c r="A4252" s="0" t="s">
        <v>4576</v>
      </c>
      <c r="B4252" s="0" t="s">
        <v>109</v>
      </c>
      <c r="C4252" s="0" t="str">
        <f aca="false">INDEX(Intent_Analysis!$B$5:$B$81,MATCH(B4252,Intent_Analysis!$A$5:$A$81,0))</f>
        <v>Top-ups</v>
      </c>
      <c r="D4252" s="0" t="n">
        <f aca="false">INDEX(Intent_Analysis!$E$5:$E$81,MATCH(B4252,Intent_Analysis!$A$5:$A$81,0))</f>
        <v>1</v>
      </c>
    </row>
    <row r="4253" customFormat="false" ht="15" hidden="false" customHeight="false" outlineLevel="0" collapsed="false">
      <c r="A4253" s="0" t="s">
        <v>4577</v>
      </c>
      <c r="B4253" s="0" t="s">
        <v>109</v>
      </c>
      <c r="C4253" s="0" t="str">
        <f aca="false">INDEX(Intent_Analysis!$B$5:$B$81,MATCH(B4253,Intent_Analysis!$A$5:$A$81,0))</f>
        <v>Top-ups</v>
      </c>
      <c r="D4253" s="0" t="n">
        <f aca="false">INDEX(Intent_Analysis!$E$5:$E$81,MATCH(B4253,Intent_Analysis!$A$5:$A$81,0))</f>
        <v>1</v>
      </c>
    </row>
    <row r="4254" customFormat="false" ht="15" hidden="false" customHeight="false" outlineLevel="0" collapsed="false">
      <c r="A4254" s="0" t="s">
        <v>4578</v>
      </c>
      <c r="B4254" s="0" t="s">
        <v>109</v>
      </c>
      <c r="C4254" s="0" t="str">
        <f aca="false">INDEX(Intent_Analysis!$B$5:$B$81,MATCH(B4254,Intent_Analysis!$A$5:$A$81,0))</f>
        <v>Top-ups</v>
      </c>
      <c r="D4254" s="0" t="n">
        <f aca="false">INDEX(Intent_Analysis!$E$5:$E$81,MATCH(B4254,Intent_Analysis!$A$5:$A$81,0))</f>
        <v>1</v>
      </c>
    </row>
    <row r="4255" customFormat="false" ht="15" hidden="false" customHeight="false" outlineLevel="0" collapsed="false">
      <c r="A4255" s="0" t="s">
        <v>4579</v>
      </c>
      <c r="B4255" s="0" t="s">
        <v>109</v>
      </c>
      <c r="C4255" s="0" t="str">
        <f aca="false">INDEX(Intent_Analysis!$B$5:$B$81,MATCH(B4255,Intent_Analysis!$A$5:$A$81,0))</f>
        <v>Top-ups</v>
      </c>
      <c r="D4255" s="0" t="n">
        <f aca="false">INDEX(Intent_Analysis!$E$5:$E$81,MATCH(B4255,Intent_Analysis!$A$5:$A$81,0))</f>
        <v>1</v>
      </c>
    </row>
    <row r="4256" customFormat="false" ht="15" hidden="false" customHeight="false" outlineLevel="0" collapsed="false">
      <c r="A4256" s="0" t="s">
        <v>4580</v>
      </c>
      <c r="B4256" s="0" t="s">
        <v>109</v>
      </c>
      <c r="C4256" s="0" t="str">
        <f aca="false">INDEX(Intent_Analysis!$B$5:$B$81,MATCH(B4256,Intent_Analysis!$A$5:$A$81,0))</f>
        <v>Top-ups</v>
      </c>
      <c r="D4256" s="0" t="n">
        <f aca="false">INDEX(Intent_Analysis!$E$5:$E$81,MATCH(B4256,Intent_Analysis!$A$5:$A$81,0))</f>
        <v>1</v>
      </c>
    </row>
    <row r="4257" customFormat="false" ht="15" hidden="false" customHeight="false" outlineLevel="0" collapsed="false">
      <c r="A4257" s="0" t="s">
        <v>4581</v>
      </c>
      <c r="B4257" s="0" t="s">
        <v>109</v>
      </c>
      <c r="C4257" s="0" t="str">
        <f aca="false">INDEX(Intent_Analysis!$B$5:$B$81,MATCH(B4257,Intent_Analysis!$A$5:$A$81,0))</f>
        <v>Top-ups</v>
      </c>
      <c r="D4257" s="0" t="n">
        <f aca="false">INDEX(Intent_Analysis!$E$5:$E$81,MATCH(B4257,Intent_Analysis!$A$5:$A$81,0))</f>
        <v>1</v>
      </c>
    </row>
    <row r="4258" customFormat="false" ht="15" hidden="false" customHeight="false" outlineLevel="0" collapsed="false">
      <c r="A4258" s="0" t="s">
        <v>4582</v>
      </c>
      <c r="B4258" s="0" t="s">
        <v>109</v>
      </c>
      <c r="C4258" s="0" t="str">
        <f aca="false">INDEX(Intent_Analysis!$B$5:$B$81,MATCH(B4258,Intent_Analysis!$A$5:$A$81,0))</f>
        <v>Top-ups</v>
      </c>
      <c r="D4258" s="0" t="n">
        <f aca="false">INDEX(Intent_Analysis!$E$5:$E$81,MATCH(B4258,Intent_Analysis!$A$5:$A$81,0))</f>
        <v>1</v>
      </c>
    </row>
    <row r="4259" customFormat="false" ht="15" hidden="false" customHeight="false" outlineLevel="0" collapsed="false">
      <c r="A4259" s="0" t="s">
        <v>4583</v>
      </c>
      <c r="B4259" s="0" t="s">
        <v>109</v>
      </c>
      <c r="C4259" s="0" t="str">
        <f aca="false">INDEX(Intent_Analysis!$B$5:$B$81,MATCH(B4259,Intent_Analysis!$A$5:$A$81,0))</f>
        <v>Top-ups</v>
      </c>
      <c r="D4259" s="0" t="n">
        <f aca="false">INDEX(Intent_Analysis!$E$5:$E$81,MATCH(B4259,Intent_Analysis!$A$5:$A$81,0))</f>
        <v>1</v>
      </c>
    </row>
    <row r="4260" customFormat="false" ht="15" hidden="false" customHeight="false" outlineLevel="0" collapsed="false">
      <c r="A4260" s="0" t="s">
        <v>4584</v>
      </c>
      <c r="B4260" s="0" t="s">
        <v>109</v>
      </c>
      <c r="C4260" s="0" t="str">
        <f aca="false">INDEX(Intent_Analysis!$B$5:$B$81,MATCH(B4260,Intent_Analysis!$A$5:$A$81,0))</f>
        <v>Top-ups</v>
      </c>
      <c r="D4260" s="0" t="n">
        <f aca="false">INDEX(Intent_Analysis!$E$5:$E$81,MATCH(B4260,Intent_Analysis!$A$5:$A$81,0))</f>
        <v>1</v>
      </c>
    </row>
    <row r="4261" customFormat="false" ht="15" hidden="false" customHeight="false" outlineLevel="0" collapsed="false">
      <c r="A4261" s="0" t="s">
        <v>4585</v>
      </c>
      <c r="B4261" s="0" t="s">
        <v>109</v>
      </c>
      <c r="C4261" s="0" t="str">
        <f aca="false">INDEX(Intent_Analysis!$B$5:$B$81,MATCH(B4261,Intent_Analysis!$A$5:$A$81,0))</f>
        <v>Top-ups</v>
      </c>
      <c r="D4261" s="0" t="n">
        <f aca="false">INDEX(Intent_Analysis!$E$5:$E$81,MATCH(B4261,Intent_Analysis!$A$5:$A$81,0))</f>
        <v>1</v>
      </c>
    </row>
    <row r="4262" customFormat="false" ht="15" hidden="false" customHeight="false" outlineLevel="0" collapsed="false">
      <c r="A4262" s="0" t="s">
        <v>4586</v>
      </c>
      <c r="B4262" s="0" t="s">
        <v>109</v>
      </c>
      <c r="C4262" s="0" t="str">
        <f aca="false">INDEX(Intent_Analysis!$B$5:$B$81,MATCH(B4262,Intent_Analysis!$A$5:$A$81,0))</f>
        <v>Top-ups</v>
      </c>
      <c r="D4262" s="0" t="n">
        <f aca="false">INDEX(Intent_Analysis!$E$5:$E$81,MATCH(B4262,Intent_Analysis!$A$5:$A$81,0))</f>
        <v>1</v>
      </c>
    </row>
    <row r="4263" customFormat="false" ht="15" hidden="false" customHeight="false" outlineLevel="0" collapsed="false">
      <c r="A4263" s="0" t="s">
        <v>4587</v>
      </c>
      <c r="B4263" s="0" t="s">
        <v>109</v>
      </c>
      <c r="C4263" s="0" t="str">
        <f aca="false">INDEX(Intent_Analysis!$B$5:$B$81,MATCH(B4263,Intent_Analysis!$A$5:$A$81,0))</f>
        <v>Top-ups</v>
      </c>
      <c r="D4263" s="0" t="n">
        <f aca="false">INDEX(Intent_Analysis!$E$5:$E$81,MATCH(B4263,Intent_Analysis!$A$5:$A$81,0))</f>
        <v>1</v>
      </c>
    </row>
    <row r="4264" customFormat="false" ht="15" hidden="false" customHeight="false" outlineLevel="0" collapsed="false">
      <c r="A4264" s="0" t="s">
        <v>4588</v>
      </c>
      <c r="B4264" s="0" t="s">
        <v>109</v>
      </c>
      <c r="C4264" s="0" t="str">
        <f aca="false">INDEX(Intent_Analysis!$B$5:$B$81,MATCH(B4264,Intent_Analysis!$A$5:$A$81,0))</f>
        <v>Top-ups</v>
      </c>
      <c r="D4264" s="0" t="n">
        <f aca="false">INDEX(Intent_Analysis!$E$5:$E$81,MATCH(B4264,Intent_Analysis!$A$5:$A$81,0))</f>
        <v>1</v>
      </c>
    </row>
    <row r="4265" customFormat="false" ht="15" hidden="false" customHeight="false" outlineLevel="0" collapsed="false">
      <c r="A4265" s="0" t="s">
        <v>4589</v>
      </c>
      <c r="B4265" s="0" t="s">
        <v>109</v>
      </c>
      <c r="C4265" s="0" t="str">
        <f aca="false">INDEX(Intent_Analysis!$B$5:$B$81,MATCH(B4265,Intent_Analysis!$A$5:$A$81,0))</f>
        <v>Top-ups</v>
      </c>
      <c r="D4265" s="0" t="n">
        <f aca="false">INDEX(Intent_Analysis!$E$5:$E$81,MATCH(B4265,Intent_Analysis!$A$5:$A$81,0))</f>
        <v>1</v>
      </c>
    </row>
    <row r="4266" customFormat="false" ht="15" hidden="false" customHeight="false" outlineLevel="0" collapsed="false">
      <c r="A4266" s="0" t="s">
        <v>4590</v>
      </c>
      <c r="B4266" s="0" t="s">
        <v>109</v>
      </c>
      <c r="C4266" s="0" t="str">
        <f aca="false">INDEX(Intent_Analysis!$B$5:$B$81,MATCH(B4266,Intent_Analysis!$A$5:$A$81,0))</f>
        <v>Top-ups</v>
      </c>
      <c r="D4266" s="0" t="n">
        <f aca="false">INDEX(Intent_Analysis!$E$5:$E$81,MATCH(B4266,Intent_Analysis!$A$5:$A$81,0))</f>
        <v>1</v>
      </c>
    </row>
    <row r="4267" customFormat="false" ht="15" hidden="false" customHeight="false" outlineLevel="0" collapsed="false">
      <c r="A4267" s="0" t="s">
        <v>4591</v>
      </c>
      <c r="B4267" s="0" t="s">
        <v>109</v>
      </c>
      <c r="C4267" s="0" t="str">
        <f aca="false">INDEX(Intent_Analysis!$B$5:$B$81,MATCH(B4267,Intent_Analysis!$A$5:$A$81,0))</f>
        <v>Top-ups</v>
      </c>
      <c r="D4267" s="0" t="n">
        <f aca="false">INDEX(Intent_Analysis!$E$5:$E$81,MATCH(B4267,Intent_Analysis!$A$5:$A$81,0))</f>
        <v>1</v>
      </c>
    </row>
    <row r="4268" customFormat="false" ht="15" hidden="false" customHeight="false" outlineLevel="0" collapsed="false">
      <c r="A4268" s="0" t="s">
        <v>4592</v>
      </c>
      <c r="B4268" s="0" t="s">
        <v>109</v>
      </c>
      <c r="C4268" s="0" t="str">
        <f aca="false">INDEX(Intent_Analysis!$B$5:$B$81,MATCH(B4268,Intent_Analysis!$A$5:$A$81,0))</f>
        <v>Top-ups</v>
      </c>
      <c r="D4268" s="0" t="n">
        <f aca="false">INDEX(Intent_Analysis!$E$5:$E$81,MATCH(B4268,Intent_Analysis!$A$5:$A$81,0))</f>
        <v>1</v>
      </c>
    </row>
    <row r="4269" customFormat="false" ht="15" hidden="false" customHeight="false" outlineLevel="0" collapsed="false">
      <c r="A4269" s="0" t="s">
        <v>4593</v>
      </c>
      <c r="B4269" s="0" t="s">
        <v>109</v>
      </c>
      <c r="C4269" s="0" t="str">
        <f aca="false">INDEX(Intent_Analysis!$B$5:$B$81,MATCH(B4269,Intent_Analysis!$A$5:$A$81,0))</f>
        <v>Top-ups</v>
      </c>
      <c r="D4269" s="0" t="n">
        <f aca="false">INDEX(Intent_Analysis!$E$5:$E$81,MATCH(B4269,Intent_Analysis!$A$5:$A$81,0))</f>
        <v>1</v>
      </c>
    </row>
    <row r="4270" customFormat="false" ht="15" hidden="false" customHeight="false" outlineLevel="0" collapsed="false">
      <c r="A4270" s="0" t="s">
        <v>4594</v>
      </c>
      <c r="B4270" s="0" t="s">
        <v>109</v>
      </c>
      <c r="C4270" s="0" t="str">
        <f aca="false">INDEX(Intent_Analysis!$B$5:$B$81,MATCH(B4270,Intent_Analysis!$A$5:$A$81,0))</f>
        <v>Top-ups</v>
      </c>
      <c r="D4270" s="0" t="n">
        <f aca="false">INDEX(Intent_Analysis!$E$5:$E$81,MATCH(B4270,Intent_Analysis!$A$5:$A$81,0))</f>
        <v>1</v>
      </c>
    </row>
    <row r="4271" customFormat="false" ht="15" hidden="false" customHeight="false" outlineLevel="0" collapsed="false">
      <c r="A4271" s="0" t="s">
        <v>4595</v>
      </c>
      <c r="B4271" s="0" t="s">
        <v>109</v>
      </c>
      <c r="C4271" s="0" t="str">
        <f aca="false">INDEX(Intent_Analysis!$B$5:$B$81,MATCH(B4271,Intent_Analysis!$A$5:$A$81,0))</f>
        <v>Top-ups</v>
      </c>
      <c r="D4271" s="0" t="n">
        <f aca="false">INDEX(Intent_Analysis!$E$5:$E$81,MATCH(B4271,Intent_Analysis!$A$5:$A$81,0))</f>
        <v>1</v>
      </c>
    </row>
    <row r="4272" customFormat="false" ht="15" hidden="false" customHeight="false" outlineLevel="0" collapsed="false">
      <c r="A4272" s="0" t="s">
        <v>4596</v>
      </c>
      <c r="B4272" s="0" t="s">
        <v>109</v>
      </c>
      <c r="C4272" s="0" t="str">
        <f aca="false">INDEX(Intent_Analysis!$B$5:$B$81,MATCH(B4272,Intent_Analysis!$A$5:$A$81,0))</f>
        <v>Top-ups</v>
      </c>
      <c r="D4272" s="0" t="n">
        <f aca="false">INDEX(Intent_Analysis!$E$5:$E$81,MATCH(B4272,Intent_Analysis!$A$5:$A$81,0))</f>
        <v>1</v>
      </c>
    </row>
    <row r="4273" customFormat="false" ht="15" hidden="false" customHeight="false" outlineLevel="0" collapsed="false">
      <c r="A4273" s="0" t="s">
        <v>4597</v>
      </c>
      <c r="B4273" s="0" t="s">
        <v>109</v>
      </c>
      <c r="C4273" s="0" t="str">
        <f aca="false">INDEX(Intent_Analysis!$B$5:$B$81,MATCH(B4273,Intent_Analysis!$A$5:$A$81,0))</f>
        <v>Top-ups</v>
      </c>
      <c r="D4273" s="0" t="n">
        <f aca="false">INDEX(Intent_Analysis!$E$5:$E$81,MATCH(B4273,Intent_Analysis!$A$5:$A$81,0))</f>
        <v>1</v>
      </c>
    </row>
    <row r="4274" customFormat="false" ht="15" hidden="false" customHeight="false" outlineLevel="0" collapsed="false">
      <c r="A4274" s="0" t="s">
        <v>4598</v>
      </c>
      <c r="B4274" s="0" t="s">
        <v>109</v>
      </c>
      <c r="C4274" s="0" t="str">
        <f aca="false">INDEX(Intent_Analysis!$B$5:$B$81,MATCH(B4274,Intent_Analysis!$A$5:$A$81,0))</f>
        <v>Top-ups</v>
      </c>
      <c r="D4274" s="0" t="n">
        <f aca="false">INDEX(Intent_Analysis!$E$5:$E$81,MATCH(B4274,Intent_Analysis!$A$5:$A$81,0))</f>
        <v>1</v>
      </c>
    </row>
    <row r="4275" customFormat="false" ht="15" hidden="false" customHeight="false" outlineLevel="0" collapsed="false">
      <c r="A4275" s="0" t="s">
        <v>4599</v>
      </c>
      <c r="B4275" s="0" t="s">
        <v>109</v>
      </c>
      <c r="C4275" s="0" t="str">
        <f aca="false">INDEX(Intent_Analysis!$B$5:$B$81,MATCH(B4275,Intent_Analysis!$A$5:$A$81,0))</f>
        <v>Top-ups</v>
      </c>
      <c r="D4275" s="0" t="n">
        <f aca="false">INDEX(Intent_Analysis!$E$5:$E$81,MATCH(B4275,Intent_Analysis!$A$5:$A$81,0))</f>
        <v>1</v>
      </c>
    </row>
    <row r="4276" customFormat="false" ht="15" hidden="false" customHeight="false" outlineLevel="0" collapsed="false">
      <c r="A4276" s="0" t="s">
        <v>4600</v>
      </c>
      <c r="B4276" s="0" t="s">
        <v>109</v>
      </c>
      <c r="C4276" s="0" t="str">
        <f aca="false">INDEX(Intent_Analysis!$B$5:$B$81,MATCH(B4276,Intent_Analysis!$A$5:$A$81,0))</f>
        <v>Top-ups</v>
      </c>
      <c r="D4276" s="0" t="n">
        <f aca="false">INDEX(Intent_Analysis!$E$5:$E$81,MATCH(B4276,Intent_Analysis!$A$5:$A$81,0))</f>
        <v>1</v>
      </c>
    </row>
    <row r="4277" customFormat="false" ht="15" hidden="false" customHeight="false" outlineLevel="0" collapsed="false">
      <c r="A4277" s="0" t="s">
        <v>4601</v>
      </c>
      <c r="B4277" s="0" t="s">
        <v>109</v>
      </c>
      <c r="C4277" s="0" t="str">
        <f aca="false">INDEX(Intent_Analysis!$B$5:$B$81,MATCH(B4277,Intent_Analysis!$A$5:$A$81,0))</f>
        <v>Top-ups</v>
      </c>
      <c r="D4277" s="0" t="n">
        <f aca="false">INDEX(Intent_Analysis!$E$5:$E$81,MATCH(B4277,Intent_Analysis!$A$5:$A$81,0))</f>
        <v>1</v>
      </c>
    </row>
    <row r="4278" customFormat="false" ht="15" hidden="false" customHeight="false" outlineLevel="0" collapsed="false">
      <c r="A4278" s="0" t="s">
        <v>4602</v>
      </c>
      <c r="B4278" s="0" t="s">
        <v>109</v>
      </c>
      <c r="C4278" s="0" t="str">
        <f aca="false">INDEX(Intent_Analysis!$B$5:$B$81,MATCH(B4278,Intent_Analysis!$A$5:$A$81,0))</f>
        <v>Top-ups</v>
      </c>
      <c r="D4278" s="0" t="n">
        <f aca="false">INDEX(Intent_Analysis!$E$5:$E$81,MATCH(B4278,Intent_Analysis!$A$5:$A$81,0))</f>
        <v>1</v>
      </c>
    </row>
    <row r="4279" customFormat="false" ht="15" hidden="false" customHeight="false" outlineLevel="0" collapsed="false">
      <c r="A4279" s="0" t="s">
        <v>4603</v>
      </c>
      <c r="B4279" s="0" t="s">
        <v>109</v>
      </c>
      <c r="C4279" s="0" t="str">
        <f aca="false">INDEX(Intent_Analysis!$B$5:$B$81,MATCH(B4279,Intent_Analysis!$A$5:$A$81,0))</f>
        <v>Top-ups</v>
      </c>
      <c r="D4279" s="0" t="n">
        <f aca="false">INDEX(Intent_Analysis!$E$5:$E$81,MATCH(B4279,Intent_Analysis!$A$5:$A$81,0))</f>
        <v>1</v>
      </c>
    </row>
    <row r="4280" customFormat="false" ht="15" hidden="false" customHeight="false" outlineLevel="0" collapsed="false">
      <c r="A4280" s="0" t="s">
        <v>4604</v>
      </c>
      <c r="B4280" s="0" t="s">
        <v>109</v>
      </c>
      <c r="C4280" s="0" t="str">
        <f aca="false">INDEX(Intent_Analysis!$B$5:$B$81,MATCH(B4280,Intent_Analysis!$A$5:$A$81,0))</f>
        <v>Top-ups</v>
      </c>
      <c r="D4280" s="0" t="n">
        <f aca="false">INDEX(Intent_Analysis!$E$5:$E$81,MATCH(B4280,Intent_Analysis!$A$5:$A$81,0))</f>
        <v>1</v>
      </c>
    </row>
    <row r="4281" customFormat="false" ht="15" hidden="false" customHeight="false" outlineLevel="0" collapsed="false">
      <c r="A4281" s="0" t="s">
        <v>4605</v>
      </c>
      <c r="B4281" s="0" t="s">
        <v>109</v>
      </c>
      <c r="C4281" s="0" t="str">
        <f aca="false">INDEX(Intent_Analysis!$B$5:$B$81,MATCH(B4281,Intent_Analysis!$A$5:$A$81,0))</f>
        <v>Top-ups</v>
      </c>
      <c r="D4281" s="0" t="n">
        <f aca="false">INDEX(Intent_Analysis!$E$5:$E$81,MATCH(B4281,Intent_Analysis!$A$5:$A$81,0))</f>
        <v>1</v>
      </c>
    </row>
    <row r="4282" customFormat="false" ht="15" hidden="false" customHeight="false" outlineLevel="0" collapsed="false">
      <c r="A4282" s="0" t="s">
        <v>4606</v>
      </c>
      <c r="B4282" s="0" t="s">
        <v>109</v>
      </c>
      <c r="C4282" s="0" t="str">
        <f aca="false">INDEX(Intent_Analysis!$B$5:$B$81,MATCH(B4282,Intent_Analysis!$A$5:$A$81,0))</f>
        <v>Top-ups</v>
      </c>
      <c r="D4282" s="0" t="n">
        <f aca="false">INDEX(Intent_Analysis!$E$5:$E$81,MATCH(B4282,Intent_Analysis!$A$5:$A$81,0))</f>
        <v>1</v>
      </c>
    </row>
    <row r="4283" customFormat="false" ht="15" hidden="false" customHeight="false" outlineLevel="0" collapsed="false">
      <c r="A4283" s="0" t="s">
        <v>4607</v>
      </c>
      <c r="B4283" s="0" t="s">
        <v>109</v>
      </c>
      <c r="C4283" s="0" t="str">
        <f aca="false">INDEX(Intent_Analysis!$B$5:$B$81,MATCH(B4283,Intent_Analysis!$A$5:$A$81,0))</f>
        <v>Top-ups</v>
      </c>
      <c r="D4283" s="0" t="n">
        <f aca="false">INDEX(Intent_Analysis!$E$5:$E$81,MATCH(B4283,Intent_Analysis!$A$5:$A$81,0))</f>
        <v>1</v>
      </c>
    </row>
    <row r="4284" customFormat="false" ht="15" hidden="false" customHeight="false" outlineLevel="0" collapsed="false">
      <c r="A4284" s="0" t="s">
        <v>4608</v>
      </c>
      <c r="B4284" s="0" t="s">
        <v>109</v>
      </c>
      <c r="C4284" s="0" t="str">
        <f aca="false">INDEX(Intent_Analysis!$B$5:$B$81,MATCH(B4284,Intent_Analysis!$A$5:$A$81,0))</f>
        <v>Top-ups</v>
      </c>
      <c r="D4284" s="0" t="n">
        <f aca="false">INDEX(Intent_Analysis!$E$5:$E$81,MATCH(B4284,Intent_Analysis!$A$5:$A$81,0))</f>
        <v>1</v>
      </c>
    </row>
    <row r="4285" customFormat="false" ht="15" hidden="false" customHeight="false" outlineLevel="0" collapsed="false">
      <c r="A4285" s="0" t="s">
        <v>4609</v>
      </c>
      <c r="B4285" s="0" t="s">
        <v>109</v>
      </c>
      <c r="C4285" s="0" t="str">
        <f aca="false">INDEX(Intent_Analysis!$B$5:$B$81,MATCH(B4285,Intent_Analysis!$A$5:$A$81,0))</f>
        <v>Top-ups</v>
      </c>
      <c r="D4285" s="0" t="n">
        <f aca="false">INDEX(Intent_Analysis!$E$5:$E$81,MATCH(B4285,Intent_Analysis!$A$5:$A$81,0))</f>
        <v>1</v>
      </c>
    </row>
    <row r="4286" customFormat="false" ht="15" hidden="false" customHeight="false" outlineLevel="0" collapsed="false">
      <c r="A4286" s="0" t="s">
        <v>4610</v>
      </c>
      <c r="B4286" s="0" t="s">
        <v>109</v>
      </c>
      <c r="C4286" s="0" t="str">
        <f aca="false">INDEX(Intent_Analysis!$B$5:$B$81,MATCH(B4286,Intent_Analysis!$A$5:$A$81,0))</f>
        <v>Top-ups</v>
      </c>
      <c r="D4286" s="0" t="n">
        <f aca="false">INDEX(Intent_Analysis!$E$5:$E$81,MATCH(B4286,Intent_Analysis!$A$5:$A$81,0))</f>
        <v>1</v>
      </c>
    </row>
    <row r="4287" customFormat="false" ht="15" hidden="false" customHeight="false" outlineLevel="0" collapsed="false">
      <c r="A4287" s="0" t="s">
        <v>4611</v>
      </c>
      <c r="B4287" s="0" t="s">
        <v>109</v>
      </c>
      <c r="C4287" s="0" t="str">
        <f aca="false">INDEX(Intent_Analysis!$B$5:$B$81,MATCH(B4287,Intent_Analysis!$A$5:$A$81,0))</f>
        <v>Top-ups</v>
      </c>
      <c r="D4287" s="0" t="n">
        <f aca="false">INDEX(Intent_Analysis!$E$5:$E$81,MATCH(B4287,Intent_Analysis!$A$5:$A$81,0))</f>
        <v>1</v>
      </c>
    </row>
    <row r="4288" customFormat="false" ht="15" hidden="false" customHeight="false" outlineLevel="0" collapsed="false">
      <c r="A4288" s="0" t="s">
        <v>4612</v>
      </c>
      <c r="B4288" s="0" t="s">
        <v>109</v>
      </c>
      <c r="C4288" s="0" t="str">
        <f aca="false">INDEX(Intent_Analysis!$B$5:$B$81,MATCH(B4288,Intent_Analysis!$A$5:$A$81,0))</f>
        <v>Top-ups</v>
      </c>
      <c r="D4288" s="0" t="n">
        <f aca="false">INDEX(Intent_Analysis!$E$5:$E$81,MATCH(B4288,Intent_Analysis!$A$5:$A$81,0))</f>
        <v>1</v>
      </c>
    </row>
    <row r="4289" customFormat="false" ht="15" hidden="false" customHeight="false" outlineLevel="0" collapsed="false">
      <c r="A4289" s="0" t="s">
        <v>4613</v>
      </c>
      <c r="B4289" s="0" t="s">
        <v>109</v>
      </c>
      <c r="C4289" s="0" t="str">
        <f aca="false">INDEX(Intent_Analysis!$B$5:$B$81,MATCH(B4289,Intent_Analysis!$A$5:$A$81,0))</f>
        <v>Top-ups</v>
      </c>
      <c r="D4289" s="0" t="n">
        <f aca="false">INDEX(Intent_Analysis!$E$5:$E$81,MATCH(B4289,Intent_Analysis!$A$5:$A$81,0))</f>
        <v>1</v>
      </c>
    </row>
    <row r="4290" customFormat="false" ht="15" hidden="false" customHeight="false" outlineLevel="0" collapsed="false">
      <c r="A4290" s="0" t="s">
        <v>4614</v>
      </c>
      <c r="B4290" s="0" t="s">
        <v>109</v>
      </c>
      <c r="C4290" s="0" t="str">
        <f aca="false">INDEX(Intent_Analysis!$B$5:$B$81,MATCH(B4290,Intent_Analysis!$A$5:$A$81,0))</f>
        <v>Top-ups</v>
      </c>
      <c r="D4290" s="0" t="n">
        <f aca="false">INDEX(Intent_Analysis!$E$5:$E$81,MATCH(B4290,Intent_Analysis!$A$5:$A$81,0))</f>
        <v>1</v>
      </c>
    </row>
    <row r="4291" customFormat="false" ht="15" hidden="false" customHeight="false" outlineLevel="0" collapsed="false">
      <c r="A4291" s="0" t="s">
        <v>4615</v>
      </c>
      <c r="B4291" s="0" t="s">
        <v>109</v>
      </c>
      <c r="C4291" s="0" t="str">
        <f aca="false">INDEX(Intent_Analysis!$B$5:$B$81,MATCH(B4291,Intent_Analysis!$A$5:$A$81,0))</f>
        <v>Top-ups</v>
      </c>
      <c r="D4291" s="0" t="n">
        <f aca="false">INDEX(Intent_Analysis!$E$5:$E$81,MATCH(B4291,Intent_Analysis!$A$5:$A$81,0))</f>
        <v>1</v>
      </c>
    </row>
    <row r="4292" customFormat="false" ht="15" hidden="false" customHeight="false" outlineLevel="0" collapsed="false">
      <c r="A4292" s="0" t="s">
        <v>4616</v>
      </c>
      <c r="B4292" s="0" t="s">
        <v>109</v>
      </c>
      <c r="C4292" s="0" t="str">
        <f aca="false">INDEX(Intent_Analysis!$B$5:$B$81,MATCH(B4292,Intent_Analysis!$A$5:$A$81,0))</f>
        <v>Top-ups</v>
      </c>
      <c r="D4292" s="0" t="n">
        <f aca="false">INDEX(Intent_Analysis!$E$5:$E$81,MATCH(B4292,Intent_Analysis!$A$5:$A$81,0))</f>
        <v>1</v>
      </c>
    </row>
    <row r="4293" customFormat="false" ht="15" hidden="false" customHeight="false" outlineLevel="0" collapsed="false">
      <c r="A4293" s="0" t="s">
        <v>4617</v>
      </c>
      <c r="B4293" s="0" t="s">
        <v>109</v>
      </c>
      <c r="C4293" s="0" t="str">
        <f aca="false">INDEX(Intent_Analysis!$B$5:$B$81,MATCH(B4293,Intent_Analysis!$A$5:$A$81,0))</f>
        <v>Top-ups</v>
      </c>
      <c r="D4293" s="0" t="n">
        <f aca="false">INDEX(Intent_Analysis!$E$5:$E$81,MATCH(B4293,Intent_Analysis!$A$5:$A$81,0))</f>
        <v>1</v>
      </c>
    </row>
    <row r="4294" customFormat="false" ht="15" hidden="false" customHeight="false" outlineLevel="0" collapsed="false">
      <c r="A4294" s="0" t="s">
        <v>4618</v>
      </c>
      <c r="B4294" s="0" t="s">
        <v>109</v>
      </c>
      <c r="C4294" s="0" t="str">
        <f aca="false">INDEX(Intent_Analysis!$B$5:$B$81,MATCH(B4294,Intent_Analysis!$A$5:$A$81,0))</f>
        <v>Top-ups</v>
      </c>
      <c r="D4294" s="0" t="n">
        <f aca="false">INDEX(Intent_Analysis!$E$5:$E$81,MATCH(B4294,Intent_Analysis!$A$5:$A$81,0))</f>
        <v>1</v>
      </c>
    </row>
    <row r="4295" customFormat="false" ht="15" hidden="false" customHeight="false" outlineLevel="0" collapsed="false">
      <c r="A4295" s="0" t="s">
        <v>4619</v>
      </c>
      <c r="B4295" s="0" t="s">
        <v>109</v>
      </c>
      <c r="C4295" s="0" t="str">
        <f aca="false">INDEX(Intent_Analysis!$B$5:$B$81,MATCH(B4295,Intent_Analysis!$A$5:$A$81,0))</f>
        <v>Top-ups</v>
      </c>
      <c r="D4295" s="0" t="n">
        <f aca="false">INDEX(Intent_Analysis!$E$5:$E$81,MATCH(B4295,Intent_Analysis!$A$5:$A$81,0))</f>
        <v>1</v>
      </c>
    </row>
    <row r="4296" customFormat="false" ht="15" hidden="false" customHeight="false" outlineLevel="0" collapsed="false">
      <c r="A4296" s="0" t="s">
        <v>4620</v>
      </c>
      <c r="B4296" s="0" t="s">
        <v>109</v>
      </c>
      <c r="C4296" s="0" t="str">
        <f aca="false">INDEX(Intent_Analysis!$B$5:$B$81,MATCH(B4296,Intent_Analysis!$A$5:$A$81,0))</f>
        <v>Top-ups</v>
      </c>
      <c r="D4296" s="0" t="n">
        <f aca="false">INDEX(Intent_Analysis!$E$5:$E$81,MATCH(B4296,Intent_Analysis!$A$5:$A$81,0))</f>
        <v>1</v>
      </c>
    </row>
    <row r="4297" customFormat="false" ht="15" hidden="false" customHeight="false" outlineLevel="0" collapsed="false">
      <c r="A4297" s="0" t="s">
        <v>4621</v>
      </c>
      <c r="B4297" s="0" t="s">
        <v>109</v>
      </c>
      <c r="C4297" s="0" t="str">
        <f aca="false">INDEX(Intent_Analysis!$B$5:$B$81,MATCH(B4297,Intent_Analysis!$A$5:$A$81,0))</f>
        <v>Top-ups</v>
      </c>
      <c r="D4297" s="0" t="n">
        <f aca="false">INDEX(Intent_Analysis!$E$5:$E$81,MATCH(B4297,Intent_Analysis!$A$5:$A$81,0))</f>
        <v>1</v>
      </c>
    </row>
    <row r="4298" customFormat="false" ht="15" hidden="false" customHeight="false" outlineLevel="0" collapsed="false">
      <c r="A4298" s="0" t="s">
        <v>4622</v>
      </c>
      <c r="B4298" s="0" t="s">
        <v>109</v>
      </c>
      <c r="C4298" s="0" t="str">
        <f aca="false">INDEX(Intent_Analysis!$B$5:$B$81,MATCH(B4298,Intent_Analysis!$A$5:$A$81,0))</f>
        <v>Top-ups</v>
      </c>
      <c r="D4298" s="0" t="n">
        <f aca="false">INDEX(Intent_Analysis!$E$5:$E$81,MATCH(B4298,Intent_Analysis!$A$5:$A$81,0))</f>
        <v>1</v>
      </c>
    </row>
    <row r="4299" customFormat="false" ht="15" hidden="false" customHeight="false" outlineLevel="0" collapsed="false">
      <c r="A4299" s="0" t="s">
        <v>4623</v>
      </c>
      <c r="B4299" s="0" t="s">
        <v>109</v>
      </c>
      <c r="C4299" s="0" t="str">
        <f aca="false">INDEX(Intent_Analysis!$B$5:$B$81,MATCH(B4299,Intent_Analysis!$A$5:$A$81,0))</f>
        <v>Top-ups</v>
      </c>
      <c r="D4299" s="0" t="n">
        <f aca="false">INDEX(Intent_Analysis!$E$5:$E$81,MATCH(B4299,Intent_Analysis!$A$5:$A$81,0))</f>
        <v>1</v>
      </c>
    </row>
    <row r="4300" customFormat="false" ht="15" hidden="false" customHeight="false" outlineLevel="0" collapsed="false">
      <c r="A4300" s="0" t="s">
        <v>4624</v>
      </c>
      <c r="B4300" s="0" t="s">
        <v>109</v>
      </c>
      <c r="C4300" s="0" t="str">
        <f aca="false">INDEX(Intent_Analysis!$B$5:$B$81,MATCH(B4300,Intent_Analysis!$A$5:$A$81,0))</f>
        <v>Top-ups</v>
      </c>
      <c r="D4300" s="0" t="n">
        <f aca="false">INDEX(Intent_Analysis!$E$5:$E$81,MATCH(B4300,Intent_Analysis!$A$5:$A$81,0))</f>
        <v>1</v>
      </c>
    </row>
    <row r="4301" customFormat="false" ht="15" hidden="false" customHeight="false" outlineLevel="0" collapsed="false">
      <c r="A4301" s="0" t="s">
        <v>4625</v>
      </c>
      <c r="B4301" s="0" t="s">
        <v>109</v>
      </c>
      <c r="C4301" s="0" t="str">
        <f aca="false">INDEX(Intent_Analysis!$B$5:$B$81,MATCH(B4301,Intent_Analysis!$A$5:$A$81,0))</f>
        <v>Top-ups</v>
      </c>
      <c r="D4301" s="0" t="n">
        <f aca="false">INDEX(Intent_Analysis!$E$5:$E$81,MATCH(B4301,Intent_Analysis!$A$5:$A$81,0))</f>
        <v>1</v>
      </c>
    </row>
    <row r="4302" customFormat="false" ht="15" hidden="false" customHeight="false" outlineLevel="0" collapsed="false">
      <c r="A4302" s="0" t="s">
        <v>4626</v>
      </c>
      <c r="B4302" s="0" t="s">
        <v>109</v>
      </c>
      <c r="C4302" s="0" t="str">
        <f aca="false">INDEX(Intent_Analysis!$B$5:$B$81,MATCH(B4302,Intent_Analysis!$A$5:$A$81,0))</f>
        <v>Top-ups</v>
      </c>
      <c r="D4302" s="0" t="n">
        <f aca="false">INDEX(Intent_Analysis!$E$5:$E$81,MATCH(B4302,Intent_Analysis!$A$5:$A$81,0))</f>
        <v>1</v>
      </c>
    </row>
    <row r="4303" customFormat="false" ht="15" hidden="false" customHeight="false" outlineLevel="0" collapsed="false">
      <c r="A4303" s="0" t="s">
        <v>4627</v>
      </c>
      <c r="B4303" s="0" t="s">
        <v>109</v>
      </c>
      <c r="C4303" s="0" t="str">
        <f aca="false">INDEX(Intent_Analysis!$B$5:$B$81,MATCH(B4303,Intent_Analysis!$A$5:$A$81,0))</f>
        <v>Top-ups</v>
      </c>
      <c r="D4303" s="0" t="n">
        <f aca="false">INDEX(Intent_Analysis!$E$5:$E$81,MATCH(B4303,Intent_Analysis!$A$5:$A$81,0))</f>
        <v>1</v>
      </c>
    </row>
    <row r="4304" customFormat="false" ht="15" hidden="false" customHeight="false" outlineLevel="0" collapsed="false">
      <c r="A4304" s="0" t="s">
        <v>4628</v>
      </c>
      <c r="B4304" s="0" t="s">
        <v>109</v>
      </c>
      <c r="C4304" s="0" t="str">
        <f aca="false">INDEX(Intent_Analysis!$B$5:$B$81,MATCH(B4304,Intent_Analysis!$A$5:$A$81,0))</f>
        <v>Top-ups</v>
      </c>
      <c r="D4304" s="0" t="n">
        <f aca="false">INDEX(Intent_Analysis!$E$5:$E$81,MATCH(B4304,Intent_Analysis!$A$5:$A$81,0))</f>
        <v>1</v>
      </c>
    </row>
    <row r="4305" customFormat="false" ht="15" hidden="false" customHeight="false" outlineLevel="0" collapsed="false">
      <c r="A4305" s="0" t="s">
        <v>4629</v>
      </c>
      <c r="B4305" s="0" t="s">
        <v>109</v>
      </c>
      <c r="C4305" s="0" t="str">
        <f aca="false">INDEX(Intent_Analysis!$B$5:$B$81,MATCH(B4305,Intent_Analysis!$A$5:$A$81,0))</f>
        <v>Top-ups</v>
      </c>
      <c r="D4305" s="0" t="n">
        <f aca="false">INDEX(Intent_Analysis!$E$5:$E$81,MATCH(B4305,Intent_Analysis!$A$5:$A$81,0))</f>
        <v>1</v>
      </c>
    </row>
    <row r="4306" customFormat="false" ht="15" hidden="false" customHeight="false" outlineLevel="0" collapsed="false">
      <c r="A4306" s="0" t="s">
        <v>4630</v>
      </c>
      <c r="B4306" s="0" t="s">
        <v>109</v>
      </c>
      <c r="C4306" s="0" t="str">
        <f aca="false">INDEX(Intent_Analysis!$B$5:$B$81,MATCH(B4306,Intent_Analysis!$A$5:$A$81,0))</f>
        <v>Top-ups</v>
      </c>
      <c r="D4306" s="0" t="n">
        <f aca="false">INDEX(Intent_Analysis!$E$5:$E$81,MATCH(B4306,Intent_Analysis!$A$5:$A$81,0))</f>
        <v>1</v>
      </c>
    </row>
    <row r="4307" customFormat="false" ht="15" hidden="false" customHeight="false" outlineLevel="0" collapsed="false">
      <c r="A4307" s="0" t="s">
        <v>4631</v>
      </c>
      <c r="B4307" s="0" t="s">
        <v>109</v>
      </c>
      <c r="C4307" s="0" t="str">
        <f aca="false">INDEX(Intent_Analysis!$B$5:$B$81,MATCH(B4307,Intent_Analysis!$A$5:$A$81,0))</f>
        <v>Top-ups</v>
      </c>
      <c r="D4307" s="0" t="n">
        <f aca="false">INDEX(Intent_Analysis!$E$5:$E$81,MATCH(B4307,Intent_Analysis!$A$5:$A$81,0))</f>
        <v>1</v>
      </c>
    </row>
    <row r="4308" customFormat="false" ht="15" hidden="false" customHeight="false" outlineLevel="0" collapsed="false">
      <c r="A4308" s="0" t="s">
        <v>4632</v>
      </c>
      <c r="B4308" s="0" t="s">
        <v>109</v>
      </c>
      <c r="C4308" s="0" t="str">
        <f aca="false">INDEX(Intent_Analysis!$B$5:$B$81,MATCH(B4308,Intent_Analysis!$A$5:$A$81,0))</f>
        <v>Top-ups</v>
      </c>
      <c r="D4308" s="0" t="n">
        <f aca="false">INDEX(Intent_Analysis!$E$5:$E$81,MATCH(B4308,Intent_Analysis!$A$5:$A$81,0))</f>
        <v>1</v>
      </c>
    </row>
    <row r="4309" customFormat="false" ht="15" hidden="false" customHeight="false" outlineLevel="0" collapsed="false">
      <c r="A4309" s="0" t="s">
        <v>4633</v>
      </c>
      <c r="B4309" s="0" t="s">
        <v>109</v>
      </c>
      <c r="C4309" s="0" t="str">
        <f aca="false">INDEX(Intent_Analysis!$B$5:$B$81,MATCH(B4309,Intent_Analysis!$A$5:$A$81,0))</f>
        <v>Top-ups</v>
      </c>
      <c r="D4309" s="0" t="n">
        <f aca="false">INDEX(Intent_Analysis!$E$5:$E$81,MATCH(B4309,Intent_Analysis!$A$5:$A$81,0))</f>
        <v>1</v>
      </c>
    </row>
    <row r="4310" customFormat="false" ht="15" hidden="false" customHeight="false" outlineLevel="0" collapsed="false">
      <c r="A4310" s="0" t="s">
        <v>4634</v>
      </c>
      <c r="B4310" s="0" t="s">
        <v>109</v>
      </c>
      <c r="C4310" s="0" t="str">
        <f aca="false">INDEX(Intent_Analysis!$B$5:$B$81,MATCH(B4310,Intent_Analysis!$A$5:$A$81,0))</f>
        <v>Top-ups</v>
      </c>
      <c r="D4310" s="0" t="n">
        <f aca="false">INDEX(Intent_Analysis!$E$5:$E$81,MATCH(B4310,Intent_Analysis!$A$5:$A$81,0))</f>
        <v>1</v>
      </c>
    </row>
    <row r="4311" customFormat="false" ht="15" hidden="false" customHeight="false" outlineLevel="0" collapsed="false">
      <c r="A4311" s="0" t="s">
        <v>4635</v>
      </c>
      <c r="B4311" s="0" t="s">
        <v>109</v>
      </c>
      <c r="C4311" s="0" t="str">
        <f aca="false">INDEX(Intent_Analysis!$B$5:$B$81,MATCH(B4311,Intent_Analysis!$A$5:$A$81,0))</f>
        <v>Top-ups</v>
      </c>
      <c r="D4311" s="0" t="n">
        <f aca="false">INDEX(Intent_Analysis!$E$5:$E$81,MATCH(B4311,Intent_Analysis!$A$5:$A$81,0))</f>
        <v>1</v>
      </c>
    </row>
    <row r="4312" customFormat="false" ht="15" hidden="false" customHeight="false" outlineLevel="0" collapsed="false">
      <c r="A4312" s="0" t="s">
        <v>4636</v>
      </c>
      <c r="B4312" s="0" t="s">
        <v>109</v>
      </c>
      <c r="C4312" s="0" t="str">
        <f aca="false">INDEX(Intent_Analysis!$B$5:$B$81,MATCH(B4312,Intent_Analysis!$A$5:$A$81,0))</f>
        <v>Top-ups</v>
      </c>
      <c r="D4312" s="0" t="n">
        <f aca="false">INDEX(Intent_Analysis!$E$5:$E$81,MATCH(B4312,Intent_Analysis!$A$5:$A$81,0))</f>
        <v>1</v>
      </c>
    </row>
    <row r="4313" customFormat="false" ht="15" hidden="false" customHeight="false" outlineLevel="0" collapsed="false">
      <c r="A4313" s="0" t="s">
        <v>4637</v>
      </c>
      <c r="B4313" s="0" t="s">
        <v>109</v>
      </c>
      <c r="C4313" s="0" t="str">
        <f aca="false">INDEX(Intent_Analysis!$B$5:$B$81,MATCH(B4313,Intent_Analysis!$A$5:$A$81,0))</f>
        <v>Top-ups</v>
      </c>
      <c r="D4313" s="0" t="n">
        <f aca="false">INDEX(Intent_Analysis!$E$5:$E$81,MATCH(B4313,Intent_Analysis!$A$5:$A$81,0))</f>
        <v>1</v>
      </c>
    </row>
    <row r="4314" customFormat="false" ht="15" hidden="false" customHeight="false" outlineLevel="0" collapsed="false">
      <c r="A4314" s="0" t="s">
        <v>4638</v>
      </c>
      <c r="B4314" s="0" t="s">
        <v>109</v>
      </c>
      <c r="C4314" s="0" t="str">
        <f aca="false">INDEX(Intent_Analysis!$B$5:$B$81,MATCH(B4314,Intent_Analysis!$A$5:$A$81,0))</f>
        <v>Top-ups</v>
      </c>
      <c r="D4314" s="0" t="n">
        <f aca="false">INDEX(Intent_Analysis!$E$5:$E$81,MATCH(B4314,Intent_Analysis!$A$5:$A$81,0))</f>
        <v>1</v>
      </c>
    </row>
    <row r="4315" customFormat="false" ht="15" hidden="false" customHeight="false" outlineLevel="0" collapsed="false">
      <c r="A4315" s="0" t="s">
        <v>4639</v>
      </c>
      <c r="B4315" s="0" t="s">
        <v>109</v>
      </c>
      <c r="C4315" s="0" t="str">
        <f aca="false">INDEX(Intent_Analysis!$B$5:$B$81,MATCH(B4315,Intent_Analysis!$A$5:$A$81,0))</f>
        <v>Top-ups</v>
      </c>
      <c r="D4315" s="0" t="n">
        <f aca="false">INDEX(Intent_Analysis!$E$5:$E$81,MATCH(B4315,Intent_Analysis!$A$5:$A$81,0))</f>
        <v>1</v>
      </c>
    </row>
    <row r="4316" customFormat="false" ht="15" hidden="false" customHeight="false" outlineLevel="0" collapsed="false">
      <c r="A4316" s="0" t="s">
        <v>4640</v>
      </c>
      <c r="B4316" s="0" t="s">
        <v>109</v>
      </c>
      <c r="C4316" s="0" t="str">
        <f aca="false">INDEX(Intent_Analysis!$B$5:$B$81,MATCH(B4316,Intent_Analysis!$A$5:$A$81,0))</f>
        <v>Top-ups</v>
      </c>
      <c r="D4316" s="0" t="n">
        <f aca="false">INDEX(Intent_Analysis!$E$5:$E$81,MATCH(B4316,Intent_Analysis!$A$5:$A$81,0))</f>
        <v>1</v>
      </c>
    </row>
    <row r="4317" customFormat="false" ht="15" hidden="false" customHeight="false" outlineLevel="0" collapsed="false">
      <c r="A4317" s="0" t="s">
        <v>4641</v>
      </c>
      <c r="B4317" s="0" t="s">
        <v>109</v>
      </c>
      <c r="C4317" s="0" t="str">
        <f aca="false">INDEX(Intent_Analysis!$B$5:$B$81,MATCH(B4317,Intent_Analysis!$A$5:$A$81,0))</f>
        <v>Top-ups</v>
      </c>
      <c r="D4317" s="0" t="n">
        <f aca="false">INDEX(Intent_Analysis!$E$5:$E$81,MATCH(B4317,Intent_Analysis!$A$5:$A$81,0))</f>
        <v>1</v>
      </c>
    </row>
    <row r="4318" customFormat="false" ht="15" hidden="false" customHeight="false" outlineLevel="0" collapsed="false">
      <c r="A4318" s="0" t="s">
        <v>4642</v>
      </c>
      <c r="B4318" s="0" t="s">
        <v>109</v>
      </c>
      <c r="C4318" s="0" t="str">
        <f aca="false">INDEX(Intent_Analysis!$B$5:$B$81,MATCH(B4318,Intent_Analysis!$A$5:$A$81,0))</f>
        <v>Top-ups</v>
      </c>
      <c r="D4318" s="0" t="n">
        <f aca="false">INDEX(Intent_Analysis!$E$5:$E$81,MATCH(B4318,Intent_Analysis!$A$5:$A$81,0))</f>
        <v>1</v>
      </c>
    </row>
    <row r="4319" customFormat="false" ht="15" hidden="false" customHeight="false" outlineLevel="0" collapsed="false">
      <c r="A4319" s="0" t="s">
        <v>4643</v>
      </c>
      <c r="B4319" s="0" t="s">
        <v>109</v>
      </c>
      <c r="C4319" s="0" t="str">
        <f aca="false">INDEX(Intent_Analysis!$B$5:$B$81,MATCH(B4319,Intent_Analysis!$A$5:$A$81,0))</f>
        <v>Top-ups</v>
      </c>
      <c r="D4319" s="0" t="n">
        <f aca="false">INDEX(Intent_Analysis!$E$5:$E$81,MATCH(B4319,Intent_Analysis!$A$5:$A$81,0))</f>
        <v>1</v>
      </c>
    </row>
    <row r="4320" customFormat="false" ht="15" hidden="false" customHeight="false" outlineLevel="0" collapsed="false">
      <c r="A4320" s="0" t="s">
        <v>4644</v>
      </c>
      <c r="B4320" s="0" t="s">
        <v>109</v>
      </c>
      <c r="C4320" s="0" t="str">
        <f aca="false">INDEX(Intent_Analysis!$B$5:$B$81,MATCH(B4320,Intent_Analysis!$A$5:$A$81,0))</f>
        <v>Top-ups</v>
      </c>
      <c r="D4320" s="0" t="n">
        <f aca="false">INDEX(Intent_Analysis!$E$5:$E$81,MATCH(B4320,Intent_Analysis!$A$5:$A$81,0))</f>
        <v>1</v>
      </c>
    </row>
    <row r="4321" customFormat="false" ht="15" hidden="false" customHeight="false" outlineLevel="0" collapsed="false">
      <c r="A4321" s="0" t="s">
        <v>4645</v>
      </c>
      <c r="B4321" s="0" t="s">
        <v>109</v>
      </c>
      <c r="C4321" s="0" t="str">
        <f aca="false">INDEX(Intent_Analysis!$B$5:$B$81,MATCH(B4321,Intent_Analysis!$A$5:$A$81,0))</f>
        <v>Top-ups</v>
      </c>
      <c r="D4321" s="0" t="n">
        <f aca="false">INDEX(Intent_Analysis!$E$5:$E$81,MATCH(B4321,Intent_Analysis!$A$5:$A$81,0))</f>
        <v>1</v>
      </c>
    </row>
    <row r="4322" customFormat="false" ht="15" hidden="false" customHeight="false" outlineLevel="0" collapsed="false">
      <c r="A4322" s="0" t="s">
        <v>4646</v>
      </c>
      <c r="B4322" s="0" t="s">
        <v>109</v>
      </c>
      <c r="C4322" s="0" t="str">
        <f aca="false">INDEX(Intent_Analysis!$B$5:$B$81,MATCH(B4322,Intent_Analysis!$A$5:$A$81,0))</f>
        <v>Top-ups</v>
      </c>
      <c r="D4322" s="0" t="n">
        <f aca="false">INDEX(Intent_Analysis!$E$5:$E$81,MATCH(B4322,Intent_Analysis!$A$5:$A$81,0))</f>
        <v>1</v>
      </c>
    </row>
    <row r="4323" customFormat="false" ht="15" hidden="false" customHeight="false" outlineLevel="0" collapsed="false">
      <c r="A4323" s="0" t="s">
        <v>4647</v>
      </c>
      <c r="B4323" s="0" t="s">
        <v>109</v>
      </c>
      <c r="C4323" s="0" t="str">
        <f aca="false">INDEX(Intent_Analysis!$B$5:$B$81,MATCH(B4323,Intent_Analysis!$A$5:$A$81,0))</f>
        <v>Top-ups</v>
      </c>
      <c r="D4323" s="0" t="n">
        <f aca="false">INDEX(Intent_Analysis!$E$5:$E$81,MATCH(B4323,Intent_Analysis!$A$5:$A$81,0))</f>
        <v>1</v>
      </c>
    </row>
    <row r="4324" customFormat="false" ht="15" hidden="false" customHeight="false" outlineLevel="0" collapsed="false">
      <c r="A4324" s="0" t="s">
        <v>4648</v>
      </c>
      <c r="B4324" s="0" t="s">
        <v>109</v>
      </c>
      <c r="C4324" s="0" t="str">
        <f aca="false">INDEX(Intent_Analysis!$B$5:$B$81,MATCH(B4324,Intent_Analysis!$A$5:$A$81,0))</f>
        <v>Top-ups</v>
      </c>
      <c r="D4324" s="0" t="n">
        <f aca="false">INDEX(Intent_Analysis!$E$5:$E$81,MATCH(B4324,Intent_Analysis!$A$5:$A$81,0))</f>
        <v>1</v>
      </c>
    </row>
    <row r="4325" customFormat="false" ht="15" hidden="false" customHeight="false" outlineLevel="0" collapsed="false">
      <c r="A4325" s="0" t="s">
        <v>4649</v>
      </c>
      <c r="B4325" s="0" t="s">
        <v>109</v>
      </c>
      <c r="C4325" s="0" t="str">
        <f aca="false">INDEX(Intent_Analysis!$B$5:$B$81,MATCH(B4325,Intent_Analysis!$A$5:$A$81,0))</f>
        <v>Top-ups</v>
      </c>
      <c r="D4325" s="0" t="n">
        <f aca="false">INDEX(Intent_Analysis!$E$5:$E$81,MATCH(B4325,Intent_Analysis!$A$5:$A$81,0))</f>
        <v>1</v>
      </c>
    </row>
    <row r="4326" customFormat="false" ht="15" hidden="false" customHeight="false" outlineLevel="0" collapsed="false">
      <c r="A4326" s="0" t="s">
        <v>4650</v>
      </c>
      <c r="B4326" s="0" t="s">
        <v>109</v>
      </c>
      <c r="C4326" s="0" t="str">
        <f aca="false">INDEX(Intent_Analysis!$B$5:$B$81,MATCH(B4326,Intent_Analysis!$A$5:$A$81,0))</f>
        <v>Top-ups</v>
      </c>
      <c r="D4326" s="0" t="n">
        <f aca="false">INDEX(Intent_Analysis!$E$5:$E$81,MATCH(B4326,Intent_Analysis!$A$5:$A$81,0))</f>
        <v>1</v>
      </c>
    </row>
    <row r="4327" customFormat="false" ht="15" hidden="false" customHeight="false" outlineLevel="0" collapsed="false">
      <c r="A4327" s="0" t="s">
        <v>4651</v>
      </c>
      <c r="B4327" s="0" t="s">
        <v>109</v>
      </c>
      <c r="C4327" s="0" t="str">
        <f aca="false">INDEX(Intent_Analysis!$B$5:$B$81,MATCH(B4327,Intent_Analysis!$A$5:$A$81,0))</f>
        <v>Top-ups</v>
      </c>
      <c r="D4327" s="0" t="n">
        <f aca="false">INDEX(Intent_Analysis!$E$5:$E$81,MATCH(B4327,Intent_Analysis!$A$5:$A$81,0))</f>
        <v>1</v>
      </c>
    </row>
    <row r="4328" customFormat="false" ht="15" hidden="false" customHeight="false" outlineLevel="0" collapsed="false">
      <c r="A4328" s="0" t="s">
        <v>4652</v>
      </c>
      <c r="B4328" s="0" t="s">
        <v>109</v>
      </c>
      <c r="C4328" s="0" t="str">
        <f aca="false">INDEX(Intent_Analysis!$B$5:$B$81,MATCH(B4328,Intent_Analysis!$A$5:$A$81,0))</f>
        <v>Top-ups</v>
      </c>
      <c r="D4328" s="0" t="n">
        <f aca="false">INDEX(Intent_Analysis!$E$5:$E$81,MATCH(B4328,Intent_Analysis!$A$5:$A$81,0))</f>
        <v>1</v>
      </c>
    </row>
    <row r="4329" customFormat="false" ht="15" hidden="false" customHeight="false" outlineLevel="0" collapsed="false">
      <c r="A4329" s="0" t="s">
        <v>4653</v>
      </c>
      <c r="B4329" s="0" t="s">
        <v>109</v>
      </c>
      <c r="C4329" s="0" t="str">
        <f aca="false">INDEX(Intent_Analysis!$B$5:$B$81,MATCH(B4329,Intent_Analysis!$A$5:$A$81,0))</f>
        <v>Top-ups</v>
      </c>
      <c r="D4329" s="0" t="n">
        <f aca="false">INDEX(Intent_Analysis!$E$5:$E$81,MATCH(B4329,Intent_Analysis!$A$5:$A$81,0))</f>
        <v>1</v>
      </c>
    </row>
    <row r="4330" customFormat="false" ht="15" hidden="false" customHeight="false" outlineLevel="0" collapsed="false">
      <c r="A4330" s="0" t="s">
        <v>4654</v>
      </c>
      <c r="B4330" s="0" t="s">
        <v>109</v>
      </c>
      <c r="C4330" s="0" t="str">
        <f aca="false">INDEX(Intent_Analysis!$B$5:$B$81,MATCH(B4330,Intent_Analysis!$A$5:$A$81,0))</f>
        <v>Top-ups</v>
      </c>
      <c r="D4330" s="0" t="n">
        <f aca="false">INDEX(Intent_Analysis!$E$5:$E$81,MATCH(B4330,Intent_Analysis!$A$5:$A$81,0))</f>
        <v>1</v>
      </c>
    </row>
    <row r="4331" customFormat="false" ht="15" hidden="false" customHeight="false" outlineLevel="0" collapsed="false">
      <c r="A4331" s="0" t="s">
        <v>4655</v>
      </c>
      <c r="B4331" s="0" t="s">
        <v>109</v>
      </c>
      <c r="C4331" s="0" t="str">
        <f aca="false">INDEX(Intent_Analysis!$B$5:$B$81,MATCH(B4331,Intent_Analysis!$A$5:$A$81,0))</f>
        <v>Top-ups</v>
      </c>
      <c r="D4331" s="0" t="n">
        <f aca="false">INDEX(Intent_Analysis!$E$5:$E$81,MATCH(B4331,Intent_Analysis!$A$5:$A$81,0))</f>
        <v>1</v>
      </c>
    </row>
    <row r="4332" customFormat="false" ht="15" hidden="false" customHeight="false" outlineLevel="0" collapsed="false">
      <c r="A4332" s="0" t="s">
        <v>4656</v>
      </c>
      <c r="B4332" s="0" t="s">
        <v>109</v>
      </c>
      <c r="C4332" s="0" t="str">
        <f aca="false">INDEX(Intent_Analysis!$B$5:$B$81,MATCH(B4332,Intent_Analysis!$A$5:$A$81,0))</f>
        <v>Top-ups</v>
      </c>
      <c r="D4332" s="0" t="n">
        <f aca="false">INDEX(Intent_Analysis!$E$5:$E$81,MATCH(B4332,Intent_Analysis!$A$5:$A$81,0))</f>
        <v>1</v>
      </c>
    </row>
    <row r="4333" customFormat="false" ht="15" hidden="false" customHeight="false" outlineLevel="0" collapsed="false">
      <c r="A4333" s="0" t="s">
        <v>4657</v>
      </c>
      <c r="B4333" s="0" t="s">
        <v>109</v>
      </c>
      <c r="C4333" s="0" t="str">
        <f aca="false">INDEX(Intent_Analysis!$B$5:$B$81,MATCH(B4333,Intent_Analysis!$A$5:$A$81,0))</f>
        <v>Top-ups</v>
      </c>
      <c r="D4333" s="0" t="n">
        <f aca="false">INDEX(Intent_Analysis!$E$5:$E$81,MATCH(B4333,Intent_Analysis!$A$5:$A$81,0))</f>
        <v>1</v>
      </c>
    </row>
    <row r="4334" customFormat="false" ht="15" hidden="false" customHeight="false" outlineLevel="0" collapsed="false">
      <c r="A4334" s="0" t="s">
        <v>4658</v>
      </c>
      <c r="B4334" s="0" t="s">
        <v>109</v>
      </c>
      <c r="C4334" s="0" t="str">
        <f aca="false">INDEX(Intent_Analysis!$B$5:$B$81,MATCH(B4334,Intent_Analysis!$A$5:$A$81,0))</f>
        <v>Top-ups</v>
      </c>
      <c r="D4334" s="0" t="n">
        <f aca="false">INDEX(Intent_Analysis!$E$5:$E$81,MATCH(B4334,Intent_Analysis!$A$5:$A$81,0))</f>
        <v>1</v>
      </c>
    </row>
    <row r="4335" customFormat="false" ht="15" hidden="false" customHeight="false" outlineLevel="0" collapsed="false">
      <c r="A4335" s="0" t="s">
        <v>4659</v>
      </c>
      <c r="B4335" s="0" t="s">
        <v>109</v>
      </c>
      <c r="C4335" s="0" t="str">
        <f aca="false">INDEX(Intent_Analysis!$B$5:$B$81,MATCH(B4335,Intent_Analysis!$A$5:$A$81,0))</f>
        <v>Top-ups</v>
      </c>
      <c r="D4335" s="0" t="n">
        <f aca="false">INDEX(Intent_Analysis!$E$5:$E$81,MATCH(B4335,Intent_Analysis!$A$5:$A$81,0))</f>
        <v>1</v>
      </c>
    </row>
    <row r="4336" customFormat="false" ht="15" hidden="false" customHeight="false" outlineLevel="0" collapsed="false">
      <c r="A4336" s="0" t="s">
        <v>4660</v>
      </c>
      <c r="B4336" s="0" t="s">
        <v>109</v>
      </c>
      <c r="C4336" s="0" t="str">
        <f aca="false">INDEX(Intent_Analysis!$B$5:$B$81,MATCH(B4336,Intent_Analysis!$A$5:$A$81,0))</f>
        <v>Top-ups</v>
      </c>
      <c r="D4336" s="0" t="n">
        <f aca="false">INDEX(Intent_Analysis!$E$5:$E$81,MATCH(B4336,Intent_Analysis!$A$5:$A$81,0))</f>
        <v>1</v>
      </c>
    </row>
    <row r="4337" customFormat="false" ht="15" hidden="false" customHeight="false" outlineLevel="0" collapsed="false">
      <c r="A4337" s="0" t="s">
        <v>4661</v>
      </c>
      <c r="B4337" s="0" t="s">
        <v>109</v>
      </c>
      <c r="C4337" s="0" t="str">
        <f aca="false">INDEX(Intent_Analysis!$B$5:$B$81,MATCH(B4337,Intent_Analysis!$A$5:$A$81,0))</f>
        <v>Top-ups</v>
      </c>
      <c r="D4337" s="0" t="n">
        <f aca="false">INDEX(Intent_Analysis!$E$5:$E$81,MATCH(B4337,Intent_Analysis!$A$5:$A$81,0))</f>
        <v>1</v>
      </c>
    </row>
    <row r="4338" customFormat="false" ht="15" hidden="false" customHeight="false" outlineLevel="0" collapsed="false">
      <c r="A4338" s="0" t="s">
        <v>4662</v>
      </c>
      <c r="B4338" s="0" t="s">
        <v>109</v>
      </c>
      <c r="C4338" s="0" t="str">
        <f aca="false">INDEX(Intent_Analysis!$B$5:$B$81,MATCH(B4338,Intent_Analysis!$A$5:$A$81,0))</f>
        <v>Top-ups</v>
      </c>
      <c r="D4338" s="0" t="n">
        <f aca="false">INDEX(Intent_Analysis!$E$5:$E$81,MATCH(B4338,Intent_Analysis!$A$5:$A$81,0))</f>
        <v>1</v>
      </c>
    </row>
    <row r="4339" customFormat="false" ht="15" hidden="false" customHeight="false" outlineLevel="0" collapsed="false">
      <c r="A4339" s="0" t="s">
        <v>4663</v>
      </c>
      <c r="B4339" s="0" t="s">
        <v>109</v>
      </c>
      <c r="C4339" s="0" t="str">
        <f aca="false">INDEX(Intent_Analysis!$B$5:$B$81,MATCH(B4339,Intent_Analysis!$A$5:$A$81,0))</f>
        <v>Top-ups</v>
      </c>
      <c r="D4339" s="0" t="n">
        <f aca="false">INDEX(Intent_Analysis!$E$5:$E$81,MATCH(B4339,Intent_Analysis!$A$5:$A$81,0))</f>
        <v>1</v>
      </c>
    </row>
    <row r="4340" customFormat="false" ht="15" hidden="false" customHeight="false" outlineLevel="0" collapsed="false">
      <c r="A4340" s="0" t="s">
        <v>4664</v>
      </c>
      <c r="B4340" s="0" t="s">
        <v>65</v>
      </c>
      <c r="C4340" s="0" t="str">
        <f aca="false">INDEX(Intent_Analysis!$B$5:$B$81,MATCH(B4340,Intent_Analysis!$A$5:$A$81,0))</f>
        <v>Card usage &amp; features</v>
      </c>
      <c r="D4340" s="0" t="n">
        <f aca="false">INDEX(Intent_Analysis!$E$5:$E$81,MATCH(B4340,Intent_Analysis!$A$5:$A$81,0))</f>
        <v>1</v>
      </c>
    </row>
    <row r="4341" customFormat="false" ht="15" hidden="false" customHeight="false" outlineLevel="0" collapsed="false">
      <c r="A4341" s="0" t="s">
        <v>4665</v>
      </c>
      <c r="B4341" s="0" t="s">
        <v>65</v>
      </c>
      <c r="C4341" s="0" t="str">
        <f aca="false">INDEX(Intent_Analysis!$B$5:$B$81,MATCH(B4341,Intent_Analysis!$A$5:$A$81,0))</f>
        <v>Card usage &amp; features</v>
      </c>
      <c r="D4341" s="0" t="n">
        <f aca="false">INDEX(Intent_Analysis!$E$5:$E$81,MATCH(B4341,Intent_Analysis!$A$5:$A$81,0))</f>
        <v>1</v>
      </c>
    </row>
    <row r="4342" customFormat="false" ht="15" hidden="false" customHeight="false" outlineLevel="0" collapsed="false">
      <c r="A4342" s="0" t="s">
        <v>4666</v>
      </c>
      <c r="B4342" s="0" t="s">
        <v>65</v>
      </c>
      <c r="C4342" s="0" t="str">
        <f aca="false">INDEX(Intent_Analysis!$B$5:$B$81,MATCH(B4342,Intent_Analysis!$A$5:$A$81,0))</f>
        <v>Card usage &amp; features</v>
      </c>
      <c r="D4342" s="0" t="n">
        <f aca="false">INDEX(Intent_Analysis!$E$5:$E$81,MATCH(B4342,Intent_Analysis!$A$5:$A$81,0))</f>
        <v>1</v>
      </c>
    </row>
    <row r="4343" customFormat="false" ht="15" hidden="false" customHeight="false" outlineLevel="0" collapsed="false">
      <c r="A4343" s="0" t="s">
        <v>4667</v>
      </c>
      <c r="B4343" s="0" t="s">
        <v>65</v>
      </c>
      <c r="C4343" s="0" t="str">
        <f aca="false">INDEX(Intent_Analysis!$B$5:$B$81,MATCH(B4343,Intent_Analysis!$A$5:$A$81,0))</f>
        <v>Card usage &amp; features</v>
      </c>
      <c r="D4343" s="0" t="n">
        <f aca="false">INDEX(Intent_Analysis!$E$5:$E$81,MATCH(B4343,Intent_Analysis!$A$5:$A$81,0))</f>
        <v>1</v>
      </c>
    </row>
    <row r="4344" customFormat="false" ht="15" hidden="false" customHeight="false" outlineLevel="0" collapsed="false">
      <c r="A4344" s="0" t="s">
        <v>4668</v>
      </c>
      <c r="B4344" s="0" t="s">
        <v>65</v>
      </c>
      <c r="C4344" s="0" t="str">
        <f aca="false">INDEX(Intent_Analysis!$B$5:$B$81,MATCH(B4344,Intent_Analysis!$A$5:$A$81,0))</f>
        <v>Card usage &amp; features</v>
      </c>
      <c r="D4344" s="0" t="n">
        <f aca="false">INDEX(Intent_Analysis!$E$5:$E$81,MATCH(B4344,Intent_Analysis!$A$5:$A$81,0))</f>
        <v>1</v>
      </c>
    </row>
    <row r="4345" customFormat="false" ht="15" hidden="false" customHeight="false" outlineLevel="0" collapsed="false">
      <c r="A4345" s="0" t="s">
        <v>4669</v>
      </c>
      <c r="B4345" s="0" t="s">
        <v>65</v>
      </c>
      <c r="C4345" s="0" t="str">
        <f aca="false">INDEX(Intent_Analysis!$B$5:$B$81,MATCH(B4345,Intent_Analysis!$A$5:$A$81,0))</f>
        <v>Card usage &amp; features</v>
      </c>
      <c r="D4345" s="0" t="n">
        <f aca="false">INDEX(Intent_Analysis!$E$5:$E$81,MATCH(B4345,Intent_Analysis!$A$5:$A$81,0))</f>
        <v>1</v>
      </c>
    </row>
    <row r="4346" customFormat="false" ht="15" hidden="false" customHeight="false" outlineLevel="0" collapsed="false">
      <c r="A4346" s="0" t="s">
        <v>4670</v>
      </c>
      <c r="B4346" s="0" t="s">
        <v>65</v>
      </c>
      <c r="C4346" s="0" t="str">
        <f aca="false">INDEX(Intent_Analysis!$B$5:$B$81,MATCH(B4346,Intent_Analysis!$A$5:$A$81,0))</f>
        <v>Card usage &amp; features</v>
      </c>
      <c r="D4346" s="0" t="n">
        <f aca="false">INDEX(Intent_Analysis!$E$5:$E$81,MATCH(B4346,Intent_Analysis!$A$5:$A$81,0))</f>
        <v>1</v>
      </c>
    </row>
    <row r="4347" customFormat="false" ht="15" hidden="false" customHeight="false" outlineLevel="0" collapsed="false">
      <c r="A4347" s="0" t="s">
        <v>4671</v>
      </c>
      <c r="B4347" s="0" t="s">
        <v>65</v>
      </c>
      <c r="C4347" s="0" t="str">
        <f aca="false">INDEX(Intent_Analysis!$B$5:$B$81,MATCH(B4347,Intent_Analysis!$A$5:$A$81,0))</f>
        <v>Card usage &amp; features</v>
      </c>
      <c r="D4347" s="0" t="n">
        <f aca="false">INDEX(Intent_Analysis!$E$5:$E$81,MATCH(B4347,Intent_Analysis!$A$5:$A$81,0))</f>
        <v>1</v>
      </c>
    </row>
    <row r="4348" customFormat="false" ht="15" hidden="false" customHeight="false" outlineLevel="0" collapsed="false">
      <c r="A4348" s="0" t="s">
        <v>4672</v>
      </c>
      <c r="B4348" s="0" t="s">
        <v>65</v>
      </c>
      <c r="C4348" s="0" t="str">
        <f aca="false">INDEX(Intent_Analysis!$B$5:$B$81,MATCH(B4348,Intent_Analysis!$A$5:$A$81,0))</f>
        <v>Card usage &amp; features</v>
      </c>
      <c r="D4348" s="0" t="n">
        <f aca="false">INDEX(Intent_Analysis!$E$5:$E$81,MATCH(B4348,Intent_Analysis!$A$5:$A$81,0))</f>
        <v>1</v>
      </c>
    </row>
    <row r="4349" customFormat="false" ht="15" hidden="false" customHeight="false" outlineLevel="0" collapsed="false">
      <c r="A4349" s="0" t="s">
        <v>4673</v>
      </c>
      <c r="B4349" s="0" t="s">
        <v>65</v>
      </c>
      <c r="C4349" s="0" t="str">
        <f aca="false">INDEX(Intent_Analysis!$B$5:$B$81,MATCH(B4349,Intent_Analysis!$A$5:$A$81,0))</f>
        <v>Card usage &amp; features</v>
      </c>
      <c r="D4349" s="0" t="n">
        <f aca="false">INDEX(Intent_Analysis!$E$5:$E$81,MATCH(B4349,Intent_Analysis!$A$5:$A$81,0))</f>
        <v>1</v>
      </c>
    </row>
    <row r="4350" customFormat="false" ht="15" hidden="false" customHeight="false" outlineLevel="0" collapsed="false">
      <c r="A4350" s="0" t="s">
        <v>4674</v>
      </c>
      <c r="B4350" s="0" t="s">
        <v>65</v>
      </c>
      <c r="C4350" s="0" t="str">
        <f aca="false">INDEX(Intent_Analysis!$B$5:$B$81,MATCH(B4350,Intent_Analysis!$A$5:$A$81,0))</f>
        <v>Card usage &amp; features</v>
      </c>
      <c r="D4350" s="0" t="n">
        <f aca="false">INDEX(Intent_Analysis!$E$5:$E$81,MATCH(B4350,Intent_Analysis!$A$5:$A$81,0))</f>
        <v>1</v>
      </c>
    </row>
    <row r="4351" customFormat="false" ht="15" hidden="false" customHeight="false" outlineLevel="0" collapsed="false">
      <c r="A4351" s="0" t="s">
        <v>4675</v>
      </c>
      <c r="B4351" s="0" t="s">
        <v>65</v>
      </c>
      <c r="C4351" s="0" t="str">
        <f aca="false">INDEX(Intent_Analysis!$B$5:$B$81,MATCH(B4351,Intent_Analysis!$A$5:$A$81,0))</f>
        <v>Card usage &amp; features</v>
      </c>
      <c r="D4351" s="0" t="n">
        <f aca="false">INDEX(Intent_Analysis!$E$5:$E$81,MATCH(B4351,Intent_Analysis!$A$5:$A$81,0))</f>
        <v>1</v>
      </c>
    </row>
    <row r="4352" customFormat="false" ht="15" hidden="false" customHeight="false" outlineLevel="0" collapsed="false">
      <c r="A4352" s="0" t="s">
        <v>4676</v>
      </c>
      <c r="B4352" s="0" t="s">
        <v>65</v>
      </c>
      <c r="C4352" s="0" t="str">
        <f aca="false">INDEX(Intent_Analysis!$B$5:$B$81,MATCH(B4352,Intent_Analysis!$A$5:$A$81,0))</f>
        <v>Card usage &amp; features</v>
      </c>
      <c r="D4352" s="0" t="n">
        <f aca="false">INDEX(Intent_Analysis!$E$5:$E$81,MATCH(B4352,Intent_Analysis!$A$5:$A$81,0))</f>
        <v>1</v>
      </c>
    </row>
    <row r="4353" customFormat="false" ht="15" hidden="false" customHeight="false" outlineLevel="0" collapsed="false">
      <c r="A4353" s="0" t="s">
        <v>4677</v>
      </c>
      <c r="B4353" s="0" t="s">
        <v>65</v>
      </c>
      <c r="C4353" s="0" t="str">
        <f aca="false">INDEX(Intent_Analysis!$B$5:$B$81,MATCH(B4353,Intent_Analysis!$A$5:$A$81,0))</f>
        <v>Card usage &amp; features</v>
      </c>
      <c r="D4353" s="0" t="n">
        <f aca="false">INDEX(Intent_Analysis!$E$5:$E$81,MATCH(B4353,Intent_Analysis!$A$5:$A$81,0))</f>
        <v>1</v>
      </c>
    </row>
    <row r="4354" customFormat="false" ht="15" hidden="false" customHeight="false" outlineLevel="0" collapsed="false">
      <c r="A4354" s="0" t="s">
        <v>4678</v>
      </c>
      <c r="B4354" s="0" t="s">
        <v>65</v>
      </c>
      <c r="C4354" s="0" t="str">
        <f aca="false">INDEX(Intent_Analysis!$B$5:$B$81,MATCH(B4354,Intent_Analysis!$A$5:$A$81,0))</f>
        <v>Card usage &amp; features</v>
      </c>
      <c r="D4354" s="0" t="n">
        <f aca="false">INDEX(Intent_Analysis!$E$5:$E$81,MATCH(B4354,Intent_Analysis!$A$5:$A$81,0))</f>
        <v>1</v>
      </c>
    </row>
    <row r="4355" customFormat="false" ht="15" hidden="false" customHeight="false" outlineLevel="0" collapsed="false">
      <c r="A4355" s="0" t="s">
        <v>4679</v>
      </c>
      <c r="B4355" s="0" t="s">
        <v>65</v>
      </c>
      <c r="C4355" s="0" t="str">
        <f aca="false">INDEX(Intent_Analysis!$B$5:$B$81,MATCH(B4355,Intent_Analysis!$A$5:$A$81,0))</f>
        <v>Card usage &amp; features</v>
      </c>
      <c r="D4355" s="0" t="n">
        <f aca="false">INDEX(Intent_Analysis!$E$5:$E$81,MATCH(B4355,Intent_Analysis!$A$5:$A$81,0))</f>
        <v>1</v>
      </c>
    </row>
    <row r="4356" customFormat="false" ht="15" hidden="false" customHeight="false" outlineLevel="0" collapsed="false">
      <c r="A4356" s="0" t="s">
        <v>4680</v>
      </c>
      <c r="B4356" s="0" t="s">
        <v>65</v>
      </c>
      <c r="C4356" s="0" t="str">
        <f aca="false">INDEX(Intent_Analysis!$B$5:$B$81,MATCH(B4356,Intent_Analysis!$A$5:$A$81,0))</f>
        <v>Card usage &amp; features</v>
      </c>
      <c r="D4356" s="0" t="n">
        <f aca="false">INDEX(Intent_Analysis!$E$5:$E$81,MATCH(B4356,Intent_Analysis!$A$5:$A$81,0))</f>
        <v>1</v>
      </c>
    </row>
    <row r="4357" customFormat="false" ht="15" hidden="false" customHeight="false" outlineLevel="0" collapsed="false">
      <c r="A4357" s="0" t="s">
        <v>4681</v>
      </c>
      <c r="B4357" s="0" t="s">
        <v>65</v>
      </c>
      <c r="C4357" s="0" t="str">
        <f aca="false">INDEX(Intent_Analysis!$B$5:$B$81,MATCH(B4357,Intent_Analysis!$A$5:$A$81,0))</f>
        <v>Card usage &amp; features</v>
      </c>
      <c r="D4357" s="0" t="n">
        <f aca="false">INDEX(Intent_Analysis!$E$5:$E$81,MATCH(B4357,Intent_Analysis!$A$5:$A$81,0))</f>
        <v>1</v>
      </c>
    </row>
    <row r="4358" customFormat="false" ht="15" hidden="false" customHeight="false" outlineLevel="0" collapsed="false">
      <c r="A4358" s="0" t="s">
        <v>4682</v>
      </c>
      <c r="B4358" s="0" t="s">
        <v>65</v>
      </c>
      <c r="C4358" s="0" t="str">
        <f aca="false">INDEX(Intent_Analysis!$B$5:$B$81,MATCH(B4358,Intent_Analysis!$A$5:$A$81,0))</f>
        <v>Card usage &amp; features</v>
      </c>
      <c r="D4358" s="0" t="n">
        <f aca="false">INDEX(Intent_Analysis!$E$5:$E$81,MATCH(B4358,Intent_Analysis!$A$5:$A$81,0))</f>
        <v>1</v>
      </c>
    </row>
    <row r="4359" customFormat="false" ht="15" hidden="false" customHeight="false" outlineLevel="0" collapsed="false">
      <c r="A4359" s="0" t="s">
        <v>4683</v>
      </c>
      <c r="B4359" s="0" t="s">
        <v>65</v>
      </c>
      <c r="C4359" s="0" t="str">
        <f aca="false">INDEX(Intent_Analysis!$B$5:$B$81,MATCH(B4359,Intent_Analysis!$A$5:$A$81,0))</f>
        <v>Card usage &amp; features</v>
      </c>
      <c r="D4359" s="0" t="n">
        <f aca="false">INDEX(Intent_Analysis!$E$5:$E$81,MATCH(B4359,Intent_Analysis!$A$5:$A$81,0))</f>
        <v>1</v>
      </c>
    </row>
    <row r="4360" customFormat="false" ht="15" hidden="false" customHeight="false" outlineLevel="0" collapsed="false">
      <c r="A4360" s="0" t="s">
        <v>4684</v>
      </c>
      <c r="B4360" s="0" t="s">
        <v>65</v>
      </c>
      <c r="C4360" s="0" t="str">
        <f aca="false">INDEX(Intent_Analysis!$B$5:$B$81,MATCH(B4360,Intent_Analysis!$A$5:$A$81,0))</f>
        <v>Card usage &amp; features</v>
      </c>
      <c r="D4360" s="0" t="n">
        <f aca="false">INDEX(Intent_Analysis!$E$5:$E$81,MATCH(B4360,Intent_Analysis!$A$5:$A$81,0))</f>
        <v>1</v>
      </c>
    </row>
    <row r="4361" customFormat="false" ht="15" hidden="false" customHeight="false" outlineLevel="0" collapsed="false">
      <c r="A4361" s="0" t="s">
        <v>4685</v>
      </c>
      <c r="B4361" s="0" t="s">
        <v>65</v>
      </c>
      <c r="C4361" s="0" t="str">
        <f aca="false">INDEX(Intent_Analysis!$B$5:$B$81,MATCH(B4361,Intent_Analysis!$A$5:$A$81,0))</f>
        <v>Card usage &amp; features</v>
      </c>
      <c r="D4361" s="0" t="n">
        <f aca="false">INDEX(Intent_Analysis!$E$5:$E$81,MATCH(B4361,Intent_Analysis!$A$5:$A$81,0))</f>
        <v>1</v>
      </c>
    </row>
    <row r="4362" customFormat="false" ht="15" hidden="false" customHeight="false" outlineLevel="0" collapsed="false">
      <c r="A4362" s="0" t="s">
        <v>4686</v>
      </c>
      <c r="B4362" s="0" t="s">
        <v>65</v>
      </c>
      <c r="C4362" s="0" t="str">
        <f aca="false">INDEX(Intent_Analysis!$B$5:$B$81,MATCH(B4362,Intent_Analysis!$A$5:$A$81,0))</f>
        <v>Card usage &amp; features</v>
      </c>
      <c r="D4362" s="0" t="n">
        <f aca="false">INDEX(Intent_Analysis!$E$5:$E$81,MATCH(B4362,Intent_Analysis!$A$5:$A$81,0))</f>
        <v>1</v>
      </c>
    </row>
    <row r="4363" customFormat="false" ht="15" hidden="false" customHeight="false" outlineLevel="0" collapsed="false">
      <c r="A4363" s="0" t="s">
        <v>4687</v>
      </c>
      <c r="B4363" s="0" t="s">
        <v>65</v>
      </c>
      <c r="C4363" s="0" t="str">
        <f aca="false">INDEX(Intent_Analysis!$B$5:$B$81,MATCH(B4363,Intent_Analysis!$A$5:$A$81,0))</f>
        <v>Card usage &amp; features</v>
      </c>
      <c r="D4363" s="0" t="n">
        <f aca="false">INDEX(Intent_Analysis!$E$5:$E$81,MATCH(B4363,Intent_Analysis!$A$5:$A$81,0))</f>
        <v>1</v>
      </c>
    </row>
    <row r="4364" customFormat="false" ht="15" hidden="false" customHeight="false" outlineLevel="0" collapsed="false">
      <c r="A4364" s="0" t="s">
        <v>4688</v>
      </c>
      <c r="B4364" s="0" t="s">
        <v>65</v>
      </c>
      <c r="C4364" s="0" t="str">
        <f aca="false">INDEX(Intent_Analysis!$B$5:$B$81,MATCH(B4364,Intent_Analysis!$A$5:$A$81,0))</f>
        <v>Card usage &amp; features</v>
      </c>
      <c r="D4364" s="0" t="n">
        <f aca="false">INDEX(Intent_Analysis!$E$5:$E$81,MATCH(B4364,Intent_Analysis!$A$5:$A$81,0))</f>
        <v>1</v>
      </c>
    </row>
    <row r="4365" customFormat="false" ht="15" hidden="false" customHeight="false" outlineLevel="0" collapsed="false">
      <c r="A4365" s="0" t="s">
        <v>4689</v>
      </c>
      <c r="B4365" s="0" t="s">
        <v>65</v>
      </c>
      <c r="C4365" s="0" t="str">
        <f aca="false">INDEX(Intent_Analysis!$B$5:$B$81,MATCH(B4365,Intent_Analysis!$A$5:$A$81,0))</f>
        <v>Card usage &amp; features</v>
      </c>
      <c r="D4365" s="0" t="n">
        <f aca="false">INDEX(Intent_Analysis!$E$5:$E$81,MATCH(B4365,Intent_Analysis!$A$5:$A$81,0))</f>
        <v>1</v>
      </c>
    </row>
    <row r="4366" customFormat="false" ht="15" hidden="false" customHeight="false" outlineLevel="0" collapsed="false">
      <c r="A4366" s="0" t="s">
        <v>4690</v>
      </c>
      <c r="B4366" s="0" t="s">
        <v>65</v>
      </c>
      <c r="C4366" s="0" t="str">
        <f aca="false">INDEX(Intent_Analysis!$B$5:$B$81,MATCH(B4366,Intent_Analysis!$A$5:$A$81,0))</f>
        <v>Card usage &amp; features</v>
      </c>
      <c r="D4366" s="0" t="n">
        <f aca="false">INDEX(Intent_Analysis!$E$5:$E$81,MATCH(B4366,Intent_Analysis!$A$5:$A$81,0))</f>
        <v>1</v>
      </c>
    </row>
    <row r="4367" customFormat="false" ht="15" hidden="false" customHeight="false" outlineLevel="0" collapsed="false">
      <c r="A4367" s="0" t="s">
        <v>4691</v>
      </c>
      <c r="B4367" s="0" t="s">
        <v>65</v>
      </c>
      <c r="C4367" s="0" t="str">
        <f aca="false">INDEX(Intent_Analysis!$B$5:$B$81,MATCH(B4367,Intent_Analysis!$A$5:$A$81,0))</f>
        <v>Card usage &amp; features</v>
      </c>
      <c r="D4367" s="0" t="n">
        <f aca="false">INDEX(Intent_Analysis!$E$5:$E$81,MATCH(B4367,Intent_Analysis!$A$5:$A$81,0))</f>
        <v>1</v>
      </c>
    </row>
    <row r="4368" customFormat="false" ht="15" hidden="false" customHeight="false" outlineLevel="0" collapsed="false">
      <c r="A4368" s="0" t="s">
        <v>4692</v>
      </c>
      <c r="B4368" s="0" t="s">
        <v>65</v>
      </c>
      <c r="C4368" s="0" t="str">
        <f aca="false">INDEX(Intent_Analysis!$B$5:$B$81,MATCH(B4368,Intent_Analysis!$A$5:$A$81,0))</f>
        <v>Card usage &amp; features</v>
      </c>
      <c r="D4368" s="0" t="n">
        <f aca="false">INDEX(Intent_Analysis!$E$5:$E$81,MATCH(B4368,Intent_Analysis!$A$5:$A$81,0))</f>
        <v>1</v>
      </c>
    </row>
    <row r="4369" customFormat="false" ht="15" hidden="false" customHeight="false" outlineLevel="0" collapsed="false">
      <c r="A4369" s="0" t="s">
        <v>4693</v>
      </c>
      <c r="B4369" s="0" t="s">
        <v>65</v>
      </c>
      <c r="C4369" s="0" t="str">
        <f aca="false">INDEX(Intent_Analysis!$B$5:$B$81,MATCH(B4369,Intent_Analysis!$A$5:$A$81,0))</f>
        <v>Card usage &amp; features</v>
      </c>
      <c r="D4369" s="0" t="n">
        <f aca="false">INDEX(Intent_Analysis!$E$5:$E$81,MATCH(B4369,Intent_Analysis!$A$5:$A$81,0))</f>
        <v>1</v>
      </c>
    </row>
    <row r="4370" customFormat="false" ht="15" hidden="false" customHeight="false" outlineLevel="0" collapsed="false">
      <c r="A4370" s="0" t="s">
        <v>4694</v>
      </c>
      <c r="B4370" s="0" t="s">
        <v>65</v>
      </c>
      <c r="C4370" s="0" t="str">
        <f aca="false">INDEX(Intent_Analysis!$B$5:$B$81,MATCH(B4370,Intent_Analysis!$A$5:$A$81,0))</f>
        <v>Card usage &amp; features</v>
      </c>
      <c r="D4370" s="0" t="n">
        <f aca="false">INDEX(Intent_Analysis!$E$5:$E$81,MATCH(B4370,Intent_Analysis!$A$5:$A$81,0))</f>
        <v>1</v>
      </c>
    </row>
    <row r="4371" customFormat="false" ht="15" hidden="false" customHeight="false" outlineLevel="0" collapsed="false">
      <c r="A4371" s="0" t="s">
        <v>4695</v>
      </c>
      <c r="B4371" s="0" t="s">
        <v>65</v>
      </c>
      <c r="C4371" s="0" t="str">
        <f aca="false">INDEX(Intent_Analysis!$B$5:$B$81,MATCH(B4371,Intent_Analysis!$A$5:$A$81,0))</f>
        <v>Card usage &amp; features</v>
      </c>
      <c r="D4371" s="0" t="n">
        <f aca="false">INDEX(Intent_Analysis!$E$5:$E$81,MATCH(B4371,Intent_Analysis!$A$5:$A$81,0))</f>
        <v>1</v>
      </c>
    </row>
    <row r="4372" customFormat="false" ht="15" hidden="false" customHeight="false" outlineLevel="0" collapsed="false">
      <c r="A4372" s="0" t="s">
        <v>4696</v>
      </c>
      <c r="B4372" s="0" t="s">
        <v>65</v>
      </c>
      <c r="C4372" s="0" t="str">
        <f aca="false">INDEX(Intent_Analysis!$B$5:$B$81,MATCH(B4372,Intent_Analysis!$A$5:$A$81,0))</f>
        <v>Card usage &amp; features</v>
      </c>
      <c r="D4372" s="0" t="n">
        <f aca="false">INDEX(Intent_Analysis!$E$5:$E$81,MATCH(B4372,Intent_Analysis!$A$5:$A$81,0))</f>
        <v>1</v>
      </c>
    </row>
    <row r="4373" customFormat="false" ht="15" hidden="false" customHeight="false" outlineLevel="0" collapsed="false">
      <c r="A4373" s="0" t="s">
        <v>4697</v>
      </c>
      <c r="B4373" s="0" t="s">
        <v>65</v>
      </c>
      <c r="C4373" s="0" t="str">
        <f aca="false">INDEX(Intent_Analysis!$B$5:$B$81,MATCH(B4373,Intent_Analysis!$A$5:$A$81,0))</f>
        <v>Card usage &amp; features</v>
      </c>
      <c r="D4373" s="0" t="n">
        <f aca="false">INDEX(Intent_Analysis!$E$5:$E$81,MATCH(B4373,Intent_Analysis!$A$5:$A$81,0))</f>
        <v>1</v>
      </c>
    </row>
    <row r="4374" customFormat="false" ht="15" hidden="false" customHeight="false" outlineLevel="0" collapsed="false">
      <c r="A4374" s="0" t="s">
        <v>4698</v>
      </c>
      <c r="B4374" s="0" t="s">
        <v>65</v>
      </c>
      <c r="C4374" s="0" t="str">
        <f aca="false">INDEX(Intent_Analysis!$B$5:$B$81,MATCH(B4374,Intent_Analysis!$A$5:$A$81,0))</f>
        <v>Card usage &amp; features</v>
      </c>
      <c r="D4374" s="0" t="n">
        <f aca="false">INDEX(Intent_Analysis!$E$5:$E$81,MATCH(B4374,Intent_Analysis!$A$5:$A$81,0))</f>
        <v>1</v>
      </c>
    </row>
    <row r="4375" customFormat="false" ht="15" hidden="false" customHeight="false" outlineLevel="0" collapsed="false">
      <c r="A4375" s="0" t="s">
        <v>4699</v>
      </c>
      <c r="B4375" s="0" t="s">
        <v>65</v>
      </c>
      <c r="C4375" s="0" t="str">
        <f aca="false">INDEX(Intent_Analysis!$B$5:$B$81,MATCH(B4375,Intent_Analysis!$A$5:$A$81,0))</f>
        <v>Card usage &amp; features</v>
      </c>
      <c r="D4375" s="0" t="n">
        <f aca="false">INDEX(Intent_Analysis!$E$5:$E$81,MATCH(B4375,Intent_Analysis!$A$5:$A$81,0))</f>
        <v>1</v>
      </c>
    </row>
    <row r="4376" customFormat="false" ht="15" hidden="false" customHeight="false" outlineLevel="0" collapsed="false">
      <c r="A4376" s="0" t="s">
        <v>4700</v>
      </c>
      <c r="B4376" s="0" t="s">
        <v>65</v>
      </c>
      <c r="C4376" s="0" t="str">
        <f aca="false">INDEX(Intent_Analysis!$B$5:$B$81,MATCH(B4376,Intent_Analysis!$A$5:$A$81,0))</f>
        <v>Card usage &amp; features</v>
      </c>
      <c r="D4376" s="0" t="n">
        <f aca="false">INDEX(Intent_Analysis!$E$5:$E$81,MATCH(B4376,Intent_Analysis!$A$5:$A$81,0))</f>
        <v>1</v>
      </c>
    </row>
    <row r="4377" customFormat="false" ht="15" hidden="false" customHeight="false" outlineLevel="0" collapsed="false">
      <c r="A4377" s="0" t="s">
        <v>4701</v>
      </c>
      <c r="B4377" s="0" t="s">
        <v>65</v>
      </c>
      <c r="C4377" s="0" t="str">
        <f aca="false">INDEX(Intent_Analysis!$B$5:$B$81,MATCH(B4377,Intent_Analysis!$A$5:$A$81,0))</f>
        <v>Card usage &amp; features</v>
      </c>
      <c r="D4377" s="0" t="n">
        <f aca="false">INDEX(Intent_Analysis!$E$5:$E$81,MATCH(B4377,Intent_Analysis!$A$5:$A$81,0))</f>
        <v>1</v>
      </c>
    </row>
    <row r="4378" customFormat="false" ht="15" hidden="false" customHeight="false" outlineLevel="0" collapsed="false">
      <c r="A4378" s="0" t="s">
        <v>4702</v>
      </c>
      <c r="B4378" s="0" t="s">
        <v>65</v>
      </c>
      <c r="C4378" s="0" t="str">
        <f aca="false">INDEX(Intent_Analysis!$B$5:$B$81,MATCH(B4378,Intent_Analysis!$A$5:$A$81,0))</f>
        <v>Card usage &amp; features</v>
      </c>
      <c r="D4378" s="0" t="n">
        <f aca="false">INDEX(Intent_Analysis!$E$5:$E$81,MATCH(B4378,Intent_Analysis!$A$5:$A$81,0))</f>
        <v>1</v>
      </c>
    </row>
    <row r="4379" customFormat="false" ht="15" hidden="false" customHeight="false" outlineLevel="0" collapsed="false">
      <c r="A4379" s="0" t="s">
        <v>4703</v>
      </c>
      <c r="B4379" s="0" t="s">
        <v>65</v>
      </c>
      <c r="C4379" s="0" t="str">
        <f aca="false">INDEX(Intent_Analysis!$B$5:$B$81,MATCH(B4379,Intent_Analysis!$A$5:$A$81,0))</f>
        <v>Card usage &amp; features</v>
      </c>
      <c r="D4379" s="0" t="n">
        <f aca="false">INDEX(Intent_Analysis!$E$5:$E$81,MATCH(B4379,Intent_Analysis!$A$5:$A$81,0))</f>
        <v>1</v>
      </c>
    </row>
    <row r="4380" customFormat="false" ht="15" hidden="false" customHeight="false" outlineLevel="0" collapsed="false">
      <c r="A4380" s="0" t="s">
        <v>4704</v>
      </c>
      <c r="B4380" s="0" t="s">
        <v>65</v>
      </c>
      <c r="C4380" s="0" t="str">
        <f aca="false">INDEX(Intent_Analysis!$B$5:$B$81,MATCH(B4380,Intent_Analysis!$A$5:$A$81,0))</f>
        <v>Card usage &amp; features</v>
      </c>
      <c r="D4380" s="0" t="n">
        <f aca="false">INDEX(Intent_Analysis!$E$5:$E$81,MATCH(B4380,Intent_Analysis!$A$5:$A$81,0))</f>
        <v>1</v>
      </c>
    </row>
    <row r="4381" customFormat="false" ht="15" hidden="false" customHeight="false" outlineLevel="0" collapsed="false">
      <c r="A4381" s="0" t="s">
        <v>4705</v>
      </c>
      <c r="B4381" s="0" t="s">
        <v>65</v>
      </c>
      <c r="C4381" s="0" t="str">
        <f aca="false">INDEX(Intent_Analysis!$B$5:$B$81,MATCH(B4381,Intent_Analysis!$A$5:$A$81,0))</f>
        <v>Card usage &amp; features</v>
      </c>
      <c r="D4381" s="0" t="n">
        <f aca="false">INDEX(Intent_Analysis!$E$5:$E$81,MATCH(B4381,Intent_Analysis!$A$5:$A$81,0))</f>
        <v>1</v>
      </c>
    </row>
    <row r="4382" customFormat="false" ht="15" hidden="false" customHeight="false" outlineLevel="0" collapsed="false">
      <c r="A4382" s="0" t="s">
        <v>4706</v>
      </c>
      <c r="B4382" s="0" t="s">
        <v>65</v>
      </c>
      <c r="C4382" s="0" t="str">
        <f aca="false">INDEX(Intent_Analysis!$B$5:$B$81,MATCH(B4382,Intent_Analysis!$A$5:$A$81,0))</f>
        <v>Card usage &amp; features</v>
      </c>
      <c r="D4382" s="0" t="n">
        <f aca="false">INDEX(Intent_Analysis!$E$5:$E$81,MATCH(B4382,Intent_Analysis!$A$5:$A$81,0))</f>
        <v>1</v>
      </c>
    </row>
    <row r="4383" customFormat="false" ht="15" hidden="false" customHeight="false" outlineLevel="0" collapsed="false">
      <c r="A4383" s="0" t="s">
        <v>4707</v>
      </c>
      <c r="B4383" s="0" t="s">
        <v>65</v>
      </c>
      <c r="C4383" s="0" t="str">
        <f aca="false">INDEX(Intent_Analysis!$B$5:$B$81,MATCH(B4383,Intent_Analysis!$A$5:$A$81,0))</f>
        <v>Card usage &amp; features</v>
      </c>
      <c r="D4383" s="0" t="n">
        <f aca="false">INDEX(Intent_Analysis!$E$5:$E$81,MATCH(B4383,Intent_Analysis!$A$5:$A$81,0))</f>
        <v>1</v>
      </c>
    </row>
    <row r="4384" customFormat="false" ht="15" hidden="false" customHeight="false" outlineLevel="0" collapsed="false">
      <c r="A4384" s="0" t="s">
        <v>4708</v>
      </c>
      <c r="B4384" s="0" t="s">
        <v>65</v>
      </c>
      <c r="C4384" s="0" t="str">
        <f aca="false">INDEX(Intent_Analysis!$B$5:$B$81,MATCH(B4384,Intent_Analysis!$A$5:$A$81,0))</f>
        <v>Card usage &amp; features</v>
      </c>
      <c r="D4384" s="0" t="n">
        <f aca="false">INDEX(Intent_Analysis!$E$5:$E$81,MATCH(B4384,Intent_Analysis!$A$5:$A$81,0))</f>
        <v>1</v>
      </c>
    </row>
    <row r="4385" customFormat="false" ht="15" hidden="false" customHeight="false" outlineLevel="0" collapsed="false">
      <c r="A4385" s="0" t="s">
        <v>4709</v>
      </c>
      <c r="B4385" s="0" t="s">
        <v>65</v>
      </c>
      <c r="C4385" s="0" t="str">
        <f aca="false">INDEX(Intent_Analysis!$B$5:$B$81,MATCH(B4385,Intent_Analysis!$A$5:$A$81,0))</f>
        <v>Card usage &amp; features</v>
      </c>
      <c r="D4385" s="0" t="n">
        <f aca="false">INDEX(Intent_Analysis!$E$5:$E$81,MATCH(B4385,Intent_Analysis!$A$5:$A$81,0))</f>
        <v>1</v>
      </c>
    </row>
    <row r="4386" customFormat="false" ht="15" hidden="false" customHeight="false" outlineLevel="0" collapsed="false">
      <c r="A4386" s="0" t="s">
        <v>4710</v>
      </c>
      <c r="B4386" s="0" t="s">
        <v>65</v>
      </c>
      <c r="C4386" s="0" t="str">
        <f aca="false">INDEX(Intent_Analysis!$B$5:$B$81,MATCH(B4386,Intent_Analysis!$A$5:$A$81,0))</f>
        <v>Card usage &amp; features</v>
      </c>
      <c r="D4386" s="0" t="n">
        <f aca="false">INDEX(Intent_Analysis!$E$5:$E$81,MATCH(B4386,Intent_Analysis!$A$5:$A$81,0))</f>
        <v>1</v>
      </c>
    </row>
    <row r="4387" customFormat="false" ht="15" hidden="false" customHeight="false" outlineLevel="0" collapsed="false">
      <c r="A4387" s="0" t="s">
        <v>4711</v>
      </c>
      <c r="B4387" s="0" t="s">
        <v>65</v>
      </c>
      <c r="C4387" s="0" t="str">
        <f aca="false">INDEX(Intent_Analysis!$B$5:$B$81,MATCH(B4387,Intent_Analysis!$A$5:$A$81,0))</f>
        <v>Card usage &amp; features</v>
      </c>
      <c r="D4387" s="0" t="n">
        <f aca="false">INDEX(Intent_Analysis!$E$5:$E$81,MATCH(B4387,Intent_Analysis!$A$5:$A$81,0))</f>
        <v>1</v>
      </c>
    </row>
    <row r="4388" customFormat="false" ht="15" hidden="false" customHeight="false" outlineLevel="0" collapsed="false">
      <c r="A4388" s="0" t="s">
        <v>4712</v>
      </c>
      <c r="B4388" s="0" t="s">
        <v>65</v>
      </c>
      <c r="C4388" s="0" t="str">
        <f aca="false">INDEX(Intent_Analysis!$B$5:$B$81,MATCH(B4388,Intent_Analysis!$A$5:$A$81,0))</f>
        <v>Card usage &amp; features</v>
      </c>
      <c r="D4388" s="0" t="n">
        <f aca="false">INDEX(Intent_Analysis!$E$5:$E$81,MATCH(B4388,Intent_Analysis!$A$5:$A$81,0))</f>
        <v>1</v>
      </c>
    </row>
    <row r="4389" customFormat="false" ht="15" hidden="false" customHeight="false" outlineLevel="0" collapsed="false">
      <c r="A4389" s="0" t="s">
        <v>4713</v>
      </c>
      <c r="B4389" s="0" t="s">
        <v>65</v>
      </c>
      <c r="C4389" s="0" t="str">
        <f aca="false">INDEX(Intent_Analysis!$B$5:$B$81,MATCH(B4389,Intent_Analysis!$A$5:$A$81,0))</f>
        <v>Card usage &amp; features</v>
      </c>
      <c r="D4389" s="0" t="n">
        <f aca="false">INDEX(Intent_Analysis!$E$5:$E$81,MATCH(B4389,Intent_Analysis!$A$5:$A$81,0))</f>
        <v>1</v>
      </c>
    </row>
    <row r="4390" customFormat="false" ht="15" hidden="false" customHeight="false" outlineLevel="0" collapsed="false">
      <c r="A4390" s="0" t="s">
        <v>4714</v>
      </c>
      <c r="B4390" s="0" t="s">
        <v>65</v>
      </c>
      <c r="C4390" s="0" t="str">
        <f aca="false">INDEX(Intent_Analysis!$B$5:$B$81,MATCH(B4390,Intent_Analysis!$A$5:$A$81,0))</f>
        <v>Card usage &amp; features</v>
      </c>
      <c r="D4390" s="0" t="n">
        <f aca="false">INDEX(Intent_Analysis!$E$5:$E$81,MATCH(B4390,Intent_Analysis!$A$5:$A$81,0))</f>
        <v>1</v>
      </c>
    </row>
    <row r="4391" customFormat="false" ht="15" hidden="false" customHeight="false" outlineLevel="0" collapsed="false">
      <c r="A4391" s="0" t="s">
        <v>4715</v>
      </c>
      <c r="B4391" s="0" t="s">
        <v>65</v>
      </c>
      <c r="C4391" s="0" t="str">
        <f aca="false">INDEX(Intent_Analysis!$B$5:$B$81,MATCH(B4391,Intent_Analysis!$A$5:$A$81,0))</f>
        <v>Card usage &amp; features</v>
      </c>
      <c r="D4391" s="0" t="n">
        <f aca="false">INDEX(Intent_Analysis!$E$5:$E$81,MATCH(B4391,Intent_Analysis!$A$5:$A$81,0))</f>
        <v>1</v>
      </c>
    </row>
    <row r="4392" customFormat="false" ht="15" hidden="false" customHeight="false" outlineLevel="0" collapsed="false">
      <c r="A4392" s="0" t="s">
        <v>4716</v>
      </c>
      <c r="B4392" s="0" t="s">
        <v>65</v>
      </c>
      <c r="C4392" s="0" t="str">
        <f aca="false">INDEX(Intent_Analysis!$B$5:$B$81,MATCH(B4392,Intent_Analysis!$A$5:$A$81,0))</f>
        <v>Card usage &amp; features</v>
      </c>
      <c r="D4392" s="0" t="n">
        <f aca="false">INDEX(Intent_Analysis!$E$5:$E$81,MATCH(B4392,Intent_Analysis!$A$5:$A$81,0))</f>
        <v>1</v>
      </c>
    </row>
    <row r="4393" customFormat="false" ht="15" hidden="false" customHeight="false" outlineLevel="0" collapsed="false">
      <c r="A4393" s="0" t="s">
        <v>4717</v>
      </c>
      <c r="B4393" s="0" t="s">
        <v>65</v>
      </c>
      <c r="C4393" s="0" t="str">
        <f aca="false">INDEX(Intent_Analysis!$B$5:$B$81,MATCH(B4393,Intent_Analysis!$A$5:$A$81,0))</f>
        <v>Card usage &amp; features</v>
      </c>
      <c r="D4393" s="0" t="n">
        <f aca="false">INDEX(Intent_Analysis!$E$5:$E$81,MATCH(B4393,Intent_Analysis!$A$5:$A$81,0))</f>
        <v>1</v>
      </c>
    </row>
    <row r="4394" customFormat="false" ht="15" hidden="false" customHeight="false" outlineLevel="0" collapsed="false">
      <c r="A4394" s="0" t="s">
        <v>4718</v>
      </c>
      <c r="B4394" s="0" t="s">
        <v>65</v>
      </c>
      <c r="C4394" s="0" t="str">
        <f aca="false">INDEX(Intent_Analysis!$B$5:$B$81,MATCH(B4394,Intent_Analysis!$A$5:$A$81,0))</f>
        <v>Card usage &amp; features</v>
      </c>
      <c r="D4394" s="0" t="n">
        <f aca="false">INDEX(Intent_Analysis!$E$5:$E$81,MATCH(B4394,Intent_Analysis!$A$5:$A$81,0))</f>
        <v>1</v>
      </c>
    </row>
    <row r="4395" customFormat="false" ht="15" hidden="false" customHeight="false" outlineLevel="0" collapsed="false">
      <c r="A4395" s="0" t="s">
        <v>4719</v>
      </c>
      <c r="B4395" s="0" t="s">
        <v>65</v>
      </c>
      <c r="C4395" s="0" t="str">
        <f aca="false">INDEX(Intent_Analysis!$B$5:$B$81,MATCH(B4395,Intent_Analysis!$A$5:$A$81,0))</f>
        <v>Card usage &amp; features</v>
      </c>
      <c r="D4395" s="0" t="n">
        <f aca="false">INDEX(Intent_Analysis!$E$5:$E$81,MATCH(B4395,Intent_Analysis!$A$5:$A$81,0))</f>
        <v>1</v>
      </c>
    </row>
    <row r="4396" customFormat="false" ht="15" hidden="false" customHeight="false" outlineLevel="0" collapsed="false">
      <c r="A4396" s="0" t="s">
        <v>4720</v>
      </c>
      <c r="B4396" s="0" t="s">
        <v>65</v>
      </c>
      <c r="C4396" s="0" t="str">
        <f aca="false">INDEX(Intent_Analysis!$B$5:$B$81,MATCH(B4396,Intent_Analysis!$A$5:$A$81,0))</f>
        <v>Card usage &amp; features</v>
      </c>
      <c r="D4396" s="0" t="n">
        <f aca="false">INDEX(Intent_Analysis!$E$5:$E$81,MATCH(B4396,Intent_Analysis!$A$5:$A$81,0))</f>
        <v>1</v>
      </c>
    </row>
    <row r="4397" customFormat="false" ht="15" hidden="false" customHeight="false" outlineLevel="0" collapsed="false">
      <c r="A4397" s="0" t="s">
        <v>4721</v>
      </c>
      <c r="B4397" s="0" t="s">
        <v>65</v>
      </c>
      <c r="C4397" s="0" t="str">
        <f aca="false">INDEX(Intent_Analysis!$B$5:$B$81,MATCH(B4397,Intent_Analysis!$A$5:$A$81,0))</f>
        <v>Card usage &amp; features</v>
      </c>
      <c r="D4397" s="0" t="n">
        <f aca="false">INDEX(Intent_Analysis!$E$5:$E$81,MATCH(B4397,Intent_Analysis!$A$5:$A$81,0))</f>
        <v>1</v>
      </c>
    </row>
    <row r="4398" customFormat="false" ht="15" hidden="false" customHeight="false" outlineLevel="0" collapsed="false">
      <c r="A4398" s="0" t="s">
        <v>4722</v>
      </c>
      <c r="B4398" s="0" t="s">
        <v>65</v>
      </c>
      <c r="C4398" s="0" t="str">
        <f aca="false">INDEX(Intent_Analysis!$B$5:$B$81,MATCH(B4398,Intent_Analysis!$A$5:$A$81,0))</f>
        <v>Card usage &amp; features</v>
      </c>
      <c r="D4398" s="0" t="n">
        <f aca="false">INDEX(Intent_Analysis!$E$5:$E$81,MATCH(B4398,Intent_Analysis!$A$5:$A$81,0))</f>
        <v>1</v>
      </c>
    </row>
    <row r="4399" customFormat="false" ht="15" hidden="false" customHeight="false" outlineLevel="0" collapsed="false">
      <c r="A4399" s="0" t="s">
        <v>4723</v>
      </c>
      <c r="B4399" s="0" t="s">
        <v>65</v>
      </c>
      <c r="C4399" s="0" t="str">
        <f aca="false">INDEX(Intent_Analysis!$B$5:$B$81,MATCH(B4399,Intent_Analysis!$A$5:$A$81,0))</f>
        <v>Card usage &amp; features</v>
      </c>
      <c r="D4399" s="0" t="n">
        <f aca="false">INDEX(Intent_Analysis!$E$5:$E$81,MATCH(B4399,Intent_Analysis!$A$5:$A$81,0))</f>
        <v>1</v>
      </c>
    </row>
    <row r="4400" customFormat="false" ht="15" hidden="false" customHeight="false" outlineLevel="0" collapsed="false">
      <c r="A4400" s="0" t="s">
        <v>4724</v>
      </c>
      <c r="B4400" s="0" t="s">
        <v>65</v>
      </c>
      <c r="C4400" s="0" t="str">
        <f aca="false">INDEX(Intent_Analysis!$B$5:$B$81,MATCH(B4400,Intent_Analysis!$A$5:$A$81,0))</f>
        <v>Card usage &amp; features</v>
      </c>
      <c r="D4400" s="0" t="n">
        <f aca="false">INDEX(Intent_Analysis!$E$5:$E$81,MATCH(B4400,Intent_Analysis!$A$5:$A$81,0))</f>
        <v>1</v>
      </c>
    </row>
    <row r="4401" customFormat="false" ht="15" hidden="false" customHeight="false" outlineLevel="0" collapsed="false">
      <c r="A4401" s="0" t="s">
        <v>4725</v>
      </c>
      <c r="B4401" s="0" t="s">
        <v>65</v>
      </c>
      <c r="C4401" s="0" t="str">
        <f aca="false">INDEX(Intent_Analysis!$B$5:$B$81,MATCH(B4401,Intent_Analysis!$A$5:$A$81,0))</f>
        <v>Card usage &amp; features</v>
      </c>
      <c r="D4401" s="0" t="n">
        <f aca="false">INDEX(Intent_Analysis!$E$5:$E$81,MATCH(B4401,Intent_Analysis!$A$5:$A$81,0))</f>
        <v>1</v>
      </c>
    </row>
    <row r="4402" customFormat="false" ht="15" hidden="false" customHeight="false" outlineLevel="0" collapsed="false">
      <c r="A4402" s="0" t="s">
        <v>4726</v>
      </c>
      <c r="B4402" s="0" t="s">
        <v>65</v>
      </c>
      <c r="C4402" s="0" t="str">
        <f aca="false">INDEX(Intent_Analysis!$B$5:$B$81,MATCH(B4402,Intent_Analysis!$A$5:$A$81,0))</f>
        <v>Card usage &amp; features</v>
      </c>
      <c r="D4402" s="0" t="n">
        <f aca="false">INDEX(Intent_Analysis!$E$5:$E$81,MATCH(B4402,Intent_Analysis!$A$5:$A$81,0))</f>
        <v>1</v>
      </c>
    </row>
    <row r="4403" customFormat="false" ht="15" hidden="false" customHeight="false" outlineLevel="0" collapsed="false">
      <c r="A4403" s="0" t="s">
        <v>4727</v>
      </c>
      <c r="B4403" s="0" t="s">
        <v>65</v>
      </c>
      <c r="C4403" s="0" t="str">
        <f aca="false">INDEX(Intent_Analysis!$B$5:$B$81,MATCH(B4403,Intent_Analysis!$A$5:$A$81,0))</f>
        <v>Card usage &amp; features</v>
      </c>
      <c r="D4403" s="0" t="n">
        <f aca="false">INDEX(Intent_Analysis!$E$5:$E$81,MATCH(B4403,Intent_Analysis!$A$5:$A$81,0))</f>
        <v>1</v>
      </c>
    </row>
    <row r="4404" customFormat="false" ht="15" hidden="false" customHeight="false" outlineLevel="0" collapsed="false">
      <c r="A4404" s="0" t="s">
        <v>4728</v>
      </c>
      <c r="B4404" s="0" t="s">
        <v>65</v>
      </c>
      <c r="C4404" s="0" t="str">
        <f aca="false">INDEX(Intent_Analysis!$B$5:$B$81,MATCH(B4404,Intent_Analysis!$A$5:$A$81,0))</f>
        <v>Card usage &amp; features</v>
      </c>
      <c r="D4404" s="0" t="n">
        <f aca="false">INDEX(Intent_Analysis!$E$5:$E$81,MATCH(B4404,Intent_Analysis!$A$5:$A$81,0))</f>
        <v>1</v>
      </c>
    </row>
    <row r="4405" customFormat="false" ht="15" hidden="false" customHeight="false" outlineLevel="0" collapsed="false">
      <c r="A4405" s="0" t="s">
        <v>4729</v>
      </c>
      <c r="B4405" s="0" t="s">
        <v>65</v>
      </c>
      <c r="C4405" s="0" t="str">
        <f aca="false">INDEX(Intent_Analysis!$B$5:$B$81,MATCH(B4405,Intent_Analysis!$A$5:$A$81,0))</f>
        <v>Card usage &amp; features</v>
      </c>
      <c r="D4405" s="0" t="n">
        <f aca="false">INDEX(Intent_Analysis!$E$5:$E$81,MATCH(B4405,Intent_Analysis!$A$5:$A$81,0))</f>
        <v>1</v>
      </c>
    </row>
    <row r="4406" customFormat="false" ht="15" hidden="false" customHeight="false" outlineLevel="0" collapsed="false">
      <c r="A4406" s="0" t="s">
        <v>4730</v>
      </c>
      <c r="B4406" s="0" t="s">
        <v>65</v>
      </c>
      <c r="C4406" s="0" t="str">
        <f aca="false">INDEX(Intent_Analysis!$B$5:$B$81,MATCH(B4406,Intent_Analysis!$A$5:$A$81,0))</f>
        <v>Card usage &amp; features</v>
      </c>
      <c r="D4406" s="0" t="n">
        <f aca="false">INDEX(Intent_Analysis!$E$5:$E$81,MATCH(B4406,Intent_Analysis!$A$5:$A$81,0))</f>
        <v>1</v>
      </c>
    </row>
    <row r="4407" customFormat="false" ht="15" hidden="false" customHeight="false" outlineLevel="0" collapsed="false">
      <c r="A4407" s="0" t="s">
        <v>4731</v>
      </c>
      <c r="B4407" s="0" t="s">
        <v>65</v>
      </c>
      <c r="C4407" s="0" t="str">
        <f aca="false">INDEX(Intent_Analysis!$B$5:$B$81,MATCH(B4407,Intent_Analysis!$A$5:$A$81,0))</f>
        <v>Card usage &amp; features</v>
      </c>
      <c r="D4407" s="0" t="n">
        <f aca="false">INDEX(Intent_Analysis!$E$5:$E$81,MATCH(B4407,Intent_Analysis!$A$5:$A$81,0))</f>
        <v>1</v>
      </c>
    </row>
    <row r="4408" customFormat="false" ht="15" hidden="false" customHeight="false" outlineLevel="0" collapsed="false">
      <c r="A4408" s="0" t="s">
        <v>4732</v>
      </c>
      <c r="B4408" s="0" t="s">
        <v>65</v>
      </c>
      <c r="C4408" s="0" t="str">
        <f aca="false">INDEX(Intent_Analysis!$B$5:$B$81,MATCH(B4408,Intent_Analysis!$A$5:$A$81,0))</f>
        <v>Card usage &amp; features</v>
      </c>
      <c r="D4408" s="0" t="n">
        <f aca="false">INDEX(Intent_Analysis!$E$5:$E$81,MATCH(B4408,Intent_Analysis!$A$5:$A$81,0))</f>
        <v>1</v>
      </c>
    </row>
    <row r="4409" customFormat="false" ht="15" hidden="false" customHeight="false" outlineLevel="0" collapsed="false">
      <c r="A4409" s="0" t="s">
        <v>4733</v>
      </c>
      <c r="B4409" s="0" t="s">
        <v>65</v>
      </c>
      <c r="C4409" s="0" t="str">
        <f aca="false">INDEX(Intent_Analysis!$B$5:$B$81,MATCH(B4409,Intent_Analysis!$A$5:$A$81,0))</f>
        <v>Card usage &amp; features</v>
      </c>
      <c r="D4409" s="0" t="n">
        <f aca="false">INDEX(Intent_Analysis!$E$5:$E$81,MATCH(B4409,Intent_Analysis!$A$5:$A$81,0))</f>
        <v>1</v>
      </c>
    </row>
    <row r="4410" customFormat="false" ht="15" hidden="false" customHeight="false" outlineLevel="0" collapsed="false">
      <c r="A4410" s="0" t="s">
        <v>4734</v>
      </c>
      <c r="B4410" s="0" t="s">
        <v>65</v>
      </c>
      <c r="C4410" s="0" t="str">
        <f aca="false">INDEX(Intent_Analysis!$B$5:$B$81,MATCH(B4410,Intent_Analysis!$A$5:$A$81,0))</f>
        <v>Card usage &amp; features</v>
      </c>
      <c r="D4410" s="0" t="n">
        <f aca="false">INDEX(Intent_Analysis!$E$5:$E$81,MATCH(B4410,Intent_Analysis!$A$5:$A$81,0))</f>
        <v>1</v>
      </c>
    </row>
    <row r="4411" customFormat="false" ht="15" hidden="false" customHeight="false" outlineLevel="0" collapsed="false">
      <c r="A4411" s="0" t="s">
        <v>4735</v>
      </c>
      <c r="B4411" s="0" t="s">
        <v>65</v>
      </c>
      <c r="C4411" s="0" t="str">
        <f aca="false">INDEX(Intent_Analysis!$B$5:$B$81,MATCH(B4411,Intent_Analysis!$A$5:$A$81,0))</f>
        <v>Card usage &amp; features</v>
      </c>
      <c r="D4411" s="0" t="n">
        <f aca="false">INDEX(Intent_Analysis!$E$5:$E$81,MATCH(B4411,Intent_Analysis!$A$5:$A$81,0))</f>
        <v>1</v>
      </c>
    </row>
    <row r="4412" customFormat="false" ht="15" hidden="false" customHeight="false" outlineLevel="0" collapsed="false">
      <c r="A4412" s="0" t="s">
        <v>4736</v>
      </c>
      <c r="B4412" s="0" t="s">
        <v>65</v>
      </c>
      <c r="C4412" s="0" t="str">
        <f aca="false">INDEX(Intent_Analysis!$B$5:$B$81,MATCH(B4412,Intent_Analysis!$A$5:$A$81,0))</f>
        <v>Card usage &amp; features</v>
      </c>
      <c r="D4412" s="0" t="n">
        <f aca="false">INDEX(Intent_Analysis!$E$5:$E$81,MATCH(B4412,Intent_Analysis!$A$5:$A$81,0))</f>
        <v>1</v>
      </c>
    </row>
    <row r="4413" customFormat="false" ht="15" hidden="false" customHeight="false" outlineLevel="0" collapsed="false">
      <c r="A4413" s="0" t="s">
        <v>4737</v>
      </c>
      <c r="B4413" s="0" t="s">
        <v>65</v>
      </c>
      <c r="C4413" s="0" t="str">
        <f aca="false">INDEX(Intent_Analysis!$B$5:$B$81,MATCH(B4413,Intent_Analysis!$A$5:$A$81,0))</f>
        <v>Card usage &amp; features</v>
      </c>
      <c r="D4413" s="0" t="n">
        <f aca="false">INDEX(Intent_Analysis!$E$5:$E$81,MATCH(B4413,Intent_Analysis!$A$5:$A$81,0))</f>
        <v>1</v>
      </c>
    </row>
    <row r="4414" customFormat="false" ht="15" hidden="false" customHeight="false" outlineLevel="0" collapsed="false">
      <c r="A4414" s="0" t="s">
        <v>4738</v>
      </c>
      <c r="B4414" s="0" t="s">
        <v>65</v>
      </c>
      <c r="C4414" s="0" t="str">
        <f aca="false">INDEX(Intent_Analysis!$B$5:$B$81,MATCH(B4414,Intent_Analysis!$A$5:$A$81,0))</f>
        <v>Card usage &amp; features</v>
      </c>
      <c r="D4414" s="0" t="n">
        <f aca="false">INDEX(Intent_Analysis!$E$5:$E$81,MATCH(B4414,Intent_Analysis!$A$5:$A$81,0))</f>
        <v>1</v>
      </c>
    </row>
    <row r="4415" customFormat="false" ht="15" hidden="false" customHeight="false" outlineLevel="0" collapsed="false">
      <c r="A4415" s="0" t="s">
        <v>4739</v>
      </c>
      <c r="B4415" s="0" t="s">
        <v>65</v>
      </c>
      <c r="C4415" s="0" t="str">
        <f aca="false">INDEX(Intent_Analysis!$B$5:$B$81,MATCH(B4415,Intent_Analysis!$A$5:$A$81,0))</f>
        <v>Card usage &amp; features</v>
      </c>
      <c r="D4415" s="0" t="n">
        <f aca="false">INDEX(Intent_Analysis!$E$5:$E$81,MATCH(B4415,Intent_Analysis!$A$5:$A$81,0))</f>
        <v>1</v>
      </c>
    </row>
    <row r="4416" customFormat="false" ht="15" hidden="false" customHeight="false" outlineLevel="0" collapsed="false">
      <c r="A4416" s="0" t="s">
        <v>4740</v>
      </c>
      <c r="B4416" s="0" t="s">
        <v>65</v>
      </c>
      <c r="C4416" s="0" t="str">
        <f aca="false">INDEX(Intent_Analysis!$B$5:$B$81,MATCH(B4416,Intent_Analysis!$A$5:$A$81,0))</f>
        <v>Card usage &amp; features</v>
      </c>
      <c r="D4416" s="0" t="n">
        <f aca="false">INDEX(Intent_Analysis!$E$5:$E$81,MATCH(B4416,Intent_Analysis!$A$5:$A$81,0))</f>
        <v>1</v>
      </c>
    </row>
    <row r="4417" customFormat="false" ht="15" hidden="false" customHeight="false" outlineLevel="0" collapsed="false">
      <c r="A4417" s="0" t="s">
        <v>4741</v>
      </c>
      <c r="B4417" s="0" t="s">
        <v>65</v>
      </c>
      <c r="C4417" s="0" t="str">
        <f aca="false">INDEX(Intent_Analysis!$B$5:$B$81,MATCH(B4417,Intent_Analysis!$A$5:$A$81,0))</f>
        <v>Card usage &amp; features</v>
      </c>
      <c r="D4417" s="0" t="n">
        <f aca="false">INDEX(Intent_Analysis!$E$5:$E$81,MATCH(B4417,Intent_Analysis!$A$5:$A$81,0))</f>
        <v>1</v>
      </c>
    </row>
    <row r="4418" customFormat="false" ht="15" hidden="false" customHeight="false" outlineLevel="0" collapsed="false">
      <c r="A4418" s="0" t="s">
        <v>4742</v>
      </c>
      <c r="B4418" s="0" t="s">
        <v>65</v>
      </c>
      <c r="C4418" s="0" t="str">
        <f aca="false">INDEX(Intent_Analysis!$B$5:$B$81,MATCH(B4418,Intent_Analysis!$A$5:$A$81,0))</f>
        <v>Card usage &amp; features</v>
      </c>
      <c r="D4418" s="0" t="n">
        <f aca="false">INDEX(Intent_Analysis!$E$5:$E$81,MATCH(B4418,Intent_Analysis!$A$5:$A$81,0))</f>
        <v>1</v>
      </c>
    </row>
    <row r="4419" customFormat="false" ht="15" hidden="false" customHeight="false" outlineLevel="0" collapsed="false">
      <c r="A4419" s="0" t="s">
        <v>4743</v>
      </c>
      <c r="B4419" s="0" t="s">
        <v>65</v>
      </c>
      <c r="C4419" s="0" t="str">
        <f aca="false">INDEX(Intent_Analysis!$B$5:$B$81,MATCH(B4419,Intent_Analysis!$A$5:$A$81,0))</f>
        <v>Card usage &amp; features</v>
      </c>
      <c r="D4419" s="0" t="n">
        <f aca="false">INDEX(Intent_Analysis!$E$5:$E$81,MATCH(B4419,Intent_Analysis!$A$5:$A$81,0))</f>
        <v>1</v>
      </c>
    </row>
    <row r="4420" customFormat="false" ht="15" hidden="false" customHeight="false" outlineLevel="0" collapsed="false">
      <c r="A4420" s="0" t="s">
        <v>4744</v>
      </c>
      <c r="B4420" s="0" t="s">
        <v>65</v>
      </c>
      <c r="C4420" s="0" t="str">
        <f aca="false">INDEX(Intent_Analysis!$B$5:$B$81,MATCH(B4420,Intent_Analysis!$A$5:$A$81,0))</f>
        <v>Card usage &amp; features</v>
      </c>
      <c r="D4420" s="0" t="n">
        <f aca="false">INDEX(Intent_Analysis!$E$5:$E$81,MATCH(B4420,Intent_Analysis!$A$5:$A$81,0))</f>
        <v>1</v>
      </c>
    </row>
    <row r="4421" customFormat="false" ht="15" hidden="false" customHeight="false" outlineLevel="0" collapsed="false">
      <c r="A4421" s="0" t="s">
        <v>4745</v>
      </c>
      <c r="B4421" s="0" t="s">
        <v>65</v>
      </c>
      <c r="C4421" s="0" t="str">
        <f aca="false">INDEX(Intent_Analysis!$B$5:$B$81,MATCH(B4421,Intent_Analysis!$A$5:$A$81,0))</f>
        <v>Card usage &amp; features</v>
      </c>
      <c r="D4421" s="0" t="n">
        <f aca="false">INDEX(Intent_Analysis!$E$5:$E$81,MATCH(B4421,Intent_Analysis!$A$5:$A$81,0))</f>
        <v>1</v>
      </c>
    </row>
    <row r="4422" customFormat="false" ht="15" hidden="false" customHeight="false" outlineLevel="0" collapsed="false">
      <c r="A4422" s="0" t="s">
        <v>4746</v>
      </c>
      <c r="B4422" s="0" t="s">
        <v>65</v>
      </c>
      <c r="C4422" s="0" t="str">
        <f aca="false">INDEX(Intent_Analysis!$B$5:$B$81,MATCH(B4422,Intent_Analysis!$A$5:$A$81,0))</f>
        <v>Card usage &amp; features</v>
      </c>
      <c r="D4422" s="0" t="n">
        <f aca="false">INDEX(Intent_Analysis!$E$5:$E$81,MATCH(B4422,Intent_Analysis!$A$5:$A$81,0))</f>
        <v>1</v>
      </c>
    </row>
    <row r="4423" customFormat="false" ht="15" hidden="false" customHeight="false" outlineLevel="0" collapsed="false">
      <c r="A4423" s="0" t="s">
        <v>4747</v>
      </c>
      <c r="B4423" s="0" t="s">
        <v>65</v>
      </c>
      <c r="C4423" s="0" t="str">
        <f aca="false">INDEX(Intent_Analysis!$B$5:$B$81,MATCH(B4423,Intent_Analysis!$A$5:$A$81,0))</f>
        <v>Card usage &amp; features</v>
      </c>
      <c r="D4423" s="0" t="n">
        <f aca="false">INDEX(Intent_Analysis!$E$5:$E$81,MATCH(B4423,Intent_Analysis!$A$5:$A$81,0))</f>
        <v>1</v>
      </c>
    </row>
    <row r="4424" customFormat="false" ht="15" hidden="false" customHeight="false" outlineLevel="0" collapsed="false">
      <c r="A4424" s="0" t="s">
        <v>4748</v>
      </c>
      <c r="B4424" s="0" t="s">
        <v>65</v>
      </c>
      <c r="C4424" s="0" t="str">
        <f aca="false">INDEX(Intent_Analysis!$B$5:$B$81,MATCH(B4424,Intent_Analysis!$A$5:$A$81,0))</f>
        <v>Card usage &amp; features</v>
      </c>
      <c r="D4424" s="0" t="n">
        <f aca="false">INDEX(Intent_Analysis!$E$5:$E$81,MATCH(B4424,Intent_Analysis!$A$5:$A$81,0))</f>
        <v>1</v>
      </c>
    </row>
    <row r="4425" customFormat="false" ht="15" hidden="false" customHeight="false" outlineLevel="0" collapsed="false">
      <c r="A4425" s="0" t="s">
        <v>4749</v>
      </c>
      <c r="B4425" s="0" t="s">
        <v>65</v>
      </c>
      <c r="C4425" s="0" t="str">
        <f aca="false">INDEX(Intent_Analysis!$B$5:$B$81,MATCH(B4425,Intent_Analysis!$A$5:$A$81,0))</f>
        <v>Card usage &amp; features</v>
      </c>
      <c r="D4425" s="0" t="n">
        <f aca="false">INDEX(Intent_Analysis!$E$5:$E$81,MATCH(B4425,Intent_Analysis!$A$5:$A$81,0))</f>
        <v>1</v>
      </c>
    </row>
    <row r="4426" customFormat="false" ht="15" hidden="false" customHeight="false" outlineLevel="0" collapsed="false">
      <c r="A4426" s="0" t="s">
        <v>4750</v>
      </c>
      <c r="B4426" s="0" t="s">
        <v>65</v>
      </c>
      <c r="C4426" s="0" t="str">
        <f aca="false">INDEX(Intent_Analysis!$B$5:$B$81,MATCH(B4426,Intent_Analysis!$A$5:$A$81,0))</f>
        <v>Card usage &amp; features</v>
      </c>
      <c r="D4426" s="0" t="n">
        <f aca="false">INDEX(Intent_Analysis!$E$5:$E$81,MATCH(B4426,Intent_Analysis!$A$5:$A$81,0))</f>
        <v>1</v>
      </c>
    </row>
    <row r="4427" customFormat="false" ht="15" hidden="false" customHeight="false" outlineLevel="0" collapsed="false">
      <c r="A4427" s="0" t="s">
        <v>4751</v>
      </c>
      <c r="B4427" s="0" t="s">
        <v>65</v>
      </c>
      <c r="C4427" s="0" t="str">
        <f aca="false">INDEX(Intent_Analysis!$B$5:$B$81,MATCH(B4427,Intent_Analysis!$A$5:$A$81,0))</f>
        <v>Card usage &amp; features</v>
      </c>
      <c r="D4427" s="0" t="n">
        <f aca="false">INDEX(Intent_Analysis!$E$5:$E$81,MATCH(B4427,Intent_Analysis!$A$5:$A$81,0))</f>
        <v>1</v>
      </c>
    </row>
    <row r="4428" customFormat="false" ht="15" hidden="false" customHeight="false" outlineLevel="0" collapsed="false">
      <c r="A4428" s="0" t="s">
        <v>4752</v>
      </c>
      <c r="B4428" s="0" t="s">
        <v>65</v>
      </c>
      <c r="C4428" s="0" t="str">
        <f aca="false">INDEX(Intent_Analysis!$B$5:$B$81,MATCH(B4428,Intent_Analysis!$A$5:$A$81,0))</f>
        <v>Card usage &amp; features</v>
      </c>
      <c r="D4428" s="0" t="n">
        <f aca="false">INDEX(Intent_Analysis!$E$5:$E$81,MATCH(B4428,Intent_Analysis!$A$5:$A$81,0))</f>
        <v>1</v>
      </c>
    </row>
    <row r="4429" customFormat="false" ht="15" hidden="false" customHeight="false" outlineLevel="0" collapsed="false">
      <c r="A4429" s="0" t="s">
        <v>4753</v>
      </c>
      <c r="B4429" s="0" t="s">
        <v>65</v>
      </c>
      <c r="C4429" s="0" t="str">
        <f aca="false">INDEX(Intent_Analysis!$B$5:$B$81,MATCH(B4429,Intent_Analysis!$A$5:$A$81,0))</f>
        <v>Card usage &amp; features</v>
      </c>
      <c r="D4429" s="0" t="n">
        <f aca="false">INDEX(Intent_Analysis!$E$5:$E$81,MATCH(B4429,Intent_Analysis!$A$5:$A$81,0))</f>
        <v>1</v>
      </c>
    </row>
    <row r="4430" customFormat="false" ht="15" hidden="false" customHeight="false" outlineLevel="0" collapsed="false">
      <c r="A4430" s="0" t="s">
        <v>4754</v>
      </c>
      <c r="B4430" s="0" t="s">
        <v>65</v>
      </c>
      <c r="C4430" s="0" t="str">
        <f aca="false">INDEX(Intent_Analysis!$B$5:$B$81,MATCH(B4430,Intent_Analysis!$A$5:$A$81,0))</f>
        <v>Card usage &amp; features</v>
      </c>
      <c r="D4430" s="0" t="n">
        <f aca="false">INDEX(Intent_Analysis!$E$5:$E$81,MATCH(B4430,Intent_Analysis!$A$5:$A$81,0))</f>
        <v>1</v>
      </c>
    </row>
    <row r="4431" customFormat="false" ht="15" hidden="false" customHeight="false" outlineLevel="0" collapsed="false">
      <c r="A4431" s="0" t="s">
        <v>4755</v>
      </c>
      <c r="B4431" s="0" t="s">
        <v>65</v>
      </c>
      <c r="C4431" s="0" t="str">
        <f aca="false">INDEX(Intent_Analysis!$B$5:$B$81,MATCH(B4431,Intent_Analysis!$A$5:$A$81,0))</f>
        <v>Card usage &amp; features</v>
      </c>
      <c r="D4431" s="0" t="n">
        <f aca="false">INDEX(Intent_Analysis!$E$5:$E$81,MATCH(B4431,Intent_Analysis!$A$5:$A$81,0))</f>
        <v>1</v>
      </c>
    </row>
    <row r="4432" customFormat="false" ht="15" hidden="false" customHeight="false" outlineLevel="0" collapsed="false">
      <c r="A4432" s="0" t="s">
        <v>4756</v>
      </c>
      <c r="B4432" s="0" t="s">
        <v>65</v>
      </c>
      <c r="C4432" s="0" t="str">
        <f aca="false">INDEX(Intent_Analysis!$B$5:$B$81,MATCH(B4432,Intent_Analysis!$A$5:$A$81,0))</f>
        <v>Card usage &amp; features</v>
      </c>
      <c r="D4432" s="0" t="n">
        <f aca="false">INDEX(Intent_Analysis!$E$5:$E$81,MATCH(B4432,Intent_Analysis!$A$5:$A$81,0))</f>
        <v>1</v>
      </c>
    </row>
    <row r="4433" customFormat="false" ht="15" hidden="false" customHeight="false" outlineLevel="0" collapsed="false">
      <c r="A4433" s="0" t="s">
        <v>4757</v>
      </c>
      <c r="B4433" s="0" t="s">
        <v>65</v>
      </c>
      <c r="C4433" s="0" t="str">
        <f aca="false">INDEX(Intent_Analysis!$B$5:$B$81,MATCH(B4433,Intent_Analysis!$A$5:$A$81,0))</f>
        <v>Card usage &amp; features</v>
      </c>
      <c r="D4433" s="0" t="n">
        <f aca="false">INDEX(Intent_Analysis!$E$5:$E$81,MATCH(B4433,Intent_Analysis!$A$5:$A$81,0))</f>
        <v>1</v>
      </c>
    </row>
    <row r="4434" customFormat="false" ht="15" hidden="false" customHeight="false" outlineLevel="0" collapsed="false">
      <c r="A4434" s="0" t="s">
        <v>4758</v>
      </c>
      <c r="B4434" s="0" t="s">
        <v>65</v>
      </c>
      <c r="C4434" s="0" t="str">
        <f aca="false">INDEX(Intent_Analysis!$B$5:$B$81,MATCH(B4434,Intent_Analysis!$A$5:$A$81,0))</f>
        <v>Card usage &amp; features</v>
      </c>
      <c r="D4434" s="0" t="n">
        <f aca="false">INDEX(Intent_Analysis!$E$5:$E$81,MATCH(B4434,Intent_Analysis!$A$5:$A$81,0))</f>
        <v>1</v>
      </c>
    </row>
    <row r="4435" customFormat="false" ht="15" hidden="false" customHeight="false" outlineLevel="0" collapsed="false">
      <c r="A4435" s="0" t="s">
        <v>4759</v>
      </c>
      <c r="B4435" s="0" t="s">
        <v>65</v>
      </c>
      <c r="C4435" s="0" t="str">
        <f aca="false">INDEX(Intent_Analysis!$B$5:$B$81,MATCH(B4435,Intent_Analysis!$A$5:$A$81,0))</f>
        <v>Card usage &amp; features</v>
      </c>
      <c r="D4435" s="0" t="n">
        <f aca="false">INDEX(Intent_Analysis!$E$5:$E$81,MATCH(B4435,Intent_Analysis!$A$5:$A$81,0))</f>
        <v>1</v>
      </c>
    </row>
    <row r="4436" customFormat="false" ht="15" hidden="false" customHeight="false" outlineLevel="0" collapsed="false">
      <c r="A4436" s="0" t="s">
        <v>4760</v>
      </c>
      <c r="B4436" s="0" t="s">
        <v>65</v>
      </c>
      <c r="C4436" s="0" t="str">
        <f aca="false">INDEX(Intent_Analysis!$B$5:$B$81,MATCH(B4436,Intent_Analysis!$A$5:$A$81,0))</f>
        <v>Card usage &amp; features</v>
      </c>
      <c r="D4436" s="0" t="n">
        <f aca="false">INDEX(Intent_Analysis!$E$5:$E$81,MATCH(B4436,Intent_Analysis!$A$5:$A$81,0))</f>
        <v>1</v>
      </c>
    </row>
    <row r="4437" customFormat="false" ht="15" hidden="false" customHeight="false" outlineLevel="0" collapsed="false">
      <c r="A4437" s="0" t="s">
        <v>4761</v>
      </c>
      <c r="B4437" s="0" t="s">
        <v>65</v>
      </c>
      <c r="C4437" s="0" t="str">
        <f aca="false">INDEX(Intent_Analysis!$B$5:$B$81,MATCH(B4437,Intent_Analysis!$A$5:$A$81,0))</f>
        <v>Card usage &amp; features</v>
      </c>
      <c r="D4437" s="0" t="n">
        <f aca="false">INDEX(Intent_Analysis!$E$5:$E$81,MATCH(B4437,Intent_Analysis!$A$5:$A$81,0))</f>
        <v>1</v>
      </c>
    </row>
    <row r="4438" customFormat="false" ht="15" hidden="false" customHeight="false" outlineLevel="0" collapsed="false">
      <c r="A4438" s="0" t="s">
        <v>4762</v>
      </c>
      <c r="B4438" s="0" t="s">
        <v>65</v>
      </c>
      <c r="C4438" s="0" t="str">
        <f aca="false">INDEX(Intent_Analysis!$B$5:$B$81,MATCH(B4438,Intent_Analysis!$A$5:$A$81,0))</f>
        <v>Card usage &amp; features</v>
      </c>
      <c r="D4438" s="0" t="n">
        <f aca="false">INDEX(Intent_Analysis!$E$5:$E$81,MATCH(B4438,Intent_Analysis!$A$5:$A$81,0))</f>
        <v>1</v>
      </c>
    </row>
    <row r="4439" customFormat="false" ht="15" hidden="false" customHeight="false" outlineLevel="0" collapsed="false">
      <c r="A4439" s="0" t="s">
        <v>4763</v>
      </c>
      <c r="B4439" s="0" t="s">
        <v>65</v>
      </c>
      <c r="C4439" s="0" t="str">
        <f aca="false">INDEX(Intent_Analysis!$B$5:$B$81,MATCH(B4439,Intent_Analysis!$A$5:$A$81,0))</f>
        <v>Card usage &amp; features</v>
      </c>
      <c r="D4439" s="0" t="n">
        <f aca="false">INDEX(Intent_Analysis!$E$5:$E$81,MATCH(B4439,Intent_Analysis!$A$5:$A$81,0))</f>
        <v>1</v>
      </c>
    </row>
    <row r="4440" customFormat="false" ht="15" hidden="false" customHeight="false" outlineLevel="0" collapsed="false">
      <c r="A4440" s="0" t="s">
        <v>4764</v>
      </c>
      <c r="B4440" s="0" t="s">
        <v>65</v>
      </c>
      <c r="C4440" s="0" t="str">
        <f aca="false">INDEX(Intent_Analysis!$B$5:$B$81,MATCH(B4440,Intent_Analysis!$A$5:$A$81,0))</f>
        <v>Card usage &amp; features</v>
      </c>
      <c r="D4440" s="0" t="n">
        <f aca="false">INDEX(Intent_Analysis!$E$5:$E$81,MATCH(B4440,Intent_Analysis!$A$5:$A$81,0))</f>
        <v>1</v>
      </c>
    </row>
    <row r="4441" customFormat="false" ht="15" hidden="false" customHeight="false" outlineLevel="0" collapsed="false">
      <c r="A4441" s="0" t="s">
        <v>4765</v>
      </c>
      <c r="B4441" s="0" t="s">
        <v>65</v>
      </c>
      <c r="C4441" s="0" t="str">
        <f aca="false">INDEX(Intent_Analysis!$B$5:$B$81,MATCH(B4441,Intent_Analysis!$A$5:$A$81,0))</f>
        <v>Card usage &amp; features</v>
      </c>
      <c r="D4441" s="0" t="n">
        <f aca="false">INDEX(Intent_Analysis!$E$5:$E$81,MATCH(B4441,Intent_Analysis!$A$5:$A$81,0))</f>
        <v>1</v>
      </c>
    </row>
    <row r="4442" customFormat="false" ht="15" hidden="false" customHeight="false" outlineLevel="0" collapsed="false">
      <c r="A4442" s="0" t="s">
        <v>4766</v>
      </c>
      <c r="B4442" s="0" t="s">
        <v>65</v>
      </c>
      <c r="C4442" s="0" t="str">
        <f aca="false">INDEX(Intent_Analysis!$B$5:$B$81,MATCH(B4442,Intent_Analysis!$A$5:$A$81,0))</f>
        <v>Card usage &amp; features</v>
      </c>
      <c r="D4442" s="0" t="n">
        <f aca="false">INDEX(Intent_Analysis!$E$5:$E$81,MATCH(B4442,Intent_Analysis!$A$5:$A$81,0))</f>
        <v>1</v>
      </c>
    </row>
    <row r="4443" customFormat="false" ht="15" hidden="false" customHeight="false" outlineLevel="0" collapsed="false">
      <c r="A4443" s="0" t="s">
        <v>4767</v>
      </c>
      <c r="B4443" s="0" t="s">
        <v>65</v>
      </c>
      <c r="C4443" s="0" t="str">
        <f aca="false">INDEX(Intent_Analysis!$B$5:$B$81,MATCH(B4443,Intent_Analysis!$A$5:$A$81,0))</f>
        <v>Card usage &amp; features</v>
      </c>
      <c r="D4443" s="0" t="n">
        <f aca="false">INDEX(Intent_Analysis!$E$5:$E$81,MATCH(B4443,Intent_Analysis!$A$5:$A$81,0))</f>
        <v>1</v>
      </c>
    </row>
    <row r="4444" customFormat="false" ht="15" hidden="false" customHeight="false" outlineLevel="0" collapsed="false">
      <c r="A4444" s="0" t="s">
        <v>4768</v>
      </c>
      <c r="B4444" s="0" t="s">
        <v>65</v>
      </c>
      <c r="C4444" s="0" t="str">
        <f aca="false">INDEX(Intent_Analysis!$B$5:$B$81,MATCH(B4444,Intent_Analysis!$A$5:$A$81,0))</f>
        <v>Card usage &amp; features</v>
      </c>
      <c r="D4444" s="0" t="n">
        <f aca="false">INDEX(Intent_Analysis!$E$5:$E$81,MATCH(B4444,Intent_Analysis!$A$5:$A$81,0))</f>
        <v>1</v>
      </c>
    </row>
    <row r="4445" customFormat="false" ht="15" hidden="false" customHeight="false" outlineLevel="0" collapsed="false">
      <c r="A4445" s="0" t="s">
        <v>4769</v>
      </c>
      <c r="B4445" s="0" t="s">
        <v>65</v>
      </c>
      <c r="C4445" s="0" t="str">
        <f aca="false">INDEX(Intent_Analysis!$B$5:$B$81,MATCH(B4445,Intent_Analysis!$A$5:$A$81,0))</f>
        <v>Card usage &amp; features</v>
      </c>
      <c r="D4445" s="0" t="n">
        <f aca="false">INDEX(Intent_Analysis!$E$5:$E$81,MATCH(B4445,Intent_Analysis!$A$5:$A$81,0))</f>
        <v>1</v>
      </c>
    </row>
    <row r="4446" customFormat="false" ht="15" hidden="false" customHeight="false" outlineLevel="0" collapsed="false">
      <c r="A4446" s="0" t="s">
        <v>4770</v>
      </c>
      <c r="B4446" s="0" t="s">
        <v>65</v>
      </c>
      <c r="C4446" s="0" t="str">
        <f aca="false">INDEX(Intent_Analysis!$B$5:$B$81,MATCH(B4446,Intent_Analysis!$A$5:$A$81,0))</f>
        <v>Card usage &amp; features</v>
      </c>
      <c r="D4446" s="0" t="n">
        <f aca="false">INDEX(Intent_Analysis!$E$5:$E$81,MATCH(B4446,Intent_Analysis!$A$5:$A$81,0))</f>
        <v>1</v>
      </c>
    </row>
    <row r="4447" customFormat="false" ht="15" hidden="false" customHeight="false" outlineLevel="0" collapsed="false">
      <c r="A4447" s="0" t="s">
        <v>4771</v>
      </c>
      <c r="B4447" s="0" t="s">
        <v>65</v>
      </c>
      <c r="C4447" s="0" t="str">
        <f aca="false">INDEX(Intent_Analysis!$B$5:$B$81,MATCH(B4447,Intent_Analysis!$A$5:$A$81,0))</f>
        <v>Card usage &amp; features</v>
      </c>
      <c r="D4447" s="0" t="n">
        <f aca="false">INDEX(Intent_Analysis!$E$5:$E$81,MATCH(B4447,Intent_Analysis!$A$5:$A$81,0))</f>
        <v>1</v>
      </c>
    </row>
    <row r="4448" customFormat="false" ht="15" hidden="false" customHeight="false" outlineLevel="0" collapsed="false">
      <c r="A4448" s="0" t="s">
        <v>4772</v>
      </c>
      <c r="B4448" s="0" t="s">
        <v>65</v>
      </c>
      <c r="C4448" s="0" t="str">
        <f aca="false">INDEX(Intent_Analysis!$B$5:$B$81,MATCH(B4448,Intent_Analysis!$A$5:$A$81,0))</f>
        <v>Card usage &amp; features</v>
      </c>
      <c r="D4448" s="0" t="n">
        <f aca="false">INDEX(Intent_Analysis!$E$5:$E$81,MATCH(B4448,Intent_Analysis!$A$5:$A$81,0))</f>
        <v>1</v>
      </c>
    </row>
    <row r="4449" customFormat="false" ht="15" hidden="false" customHeight="false" outlineLevel="0" collapsed="false">
      <c r="A4449" s="0" t="s">
        <v>4773</v>
      </c>
      <c r="B4449" s="0" t="s">
        <v>65</v>
      </c>
      <c r="C4449" s="0" t="str">
        <f aca="false">INDEX(Intent_Analysis!$B$5:$B$81,MATCH(B4449,Intent_Analysis!$A$5:$A$81,0))</f>
        <v>Card usage &amp; features</v>
      </c>
      <c r="D4449" s="0" t="n">
        <f aca="false">INDEX(Intent_Analysis!$E$5:$E$81,MATCH(B4449,Intent_Analysis!$A$5:$A$81,0))</f>
        <v>1</v>
      </c>
    </row>
    <row r="4450" customFormat="false" ht="15" hidden="false" customHeight="false" outlineLevel="0" collapsed="false">
      <c r="A4450" s="0" t="s">
        <v>4774</v>
      </c>
      <c r="B4450" s="0" t="s">
        <v>65</v>
      </c>
      <c r="C4450" s="0" t="str">
        <f aca="false">INDEX(Intent_Analysis!$B$5:$B$81,MATCH(B4450,Intent_Analysis!$A$5:$A$81,0))</f>
        <v>Card usage &amp; features</v>
      </c>
      <c r="D4450" s="0" t="n">
        <f aca="false">INDEX(Intent_Analysis!$E$5:$E$81,MATCH(B4450,Intent_Analysis!$A$5:$A$81,0))</f>
        <v>1</v>
      </c>
    </row>
    <row r="4451" customFormat="false" ht="15" hidden="false" customHeight="false" outlineLevel="0" collapsed="false">
      <c r="A4451" s="0" t="s">
        <v>4775</v>
      </c>
      <c r="B4451" s="0" t="s">
        <v>65</v>
      </c>
      <c r="C4451" s="0" t="str">
        <f aca="false">INDEX(Intent_Analysis!$B$5:$B$81,MATCH(B4451,Intent_Analysis!$A$5:$A$81,0))</f>
        <v>Card usage &amp; features</v>
      </c>
      <c r="D4451" s="0" t="n">
        <f aca="false">INDEX(Intent_Analysis!$E$5:$E$81,MATCH(B4451,Intent_Analysis!$A$5:$A$81,0))</f>
        <v>1</v>
      </c>
    </row>
    <row r="4452" customFormat="false" ht="15" hidden="false" customHeight="false" outlineLevel="0" collapsed="false">
      <c r="A4452" s="0" t="s">
        <v>4776</v>
      </c>
      <c r="B4452" s="0" t="s">
        <v>65</v>
      </c>
      <c r="C4452" s="0" t="str">
        <f aca="false">INDEX(Intent_Analysis!$B$5:$B$81,MATCH(B4452,Intent_Analysis!$A$5:$A$81,0))</f>
        <v>Card usage &amp; features</v>
      </c>
      <c r="D4452" s="0" t="n">
        <f aca="false">INDEX(Intent_Analysis!$E$5:$E$81,MATCH(B4452,Intent_Analysis!$A$5:$A$81,0))</f>
        <v>1</v>
      </c>
    </row>
    <row r="4453" customFormat="false" ht="15" hidden="false" customHeight="false" outlineLevel="0" collapsed="false">
      <c r="A4453" s="0" t="s">
        <v>4777</v>
      </c>
      <c r="B4453" s="0" t="s">
        <v>65</v>
      </c>
      <c r="C4453" s="0" t="str">
        <f aca="false">INDEX(Intent_Analysis!$B$5:$B$81,MATCH(B4453,Intent_Analysis!$A$5:$A$81,0))</f>
        <v>Card usage &amp; features</v>
      </c>
      <c r="D4453" s="0" t="n">
        <f aca="false">INDEX(Intent_Analysis!$E$5:$E$81,MATCH(B4453,Intent_Analysis!$A$5:$A$81,0))</f>
        <v>1</v>
      </c>
    </row>
    <row r="4454" customFormat="false" ht="15" hidden="false" customHeight="false" outlineLevel="0" collapsed="false">
      <c r="A4454" s="0" t="s">
        <v>4778</v>
      </c>
      <c r="B4454" s="0" t="s">
        <v>65</v>
      </c>
      <c r="C4454" s="0" t="str">
        <f aca="false">INDEX(Intent_Analysis!$B$5:$B$81,MATCH(B4454,Intent_Analysis!$A$5:$A$81,0))</f>
        <v>Card usage &amp; features</v>
      </c>
      <c r="D4454" s="0" t="n">
        <f aca="false">INDEX(Intent_Analysis!$E$5:$E$81,MATCH(B4454,Intent_Analysis!$A$5:$A$81,0))</f>
        <v>1</v>
      </c>
    </row>
    <row r="4455" customFormat="false" ht="15" hidden="false" customHeight="false" outlineLevel="0" collapsed="false">
      <c r="A4455" s="0" t="s">
        <v>4779</v>
      </c>
      <c r="B4455" s="0" t="s">
        <v>65</v>
      </c>
      <c r="C4455" s="0" t="str">
        <f aca="false">INDEX(Intent_Analysis!$B$5:$B$81,MATCH(B4455,Intent_Analysis!$A$5:$A$81,0))</f>
        <v>Card usage &amp; features</v>
      </c>
      <c r="D4455" s="0" t="n">
        <f aca="false">INDEX(Intent_Analysis!$E$5:$E$81,MATCH(B4455,Intent_Analysis!$A$5:$A$81,0))</f>
        <v>1</v>
      </c>
    </row>
    <row r="4456" customFormat="false" ht="15" hidden="false" customHeight="false" outlineLevel="0" collapsed="false">
      <c r="A4456" s="0" t="s">
        <v>4780</v>
      </c>
      <c r="B4456" s="0" t="s">
        <v>65</v>
      </c>
      <c r="C4456" s="0" t="str">
        <f aca="false">INDEX(Intent_Analysis!$B$5:$B$81,MATCH(B4456,Intent_Analysis!$A$5:$A$81,0))</f>
        <v>Card usage &amp; features</v>
      </c>
      <c r="D4456" s="0" t="n">
        <f aca="false">INDEX(Intent_Analysis!$E$5:$E$81,MATCH(B4456,Intent_Analysis!$A$5:$A$81,0))</f>
        <v>1</v>
      </c>
    </row>
    <row r="4457" customFormat="false" ht="15" hidden="false" customHeight="false" outlineLevel="0" collapsed="false">
      <c r="A4457" s="0" t="s">
        <v>4781</v>
      </c>
      <c r="B4457" s="0" t="s">
        <v>65</v>
      </c>
      <c r="C4457" s="0" t="str">
        <f aca="false">INDEX(Intent_Analysis!$B$5:$B$81,MATCH(B4457,Intent_Analysis!$A$5:$A$81,0))</f>
        <v>Card usage &amp; features</v>
      </c>
      <c r="D4457" s="0" t="n">
        <f aca="false">INDEX(Intent_Analysis!$E$5:$E$81,MATCH(B4457,Intent_Analysis!$A$5:$A$81,0))</f>
        <v>1</v>
      </c>
    </row>
    <row r="4458" customFormat="false" ht="15" hidden="false" customHeight="false" outlineLevel="0" collapsed="false">
      <c r="A4458" s="0" t="s">
        <v>4782</v>
      </c>
      <c r="B4458" s="0" t="s">
        <v>65</v>
      </c>
      <c r="C4458" s="0" t="str">
        <f aca="false">INDEX(Intent_Analysis!$B$5:$B$81,MATCH(B4458,Intent_Analysis!$A$5:$A$81,0))</f>
        <v>Card usage &amp; features</v>
      </c>
      <c r="D4458" s="0" t="n">
        <f aca="false">INDEX(Intent_Analysis!$E$5:$E$81,MATCH(B4458,Intent_Analysis!$A$5:$A$81,0))</f>
        <v>1</v>
      </c>
    </row>
    <row r="4459" customFormat="false" ht="15" hidden="false" customHeight="false" outlineLevel="0" collapsed="false">
      <c r="A4459" s="0" t="s">
        <v>4783</v>
      </c>
      <c r="B4459" s="0" t="s">
        <v>65</v>
      </c>
      <c r="C4459" s="0" t="str">
        <f aca="false">INDEX(Intent_Analysis!$B$5:$B$81,MATCH(B4459,Intent_Analysis!$A$5:$A$81,0))</f>
        <v>Card usage &amp; features</v>
      </c>
      <c r="D4459" s="0" t="n">
        <f aca="false">INDEX(Intent_Analysis!$E$5:$E$81,MATCH(B4459,Intent_Analysis!$A$5:$A$81,0))</f>
        <v>1</v>
      </c>
    </row>
    <row r="4460" customFormat="false" ht="15" hidden="false" customHeight="false" outlineLevel="0" collapsed="false">
      <c r="A4460" s="0" t="s">
        <v>4784</v>
      </c>
      <c r="B4460" s="0" t="s">
        <v>65</v>
      </c>
      <c r="C4460" s="0" t="str">
        <f aca="false">INDEX(Intent_Analysis!$B$5:$B$81,MATCH(B4460,Intent_Analysis!$A$5:$A$81,0))</f>
        <v>Card usage &amp; features</v>
      </c>
      <c r="D4460" s="0" t="n">
        <f aca="false">INDEX(Intent_Analysis!$E$5:$E$81,MATCH(B4460,Intent_Analysis!$A$5:$A$81,0))</f>
        <v>1</v>
      </c>
    </row>
    <row r="4461" customFormat="false" ht="15" hidden="false" customHeight="false" outlineLevel="0" collapsed="false">
      <c r="A4461" s="0" t="s">
        <v>4785</v>
      </c>
      <c r="B4461" s="0" t="s">
        <v>100</v>
      </c>
      <c r="C4461" s="0" t="str">
        <f aca="false">INDEX(Intent_Analysis!$B$5:$B$81,MATCH(B4461,Intent_Analysis!$A$5:$A$81,0))</f>
        <v>Fraud &amp; security</v>
      </c>
      <c r="D4461" s="0" t="n">
        <f aca="false">INDEX(Intent_Analysis!$E$5:$E$81,MATCH(B4461,Intent_Analysis!$A$5:$A$81,0))</f>
        <v>3</v>
      </c>
    </row>
    <row r="4462" customFormat="false" ht="15" hidden="false" customHeight="false" outlineLevel="0" collapsed="false">
      <c r="A4462" s="0" t="s">
        <v>4786</v>
      </c>
      <c r="B4462" s="0" t="s">
        <v>100</v>
      </c>
      <c r="C4462" s="0" t="str">
        <f aca="false">INDEX(Intent_Analysis!$B$5:$B$81,MATCH(B4462,Intent_Analysis!$A$5:$A$81,0))</f>
        <v>Fraud &amp; security</v>
      </c>
      <c r="D4462" s="0" t="n">
        <f aca="false">INDEX(Intent_Analysis!$E$5:$E$81,MATCH(B4462,Intent_Analysis!$A$5:$A$81,0))</f>
        <v>3</v>
      </c>
    </row>
    <row r="4463" customFormat="false" ht="15" hidden="false" customHeight="false" outlineLevel="0" collapsed="false">
      <c r="A4463" s="0" t="s">
        <v>4787</v>
      </c>
      <c r="B4463" s="0" t="s">
        <v>100</v>
      </c>
      <c r="C4463" s="0" t="str">
        <f aca="false">INDEX(Intent_Analysis!$B$5:$B$81,MATCH(B4463,Intent_Analysis!$A$5:$A$81,0))</f>
        <v>Fraud &amp; security</v>
      </c>
      <c r="D4463" s="0" t="n">
        <f aca="false">INDEX(Intent_Analysis!$E$5:$E$81,MATCH(B4463,Intent_Analysis!$A$5:$A$81,0))</f>
        <v>3</v>
      </c>
    </row>
    <row r="4464" customFormat="false" ht="15" hidden="false" customHeight="false" outlineLevel="0" collapsed="false">
      <c r="A4464" s="0" t="s">
        <v>4788</v>
      </c>
      <c r="B4464" s="0" t="s">
        <v>100</v>
      </c>
      <c r="C4464" s="0" t="str">
        <f aca="false">INDEX(Intent_Analysis!$B$5:$B$81,MATCH(B4464,Intent_Analysis!$A$5:$A$81,0))</f>
        <v>Fraud &amp; security</v>
      </c>
      <c r="D4464" s="0" t="n">
        <f aca="false">INDEX(Intent_Analysis!$E$5:$E$81,MATCH(B4464,Intent_Analysis!$A$5:$A$81,0))</f>
        <v>3</v>
      </c>
    </row>
    <row r="4465" customFormat="false" ht="15" hidden="false" customHeight="false" outlineLevel="0" collapsed="false">
      <c r="A4465" s="0" t="s">
        <v>4789</v>
      </c>
      <c r="B4465" s="0" t="s">
        <v>100</v>
      </c>
      <c r="C4465" s="0" t="str">
        <f aca="false">INDEX(Intent_Analysis!$B$5:$B$81,MATCH(B4465,Intent_Analysis!$A$5:$A$81,0))</f>
        <v>Fraud &amp; security</v>
      </c>
      <c r="D4465" s="0" t="n">
        <f aca="false">INDEX(Intent_Analysis!$E$5:$E$81,MATCH(B4465,Intent_Analysis!$A$5:$A$81,0))</f>
        <v>3</v>
      </c>
    </row>
    <row r="4466" customFormat="false" ht="15" hidden="false" customHeight="false" outlineLevel="0" collapsed="false">
      <c r="A4466" s="0" t="s">
        <v>4790</v>
      </c>
      <c r="B4466" s="0" t="s">
        <v>100</v>
      </c>
      <c r="C4466" s="0" t="str">
        <f aca="false">INDEX(Intent_Analysis!$B$5:$B$81,MATCH(B4466,Intent_Analysis!$A$5:$A$81,0))</f>
        <v>Fraud &amp; security</v>
      </c>
      <c r="D4466" s="0" t="n">
        <f aca="false">INDEX(Intent_Analysis!$E$5:$E$81,MATCH(B4466,Intent_Analysis!$A$5:$A$81,0))</f>
        <v>3</v>
      </c>
    </row>
    <row r="4467" customFormat="false" ht="15" hidden="false" customHeight="false" outlineLevel="0" collapsed="false">
      <c r="A4467" s="0" t="s">
        <v>4791</v>
      </c>
      <c r="B4467" s="0" t="s">
        <v>100</v>
      </c>
      <c r="C4467" s="0" t="str">
        <f aca="false">INDEX(Intent_Analysis!$B$5:$B$81,MATCH(B4467,Intent_Analysis!$A$5:$A$81,0))</f>
        <v>Fraud &amp; security</v>
      </c>
      <c r="D4467" s="0" t="n">
        <f aca="false">INDEX(Intent_Analysis!$E$5:$E$81,MATCH(B4467,Intent_Analysis!$A$5:$A$81,0))</f>
        <v>3</v>
      </c>
    </row>
    <row r="4468" customFormat="false" ht="15" hidden="false" customHeight="false" outlineLevel="0" collapsed="false">
      <c r="A4468" s="0" t="s">
        <v>4792</v>
      </c>
      <c r="B4468" s="0" t="s">
        <v>100</v>
      </c>
      <c r="C4468" s="0" t="str">
        <f aca="false">INDEX(Intent_Analysis!$B$5:$B$81,MATCH(B4468,Intent_Analysis!$A$5:$A$81,0))</f>
        <v>Fraud &amp; security</v>
      </c>
      <c r="D4468" s="0" t="n">
        <f aca="false">INDEX(Intent_Analysis!$E$5:$E$81,MATCH(B4468,Intent_Analysis!$A$5:$A$81,0))</f>
        <v>3</v>
      </c>
    </row>
    <row r="4469" customFormat="false" ht="15" hidden="false" customHeight="false" outlineLevel="0" collapsed="false">
      <c r="A4469" s="0" t="s">
        <v>4793</v>
      </c>
      <c r="B4469" s="0" t="s">
        <v>100</v>
      </c>
      <c r="C4469" s="0" t="str">
        <f aca="false">INDEX(Intent_Analysis!$B$5:$B$81,MATCH(B4469,Intent_Analysis!$A$5:$A$81,0))</f>
        <v>Fraud &amp; security</v>
      </c>
      <c r="D4469" s="0" t="n">
        <f aca="false">INDEX(Intent_Analysis!$E$5:$E$81,MATCH(B4469,Intent_Analysis!$A$5:$A$81,0))</f>
        <v>3</v>
      </c>
    </row>
    <row r="4470" customFormat="false" ht="15" hidden="false" customHeight="false" outlineLevel="0" collapsed="false">
      <c r="A4470" s="0" t="s">
        <v>4794</v>
      </c>
      <c r="B4470" s="0" t="s">
        <v>100</v>
      </c>
      <c r="C4470" s="0" t="str">
        <f aca="false">INDEX(Intent_Analysis!$B$5:$B$81,MATCH(B4470,Intent_Analysis!$A$5:$A$81,0))</f>
        <v>Fraud &amp; security</v>
      </c>
      <c r="D4470" s="0" t="n">
        <f aca="false">INDEX(Intent_Analysis!$E$5:$E$81,MATCH(B4470,Intent_Analysis!$A$5:$A$81,0))</f>
        <v>3</v>
      </c>
    </row>
    <row r="4471" customFormat="false" ht="15" hidden="false" customHeight="false" outlineLevel="0" collapsed="false">
      <c r="A4471" s="0" t="s">
        <v>4795</v>
      </c>
      <c r="B4471" s="0" t="s">
        <v>100</v>
      </c>
      <c r="C4471" s="0" t="str">
        <f aca="false">INDEX(Intent_Analysis!$B$5:$B$81,MATCH(B4471,Intent_Analysis!$A$5:$A$81,0))</f>
        <v>Fraud &amp; security</v>
      </c>
      <c r="D4471" s="0" t="n">
        <f aca="false">INDEX(Intent_Analysis!$E$5:$E$81,MATCH(B4471,Intent_Analysis!$A$5:$A$81,0))</f>
        <v>3</v>
      </c>
    </row>
    <row r="4472" customFormat="false" ht="15" hidden="false" customHeight="false" outlineLevel="0" collapsed="false">
      <c r="A4472" s="0" t="s">
        <v>4796</v>
      </c>
      <c r="B4472" s="0" t="s">
        <v>100</v>
      </c>
      <c r="C4472" s="0" t="str">
        <f aca="false">INDEX(Intent_Analysis!$B$5:$B$81,MATCH(B4472,Intent_Analysis!$A$5:$A$81,0))</f>
        <v>Fraud &amp; security</v>
      </c>
      <c r="D4472" s="0" t="n">
        <f aca="false">INDEX(Intent_Analysis!$E$5:$E$81,MATCH(B4472,Intent_Analysis!$A$5:$A$81,0))</f>
        <v>3</v>
      </c>
    </row>
    <row r="4473" customFormat="false" ht="15" hidden="false" customHeight="false" outlineLevel="0" collapsed="false">
      <c r="A4473" s="0" t="s">
        <v>4797</v>
      </c>
      <c r="B4473" s="0" t="s">
        <v>100</v>
      </c>
      <c r="C4473" s="0" t="str">
        <f aca="false">INDEX(Intent_Analysis!$B$5:$B$81,MATCH(B4473,Intent_Analysis!$A$5:$A$81,0))</f>
        <v>Fraud &amp; security</v>
      </c>
      <c r="D4473" s="0" t="n">
        <f aca="false">INDEX(Intent_Analysis!$E$5:$E$81,MATCH(B4473,Intent_Analysis!$A$5:$A$81,0))</f>
        <v>3</v>
      </c>
    </row>
    <row r="4474" customFormat="false" ht="15" hidden="false" customHeight="false" outlineLevel="0" collapsed="false">
      <c r="A4474" s="0" t="s">
        <v>4798</v>
      </c>
      <c r="B4474" s="0" t="s">
        <v>100</v>
      </c>
      <c r="C4474" s="0" t="str">
        <f aca="false">INDEX(Intent_Analysis!$B$5:$B$81,MATCH(B4474,Intent_Analysis!$A$5:$A$81,0))</f>
        <v>Fraud &amp; security</v>
      </c>
      <c r="D4474" s="0" t="n">
        <f aca="false">INDEX(Intent_Analysis!$E$5:$E$81,MATCH(B4474,Intent_Analysis!$A$5:$A$81,0))</f>
        <v>3</v>
      </c>
    </row>
    <row r="4475" customFormat="false" ht="15" hidden="false" customHeight="false" outlineLevel="0" collapsed="false">
      <c r="A4475" s="0" t="s">
        <v>4799</v>
      </c>
      <c r="B4475" s="0" t="s">
        <v>100</v>
      </c>
      <c r="C4475" s="0" t="str">
        <f aca="false">INDEX(Intent_Analysis!$B$5:$B$81,MATCH(B4475,Intent_Analysis!$A$5:$A$81,0))</f>
        <v>Fraud &amp; security</v>
      </c>
      <c r="D4475" s="0" t="n">
        <f aca="false">INDEX(Intent_Analysis!$E$5:$E$81,MATCH(B4475,Intent_Analysis!$A$5:$A$81,0))</f>
        <v>3</v>
      </c>
    </row>
    <row r="4476" customFormat="false" ht="15" hidden="false" customHeight="false" outlineLevel="0" collapsed="false">
      <c r="A4476" s="0" t="s">
        <v>4800</v>
      </c>
      <c r="B4476" s="0" t="s">
        <v>100</v>
      </c>
      <c r="C4476" s="0" t="str">
        <f aca="false">INDEX(Intent_Analysis!$B$5:$B$81,MATCH(B4476,Intent_Analysis!$A$5:$A$81,0))</f>
        <v>Fraud &amp; security</v>
      </c>
      <c r="D4476" s="0" t="n">
        <f aca="false">INDEX(Intent_Analysis!$E$5:$E$81,MATCH(B4476,Intent_Analysis!$A$5:$A$81,0))</f>
        <v>3</v>
      </c>
    </row>
    <row r="4477" customFormat="false" ht="15" hidden="false" customHeight="false" outlineLevel="0" collapsed="false">
      <c r="A4477" s="0" t="s">
        <v>4801</v>
      </c>
      <c r="B4477" s="0" t="s">
        <v>100</v>
      </c>
      <c r="C4477" s="0" t="str">
        <f aca="false">INDEX(Intent_Analysis!$B$5:$B$81,MATCH(B4477,Intent_Analysis!$A$5:$A$81,0))</f>
        <v>Fraud &amp; security</v>
      </c>
      <c r="D4477" s="0" t="n">
        <f aca="false">INDEX(Intent_Analysis!$E$5:$E$81,MATCH(B4477,Intent_Analysis!$A$5:$A$81,0))</f>
        <v>3</v>
      </c>
    </row>
    <row r="4478" customFormat="false" ht="28.35" hidden="false" customHeight="false" outlineLevel="0" collapsed="false">
      <c r="A4478" s="25" t="s">
        <v>4802</v>
      </c>
      <c r="B4478" s="0" t="s">
        <v>100</v>
      </c>
      <c r="C4478" s="0" t="str">
        <f aca="false">INDEX(Intent_Analysis!$B$5:$B$81,MATCH(B4478,Intent_Analysis!$A$5:$A$81,0))</f>
        <v>Fraud &amp; security</v>
      </c>
      <c r="D4478" s="0" t="n">
        <f aca="false">INDEX(Intent_Analysis!$E$5:$E$81,MATCH(B4478,Intent_Analysis!$A$5:$A$81,0))</f>
        <v>3</v>
      </c>
    </row>
    <row r="4479" customFormat="false" ht="15" hidden="false" customHeight="false" outlineLevel="0" collapsed="false">
      <c r="A4479" s="0" t="s">
        <v>4803</v>
      </c>
      <c r="B4479" s="0" t="s">
        <v>100</v>
      </c>
      <c r="C4479" s="0" t="str">
        <f aca="false">INDEX(Intent_Analysis!$B$5:$B$81,MATCH(B4479,Intent_Analysis!$A$5:$A$81,0))</f>
        <v>Fraud &amp; security</v>
      </c>
      <c r="D4479" s="0" t="n">
        <f aca="false">INDEX(Intent_Analysis!$E$5:$E$81,MATCH(B4479,Intent_Analysis!$A$5:$A$81,0))</f>
        <v>3</v>
      </c>
    </row>
    <row r="4480" customFormat="false" ht="15" hidden="false" customHeight="false" outlineLevel="0" collapsed="false">
      <c r="A4480" s="0" t="s">
        <v>4804</v>
      </c>
      <c r="B4480" s="0" t="s">
        <v>100</v>
      </c>
      <c r="C4480" s="0" t="str">
        <f aca="false">INDEX(Intent_Analysis!$B$5:$B$81,MATCH(B4480,Intent_Analysis!$A$5:$A$81,0))</f>
        <v>Fraud &amp; security</v>
      </c>
      <c r="D4480" s="0" t="n">
        <f aca="false">INDEX(Intent_Analysis!$E$5:$E$81,MATCH(B4480,Intent_Analysis!$A$5:$A$81,0))</f>
        <v>3</v>
      </c>
    </row>
    <row r="4481" customFormat="false" ht="15" hidden="false" customHeight="false" outlineLevel="0" collapsed="false">
      <c r="A4481" s="0" t="s">
        <v>4805</v>
      </c>
      <c r="B4481" s="0" t="s">
        <v>100</v>
      </c>
      <c r="C4481" s="0" t="str">
        <f aca="false">INDEX(Intent_Analysis!$B$5:$B$81,MATCH(B4481,Intent_Analysis!$A$5:$A$81,0))</f>
        <v>Fraud &amp; security</v>
      </c>
      <c r="D4481" s="0" t="n">
        <f aca="false">INDEX(Intent_Analysis!$E$5:$E$81,MATCH(B4481,Intent_Analysis!$A$5:$A$81,0))</f>
        <v>3</v>
      </c>
    </row>
    <row r="4482" customFormat="false" ht="15" hidden="false" customHeight="false" outlineLevel="0" collapsed="false">
      <c r="A4482" s="0" t="s">
        <v>4806</v>
      </c>
      <c r="B4482" s="0" t="s">
        <v>100</v>
      </c>
      <c r="C4482" s="0" t="str">
        <f aca="false">INDEX(Intent_Analysis!$B$5:$B$81,MATCH(B4482,Intent_Analysis!$A$5:$A$81,0))</f>
        <v>Fraud &amp; security</v>
      </c>
      <c r="D4482" s="0" t="n">
        <f aca="false">INDEX(Intent_Analysis!$E$5:$E$81,MATCH(B4482,Intent_Analysis!$A$5:$A$81,0))</f>
        <v>3</v>
      </c>
    </row>
    <row r="4483" customFormat="false" ht="15" hidden="false" customHeight="false" outlineLevel="0" collapsed="false">
      <c r="A4483" s="0" t="s">
        <v>4807</v>
      </c>
      <c r="B4483" s="0" t="s">
        <v>100</v>
      </c>
      <c r="C4483" s="0" t="str">
        <f aca="false">INDEX(Intent_Analysis!$B$5:$B$81,MATCH(B4483,Intent_Analysis!$A$5:$A$81,0))</f>
        <v>Fraud &amp; security</v>
      </c>
      <c r="D4483" s="0" t="n">
        <f aca="false">INDEX(Intent_Analysis!$E$5:$E$81,MATCH(B4483,Intent_Analysis!$A$5:$A$81,0))</f>
        <v>3</v>
      </c>
    </row>
    <row r="4484" customFormat="false" ht="15" hidden="false" customHeight="false" outlineLevel="0" collapsed="false">
      <c r="A4484" s="0" t="s">
        <v>4808</v>
      </c>
      <c r="B4484" s="0" t="s">
        <v>100</v>
      </c>
      <c r="C4484" s="0" t="str">
        <f aca="false">INDEX(Intent_Analysis!$B$5:$B$81,MATCH(B4484,Intent_Analysis!$A$5:$A$81,0))</f>
        <v>Fraud &amp; security</v>
      </c>
      <c r="D4484" s="0" t="n">
        <f aca="false">INDEX(Intent_Analysis!$E$5:$E$81,MATCH(B4484,Intent_Analysis!$A$5:$A$81,0))</f>
        <v>3</v>
      </c>
    </row>
    <row r="4485" customFormat="false" ht="15" hidden="false" customHeight="false" outlineLevel="0" collapsed="false">
      <c r="A4485" s="0" t="s">
        <v>4809</v>
      </c>
      <c r="B4485" s="0" t="s">
        <v>100</v>
      </c>
      <c r="C4485" s="0" t="str">
        <f aca="false">INDEX(Intent_Analysis!$B$5:$B$81,MATCH(B4485,Intent_Analysis!$A$5:$A$81,0))</f>
        <v>Fraud &amp; security</v>
      </c>
      <c r="D4485" s="0" t="n">
        <f aca="false">INDEX(Intent_Analysis!$E$5:$E$81,MATCH(B4485,Intent_Analysis!$A$5:$A$81,0))</f>
        <v>3</v>
      </c>
    </row>
    <row r="4486" customFormat="false" ht="15" hidden="false" customHeight="false" outlineLevel="0" collapsed="false">
      <c r="A4486" s="0" t="s">
        <v>4810</v>
      </c>
      <c r="B4486" s="0" t="s">
        <v>100</v>
      </c>
      <c r="C4486" s="0" t="str">
        <f aca="false">INDEX(Intent_Analysis!$B$5:$B$81,MATCH(B4486,Intent_Analysis!$A$5:$A$81,0))</f>
        <v>Fraud &amp; security</v>
      </c>
      <c r="D4486" s="0" t="n">
        <f aca="false">INDEX(Intent_Analysis!$E$5:$E$81,MATCH(B4486,Intent_Analysis!$A$5:$A$81,0))</f>
        <v>3</v>
      </c>
    </row>
    <row r="4487" customFormat="false" ht="15" hidden="false" customHeight="false" outlineLevel="0" collapsed="false">
      <c r="A4487" s="0" t="s">
        <v>4811</v>
      </c>
      <c r="B4487" s="0" t="s">
        <v>100</v>
      </c>
      <c r="C4487" s="0" t="str">
        <f aca="false">INDEX(Intent_Analysis!$B$5:$B$81,MATCH(B4487,Intent_Analysis!$A$5:$A$81,0))</f>
        <v>Fraud &amp; security</v>
      </c>
      <c r="D4487" s="0" t="n">
        <f aca="false">INDEX(Intent_Analysis!$E$5:$E$81,MATCH(B4487,Intent_Analysis!$A$5:$A$81,0))</f>
        <v>3</v>
      </c>
    </row>
    <row r="4488" customFormat="false" ht="15" hidden="false" customHeight="false" outlineLevel="0" collapsed="false">
      <c r="A4488" s="0" t="s">
        <v>4812</v>
      </c>
      <c r="B4488" s="0" t="s">
        <v>100</v>
      </c>
      <c r="C4488" s="0" t="str">
        <f aca="false">INDEX(Intent_Analysis!$B$5:$B$81,MATCH(B4488,Intent_Analysis!$A$5:$A$81,0))</f>
        <v>Fraud &amp; security</v>
      </c>
      <c r="D4488" s="0" t="n">
        <f aca="false">INDEX(Intent_Analysis!$E$5:$E$81,MATCH(B4488,Intent_Analysis!$A$5:$A$81,0))</f>
        <v>3</v>
      </c>
    </row>
    <row r="4489" customFormat="false" ht="15" hidden="false" customHeight="false" outlineLevel="0" collapsed="false">
      <c r="A4489" s="0" t="s">
        <v>4813</v>
      </c>
      <c r="B4489" s="0" t="s">
        <v>100</v>
      </c>
      <c r="C4489" s="0" t="str">
        <f aca="false">INDEX(Intent_Analysis!$B$5:$B$81,MATCH(B4489,Intent_Analysis!$A$5:$A$81,0))</f>
        <v>Fraud &amp; security</v>
      </c>
      <c r="D4489" s="0" t="n">
        <f aca="false">INDEX(Intent_Analysis!$E$5:$E$81,MATCH(B4489,Intent_Analysis!$A$5:$A$81,0))</f>
        <v>3</v>
      </c>
    </row>
    <row r="4490" customFormat="false" ht="15" hidden="false" customHeight="false" outlineLevel="0" collapsed="false">
      <c r="A4490" s="0" t="s">
        <v>4814</v>
      </c>
      <c r="B4490" s="0" t="s">
        <v>100</v>
      </c>
      <c r="C4490" s="0" t="str">
        <f aca="false">INDEX(Intent_Analysis!$B$5:$B$81,MATCH(B4490,Intent_Analysis!$A$5:$A$81,0))</f>
        <v>Fraud &amp; security</v>
      </c>
      <c r="D4490" s="0" t="n">
        <f aca="false">INDEX(Intent_Analysis!$E$5:$E$81,MATCH(B4490,Intent_Analysis!$A$5:$A$81,0))</f>
        <v>3</v>
      </c>
    </row>
    <row r="4491" customFormat="false" ht="15" hidden="false" customHeight="false" outlineLevel="0" collapsed="false">
      <c r="A4491" s="0" t="s">
        <v>4815</v>
      </c>
      <c r="B4491" s="0" t="s">
        <v>100</v>
      </c>
      <c r="C4491" s="0" t="str">
        <f aca="false">INDEX(Intent_Analysis!$B$5:$B$81,MATCH(B4491,Intent_Analysis!$A$5:$A$81,0))</f>
        <v>Fraud &amp; security</v>
      </c>
      <c r="D4491" s="0" t="n">
        <f aca="false">INDEX(Intent_Analysis!$E$5:$E$81,MATCH(B4491,Intent_Analysis!$A$5:$A$81,0))</f>
        <v>3</v>
      </c>
    </row>
    <row r="4492" customFormat="false" ht="15" hidden="false" customHeight="false" outlineLevel="0" collapsed="false">
      <c r="A4492" s="0" t="s">
        <v>4816</v>
      </c>
      <c r="B4492" s="0" t="s">
        <v>100</v>
      </c>
      <c r="C4492" s="0" t="str">
        <f aca="false">INDEX(Intent_Analysis!$B$5:$B$81,MATCH(B4492,Intent_Analysis!$A$5:$A$81,0))</f>
        <v>Fraud &amp; security</v>
      </c>
      <c r="D4492" s="0" t="n">
        <f aca="false">INDEX(Intent_Analysis!$E$5:$E$81,MATCH(B4492,Intent_Analysis!$A$5:$A$81,0))</f>
        <v>3</v>
      </c>
    </row>
    <row r="4493" customFormat="false" ht="15" hidden="false" customHeight="false" outlineLevel="0" collapsed="false">
      <c r="A4493" s="0" t="s">
        <v>4817</v>
      </c>
      <c r="B4493" s="0" t="s">
        <v>100</v>
      </c>
      <c r="C4493" s="0" t="str">
        <f aca="false">INDEX(Intent_Analysis!$B$5:$B$81,MATCH(B4493,Intent_Analysis!$A$5:$A$81,0))</f>
        <v>Fraud &amp; security</v>
      </c>
      <c r="D4493" s="0" t="n">
        <f aca="false">INDEX(Intent_Analysis!$E$5:$E$81,MATCH(B4493,Intent_Analysis!$A$5:$A$81,0))</f>
        <v>3</v>
      </c>
    </row>
    <row r="4494" customFormat="false" ht="15" hidden="false" customHeight="false" outlineLevel="0" collapsed="false">
      <c r="A4494" s="0" t="s">
        <v>4818</v>
      </c>
      <c r="B4494" s="0" t="s">
        <v>100</v>
      </c>
      <c r="C4494" s="0" t="str">
        <f aca="false">INDEX(Intent_Analysis!$B$5:$B$81,MATCH(B4494,Intent_Analysis!$A$5:$A$81,0))</f>
        <v>Fraud &amp; security</v>
      </c>
      <c r="D4494" s="0" t="n">
        <f aca="false">INDEX(Intent_Analysis!$E$5:$E$81,MATCH(B4494,Intent_Analysis!$A$5:$A$81,0))</f>
        <v>3</v>
      </c>
    </row>
    <row r="4495" customFormat="false" ht="15" hidden="false" customHeight="false" outlineLevel="0" collapsed="false">
      <c r="A4495" s="0" t="s">
        <v>4819</v>
      </c>
      <c r="B4495" s="0" t="s">
        <v>100</v>
      </c>
      <c r="C4495" s="0" t="str">
        <f aca="false">INDEX(Intent_Analysis!$B$5:$B$81,MATCH(B4495,Intent_Analysis!$A$5:$A$81,0))</f>
        <v>Fraud &amp; security</v>
      </c>
      <c r="D4495" s="0" t="n">
        <f aca="false">INDEX(Intent_Analysis!$E$5:$E$81,MATCH(B4495,Intent_Analysis!$A$5:$A$81,0))</f>
        <v>3</v>
      </c>
    </row>
    <row r="4496" customFormat="false" ht="15" hidden="false" customHeight="false" outlineLevel="0" collapsed="false">
      <c r="A4496" s="0" t="s">
        <v>4820</v>
      </c>
      <c r="B4496" s="0" t="s">
        <v>100</v>
      </c>
      <c r="C4496" s="0" t="str">
        <f aca="false">INDEX(Intent_Analysis!$B$5:$B$81,MATCH(B4496,Intent_Analysis!$A$5:$A$81,0))</f>
        <v>Fraud &amp; security</v>
      </c>
      <c r="D4496" s="0" t="n">
        <f aca="false">INDEX(Intent_Analysis!$E$5:$E$81,MATCH(B4496,Intent_Analysis!$A$5:$A$81,0))</f>
        <v>3</v>
      </c>
    </row>
    <row r="4497" customFormat="false" ht="15" hidden="false" customHeight="false" outlineLevel="0" collapsed="false">
      <c r="A4497" s="0" t="s">
        <v>4821</v>
      </c>
      <c r="B4497" s="0" t="s">
        <v>100</v>
      </c>
      <c r="C4497" s="0" t="str">
        <f aca="false">INDEX(Intent_Analysis!$B$5:$B$81,MATCH(B4497,Intent_Analysis!$A$5:$A$81,0))</f>
        <v>Fraud &amp; security</v>
      </c>
      <c r="D4497" s="0" t="n">
        <f aca="false">INDEX(Intent_Analysis!$E$5:$E$81,MATCH(B4497,Intent_Analysis!$A$5:$A$81,0))</f>
        <v>3</v>
      </c>
    </row>
    <row r="4498" customFormat="false" ht="15" hidden="false" customHeight="false" outlineLevel="0" collapsed="false">
      <c r="A4498" s="0" t="s">
        <v>4822</v>
      </c>
      <c r="B4498" s="0" t="s">
        <v>100</v>
      </c>
      <c r="C4498" s="0" t="str">
        <f aca="false">INDEX(Intent_Analysis!$B$5:$B$81,MATCH(B4498,Intent_Analysis!$A$5:$A$81,0))</f>
        <v>Fraud &amp; security</v>
      </c>
      <c r="D4498" s="0" t="n">
        <f aca="false">INDEX(Intent_Analysis!$E$5:$E$81,MATCH(B4498,Intent_Analysis!$A$5:$A$81,0))</f>
        <v>3</v>
      </c>
    </row>
    <row r="4499" customFormat="false" ht="15" hidden="false" customHeight="false" outlineLevel="0" collapsed="false">
      <c r="A4499" s="0" t="s">
        <v>4823</v>
      </c>
      <c r="B4499" s="0" t="s">
        <v>100</v>
      </c>
      <c r="C4499" s="0" t="str">
        <f aca="false">INDEX(Intent_Analysis!$B$5:$B$81,MATCH(B4499,Intent_Analysis!$A$5:$A$81,0))</f>
        <v>Fraud &amp; security</v>
      </c>
      <c r="D4499" s="0" t="n">
        <f aca="false">INDEX(Intent_Analysis!$E$5:$E$81,MATCH(B4499,Intent_Analysis!$A$5:$A$81,0))</f>
        <v>3</v>
      </c>
    </row>
    <row r="4500" customFormat="false" ht="15" hidden="false" customHeight="false" outlineLevel="0" collapsed="false">
      <c r="A4500" s="0" t="s">
        <v>4824</v>
      </c>
      <c r="B4500" s="0" t="s">
        <v>100</v>
      </c>
      <c r="C4500" s="0" t="str">
        <f aca="false">INDEX(Intent_Analysis!$B$5:$B$81,MATCH(B4500,Intent_Analysis!$A$5:$A$81,0))</f>
        <v>Fraud &amp; security</v>
      </c>
      <c r="D4500" s="0" t="n">
        <f aca="false">INDEX(Intent_Analysis!$E$5:$E$81,MATCH(B4500,Intent_Analysis!$A$5:$A$81,0))</f>
        <v>3</v>
      </c>
    </row>
    <row r="4501" customFormat="false" ht="15" hidden="false" customHeight="false" outlineLevel="0" collapsed="false">
      <c r="A4501" s="0" t="s">
        <v>4825</v>
      </c>
      <c r="B4501" s="0" t="s">
        <v>100</v>
      </c>
      <c r="C4501" s="0" t="str">
        <f aca="false">INDEX(Intent_Analysis!$B$5:$B$81,MATCH(B4501,Intent_Analysis!$A$5:$A$81,0))</f>
        <v>Fraud &amp; security</v>
      </c>
      <c r="D4501" s="0" t="n">
        <f aca="false">INDEX(Intent_Analysis!$E$5:$E$81,MATCH(B4501,Intent_Analysis!$A$5:$A$81,0))</f>
        <v>3</v>
      </c>
    </row>
    <row r="4502" customFormat="false" ht="15" hidden="false" customHeight="false" outlineLevel="0" collapsed="false">
      <c r="A4502" s="0" t="s">
        <v>4826</v>
      </c>
      <c r="B4502" s="0" t="s">
        <v>100</v>
      </c>
      <c r="C4502" s="0" t="str">
        <f aca="false">INDEX(Intent_Analysis!$B$5:$B$81,MATCH(B4502,Intent_Analysis!$A$5:$A$81,0))</f>
        <v>Fraud &amp; security</v>
      </c>
      <c r="D4502" s="0" t="n">
        <f aca="false">INDEX(Intent_Analysis!$E$5:$E$81,MATCH(B4502,Intent_Analysis!$A$5:$A$81,0))</f>
        <v>3</v>
      </c>
    </row>
    <row r="4503" customFormat="false" ht="15" hidden="false" customHeight="false" outlineLevel="0" collapsed="false">
      <c r="A4503" s="0" t="s">
        <v>4827</v>
      </c>
      <c r="B4503" s="0" t="s">
        <v>100</v>
      </c>
      <c r="C4503" s="0" t="str">
        <f aca="false">INDEX(Intent_Analysis!$B$5:$B$81,MATCH(B4503,Intent_Analysis!$A$5:$A$81,0))</f>
        <v>Fraud &amp; security</v>
      </c>
      <c r="D4503" s="0" t="n">
        <f aca="false">INDEX(Intent_Analysis!$E$5:$E$81,MATCH(B4503,Intent_Analysis!$A$5:$A$81,0))</f>
        <v>3</v>
      </c>
    </row>
    <row r="4504" customFormat="false" ht="15" hidden="false" customHeight="false" outlineLevel="0" collapsed="false">
      <c r="A4504" s="0" t="s">
        <v>4828</v>
      </c>
      <c r="B4504" s="0" t="s">
        <v>100</v>
      </c>
      <c r="C4504" s="0" t="str">
        <f aca="false">INDEX(Intent_Analysis!$B$5:$B$81,MATCH(B4504,Intent_Analysis!$A$5:$A$81,0))</f>
        <v>Fraud &amp; security</v>
      </c>
      <c r="D4504" s="0" t="n">
        <f aca="false">INDEX(Intent_Analysis!$E$5:$E$81,MATCH(B4504,Intent_Analysis!$A$5:$A$81,0))</f>
        <v>3</v>
      </c>
    </row>
    <row r="4505" customFormat="false" ht="15" hidden="false" customHeight="false" outlineLevel="0" collapsed="false">
      <c r="A4505" s="0" t="s">
        <v>4829</v>
      </c>
      <c r="B4505" s="0" t="s">
        <v>100</v>
      </c>
      <c r="C4505" s="0" t="str">
        <f aca="false">INDEX(Intent_Analysis!$B$5:$B$81,MATCH(B4505,Intent_Analysis!$A$5:$A$81,0))</f>
        <v>Fraud &amp; security</v>
      </c>
      <c r="D4505" s="0" t="n">
        <f aca="false">INDEX(Intent_Analysis!$E$5:$E$81,MATCH(B4505,Intent_Analysis!$A$5:$A$81,0))</f>
        <v>3</v>
      </c>
    </row>
    <row r="4506" customFormat="false" ht="15" hidden="false" customHeight="false" outlineLevel="0" collapsed="false">
      <c r="A4506" s="0" t="s">
        <v>4830</v>
      </c>
      <c r="B4506" s="0" t="s">
        <v>100</v>
      </c>
      <c r="C4506" s="0" t="str">
        <f aca="false">INDEX(Intent_Analysis!$B$5:$B$81,MATCH(B4506,Intent_Analysis!$A$5:$A$81,0))</f>
        <v>Fraud &amp; security</v>
      </c>
      <c r="D4506" s="0" t="n">
        <f aca="false">INDEX(Intent_Analysis!$E$5:$E$81,MATCH(B4506,Intent_Analysis!$A$5:$A$81,0))</f>
        <v>3</v>
      </c>
    </row>
    <row r="4507" customFormat="false" ht="15" hidden="false" customHeight="false" outlineLevel="0" collapsed="false">
      <c r="A4507" s="0" t="s">
        <v>4831</v>
      </c>
      <c r="B4507" s="0" t="s">
        <v>100</v>
      </c>
      <c r="C4507" s="0" t="str">
        <f aca="false">INDEX(Intent_Analysis!$B$5:$B$81,MATCH(B4507,Intent_Analysis!$A$5:$A$81,0))</f>
        <v>Fraud &amp; security</v>
      </c>
      <c r="D4507" s="0" t="n">
        <f aca="false">INDEX(Intent_Analysis!$E$5:$E$81,MATCH(B4507,Intent_Analysis!$A$5:$A$81,0))</f>
        <v>3</v>
      </c>
    </row>
    <row r="4508" customFormat="false" ht="15" hidden="false" customHeight="false" outlineLevel="0" collapsed="false">
      <c r="A4508" s="0" t="s">
        <v>4832</v>
      </c>
      <c r="B4508" s="0" t="s">
        <v>100</v>
      </c>
      <c r="C4508" s="0" t="str">
        <f aca="false">INDEX(Intent_Analysis!$B$5:$B$81,MATCH(B4508,Intent_Analysis!$A$5:$A$81,0))</f>
        <v>Fraud &amp; security</v>
      </c>
      <c r="D4508" s="0" t="n">
        <f aca="false">INDEX(Intent_Analysis!$E$5:$E$81,MATCH(B4508,Intent_Analysis!$A$5:$A$81,0))</f>
        <v>3</v>
      </c>
    </row>
    <row r="4509" customFormat="false" ht="15" hidden="false" customHeight="false" outlineLevel="0" collapsed="false">
      <c r="A4509" s="0" t="s">
        <v>4833</v>
      </c>
      <c r="B4509" s="0" t="s">
        <v>100</v>
      </c>
      <c r="C4509" s="0" t="str">
        <f aca="false">INDEX(Intent_Analysis!$B$5:$B$81,MATCH(B4509,Intent_Analysis!$A$5:$A$81,0))</f>
        <v>Fraud &amp; security</v>
      </c>
      <c r="D4509" s="0" t="n">
        <f aca="false">INDEX(Intent_Analysis!$E$5:$E$81,MATCH(B4509,Intent_Analysis!$A$5:$A$81,0))</f>
        <v>3</v>
      </c>
    </row>
    <row r="4510" customFormat="false" ht="15" hidden="false" customHeight="false" outlineLevel="0" collapsed="false">
      <c r="A4510" s="0" t="s">
        <v>4834</v>
      </c>
      <c r="B4510" s="0" t="s">
        <v>100</v>
      </c>
      <c r="C4510" s="0" t="str">
        <f aca="false">INDEX(Intent_Analysis!$B$5:$B$81,MATCH(B4510,Intent_Analysis!$A$5:$A$81,0))</f>
        <v>Fraud &amp; security</v>
      </c>
      <c r="D4510" s="0" t="n">
        <f aca="false">INDEX(Intent_Analysis!$E$5:$E$81,MATCH(B4510,Intent_Analysis!$A$5:$A$81,0))</f>
        <v>3</v>
      </c>
    </row>
    <row r="4511" customFormat="false" ht="15" hidden="false" customHeight="false" outlineLevel="0" collapsed="false">
      <c r="A4511" s="0" t="s">
        <v>4835</v>
      </c>
      <c r="B4511" s="0" t="s">
        <v>100</v>
      </c>
      <c r="C4511" s="0" t="str">
        <f aca="false">INDEX(Intent_Analysis!$B$5:$B$81,MATCH(B4511,Intent_Analysis!$A$5:$A$81,0))</f>
        <v>Fraud &amp; security</v>
      </c>
      <c r="D4511" s="0" t="n">
        <f aca="false">INDEX(Intent_Analysis!$E$5:$E$81,MATCH(B4511,Intent_Analysis!$A$5:$A$81,0))</f>
        <v>3</v>
      </c>
    </row>
    <row r="4512" customFormat="false" ht="15" hidden="false" customHeight="false" outlineLevel="0" collapsed="false">
      <c r="A4512" s="0" t="s">
        <v>4836</v>
      </c>
      <c r="B4512" s="0" t="s">
        <v>100</v>
      </c>
      <c r="C4512" s="0" t="str">
        <f aca="false">INDEX(Intent_Analysis!$B$5:$B$81,MATCH(B4512,Intent_Analysis!$A$5:$A$81,0))</f>
        <v>Fraud &amp; security</v>
      </c>
      <c r="D4512" s="0" t="n">
        <f aca="false">INDEX(Intent_Analysis!$E$5:$E$81,MATCH(B4512,Intent_Analysis!$A$5:$A$81,0))</f>
        <v>3</v>
      </c>
    </row>
    <row r="4513" customFormat="false" ht="15" hidden="false" customHeight="false" outlineLevel="0" collapsed="false">
      <c r="A4513" s="0" t="s">
        <v>4837</v>
      </c>
      <c r="B4513" s="0" t="s">
        <v>100</v>
      </c>
      <c r="C4513" s="0" t="str">
        <f aca="false">INDEX(Intent_Analysis!$B$5:$B$81,MATCH(B4513,Intent_Analysis!$A$5:$A$81,0))</f>
        <v>Fraud &amp; security</v>
      </c>
      <c r="D4513" s="0" t="n">
        <f aca="false">INDEX(Intent_Analysis!$E$5:$E$81,MATCH(B4513,Intent_Analysis!$A$5:$A$81,0))</f>
        <v>3</v>
      </c>
    </row>
    <row r="4514" customFormat="false" ht="15" hidden="false" customHeight="false" outlineLevel="0" collapsed="false">
      <c r="A4514" s="0" t="s">
        <v>4838</v>
      </c>
      <c r="B4514" s="0" t="s">
        <v>100</v>
      </c>
      <c r="C4514" s="0" t="str">
        <f aca="false">INDEX(Intent_Analysis!$B$5:$B$81,MATCH(B4514,Intent_Analysis!$A$5:$A$81,0))</f>
        <v>Fraud &amp; security</v>
      </c>
      <c r="D4514" s="0" t="n">
        <f aca="false">INDEX(Intent_Analysis!$E$5:$E$81,MATCH(B4514,Intent_Analysis!$A$5:$A$81,0))</f>
        <v>3</v>
      </c>
    </row>
    <row r="4515" customFormat="false" ht="15" hidden="false" customHeight="false" outlineLevel="0" collapsed="false">
      <c r="A4515" s="0" t="s">
        <v>4839</v>
      </c>
      <c r="B4515" s="0" t="s">
        <v>100</v>
      </c>
      <c r="C4515" s="0" t="str">
        <f aca="false">INDEX(Intent_Analysis!$B$5:$B$81,MATCH(B4515,Intent_Analysis!$A$5:$A$81,0))</f>
        <v>Fraud &amp; security</v>
      </c>
      <c r="D4515" s="0" t="n">
        <f aca="false">INDEX(Intent_Analysis!$E$5:$E$81,MATCH(B4515,Intent_Analysis!$A$5:$A$81,0))</f>
        <v>3</v>
      </c>
    </row>
    <row r="4516" customFormat="false" ht="15" hidden="false" customHeight="false" outlineLevel="0" collapsed="false">
      <c r="A4516" s="0" t="s">
        <v>4840</v>
      </c>
      <c r="B4516" s="0" t="s">
        <v>100</v>
      </c>
      <c r="C4516" s="0" t="str">
        <f aca="false">INDEX(Intent_Analysis!$B$5:$B$81,MATCH(B4516,Intent_Analysis!$A$5:$A$81,0))</f>
        <v>Fraud &amp; security</v>
      </c>
      <c r="D4516" s="0" t="n">
        <f aca="false">INDEX(Intent_Analysis!$E$5:$E$81,MATCH(B4516,Intent_Analysis!$A$5:$A$81,0))</f>
        <v>3</v>
      </c>
    </row>
    <row r="4517" customFormat="false" ht="15" hidden="false" customHeight="false" outlineLevel="0" collapsed="false">
      <c r="A4517" s="0" t="s">
        <v>4841</v>
      </c>
      <c r="B4517" s="0" t="s">
        <v>100</v>
      </c>
      <c r="C4517" s="0" t="str">
        <f aca="false">INDEX(Intent_Analysis!$B$5:$B$81,MATCH(B4517,Intent_Analysis!$A$5:$A$81,0))</f>
        <v>Fraud &amp; security</v>
      </c>
      <c r="D4517" s="0" t="n">
        <f aca="false">INDEX(Intent_Analysis!$E$5:$E$81,MATCH(B4517,Intent_Analysis!$A$5:$A$81,0))</f>
        <v>3</v>
      </c>
    </row>
    <row r="4518" customFormat="false" ht="15" hidden="false" customHeight="false" outlineLevel="0" collapsed="false">
      <c r="A4518" s="0" t="s">
        <v>4842</v>
      </c>
      <c r="B4518" s="0" t="s">
        <v>100</v>
      </c>
      <c r="C4518" s="0" t="str">
        <f aca="false">INDEX(Intent_Analysis!$B$5:$B$81,MATCH(B4518,Intent_Analysis!$A$5:$A$81,0))</f>
        <v>Fraud &amp; security</v>
      </c>
      <c r="D4518" s="0" t="n">
        <f aca="false">INDEX(Intent_Analysis!$E$5:$E$81,MATCH(B4518,Intent_Analysis!$A$5:$A$81,0))</f>
        <v>3</v>
      </c>
    </row>
    <row r="4519" customFormat="false" ht="15" hidden="false" customHeight="false" outlineLevel="0" collapsed="false">
      <c r="A4519" s="0" t="s">
        <v>4843</v>
      </c>
      <c r="B4519" s="0" t="s">
        <v>100</v>
      </c>
      <c r="C4519" s="0" t="str">
        <f aca="false">INDEX(Intent_Analysis!$B$5:$B$81,MATCH(B4519,Intent_Analysis!$A$5:$A$81,0))</f>
        <v>Fraud &amp; security</v>
      </c>
      <c r="D4519" s="0" t="n">
        <f aca="false">INDEX(Intent_Analysis!$E$5:$E$81,MATCH(B4519,Intent_Analysis!$A$5:$A$81,0))</f>
        <v>3</v>
      </c>
    </row>
    <row r="4520" customFormat="false" ht="15" hidden="false" customHeight="false" outlineLevel="0" collapsed="false">
      <c r="A4520" s="0" t="s">
        <v>4844</v>
      </c>
      <c r="B4520" s="0" t="s">
        <v>100</v>
      </c>
      <c r="C4520" s="0" t="str">
        <f aca="false">INDEX(Intent_Analysis!$B$5:$B$81,MATCH(B4520,Intent_Analysis!$A$5:$A$81,0))</f>
        <v>Fraud &amp; security</v>
      </c>
      <c r="D4520" s="0" t="n">
        <f aca="false">INDEX(Intent_Analysis!$E$5:$E$81,MATCH(B4520,Intent_Analysis!$A$5:$A$81,0))</f>
        <v>3</v>
      </c>
    </row>
    <row r="4521" customFormat="false" ht="15" hidden="false" customHeight="false" outlineLevel="0" collapsed="false">
      <c r="A4521" s="0" t="s">
        <v>4845</v>
      </c>
      <c r="B4521" s="0" t="s">
        <v>100</v>
      </c>
      <c r="C4521" s="0" t="str">
        <f aca="false">INDEX(Intent_Analysis!$B$5:$B$81,MATCH(B4521,Intent_Analysis!$A$5:$A$81,0))</f>
        <v>Fraud &amp; security</v>
      </c>
      <c r="D4521" s="0" t="n">
        <f aca="false">INDEX(Intent_Analysis!$E$5:$E$81,MATCH(B4521,Intent_Analysis!$A$5:$A$81,0))</f>
        <v>3</v>
      </c>
    </row>
    <row r="4522" customFormat="false" ht="15" hidden="false" customHeight="false" outlineLevel="0" collapsed="false">
      <c r="A4522" s="0" t="s">
        <v>4846</v>
      </c>
      <c r="B4522" s="0" t="s">
        <v>100</v>
      </c>
      <c r="C4522" s="0" t="str">
        <f aca="false">INDEX(Intent_Analysis!$B$5:$B$81,MATCH(B4522,Intent_Analysis!$A$5:$A$81,0))</f>
        <v>Fraud &amp; security</v>
      </c>
      <c r="D4522" s="0" t="n">
        <f aca="false">INDEX(Intent_Analysis!$E$5:$E$81,MATCH(B4522,Intent_Analysis!$A$5:$A$81,0))</f>
        <v>3</v>
      </c>
    </row>
    <row r="4523" customFormat="false" ht="15" hidden="false" customHeight="false" outlineLevel="0" collapsed="false">
      <c r="A4523" s="0" t="s">
        <v>4847</v>
      </c>
      <c r="B4523" s="0" t="s">
        <v>100</v>
      </c>
      <c r="C4523" s="0" t="str">
        <f aca="false">INDEX(Intent_Analysis!$B$5:$B$81,MATCH(B4523,Intent_Analysis!$A$5:$A$81,0))</f>
        <v>Fraud &amp; security</v>
      </c>
      <c r="D4523" s="0" t="n">
        <f aca="false">INDEX(Intent_Analysis!$E$5:$E$81,MATCH(B4523,Intent_Analysis!$A$5:$A$81,0))</f>
        <v>3</v>
      </c>
    </row>
    <row r="4524" customFormat="false" ht="15" hidden="false" customHeight="false" outlineLevel="0" collapsed="false">
      <c r="A4524" s="0" t="s">
        <v>4848</v>
      </c>
      <c r="B4524" s="0" t="s">
        <v>100</v>
      </c>
      <c r="C4524" s="0" t="str">
        <f aca="false">INDEX(Intent_Analysis!$B$5:$B$81,MATCH(B4524,Intent_Analysis!$A$5:$A$81,0))</f>
        <v>Fraud &amp; security</v>
      </c>
      <c r="D4524" s="0" t="n">
        <f aca="false">INDEX(Intent_Analysis!$E$5:$E$81,MATCH(B4524,Intent_Analysis!$A$5:$A$81,0))</f>
        <v>3</v>
      </c>
    </row>
    <row r="4525" customFormat="false" ht="15" hidden="false" customHeight="false" outlineLevel="0" collapsed="false">
      <c r="A4525" s="0" t="s">
        <v>4849</v>
      </c>
      <c r="B4525" s="0" t="s">
        <v>100</v>
      </c>
      <c r="C4525" s="0" t="str">
        <f aca="false">INDEX(Intent_Analysis!$B$5:$B$81,MATCH(B4525,Intent_Analysis!$A$5:$A$81,0))</f>
        <v>Fraud &amp; security</v>
      </c>
      <c r="D4525" s="0" t="n">
        <f aca="false">INDEX(Intent_Analysis!$E$5:$E$81,MATCH(B4525,Intent_Analysis!$A$5:$A$81,0))</f>
        <v>3</v>
      </c>
    </row>
    <row r="4526" customFormat="false" ht="15" hidden="false" customHeight="false" outlineLevel="0" collapsed="false">
      <c r="A4526" s="0" t="s">
        <v>4850</v>
      </c>
      <c r="B4526" s="0" t="s">
        <v>100</v>
      </c>
      <c r="C4526" s="0" t="str">
        <f aca="false">INDEX(Intent_Analysis!$B$5:$B$81,MATCH(B4526,Intent_Analysis!$A$5:$A$81,0))</f>
        <v>Fraud &amp; security</v>
      </c>
      <c r="D4526" s="0" t="n">
        <f aca="false">INDEX(Intent_Analysis!$E$5:$E$81,MATCH(B4526,Intent_Analysis!$A$5:$A$81,0))</f>
        <v>3</v>
      </c>
    </row>
    <row r="4527" customFormat="false" ht="15" hidden="false" customHeight="false" outlineLevel="0" collapsed="false">
      <c r="A4527" s="0" t="s">
        <v>4851</v>
      </c>
      <c r="B4527" s="0" t="s">
        <v>100</v>
      </c>
      <c r="C4527" s="0" t="str">
        <f aca="false">INDEX(Intent_Analysis!$B$5:$B$81,MATCH(B4527,Intent_Analysis!$A$5:$A$81,0))</f>
        <v>Fraud &amp; security</v>
      </c>
      <c r="D4527" s="0" t="n">
        <f aca="false">INDEX(Intent_Analysis!$E$5:$E$81,MATCH(B4527,Intent_Analysis!$A$5:$A$81,0))</f>
        <v>3</v>
      </c>
    </row>
    <row r="4528" customFormat="false" ht="15" hidden="false" customHeight="false" outlineLevel="0" collapsed="false">
      <c r="A4528" s="0" t="s">
        <v>4852</v>
      </c>
      <c r="B4528" s="0" t="s">
        <v>100</v>
      </c>
      <c r="C4528" s="0" t="str">
        <f aca="false">INDEX(Intent_Analysis!$B$5:$B$81,MATCH(B4528,Intent_Analysis!$A$5:$A$81,0))</f>
        <v>Fraud &amp; security</v>
      </c>
      <c r="D4528" s="0" t="n">
        <f aca="false">INDEX(Intent_Analysis!$E$5:$E$81,MATCH(B4528,Intent_Analysis!$A$5:$A$81,0))</f>
        <v>3</v>
      </c>
    </row>
    <row r="4529" customFormat="false" ht="15" hidden="false" customHeight="false" outlineLevel="0" collapsed="false">
      <c r="A4529" s="0" t="s">
        <v>4853</v>
      </c>
      <c r="B4529" s="0" t="s">
        <v>100</v>
      </c>
      <c r="C4529" s="0" t="str">
        <f aca="false">INDEX(Intent_Analysis!$B$5:$B$81,MATCH(B4529,Intent_Analysis!$A$5:$A$81,0))</f>
        <v>Fraud &amp; security</v>
      </c>
      <c r="D4529" s="0" t="n">
        <f aca="false">INDEX(Intent_Analysis!$E$5:$E$81,MATCH(B4529,Intent_Analysis!$A$5:$A$81,0))</f>
        <v>3</v>
      </c>
    </row>
    <row r="4530" customFormat="false" ht="15" hidden="false" customHeight="false" outlineLevel="0" collapsed="false">
      <c r="A4530" s="0" t="s">
        <v>4854</v>
      </c>
      <c r="B4530" s="0" t="s">
        <v>100</v>
      </c>
      <c r="C4530" s="0" t="str">
        <f aca="false">INDEX(Intent_Analysis!$B$5:$B$81,MATCH(B4530,Intent_Analysis!$A$5:$A$81,0))</f>
        <v>Fraud &amp; security</v>
      </c>
      <c r="D4530" s="0" t="n">
        <f aca="false">INDEX(Intent_Analysis!$E$5:$E$81,MATCH(B4530,Intent_Analysis!$A$5:$A$81,0))</f>
        <v>3</v>
      </c>
    </row>
    <row r="4531" customFormat="false" ht="15" hidden="false" customHeight="false" outlineLevel="0" collapsed="false">
      <c r="A4531" s="0" t="s">
        <v>4855</v>
      </c>
      <c r="B4531" s="0" t="s">
        <v>100</v>
      </c>
      <c r="C4531" s="0" t="str">
        <f aca="false">INDEX(Intent_Analysis!$B$5:$B$81,MATCH(B4531,Intent_Analysis!$A$5:$A$81,0))</f>
        <v>Fraud &amp; security</v>
      </c>
      <c r="D4531" s="0" t="n">
        <f aca="false">INDEX(Intent_Analysis!$E$5:$E$81,MATCH(B4531,Intent_Analysis!$A$5:$A$81,0))</f>
        <v>3</v>
      </c>
    </row>
    <row r="4532" customFormat="false" ht="15" hidden="false" customHeight="false" outlineLevel="0" collapsed="false">
      <c r="A4532" s="0" t="s">
        <v>4856</v>
      </c>
      <c r="B4532" s="0" t="s">
        <v>100</v>
      </c>
      <c r="C4532" s="0" t="str">
        <f aca="false">INDEX(Intent_Analysis!$B$5:$B$81,MATCH(B4532,Intent_Analysis!$A$5:$A$81,0))</f>
        <v>Fraud &amp; security</v>
      </c>
      <c r="D4532" s="0" t="n">
        <f aca="false">INDEX(Intent_Analysis!$E$5:$E$81,MATCH(B4532,Intent_Analysis!$A$5:$A$81,0))</f>
        <v>3</v>
      </c>
    </row>
    <row r="4533" customFormat="false" ht="15" hidden="false" customHeight="false" outlineLevel="0" collapsed="false">
      <c r="A4533" s="0" t="s">
        <v>4857</v>
      </c>
      <c r="B4533" s="0" t="s">
        <v>100</v>
      </c>
      <c r="C4533" s="0" t="str">
        <f aca="false">INDEX(Intent_Analysis!$B$5:$B$81,MATCH(B4533,Intent_Analysis!$A$5:$A$81,0))</f>
        <v>Fraud &amp; security</v>
      </c>
      <c r="D4533" s="0" t="n">
        <f aca="false">INDEX(Intent_Analysis!$E$5:$E$81,MATCH(B4533,Intent_Analysis!$A$5:$A$81,0))</f>
        <v>3</v>
      </c>
    </row>
    <row r="4534" customFormat="false" ht="15" hidden="false" customHeight="false" outlineLevel="0" collapsed="false">
      <c r="A4534" s="0" t="s">
        <v>4858</v>
      </c>
      <c r="B4534" s="0" t="s">
        <v>100</v>
      </c>
      <c r="C4534" s="0" t="str">
        <f aca="false">INDEX(Intent_Analysis!$B$5:$B$81,MATCH(B4534,Intent_Analysis!$A$5:$A$81,0))</f>
        <v>Fraud &amp; security</v>
      </c>
      <c r="D4534" s="0" t="n">
        <f aca="false">INDEX(Intent_Analysis!$E$5:$E$81,MATCH(B4534,Intent_Analysis!$A$5:$A$81,0))</f>
        <v>3</v>
      </c>
    </row>
    <row r="4535" customFormat="false" ht="15" hidden="false" customHeight="false" outlineLevel="0" collapsed="false">
      <c r="A4535" s="0" t="s">
        <v>4859</v>
      </c>
      <c r="B4535" s="0" t="s">
        <v>100</v>
      </c>
      <c r="C4535" s="0" t="str">
        <f aca="false">INDEX(Intent_Analysis!$B$5:$B$81,MATCH(B4535,Intent_Analysis!$A$5:$A$81,0))</f>
        <v>Fraud &amp; security</v>
      </c>
      <c r="D4535" s="0" t="n">
        <f aca="false">INDEX(Intent_Analysis!$E$5:$E$81,MATCH(B4535,Intent_Analysis!$A$5:$A$81,0))</f>
        <v>3</v>
      </c>
    </row>
    <row r="4536" customFormat="false" ht="15" hidden="false" customHeight="false" outlineLevel="0" collapsed="false">
      <c r="A4536" s="0" t="s">
        <v>4860</v>
      </c>
      <c r="B4536" s="0" t="s">
        <v>100</v>
      </c>
      <c r="C4536" s="0" t="str">
        <f aca="false">INDEX(Intent_Analysis!$B$5:$B$81,MATCH(B4536,Intent_Analysis!$A$5:$A$81,0))</f>
        <v>Fraud &amp; security</v>
      </c>
      <c r="D4536" s="0" t="n">
        <f aca="false">INDEX(Intent_Analysis!$E$5:$E$81,MATCH(B4536,Intent_Analysis!$A$5:$A$81,0))</f>
        <v>3</v>
      </c>
    </row>
    <row r="4537" customFormat="false" ht="15" hidden="false" customHeight="false" outlineLevel="0" collapsed="false">
      <c r="A4537" s="0" t="s">
        <v>4861</v>
      </c>
      <c r="B4537" s="0" t="s">
        <v>100</v>
      </c>
      <c r="C4537" s="0" t="str">
        <f aca="false">INDEX(Intent_Analysis!$B$5:$B$81,MATCH(B4537,Intent_Analysis!$A$5:$A$81,0))</f>
        <v>Fraud &amp; security</v>
      </c>
      <c r="D4537" s="0" t="n">
        <f aca="false">INDEX(Intent_Analysis!$E$5:$E$81,MATCH(B4537,Intent_Analysis!$A$5:$A$81,0))</f>
        <v>3</v>
      </c>
    </row>
    <row r="4538" customFormat="false" ht="15" hidden="false" customHeight="false" outlineLevel="0" collapsed="false">
      <c r="A4538" s="0" t="s">
        <v>4862</v>
      </c>
      <c r="B4538" s="0" t="s">
        <v>100</v>
      </c>
      <c r="C4538" s="0" t="str">
        <f aca="false">INDEX(Intent_Analysis!$B$5:$B$81,MATCH(B4538,Intent_Analysis!$A$5:$A$81,0))</f>
        <v>Fraud &amp; security</v>
      </c>
      <c r="D4538" s="0" t="n">
        <f aca="false">INDEX(Intent_Analysis!$E$5:$E$81,MATCH(B4538,Intent_Analysis!$A$5:$A$81,0))</f>
        <v>3</v>
      </c>
    </row>
    <row r="4539" customFormat="false" ht="15" hidden="false" customHeight="false" outlineLevel="0" collapsed="false">
      <c r="A4539" s="0" t="s">
        <v>4863</v>
      </c>
      <c r="B4539" s="0" t="s">
        <v>100</v>
      </c>
      <c r="C4539" s="0" t="str">
        <f aca="false">INDEX(Intent_Analysis!$B$5:$B$81,MATCH(B4539,Intent_Analysis!$A$5:$A$81,0))</f>
        <v>Fraud &amp; security</v>
      </c>
      <c r="D4539" s="0" t="n">
        <f aca="false">INDEX(Intent_Analysis!$E$5:$E$81,MATCH(B4539,Intent_Analysis!$A$5:$A$81,0))</f>
        <v>3</v>
      </c>
    </row>
    <row r="4540" customFormat="false" ht="15" hidden="false" customHeight="false" outlineLevel="0" collapsed="false">
      <c r="A4540" s="0" t="s">
        <v>4864</v>
      </c>
      <c r="B4540" s="0" t="s">
        <v>100</v>
      </c>
      <c r="C4540" s="0" t="str">
        <f aca="false">INDEX(Intent_Analysis!$B$5:$B$81,MATCH(B4540,Intent_Analysis!$A$5:$A$81,0))</f>
        <v>Fraud &amp; security</v>
      </c>
      <c r="D4540" s="0" t="n">
        <f aca="false">INDEX(Intent_Analysis!$E$5:$E$81,MATCH(B4540,Intent_Analysis!$A$5:$A$81,0))</f>
        <v>3</v>
      </c>
    </row>
    <row r="4541" customFormat="false" ht="15" hidden="false" customHeight="false" outlineLevel="0" collapsed="false">
      <c r="A4541" s="0" t="s">
        <v>4865</v>
      </c>
      <c r="B4541" s="0" t="s">
        <v>100</v>
      </c>
      <c r="C4541" s="0" t="str">
        <f aca="false">INDEX(Intent_Analysis!$B$5:$B$81,MATCH(B4541,Intent_Analysis!$A$5:$A$81,0))</f>
        <v>Fraud &amp; security</v>
      </c>
      <c r="D4541" s="0" t="n">
        <f aca="false">INDEX(Intent_Analysis!$E$5:$E$81,MATCH(B4541,Intent_Analysis!$A$5:$A$81,0))</f>
        <v>3</v>
      </c>
    </row>
    <row r="4542" customFormat="false" ht="15" hidden="false" customHeight="false" outlineLevel="0" collapsed="false">
      <c r="A4542" s="0" t="s">
        <v>4866</v>
      </c>
      <c r="B4542" s="0" t="s">
        <v>100</v>
      </c>
      <c r="C4542" s="0" t="str">
        <f aca="false">INDEX(Intent_Analysis!$B$5:$B$81,MATCH(B4542,Intent_Analysis!$A$5:$A$81,0))</f>
        <v>Fraud &amp; security</v>
      </c>
      <c r="D4542" s="0" t="n">
        <f aca="false">INDEX(Intent_Analysis!$E$5:$E$81,MATCH(B4542,Intent_Analysis!$A$5:$A$81,0))</f>
        <v>3</v>
      </c>
    </row>
    <row r="4543" customFormat="false" ht="15" hidden="false" customHeight="false" outlineLevel="0" collapsed="false">
      <c r="A4543" s="0" t="s">
        <v>4867</v>
      </c>
      <c r="B4543" s="0" t="s">
        <v>100</v>
      </c>
      <c r="C4543" s="0" t="str">
        <f aca="false">INDEX(Intent_Analysis!$B$5:$B$81,MATCH(B4543,Intent_Analysis!$A$5:$A$81,0))</f>
        <v>Fraud &amp; security</v>
      </c>
      <c r="D4543" s="0" t="n">
        <f aca="false">INDEX(Intent_Analysis!$E$5:$E$81,MATCH(B4543,Intent_Analysis!$A$5:$A$81,0))</f>
        <v>3</v>
      </c>
    </row>
    <row r="4544" customFormat="false" ht="15" hidden="false" customHeight="false" outlineLevel="0" collapsed="false">
      <c r="A4544" s="0" t="s">
        <v>4868</v>
      </c>
      <c r="B4544" s="0" t="s">
        <v>100</v>
      </c>
      <c r="C4544" s="0" t="str">
        <f aca="false">INDEX(Intent_Analysis!$B$5:$B$81,MATCH(B4544,Intent_Analysis!$A$5:$A$81,0))</f>
        <v>Fraud &amp; security</v>
      </c>
      <c r="D4544" s="0" t="n">
        <f aca="false">INDEX(Intent_Analysis!$E$5:$E$81,MATCH(B4544,Intent_Analysis!$A$5:$A$81,0))</f>
        <v>3</v>
      </c>
    </row>
    <row r="4545" customFormat="false" ht="15" hidden="false" customHeight="false" outlineLevel="0" collapsed="false">
      <c r="A4545" s="0" t="s">
        <v>4869</v>
      </c>
      <c r="B4545" s="0" t="s">
        <v>100</v>
      </c>
      <c r="C4545" s="0" t="str">
        <f aca="false">INDEX(Intent_Analysis!$B$5:$B$81,MATCH(B4545,Intent_Analysis!$A$5:$A$81,0))</f>
        <v>Fraud &amp; security</v>
      </c>
      <c r="D4545" s="0" t="n">
        <f aca="false">INDEX(Intent_Analysis!$E$5:$E$81,MATCH(B4545,Intent_Analysis!$A$5:$A$81,0))</f>
        <v>3</v>
      </c>
    </row>
    <row r="4546" customFormat="false" ht="15" hidden="false" customHeight="false" outlineLevel="0" collapsed="false">
      <c r="A4546" s="0" t="s">
        <v>4870</v>
      </c>
      <c r="B4546" s="0" t="s">
        <v>100</v>
      </c>
      <c r="C4546" s="0" t="str">
        <f aca="false">INDEX(Intent_Analysis!$B$5:$B$81,MATCH(B4546,Intent_Analysis!$A$5:$A$81,0))</f>
        <v>Fraud &amp; security</v>
      </c>
      <c r="D4546" s="0" t="n">
        <f aca="false">INDEX(Intent_Analysis!$E$5:$E$81,MATCH(B4546,Intent_Analysis!$A$5:$A$81,0))</f>
        <v>3</v>
      </c>
    </row>
    <row r="4547" customFormat="false" ht="15" hidden="false" customHeight="false" outlineLevel="0" collapsed="false">
      <c r="A4547" s="0" t="s">
        <v>4871</v>
      </c>
      <c r="B4547" s="0" t="s">
        <v>70</v>
      </c>
      <c r="C4547" s="0" t="str">
        <f aca="false">INDEX(Intent_Analysis!$B$5:$B$81,MATCH(B4547,Intent_Analysis!$A$5:$A$81,0))</f>
        <v>Card usage &amp; features</v>
      </c>
      <c r="D4547" s="0" t="n">
        <f aca="false">INDEX(Intent_Analysis!$E$5:$E$81,MATCH(B4547,Intent_Analysis!$A$5:$A$81,0))</f>
        <v>1</v>
      </c>
    </row>
    <row r="4548" customFormat="false" ht="15" hidden="false" customHeight="false" outlineLevel="0" collapsed="false">
      <c r="A4548" s="0" t="s">
        <v>4872</v>
      </c>
      <c r="B4548" s="0" t="s">
        <v>70</v>
      </c>
      <c r="C4548" s="0" t="str">
        <f aca="false">INDEX(Intent_Analysis!$B$5:$B$81,MATCH(B4548,Intent_Analysis!$A$5:$A$81,0))</f>
        <v>Card usage &amp; features</v>
      </c>
      <c r="D4548" s="0" t="n">
        <f aca="false">INDEX(Intent_Analysis!$E$5:$E$81,MATCH(B4548,Intent_Analysis!$A$5:$A$81,0))</f>
        <v>1</v>
      </c>
    </row>
    <row r="4549" customFormat="false" ht="15" hidden="false" customHeight="false" outlineLevel="0" collapsed="false">
      <c r="A4549" s="0" t="s">
        <v>4873</v>
      </c>
      <c r="B4549" s="0" t="s">
        <v>70</v>
      </c>
      <c r="C4549" s="0" t="str">
        <f aca="false">INDEX(Intent_Analysis!$B$5:$B$81,MATCH(B4549,Intent_Analysis!$A$5:$A$81,0))</f>
        <v>Card usage &amp; features</v>
      </c>
      <c r="D4549" s="0" t="n">
        <f aca="false">INDEX(Intent_Analysis!$E$5:$E$81,MATCH(B4549,Intent_Analysis!$A$5:$A$81,0))</f>
        <v>1</v>
      </c>
    </row>
    <row r="4550" customFormat="false" ht="15" hidden="false" customHeight="false" outlineLevel="0" collapsed="false">
      <c r="A4550" s="0" t="s">
        <v>4874</v>
      </c>
      <c r="B4550" s="0" t="s">
        <v>70</v>
      </c>
      <c r="C4550" s="0" t="str">
        <f aca="false">INDEX(Intent_Analysis!$B$5:$B$81,MATCH(B4550,Intent_Analysis!$A$5:$A$81,0))</f>
        <v>Card usage &amp; features</v>
      </c>
      <c r="D4550" s="0" t="n">
        <f aca="false">INDEX(Intent_Analysis!$E$5:$E$81,MATCH(B4550,Intent_Analysis!$A$5:$A$81,0))</f>
        <v>1</v>
      </c>
    </row>
    <row r="4551" customFormat="false" ht="15" hidden="false" customHeight="false" outlineLevel="0" collapsed="false">
      <c r="A4551" s="0" t="s">
        <v>4875</v>
      </c>
      <c r="B4551" s="0" t="s">
        <v>70</v>
      </c>
      <c r="C4551" s="0" t="str">
        <f aca="false">INDEX(Intent_Analysis!$B$5:$B$81,MATCH(B4551,Intent_Analysis!$A$5:$A$81,0))</f>
        <v>Card usage &amp; features</v>
      </c>
      <c r="D4551" s="0" t="n">
        <f aca="false">INDEX(Intent_Analysis!$E$5:$E$81,MATCH(B4551,Intent_Analysis!$A$5:$A$81,0))</f>
        <v>1</v>
      </c>
    </row>
    <row r="4552" customFormat="false" ht="15" hidden="false" customHeight="false" outlineLevel="0" collapsed="false">
      <c r="A4552" s="0" t="s">
        <v>4876</v>
      </c>
      <c r="B4552" s="0" t="s">
        <v>70</v>
      </c>
      <c r="C4552" s="0" t="str">
        <f aca="false">INDEX(Intent_Analysis!$B$5:$B$81,MATCH(B4552,Intent_Analysis!$A$5:$A$81,0))</f>
        <v>Card usage &amp; features</v>
      </c>
      <c r="D4552" s="0" t="n">
        <f aca="false">INDEX(Intent_Analysis!$E$5:$E$81,MATCH(B4552,Intent_Analysis!$A$5:$A$81,0))</f>
        <v>1</v>
      </c>
    </row>
    <row r="4553" customFormat="false" ht="15" hidden="false" customHeight="false" outlineLevel="0" collapsed="false">
      <c r="A4553" s="0" t="s">
        <v>4877</v>
      </c>
      <c r="B4553" s="0" t="s">
        <v>70</v>
      </c>
      <c r="C4553" s="0" t="str">
        <f aca="false">INDEX(Intent_Analysis!$B$5:$B$81,MATCH(B4553,Intent_Analysis!$A$5:$A$81,0))</f>
        <v>Card usage &amp; features</v>
      </c>
      <c r="D4553" s="0" t="n">
        <f aca="false">INDEX(Intent_Analysis!$E$5:$E$81,MATCH(B4553,Intent_Analysis!$A$5:$A$81,0))</f>
        <v>1</v>
      </c>
    </row>
    <row r="4554" customFormat="false" ht="15" hidden="false" customHeight="false" outlineLevel="0" collapsed="false">
      <c r="A4554" s="0" t="s">
        <v>4878</v>
      </c>
      <c r="B4554" s="0" t="s">
        <v>70</v>
      </c>
      <c r="C4554" s="0" t="str">
        <f aca="false">INDEX(Intent_Analysis!$B$5:$B$81,MATCH(B4554,Intent_Analysis!$A$5:$A$81,0))</f>
        <v>Card usage &amp; features</v>
      </c>
      <c r="D4554" s="0" t="n">
        <f aca="false">INDEX(Intent_Analysis!$E$5:$E$81,MATCH(B4554,Intent_Analysis!$A$5:$A$81,0))</f>
        <v>1</v>
      </c>
    </row>
    <row r="4555" customFormat="false" ht="15" hidden="false" customHeight="false" outlineLevel="0" collapsed="false">
      <c r="A4555" s="0" t="s">
        <v>4879</v>
      </c>
      <c r="B4555" s="0" t="s">
        <v>70</v>
      </c>
      <c r="C4555" s="0" t="str">
        <f aca="false">INDEX(Intent_Analysis!$B$5:$B$81,MATCH(B4555,Intent_Analysis!$A$5:$A$81,0))</f>
        <v>Card usage &amp; features</v>
      </c>
      <c r="D4555" s="0" t="n">
        <f aca="false">INDEX(Intent_Analysis!$E$5:$E$81,MATCH(B4555,Intent_Analysis!$A$5:$A$81,0))</f>
        <v>1</v>
      </c>
    </row>
    <row r="4556" customFormat="false" ht="15" hidden="false" customHeight="false" outlineLevel="0" collapsed="false">
      <c r="A4556" s="0" t="s">
        <v>4880</v>
      </c>
      <c r="B4556" s="0" t="s">
        <v>70</v>
      </c>
      <c r="C4556" s="0" t="str">
        <f aca="false">INDEX(Intent_Analysis!$B$5:$B$81,MATCH(B4556,Intent_Analysis!$A$5:$A$81,0))</f>
        <v>Card usage &amp; features</v>
      </c>
      <c r="D4556" s="0" t="n">
        <f aca="false">INDEX(Intent_Analysis!$E$5:$E$81,MATCH(B4556,Intent_Analysis!$A$5:$A$81,0))</f>
        <v>1</v>
      </c>
    </row>
    <row r="4557" customFormat="false" ht="15" hidden="false" customHeight="false" outlineLevel="0" collapsed="false">
      <c r="A4557" s="0" t="s">
        <v>4881</v>
      </c>
      <c r="B4557" s="0" t="s">
        <v>70</v>
      </c>
      <c r="C4557" s="0" t="str">
        <f aca="false">INDEX(Intent_Analysis!$B$5:$B$81,MATCH(B4557,Intent_Analysis!$A$5:$A$81,0))</f>
        <v>Card usage &amp; features</v>
      </c>
      <c r="D4557" s="0" t="n">
        <f aca="false">INDEX(Intent_Analysis!$E$5:$E$81,MATCH(B4557,Intent_Analysis!$A$5:$A$81,0))</f>
        <v>1</v>
      </c>
    </row>
    <row r="4558" customFormat="false" ht="15" hidden="false" customHeight="false" outlineLevel="0" collapsed="false">
      <c r="A4558" s="0" t="s">
        <v>4882</v>
      </c>
      <c r="B4558" s="0" t="s">
        <v>70</v>
      </c>
      <c r="C4558" s="0" t="str">
        <f aca="false">INDEX(Intent_Analysis!$B$5:$B$81,MATCH(B4558,Intent_Analysis!$A$5:$A$81,0))</f>
        <v>Card usage &amp; features</v>
      </c>
      <c r="D4558" s="0" t="n">
        <f aca="false">INDEX(Intent_Analysis!$E$5:$E$81,MATCH(B4558,Intent_Analysis!$A$5:$A$81,0))</f>
        <v>1</v>
      </c>
    </row>
    <row r="4559" customFormat="false" ht="15" hidden="false" customHeight="false" outlineLevel="0" collapsed="false">
      <c r="A4559" s="0" t="s">
        <v>4883</v>
      </c>
      <c r="B4559" s="0" t="s">
        <v>70</v>
      </c>
      <c r="C4559" s="0" t="str">
        <f aca="false">INDEX(Intent_Analysis!$B$5:$B$81,MATCH(B4559,Intent_Analysis!$A$5:$A$81,0))</f>
        <v>Card usage &amp; features</v>
      </c>
      <c r="D4559" s="0" t="n">
        <f aca="false">INDEX(Intent_Analysis!$E$5:$E$81,MATCH(B4559,Intent_Analysis!$A$5:$A$81,0))</f>
        <v>1</v>
      </c>
    </row>
    <row r="4560" customFormat="false" ht="15" hidden="false" customHeight="false" outlineLevel="0" collapsed="false">
      <c r="A4560" s="0" t="s">
        <v>4884</v>
      </c>
      <c r="B4560" s="0" t="s">
        <v>70</v>
      </c>
      <c r="C4560" s="0" t="str">
        <f aca="false">INDEX(Intent_Analysis!$B$5:$B$81,MATCH(B4560,Intent_Analysis!$A$5:$A$81,0))</f>
        <v>Card usage &amp; features</v>
      </c>
      <c r="D4560" s="0" t="n">
        <f aca="false">INDEX(Intent_Analysis!$E$5:$E$81,MATCH(B4560,Intent_Analysis!$A$5:$A$81,0))</f>
        <v>1</v>
      </c>
    </row>
    <row r="4561" customFormat="false" ht="15" hidden="false" customHeight="false" outlineLevel="0" collapsed="false">
      <c r="A4561" s="0" t="s">
        <v>4885</v>
      </c>
      <c r="B4561" s="0" t="s">
        <v>70</v>
      </c>
      <c r="C4561" s="0" t="str">
        <f aca="false">INDEX(Intent_Analysis!$B$5:$B$81,MATCH(B4561,Intent_Analysis!$A$5:$A$81,0))</f>
        <v>Card usage &amp; features</v>
      </c>
      <c r="D4561" s="0" t="n">
        <f aca="false">INDEX(Intent_Analysis!$E$5:$E$81,MATCH(B4561,Intent_Analysis!$A$5:$A$81,0))</f>
        <v>1</v>
      </c>
    </row>
    <row r="4562" customFormat="false" ht="15" hidden="false" customHeight="false" outlineLevel="0" collapsed="false">
      <c r="A4562" s="0" t="s">
        <v>4886</v>
      </c>
      <c r="B4562" s="0" t="s">
        <v>70</v>
      </c>
      <c r="C4562" s="0" t="str">
        <f aca="false">INDEX(Intent_Analysis!$B$5:$B$81,MATCH(B4562,Intent_Analysis!$A$5:$A$81,0))</f>
        <v>Card usage &amp; features</v>
      </c>
      <c r="D4562" s="0" t="n">
        <f aca="false">INDEX(Intent_Analysis!$E$5:$E$81,MATCH(B4562,Intent_Analysis!$A$5:$A$81,0))</f>
        <v>1</v>
      </c>
    </row>
    <row r="4563" customFormat="false" ht="15" hidden="false" customHeight="false" outlineLevel="0" collapsed="false">
      <c r="A4563" s="0" t="s">
        <v>4887</v>
      </c>
      <c r="B4563" s="0" t="s">
        <v>70</v>
      </c>
      <c r="C4563" s="0" t="str">
        <f aca="false">INDEX(Intent_Analysis!$B$5:$B$81,MATCH(B4563,Intent_Analysis!$A$5:$A$81,0))</f>
        <v>Card usage &amp; features</v>
      </c>
      <c r="D4563" s="0" t="n">
        <f aca="false">INDEX(Intent_Analysis!$E$5:$E$81,MATCH(B4563,Intent_Analysis!$A$5:$A$81,0))</f>
        <v>1</v>
      </c>
    </row>
    <row r="4564" customFormat="false" ht="15" hidden="false" customHeight="false" outlineLevel="0" collapsed="false">
      <c r="A4564" s="0" t="s">
        <v>4888</v>
      </c>
      <c r="B4564" s="0" t="s">
        <v>70</v>
      </c>
      <c r="C4564" s="0" t="str">
        <f aca="false">INDEX(Intent_Analysis!$B$5:$B$81,MATCH(B4564,Intent_Analysis!$A$5:$A$81,0))</f>
        <v>Card usage &amp; features</v>
      </c>
      <c r="D4564" s="0" t="n">
        <f aca="false">INDEX(Intent_Analysis!$E$5:$E$81,MATCH(B4564,Intent_Analysis!$A$5:$A$81,0))</f>
        <v>1</v>
      </c>
    </row>
    <row r="4565" customFormat="false" ht="15" hidden="false" customHeight="false" outlineLevel="0" collapsed="false">
      <c r="A4565" s="0" t="s">
        <v>4889</v>
      </c>
      <c r="B4565" s="0" t="s">
        <v>70</v>
      </c>
      <c r="C4565" s="0" t="str">
        <f aca="false">INDEX(Intent_Analysis!$B$5:$B$81,MATCH(B4565,Intent_Analysis!$A$5:$A$81,0))</f>
        <v>Card usage &amp; features</v>
      </c>
      <c r="D4565" s="0" t="n">
        <f aca="false">INDEX(Intent_Analysis!$E$5:$E$81,MATCH(B4565,Intent_Analysis!$A$5:$A$81,0))</f>
        <v>1</v>
      </c>
    </row>
    <row r="4566" customFormat="false" ht="15" hidden="false" customHeight="false" outlineLevel="0" collapsed="false">
      <c r="A4566" s="0" t="s">
        <v>4890</v>
      </c>
      <c r="B4566" s="0" t="s">
        <v>70</v>
      </c>
      <c r="C4566" s="0" t="str">
        <f aca="false">INDEX(Intent_Analysis!$B$5:$B$81,MATCH(B4566,Intent_Analysis!$A$5:$A$81,0))</f>
        <v>Card usage &amp; features</v>
      </c>
      <c r="D4566" s="0" t="n">
        <f aca="false">INDEX(Intent_Analysis!$E$5:$E$81,MATCH(B4566,Intent_Analysis!$A$5:$A$81,0))</f>
        <v>1</v>
      </c>
    </row>
    <row r="4567" customFormat="false" ht="15" hidden="false" customHeight="false" outlineLevel="0" collapsed="false">
      <c r="A4567" s="0" t="s">
        <v>4891</v>
      </c>
      <c r="B4567" s="0" t="s">
        <v>70</v>
      </c>
      <c r="C4567" s="0" t="str">
        <f aca="false">INDEX(Intent_Analysis!$B$5:$B$81,MATCH(B4567,Intent_Analysis!$A$5:$A$81,0))</f>
        <v>Card usage &amp; features</v>
      </c>
      <c r="D4567" s="0" t="n">
        <f aca="false">INDEX(Intent_Analysis!$E$5:$E$81,MATCH(B4567,Intent_Analysis!$A$5:$A$81,0))</f>
        <v>1</v>
      </c>
    </row>
    <row r="4568" customFormat="false" ht="15" hidden="false" customHeight="false" outlineLevel="0" collapsed="false">
      <c r="A4568" s="0" t="s">
        <v>4892</v>
      </c>
      <c r="B4568" s="0" t="s">
        <v>70</v>
      </c>
      <c r="C4568" s="0" t="str">
        <f aca="false">INDEX(Intent_Analysis!$B$5:$B$81,MATCH(B4568,Intent_Analysis!$A$5:$A$81,0))</f>
        <v>Card usage &amp; features</v>
      </c>
      <c r="D4568" s="0" t="n">
        <f aca="false">INDEX(Intent_Analysis!$E$5:$E$81,MATCH(B4568,Intent_Analysis!$A$5:$A$81,0))</f>
        <v>1</v>
      </c>
    </row>
    <row r="4569" customFormat="false" ht="15" hidden="false" customHeight="false" outlineLevel="0" collapsed="false">
      <c r="A4569" s="0" t="s">
        <v>4893</v>
      </c>
      <c r="B4569" s="0" t="s">
        <v>70</v>
      </c>
      <c r="C4569" s="0" t="str">
        <f aca="false">INDEX(Intent_Analysis!$B$5:$B$81,MATCH(B4569,Intent_Analysis!$A$5:$A$81,0))</f>
        <v>Card usage &amp; features</v>
      </c>
      <c r="D4569" s="0" t="n">
        <f aca="false">INDEX(Intent_Analysis!$E$5:$E$81,MATCH(B4569,Intent_Analysis!$A$5:$A$81,0))</f>
        <v>1</v>
      </c>
    </row>
    <row r="4570" customFormat="false" ht="15" hidden="false" customHeight="false" outlineLevel="0" collapsed="false">
      <c r="A4570" s="0" t="s">
        <v>4894</v>
      </c>
      <c r="B4570" s="0" t="s">
        <v>70</v>
      </c>
      <c r="C4570" s="0" t="str">
        <f aca="false">INDEX(Intent_Analysis!$B$5:$B$81,MATCH(B4570,Intent_Analysis!$A$5:$A$81,0))</f>
        <v>Card usage &amp; features</v>
      </c>
      <c r="D4570" s="0" t="n">
        <f aca="false">INDEX(Intent_Analysis!$E$5:$E$81,MATCH(B4570,Intent_Analysis!$A$5:$A$81,0))</f>
        <v>1</v>
      </c>
    </row>
    <row r="4571" customFormat="false" ht="15" hidden="false" customHeight="false" outlineLevel="0" collapsed="false">
      <c r="A4571" s="0" t="s">
        <v>4895</v>
      </c>
      <c r="B4571" s="0" t="s">
        <v>70</v>
      </c>
      <c r="C4571" s="0" t="str">
        <f aca="false">INDEX(Intent_Analysis!$B$5:$B$81,MATCH(B4571,Intent_Analysis!$A$5:$A$81,0))</f>
        <v>Card usage &amp; features</v>
      </c>
      <c r="D4571" s="0" t="n">
        <f aca="false">INDEX(Intent_Analysis!$E$5:$E$81,MATCH(B4571,Intent_Analysis!$A$5:$A$81,0))</f>
        <v>1</v>
      </c>
    </row>
    <row r="4572" customFormat="false" ht="15" hidden="false" customHeight="false" outlineLevel="0" collapsed="false">
      <c r="A4572" s="0" t="s">
        <v>4896</v>
      </c>
      <c r="B4572" s="0" t="s">
        <v>70</v>
      </c>
      <c r="C4572" s="0" t="str">
        <f aca="false">INDEX(Intent_Analysis!$B$5:$B$81,MATCH(B4572,Intent_Analysis!$A$5:$A$81,0))</f>
        <v>Card usage &amp; features</v>
      </c>
      <c r="D4572" s="0" t="n">
        <f aca="false">INDEX(Intent_Analysis!$E$5:$E$81,MATCH(B4572,Intent_Analysis!$A$5:$A$81,0))</f>
        <v>1</v>
      </c>
    </row>
    <row r="4573" customFormat="false" ht="15" hidden="false" customHeight="false" outlineLevel="0" collapsed="false">
      <c r="A4573" s="0" t="s">
        <v>4897</v>
      </c>
      <c r="B4573" s="0" t="s">
        <v>70</v>
      </c>
      <c r="C4573" s="0" t="str">
        <f aca="false">INDEX(Intent_Analysis!$B$5:$B$81,MATCH(B4573,Intent_Analysis!$A$5:$A$81,0))</f>
        <v>Card usage &amp; features</v>
      </c>
      <c r="D4573" s="0" t="n">
        <f aca="false">INDEX(Intent_Analysis!$E$5:$E$81,MATCH(B4573,Intent_Analysis!$A$5:$A$81,0))</f>
        <v>1</v>
      </c>
    </row>
    <row r="4574" customFormat="false" ht="15" hidden="false" customHeight="false" outlineLevel="0" collapsed="false">
      <c r="A4574" s="0" t="s">
        <v>4898</v>
      </c>
      <c r="B4574" s="0" t="s">
        <v>70</v>
      </c>
      <c r="C4574" s="0" t="str">
        <f aca="false">INDEX(Intent_Analysis!$B$5:$B$81,MATCH(B4574,Intent_Analysis!$A$5:$A$81,0))</f>
        <v>Card usage &amp; features</v>
      </c>
      <c r="D4574" s="0" t="n">
        <f aca="false">INDEX(Intent_Analysis!$E$5:$E$81,MATCH(B4574,Intent_Analysis!$A$5:$A$81,0))</f>
        <v>1</v>
      </c>
    </row>
    <row r="4575" customFormat="false" ht="15" hidden="false" customHeight="false" outlineLevel="0" collapsed="false">
      <c r="A4575" s="0" t="s">
        <v>4899</v>
      </c>
      <c r="B4575" s="0" t="s">
        <v>70</v>
      </c>
      <c r="C4575" s="0" t="str">
        <f aca="false">INDEX(Intent_Analysis!$B$5:$B$81,MATCH(B4575,Intent_Analysis!$A$5:$A$81,0))</f>
        <v>Card usage &amp; features</v>
      </c>
      <c r="D4575" s="0" t="n">
        <f aca="false">INDEX(Intent_Analysis!$E$5:$E$81,MATCH(B4575,Intent_Analysis!$A$5:$A$81,0))</f>
        <v>1</v>
      </c>
    </row>
    <row r="4576" customFormat="false" ht="15" hidden="false" customHeight="false" outlineLevel="0" collapsed="false">
      <c r="A4576" s="0" t="s">
        <v>4900</v>
      </c>
      <c r="B4576" s="0" t="s">
        <v>70</v>
      </c>
      <c r="C4576" s="0" t="str">
        <f aca="false">INDEX(Intent_Analysis!$B$5:$B$81,MATCH(B4576,Intent_Analysis!$A$5:$A$81,0))</f>
        <v>Card usage &amp; features</v>
      </c>
      <c r="D4576" s="0" t="n">
        <f aca="false">INDEX(Intent_Analysis!$E$5:$E$81,MATCH(B4576,Intent_Analysis!$A$5:$A$81,0))</f>
        <v>1</v>
      </c>
    </row>
    <row r="4577" customFormat="false" ht="15" hidden="false" customHeight="false" outlineLevel="0" collapsed="false">
      <c r="A4577" s="0" t="s">
        <v>4901</v>
      </c>
      <c r="B4577" s="0" t="s">
        <v>70</v>
      </c>
      <c r="C4577" s="0" t="str">
        <f aca="false">INDEX(Intent_Analysis!$B$5:$B$81,MATCH(B4577,Intent_Analysis!$A$5:$A$81,0))</f>
        <v>Card usage &amp; features</v>
      </c>
      <c r="D4577" s="0" t="n">
        <f aca="false">INDEX(Intent_Analysis!$E$5:$E$81,MATCH(B4577,Intent_Analysis!$A$5:$A$81,0))</f>
        <v>1</v>
      </c>
    </row>
    <row r="4578" customFormat="false" ht="28.35" hidden="false" customHeight="false" outlineLevel="0" collapsed="false">
      <c r="A4578" s="25" t="s">
        <v>4902</v>
      </c>
      <c r="B4578" s="0" t="s">
        <v>70</v>
      </c>
      <c r="C4578" s="0" t="str">
        <f aca="false">INDEX(Intent_Analysis!$B$5:$B$81,MATCH(B4578,Intent_Analysis!$A$5:$A$81,0))</f>
        <v>Card usage &amp; features</v>
      </c>
      <c r="D4578" s="0" t="n">
        <f aca="false">INDEX(Intent_Analysis!$E$5:$E$81,MATCH(B4578,Intent_Analysis!$A$5:$A$81,0))</f>
        <v>1</v>
      </c>
    </row>
    <row r="4579" customFormat="false" ht="15" hidden="false" customHeight="false" outlineLevel="0" collapsed="false">
      <c r="A4579" s="0" t="s">
        <v>4903</v>
      </c>
      <c r="B4579" s="0" t="s">
        <v>70</v>
      </c>
      <c r="C4579" s="0" t="str">
        <f aca="false">INDEX(Intent_Analysis!$B$5:$B$81,MATCH(B4579,Intent_Analysis!$A$5:$A$81,0))</f>
        <v>Card usage &amp; features</v>
      </c>
      <c r="D4579" s="0" t="n">
        <f aca="false">INDEX(Intent_Analysis!$E$5:$E$81,MATCH(B4579,Intent_Analysis!$A$5:$A$81,0))</f>
        <v>1</v>
      </c>
    </row>
    <row r="4580" customFormat="false" ht="15" hidden="false" customHeight="false" outlineLevel="0" collapsed="false">
      <c r="A4580" s="0" t="s">
        <v>4904</v>
      </c>
      <c r="B4580" s="0" t="s">
        <v>70</v>
      </c>
      <c r="C4580" s="0" t="str">
        <f aca="false">INDEX(Intent_Analysis!$B$5:$B$81,MATCH(B4580,Intent_Analysis!$A$5:$A$81,0))</f>
        <v>Card usage &amp; features</v>
      </c>
      <c r="D4580" s="0" t="n">
        <f aca="false">INDEX(Intent_Analysis!$E$5:$E$81,MATCH(B4580,Intent_Analysis!$A$5:$A$81,0))</f>
        <v>1</v>
      </c>
    </row>
    <row r="4581" customFormat="false" ht="15" hidden="false" customHeight="false" outlineLevel="0" collapsed="false">
      <c r="A4581" s="0" t="s">
        <v>4905</v>
      </c>
      <c r="B4581" s="0" t="s">
        <v>70</v>
      </c>
      <c r="C4581" s="0" t="str">
        <f aca="false">INDEX(Intent_Analysis!$B$5:$B$81,MATCH(B4581,Intent_Analysis!$A$5:$A$81,0))</f>
        <v>Card usage &amp; features</v>
      </c>
      <c r="D4581" s="0" t="n">
        <f aca="false">INDEX(Intent_Analysis!$E$5:$E$81,MATCH(B4581,Intent_Analysis!$A$5:$A$81,0))</f>
        <v>1</v>
      </c>
    </row>
    <row r="4582" customFormat="false" ht="15" hidden="false" customHeight="false" outlineLevel="0" collapsed="false">
      <c r="A4582" s="0" t="s">
        <v>4906</v>
      </c>
      <c r="B4582" s="0" t="s">
        <v>70</v>
      </c>
      <c r="C4582" s="0" t="str">
        <f aca="false">INDEX(Intent_Analysis!$B$5:$B$81,MATCH(B4582,Intent_Analysis!$A$5:$A$81,0))</f>
        <v>Card usage &amp; features</v>
      </c>
      <c r="D4582" s="0" t="n">
        <f aca="false">INDEX(Intent_Analysis!$E$5:$E$81,MATCH(B4582,Intent_Analysis!$A$5:$A$81,0))</f>
        <v>1</v>
      </c>
    </row>
    <row r="4583" customFormat="false" ht="15" hidden="false" customHeight="false" outlineLevel="0" collapsed="false">
      <c r="A4583" s="0" t="s">
        <v>4907</v>
      </c>
      <c r="B4583" s="0" t="s">
        <v>70</v>
      </c>
      <c r="C4583" s="0" t="str">
        <f aca="false">INDEX(Intent_Analysis!$B$5:$B$81,MATCH(B4583,Intent_Analysis!$A$5:$A$81,0))</f>
        <v>Card usage &amp; features</v>
      </c>
      <c r="D4583" s="0" t="n">
        <f aca="false">INDEX(Intent_Analysis!$E$5:$E$81,MATCH(B4583,Intent_Analysis!$A$5:$A$81,0))</f>
        <v>1</v>
      </c>
    </row>
    <row r="4584" customFormat="false" ht="15" hidden="false" customHeight="false" outlineLevel="0" collapsed="false">
      <c r="A4584" s="0" t="s">
        <v>4908</v>
      </c>
      <c r="B4584" s="0" t="s">
        <v>70</v>
      </c>
      <c r="C4584" s="0" t="str">
        <f aca="false">INDEX(Intent_Analysis!$B$5:$B$81,MATCH(B4584,Intent_Analysis!$A$5:$A$81,0))</f>
        <v>Card usage &amp; features</v>
      </c>
      <c r="D4584" s="0" t="n">
        <f aca="false">INDEX(Intent_Analysis!$E$5:$E$81,MATCH(B4584,Intent_Analysis!$A$5:$A$81,0))</f>
        <v>1</v>
      </c>
    </row>
    <row r="4585" customFormat="false" ht="15" hidden="false" customHeight="false" outlineLevel="0" collapsed="false">
      <c r="A4585" s="0" t="s">
        <v>4909</v>
      </c>
      <c r="B4585" s="0" t="s">
        <v>70</v>
      </c>
      <c r="C4585" s="0" t="str">
        <f aca="false">INDEX(Intent_Analysis!$B$5:$B$81,MATCH(B4585,Intent_Analysis!$A$5:$A$81,0))</f>
        <v>Card usage &amp; features</v>
      </c>
      <c r="D4585" s="0" t="n">
        <f aca="false">INDEX(Intent_Analysis!$E$5:$E$81,MATCH(B4585,Intent_Analysis!$A$5:$A$81,0))</f>
        <v>1</v>
      </c>
    </row>
    <row r="4586" customFormat="false" ht="15" hidden="false" customHeight="false" outlineLevel="0" collapsed="false">
      <c r="A4586" s="0" t="s">
        <v>4910</v>
      </c>
      <c r="B4586" s="0" t="s">
        <v>70</v>
      </c>
      <c r="C4586" s="0" t="str">
        <f aca="false">INDEX(Intent_Analysis!$B$5:$B$81,MATCH(B4586,Intent_Analysis!$A$5:$A$81,0))</f>
        <v>Card usage &amp; features</v>
      </c>
      <c r="D4586" s="0" t="n">
        <f aca="false">INDEX(Intent_Analysis!$E$5:$E$81,MATCH(B4586,Intent_Analysis!$A$5:$A$81,0))</f>
        <v>1</v>
      </c>
    </row>
    <row r="4587" customFormat="false" ht="15" hidden="false" customHeight="false" outlineLevel="0" collapsed="false">
      <c r="A4587" s="0" t="s">
        <v>4911</v>
      </c>
      <c r="B4587" s="0" t="s">
        <v>70</v>
      </c>
      <c r="C4587" s="0" t="str">
        <f aca="false">INDEX(Intent_Analysis!$B$5:$B$81,MATCH(B4587,Intent_Analysis!$A$5:$A$81,0))</f>
        <v>Card usage &amp; features</v>
      </c>
      <c r="D4587" s="0" t="n">
        <f aca="false">INDEX(Intent_Analysis!$E$5:$E$81,MATCH(B4587,Intent_Analysis!$A$5:$A$81,0))</f>
        <v>1</v>
      </c>
    </row>
    <row r="4588" customFormat="false" ht="15" hidden="false" customHeight="false" outlineLevel="0" collapsed="false">
      <c r="A4588" s="0" t="s">
        <v>4912</v>
      </c>
      <c r="B4588" s="0" t="s">
        <v>70</v>
      </c>
      <c r="C4588" s="0" t="str">
        <f aca="false">INDEX(Intent_Analysis!$B$5:$B$81,MATCH(B4588,Intent_Analysis!$A$5:$A$81,0))</f>
        <v>Card usage &amp; features</v>
      </c>
      <c r="D4588" s="0" t="n">
        <f aca="false">INDEX(Intent_Analysis!$E$5:$E$81,MATCH(B4588,Intent_Analysis!$A$5:$A$81,0))</f>
        <v>1</v>
      </c>
    </row>
    <row r="4589" customFormat="false" ht="15" hidden="false" customHeight="false" outlineLevel="0" collapsed="false">
      <c r="A4589" s="0" t="s">
        <v>4913</v>
      </c>
      <c r="B4589" s="0" t="s">
        <v>70</v>
      </c>
      <c r="C4589" s="0" t="str">
        <f aca="false">INDEX(Intent_Analysis!$B$5:$B$81,MATCH(B4589,Intent_Analysis!$A$5:$A$81,0))</f>
        <v>Card usage &amp; features</v>
      </c>
      <c r="D4589" s="0" t="n">
        <f aca="false">INDEX(Intent_Analysis!$E$5:$E$81,MATCH(B4589,Intent_Analysis!$A$5:$A$81,0))</f>
        <v>1</v>
      </c>
    </row>
    <row r="4590" customFormat="false" ht="15" hidden="false" customHeight="false" outlineLevel="0" collapsed="false">
      <c r="A4590" s="0" t="s">
        <v>4914</v>
      </c>
      <c r="B4590" s="0" t="s">
        <v>70</v>
      </c>
      <c r="C4590" s="0" t="str">
        <f aca="false">INDEX(Intent_Analysis!$B$5:$B$81,MATCH(B4590,Intent_Analysis!$A$5:$A$81,0))</f>
        <v>Card usage &amp; features</v>
      </c>
      <c r="D4590" s="0" t="n">
        <f aca="false">INDEX(Intent_Analysis!$E$5:$E$81,MATCH(B4590,Intent_Analysis!$A$5:$A$81,0))</f>
        <v>1</v>
      </c>
    </row>
    <row r="4591" customFormat="false" ht="15" hidden="false" customHeight="false" outlineLevel="0" collapsed="false">
      <c r="A4591" s="0" t="s">
        <v>4915</v>
      </c>
      <c r="B4591" s="0" t="s">
        <v>70</v>
      </c>
      <c r="C4591" s="0" t="str">
        <f aca="false">INDEX(Intent_Analysis!$B$5:$B$81,MATCH(B4591,Intent_Analysis!$A$5:$A$81,0))</f>
        <v>Card usage &amp; features</v>
      </c>
      <c r="D4591" s="0" t="n">
        <f aca="false">INDEX(Intent_Analysis!$E$5:$E$81,MATCH(B4591,Intent_Analysis!$A$5:$A$81,0))</f>
        <v>1</v>
      </c>
    </row>
    <row r="4592" customFormat="false" ht="15" hidden="false" customHeight="false" outlineLevel="0" collapsed="false">
      <c r="A4592" s="0" t="s">
        <v>4916</v>
      </c>
      <c r="B4592" s="0" t="s">
        <v>70</v>
      </c>
      <c r="C4592" s="0" t="str">
        <f aca="false">INDEX(Intent_Analysis!$B$5:$B$81,MATCH(B4592,Intent_Analysis!$A$5:$A$81,0))</f>
        <v>Card usage &amp; features</v>
      </c>
      <c r="D4592" s="0" t="n">
        <f aca="false">INDEX(Intent_Analysis!$E$5:$E$81,MATCH(B4592,Intent_Analysis!$A$5:$A$81,0))</f>
        <v>1</v>
      </c>
    </row>
    <row r="4593" customFormat="false" ht="15" hidden="false" customHeight="false" outlineLevel="0" collapsed="false">
      <c r="A4593" s="0" t="s">
        <v>4917</v>
      </c>
      <c r="B4593" s="0" t="s">
        <v>70</v>
      </c>
      <c r="C4593" s="0" t="str">
        <f aca="false">INDEX(Intent_Analysis!$B$5:$B$81,MATCH(B4593,Intent_Analysis!$A$5:$A$81,0))</f>
        <v>Card usage &amp; features</v>
      </c>
      <c r="D4593" s="0" t="n">
        <f aca="false">INDEX(Intent_Analysis!$E$5:$E$81,MATCH(B4593,Intent_Analysis!$A$5:$A$81,0))</f>
        <v>1</v>
      </c>
    </row>
    <row r="4594" customFormat="false" ht="15" hidden="false" customHeight="false" outlineLevel="0" collapsed="false">
      <c r="A4594" s="0" t="s">
        <v>4918</v>
      </c>
      <c r="B4594" s="0" t="s">
        <v>70</v>
      </c>
      <c r="C4594" s="0" t="str">
        <f aca="false">INDEX(Intent_Analysis!$B$5:$B$81,MATCH(B4594,Intent_Analysis!$A$5:$A$81,0))</f>
        <v>Card usage &amp; features</v>
      </c>
      <c r="D4594" s="0" t="n">
        <f aca="false">INDEX(Intent_Analysis!$E$5:$E$81,MATCH(B4594,Intent_Analysis!$A$5:$A$81,0))</f>
        <v>1</v>
      </c>
    </row>
    <row r="4595" customFormat="false" ht="15" hidden="false" customHeight="false" outlineLevel="0" collapsed="false">
      <c r="A4595" s="0" t="s">
        <v>4919</v>
      </c>
      <c r="B4595" s="0" t="s">
        <v>70</v>
      </c>
      <c r="C4595" s="0" t="str">
        <f aca="false">INDEX(Intent_Analysis!$B$5:$B$81,MATCH(B4595,Intent_Analysis!$A$5:$A$81,0))</f>
        <v>Card usage &amp; features</v>
      </c>
      <c r="D4595" s="0" t="n">
        <f aca="false">INDEX(Intent_Analysis!$E$5:$E$81,MATCH(B4595,Intent_Analysis!$A$5:$A$81,0))</f>
        <v>1</v>
      </c>
    </row>
    <row r="4596" customFormat="false" ht="15" hidden="false" customHeight="false" outlineLevel="0" collapsed="false">
      <c r="A4596" s="0" t="s">
        <v>4920</v>
      </c>
      <c r="B4596" s="0" t="s">
        <v>70</v>
      </c>
      <c r="C4596" s="0" t="str">
        <f aca="false">INDEX(Intent_Analysis!$B$5:$B$81,MATCH(B4596,Intent_Analysis!$A$5:$A$81,0))</f>
        <v>Card usage &amp; features</v>
      </c>
      <c r="D4596" s="0" t="n">
        <f aca="false">INDEX(Intent_Analysis!$E$5:$E$81,MATCH(B4596,Intent_Analysis!$A$5:$A$81,0))</f>
        <v>1</v>
      </c>
    </row>
    <row r="4597" customFormat="false" ht="28.35" hidden="false" customHeight="false" outlineLevel="0" collapsed="false">
      <c r="A4597" s="25" t="s">
        <v>4921</v>
      </c>
      <c r="B4597" s="0" t="s">
        <v>70</v>
      </c>
      <c r="C4597" s="0" t="str">
        <f aca="false">INDEX(Intent_Analysis!$B$5:$B$81,MATCH(B4597,Intent_Analysis!$A$5:$A$81,0))</f>
        <v>Card usage &amp; features</v>
      </c>
      <c r="D4597" s="0" t="n">
        <f aca="false">INDEX(Intent_Analysis!$E$5:$E$81,MATCH(B4597,Intent_Analysis!$A$5:$A$81,0))</f>
        <v>1</v>
      </c>
    </row>
    <row r="4598" customFormat="false" ht="15" hidden="false" customHeight="false" outlineLevel="0" collapsed="false">
      <c r="A4598" s="0" t="s">
        <v>4922</v>
      </c>
      <c r="B4598" s="0" t="s">
        <v>70</v>
      </c>
      <c r="C4598" s="0" t="str">
        <f aca="false">INDEX(Intent_Analysis!$B$5:$B$81,MATCH(B4598,Intent_Analysis!$A$5:$A$81,0))</f>
        <v>Card usage &amp; features</v>
      </c>
      <c r="D4598" s="0" t="n">
        <f aca="false">INDEX(Intent_Analysis!$E$5:$E$81,MATCH(B4598,Intent_Analysis!$A$5:$A$81,0))</f>
        <v>1</v>
      </c>
    </row>
    <row r="4599" customFormat="false" ht="15" hidden="false" customHeight="false" outlineLevel="0" collapsed="false">
      <c r="A4599" s="0" t="s">
        <v>4923</v>
      </c>
      <c r="B4599" s="0" t="s">
        <v>70</v>
      </c>
      <c r="C4599" s="0" t="str">
        <f aca="false">INDEX(Intent_Analysis!$B$5:$B$81,MATCH(B4599,Intent_Analysis!$A$5:$A$81,0))</f>
        <v>Card usage &amp; features</v>
      </c>
      <c r="D4599" s="0" t="n">
        <f aca="false">INDEX(Intent_Analysis!$E$5:$E$81,MATCH(B4599,Intent_Analysis!$A$5:$A$81,0))</f>
        <v>1</v>
      </c>
    </row>
    <row r="4600" customFormat="false" ht="15" hidden="false" customHeight="false" outlineLevel="0" collapsed="false">
      <c r="A4600" s="0" t="s">
        <v>4924</v>
      </c>
      <c r="B4600" s="0" t="s">
        <v>70</v>
      </c>
      <c r="C4600" s="0" t="str">
        <f aca="false">INDEX(Intent_Analysis!$B$5:$B$81,MATCH(B4600,Intent_Analysis!$A$5:$A$81,0))</f>
        <v>Card usage &amp; features</v>
      </c>
      <c r="D4600" s="0" t="n">
        <f aca="false">INDEX(Intent_Analysis!$E$5:$E$81,MATCH(B4600,Intent_Analysis!$A$5:$A$81,0))</f>
        <v>1</v>
      </c>
    </row>
    <row r="4601" customFormat="false" ht="15" hidden="false" customHeight="false" outlineLevel="0" collapsed="false">
      <c r="A4601" s="0" t="s">
        <v>4925</v>
      </c>
      <c r="B4601" s="0" t="s">
        <v>70</v>
      </c>
      <c r="C4601" s="0" t="str">
        <f aca="false">INDEX(Intent_Analysis!$B$5:$B$81,MATCH(B4601,Intent_Analysis!$A$5:$A$81,0))</f>
        <v>Card usage &amp; features</v>
      </c>
      <c r="D4601" s="0" t="n">
        <f aca="false">INDEX(Intent_Analysis!$E$5:$E$81,MATCH(B4601,Intent_Analysis!$A$5:$A$81,0))</f>
        <v>1</v>
      </c>
    </row>
    <row r="4602" customFormat="false" ht="15" hidden="false" customHeight="false" outlineLevel="0" collapsed="false">
      <c r="A4602" s="0" t="s">
        <v>4926</v>
      </c>
      <c r="B4602" s="0" t="s">
        <v>70</v>
      </c>
      <c r="C4602" s="0" t="str">
        <f aca="false">INDEX(Intent_Analysis!$B$5:$B$81,MATCH(B4602,Intent_Analysis!$A$5:$A$81,0))</f>
        <v>Card usage &amp; features</v>
      </c>
      <c r="D4602" s="0" t="n">
        <f aca="false">INDEX(Intent_Analysis!$E$5:$E$81,MATCH(B4602,Intent_Analysis!$A$5:$A$81,0))</f>
        <v>1</v>
      </c>
    </row>
    <row r="4603" customFormat="false" ht="15" hidden="false" customHeight="false" outlineLevel="0" collapsed="false">
      <c r="A4603" s="0" t="s">
        <v>4927</v>
      </c>
      <c r="B4603" s="0" t="s">
        <v>70</v>
      </c>
      <c r="C4603" s="0" t="str">
        <f aca="false">INDEX(Intent_Analysis!$B$5:$B$81,MATCH(B4603,Intent_Analysis!$A$5:$A$81,0))</f>
        <v>Card usage &amp; features</v>
      </c>
      <c r="D4603" s="0" t="n">
        <f aca="false">INDEX(Intent_Analysis!$E$5:$E$81,MATCH(B4603,Intent_Analysis!$A$5:$A$81,0))</f>
        <v>1</v>
      </c>
    </row>
    <row r="4604" customFormat="false" ht="15" hidden="false" customHeight="false" outlineLevel="0" collapsed="false">
      <c r="A4604" s="0" t="s">
        <v>4928</v>
      </c>
      <c r="B4604" s="0" t="s">
        <v>70</v>
      </c>
      <c r="C4604" s="0" t="str">
        <f aca="false">INDEX(Intent_Analysis!$B$5:$B$81,MATCH(B4604,Intent_Analysis!$A$5:$A$81,0))</f>
        <v>Card usage &amp; features</v>
      </c>
      <c r="D4604" s="0" t="n">
        <f aca="false">INDEX(Intent_Analysis!$E$5:$E$81,MATCH(B4604,Intent_Analysis!$A$5:$A$81,0))</f>
        <v>1</v>
      </c>
    </row>
    <row r="4605" customFormat="false" ht="15" hidden="false" customHeight="false" outlineLevel="0" collapsed="false">
      <c r="A4605" s="0" t="s">
        <v>4929</v>
      </c>
      <c r="B4605" s="0" t="s">
        <v>70</v>
      </c>
      <c r="C4605" s="0" t="str">
        <f aca="false">INDEX(Intent_Analysis!$B$5:$B$81,MATCH(B4605,Intent_Analysis!$A$5:$A$81,0))</f>
        <v>Card usage &amp; features</v>
      </c>
      <c r="D4605" s="0" t="n">
        <f aca="false">INDEX(Intent_Analysis!$E$5:$E$81,MATCH(B4605,Intent_Analysis!$A$5:$A$81,0))</f>
        <v>1</v>
      </c>
    </row>
    <row r="4606" customFormat="false" ht="15" hidden="false" customHeight="false" outlineLevel="0" collapsed="false">
      <c r="A4606" s="0" t="s">
        <v>4930</v>
      </c>
      <c r="B4606" s="0" t="s">
        <v>70</v>
      </c>
      <c r="C4606" s="0" t="str">
        <f aca="false">INDEX(Intent_Analysis!$B$5:$B$81,MATCH(B4606,Intent_Analysis!$A$5:$A$81,0))</f>
        <v>Card usage &amp; features</v>
      </c>
      <c r="D4606" s="0" t="n">
        <f aca="false">INDEX(Intent_Analysis!$E$5:$E$81,MATCH(B4606,Intent_Analysis!$A$5:$A$81,0))</f>
        <v>1</v>
      </c>
    </row>
    <row r="4607" customFormat="false" ht="15" hidden="false" customHeight="false" outlineLevel="0" collapsed="false">
      <c r="A4607" s="0" t="s">
        <v>4931</v>
      </c>
      <c r="B4607" s="0" t="s">
        <v>70</v>
      </c>
      <c r="C4607" s="0" t="str">
        <f aca="false">INDEX(Intent_Analysis!$B$5:$B$81,MATCH(B4607,Intent_Analysis!$A$5:$A$81,0))</f>
        <v>Card usage &amp; features</v>
      </c>
      <c r="D4607" s="0" t="n">
        <f aca="false">INDEX(Intent_Analysis!$E$5:$E$81,MATCH(B4607,Intent_Analysis!$A$5:$A$81,0))</f>
        <v>1</v>
      </c>
    </row>
    <row r="4608" customFormat="false" ht="15" hidden="false" customHeight="false" outlineLevel="0" collapsed="false">
      <c r="A4608" s="0" t="s">
        <v>4932</v>
      </c>
      <c r="B4608" s="0" t="s">
        <v>70</v>
      </c>
      <c r="C4608" s="0" t="str">
        <f aca="false">INDEX(Intent_Analysis!$B$5:$B$81,MATCH(B4608,Intent_Analysis!$A$5:$A$81,0))</f>
        <v>Card usage &amp; features</v>
      </c>
      <c r="D4608" s="0" t="n">
        <f aca="false">INDEX(Intent_Analysis!$E$5:$E$81,MATCH(B4608,Intent_Analysis!$A$5:$A$81,0))</f>
        <v>1</v>
      </c>
    </row>
    <row r="4609" customFormat="false" ht="15" hidden="false" customHeight="false" outlineLevel="0" collapsed="false">
      <c r="A4609" s="0" t="s">
        <v>4933</v>
      </c>
      <c r="B4609" s="0" t="s">
        <v>70</v>
      </c>
      <c r="C4609" s="0" t="str">
        <f aca="false">INDEX(Intent_Analysis!$B$5:$B$81,MATCH(B4609,Intent_Analysis!$A$5:$A$81,0))</f>
        <v>Card usage &amp; features</v>
      </c>
      <c r="D4609" s="0" t="n">
        <f aca="false">INDEX(Intent_Analysis!$E$5:$E$81,MATCH(B4609,Intent_Analysis!$A$5:$A$81,0))</f>
        <v>1</v>
      </c>
    </row>
    <row r="4610" customFormat="false" ht="15" hidden="false" customHeight="false" outlineLevel="0" collapsed="false">
      <c r="A4610" s="0" t="s">
        <v>4934</v>
      </c>
      <c r="B4610" s="0" t="s">
        <v>70</v>
      </c>
      <c r="C4610" s="0" t="str">
        <f aca="false">INDEX(Intent_Analysis!$B$5:$B$81,MATCH(B4610,Intent_Analysis!$A$5:$A$81,0))</f>
        <v>Card usage &amp; features</v>
      </c>
      <c r="D4610" s="0" t="n">
        <f aca="false">INDEX(Intent_Analysis!$E$5:$E$81,MATCH(B4610,Intent_Analysis!$A$5:$A$81,0))</f>
        <v>1</v>
      </c>
    </row>
    <row r="4611" customFormat="false" ht="15" hidden="false" customHeight="false" outlineLevel="0" collapsed="false">
      <c r="A4611" s="0" t="s">
        <v>4935</v>
      </c>
      <c r="B4611" s="0" t="s">
        <v>70</v>
      </c>
      <c r="C4611" s="0" t="str">
        <f aca="false">INDEX(Intent_Analysis!$B$5:$B$81,MATCH(B4611,Intent_Analysis!$A$5:$A$81,0))</f>
        <v>Card usage &amp; features</v>
      </c>
      <c r="D4611" s="0" t="n">
        <f aca="false">INDEX(Intent_Analysis!$E$5:$E$81,MATCH(B4611,Intent_Analysis!$A$5:$A$81,0))</f>
        <v>1</v>
      </c>
    </row>
    <row r="4612" customFormat="false" ht="15" hidden="false" customHeight="false" outlineLevel="0" collapsed="false">
      <c r="A4612" s="0" t="s">
        <v>4936</v>
      </c>
      <c r="B4612" s="0" t="s">
        <v>70</v>
      </c>
      <c r="C4612" s="0" t="str">
        <f aca="false">INDEX(Intent_Analysis!$B$5:$B$81,MATCH(B4612,Intent_Analysis!$A$5:$A$81,0))</f>
        <v>Card usage &amp; features</v>
      </c>
      <c r="D4612" s="0" t="n">
        <f aca="false">INDEX(Intent_Analysis!$E$5:$E$81,MATCH(B4612,Intent_Analysis!$A$5:$A$81,0))</f>
        <v>1</v>
      </c>
    </row>
    <row r="4613" customFormat="false" ht="15" hidden="false" customHeight="false" outlineLevel="0" collapsed="false">
      <c r="A4613" s="0" t="s">
        <v>4937</v>
      </c>
      <c r="B4613" s="0" t="s">
        <v>70</v>
      </c>
      <c r="C4613" s="0" t="str">
        <f aca="false">INDEX(Intent_Analysis!$B$5:$B$81,MATCH(B4613,Intent_Analysis!$A$5:$A$81,0))</f>
        <v>Card usage &amp; features</v>
      </c>
      <c r="D4613" s="0" t="n">
        <f aca="false">INDEX(Intent_Analysis!$E$5:$E$81,MATCH(B4613,Intent_Analysis!$A$5:$A$81,0))</f>
        <v>1</v>
      </c>
    </row>
    <row r="4614" customFormat="false" ht="15" hidden="false" customHeight="false" outlineLevel="0" collapsed="false">
      <c r="A4614" s="0" t="s">
        <v>4938</v>
      </c>
      <c r="B4614" s="0" t="s">
        <v>70</v>
      </c>
      <c r="C4614" s="0" t="str">
        <f aca="false">INDEX(Intent_Analysis!$B$5:$B$81,MATCH(B4614,Intent_Analysis!$A$5:$A$81,0))</f>
        <v>Card usage &amp; features</v>
      </c>
      <c r="D4614" s="0" t="n">
        <f aca="false">INDEX(Intent_Analysis!$E$5:$E$81,MATCH(B4614,Intent_Analysis!$A$5:$A$81,0))</f>
        <v>1</v>
      </c>
    </row>
    <row r="4615" customFormat="false" ht="15" hidden="false" customHeight="false" outlineLevel="0" collapsed="false">
      <c r="A4615" s="0" t="s">
        <v>4939</v>
      </c>
      <c r="B4615" s="0" t="s">
        <v>70</v>
      </c>
      <c r="C4615" s="0" t="str">
        <f aca="false">INDEX(Intent_Analysis!$B$5:$B$81,MATCH(B4615,Intent_Analysis!$A$5:$A$81,0))</f>
        <v>Card usage &amp; features</v>
      </c>
      <c r="D4615" s="0" t="n">
        <f aca="false">INDEX(Intent_Analysis!$E$5:$E$81,MATCH(B4615,Intent_Analysis!$A$5:$A$81,0))</f>
        <v>1</v>
      </c>
    </row>
    <row r="4616" customFormat="false" ht="15" hidden="false" customHeight="false" outlineLevel="0" collapsed="false">
      <c r="A4616" s="0" t="s">
        <v>4940</v>
      </c>
      <c r="B4616" s="0" t="s">
        <v>70</v>
      </c>
      <c r="C4616" s="0" t="str">
        <f aca="false">INDEX(Intent_Analysis!$B$5:$B$81,MATCH(B4616,Intent_Analysis!$A$5:$A$81,0))</f>
        <v>Card usage &amp; features</v>
      </c>
      <c r="D4616" s="0" t="n">
        <f aca="false">INDEX(Intent_Analysis!$E$5:$E$81,MATCH(B4616,Intent_Analysis!$A$5:$A$81,0))</f>
        <v>1</v>
      </c>
    </row>
    <row r="4617" customFormat="false" ht="15" hidden="false" customHeight="false" outlineLevel="0" collapsed="false">
      <c r="A4617" s="0" t="s">
        <v>4941</v>
      </c>
      <c r="B4617" s="0" t="s">
        <v>70</v>
      </c>
      <c r="C4617" s="0" t="str">
        <f aca="false">INDEX(Intent_Analysis!$B$5:$B$81,MATCH(B4617,Intent_Analysis!$A$5:$A$81,0))</f>
        <v>Card usage &amp; features</v>
      </c>
      <c r="D4617" s="0" t="n">
        <f aca="false">INDEX(Intent_Analysis!$E$5:$E$81,MATCH(B4617,Intent_Analysis!$A$5:$A$81,0))</f>
        <v>1</v>
      </c>
    </row>
    <row r="4618" customFormat="false" ht="15" hidden="false" customHeight="false" outlineLevel="0" collapsed="false">
      <c r="A4618" s="0" t="s">
        <v>4942</v>
      </c>
      <c r="B4618" s="0" t="s">
        <v>70</v>
      </c>
      <c r="C4618" s="0" t="str">
        <f aca="false">INDEX(Intent_Analysis!$B$5:$B$81,MATCH(B4618,Intent_Analysis!$A$5:$A$81,0))</f>
        <v>Card usage &amp; features</v>
      </c>
      <c r="D4618" s="0" t="n">
        <f aca="false">INDEX(Intent_Analysis!$E$5:$E$81,MATCH(B4618,Intent_Analysis!$A$5:$A$81,0))</f>
        <v>1</v>
      </c>
    </row>
    <row r="4619" customFormat="false" ht="15" hidden="false" customHeight="false" outlineLevel="0" collapsed="false">
      <c r="A4619" s="0" t="s">
        <v>4943</v>
      </c>
      <c r="B4619" s="0" t="s">
        <v>70</v>
      </c>
      <c r="C4619" s="0" t="str">
        <f aca="false">INDEX(Intent_Analysis!$B$5:$B$81,MATCH(B4619,Intent_Analysis!$A$5:$A$81,0))</f>
        <v>Card usage &amp; features</v>
      </c>
      <c r="D4619" s="0" t="n">
        <f aca="false">INDEX(Intent_Analysis!$E$5:$E$81,MATCH(B4619,Intent_Analysis!$A$5:$A$81,0))</f>
        <v>1</v>
      </c>
    </row>
    <row r="4620" customFormat="false" ht="15" hidden="false" customHeight="false" outlineLevel="0" collapsed="false">
      <c r="A4620" s="0" t="s">
        <v>4944</v>
      </c>
      <c r="B4620" s="0" t="s">
        <v>70</v>
      </c>
      <c r="C4620" s="0" t="str">
        <f aca="false">INDEX(Intent_Analysis!$B$5:$B$81,MATCH(B4620,Intent_Analysis!$A$5:$A$81,0))</f>
        <v>Card usage &amp; features</v>
      </c>
      <c r="D4620" s="0" t="n">
        <f aca="false">INDEX(Intent_Analysis!$E$5:$E$81,MATCH(B4620,Intent_Analysis!$A$5:$A$81,0))</f>
        <v>1</v>
      </c>
    </row>
    <row r="4621" customFormat="false" ht="15" hidden="false" customHeight="false" outlineLevel="0" collapsed="false">
      <c r="A4621" s="0" t="s">
        <v>4945</v>
      </c>
      <c r="B4621" s="0" t="s">
        <v>70</v>
      </c>
      <c r="C4621" s="0" t="str">
        <f aca="false">INDEX(Intent_Analysis!$B$5:$B$81,MATCH(B4621,Intent_Analysis!$A$5:$A$81,0))</f>
        <v>Card usage &amp; features</v>
      </c>
      <c r="D4621" s="0" t="n">
        <f aca="false">INDEX(Intent_Analysis!$E$5:$E$81,MATCH(B4621,Intent_Analysis!$A$5:$A$81,0))</f>
        <v>1</v>
      </c>
    </row>
    <row r="4622" customFormat="false" ht="15" hidden="false" customHeight="false" outlineLevel="0" collapsed="false">
      <c r="A4622" s="0" t="s">
        <v>4946</v>
      </c>
      <c r="B4622" s="0" t="s">
        <v>70</v>
      </c>
      <c r="C4622" s="0" t="str">
        <f aca="false">INDEX(Intent_Analysis!$B$5:$B$81,MATCH(B4622,Intent_Analysis!$A$5:$A$81,0))</f>
        <v>Card usage &amp; features</v>
      </c>
      <c r="D4622" s="0" t="n">
        <f aca="false">INDEX(Intent_Analysis!$E$5:$E$81,MATCH(B4622,Intent_Analysis!$A$5:$A$81,0))</f>
        <v>1</v>
      </c>
    </row>
    <row r="4623" customFormat="false" ht="15" hidden="false" customHeight="false" outlineLevel="0" collapsed="false">
      <c r="A4623" s="0" t="s">
        <v>4947</v>
      </c>
      <c r="B4623" s="0" t="s">
        <v>70</v>
      </c>
      <c r="C4623" s="0" t="str">
        <f aca="false">INDEX(Intent_Analysis!$B$5:$B$81,MATCH(B4623,Intent_Analysis!$A$5:$A$81,0))</f>
        <v>Card usage &amp; features</v>
      </c>
      <c r="D4623" s="0" t="n">
        <f aca="false">INDEX(Intent_Analysis!$E$5:$E$81,MATCH(B4623,Intent_Analysis!$A$5:$A$81,0))</f>
        <v>1</v>
      </c>
    </row>
    <row r="4624" customFormat="false" ht="15" hidden="false" customHeight="false" outlineLevel="0" collapsed="false">
      <c r="A4624" s="0" t="s">
        <v>4948</v>
      </c>
      <c r="B4624" s="0" t="s">
        <v>70</v>
      </c>
      <c r="C4624" s="0" t="str">
        <f aca="false">INDEX(Intent_Analysis!$B$5:$B$81,MATCH(B4624,Intent_Analysis!$A$5:$A$81,0))</f>
        <v>Card usage &amp; features</v>
      </c>
      <c r="D4624" s="0" t="n">
        <f aca="false">INDEX(Intent_Analysis!$E$5:$E$81,MATCH(B4624,Intent_Analysis!$A$5:$A$81,0))</f>
        <v>1</v>
      </c>
    </row>
    <row r="4625" customFormat="false" ht="15" hidden="false" customHeight="false" outlineLevel="0" collapsed="false">
      <c r="A4625" s="0" t="s">
        <v>4949</v>
      </c>
      <c r="B4625" s="0" t="s">
        <v>70</v>
      </c>
      <c r="C4625" s="0" t="str">
        <f aca="false">INDEX(Intent_Analysis!$B$5:$B$81,MATCH(B4625,Intent_Analysis!$A$5:$A$81,0))</f>
        <v>Card usage &amp; features</v>
      </c>
      <c r="D4625" s="0" t="n">
        <f aca="false">INDEX(Intent_Analysis!$E$5:$E$81,MATCH(B4625,Intent_Analysis!$A$5:$A$81,0))</f>
        <v>1</v>
      </c>
    </row>
    <row r="4626" customFormat="false" ht="15" hidden="false" customHeight="false" outlineLevel="0" collapsed="false">
      <c r="A4626" s="0" t="s">
        <v>4950</v>
      </c>
      <c r="B4626" s="0" t="s">
        <v>70</v>
      </c>
      <c r="C4626" s="0" t="str">
        <f aca="false">INDEX(Intent_Analysis!$B$5:$B$81,MATCH(B4626,Intent_Analysis!$A$5:$A$81,0))</f>
        <v>Card usage &amp; features</v>
      </c>
      <c r="D4626" s="0" t="n">
        <f aca="false">INDEX(Intent_Analysis!$E$5:$E$81,MATCH(B4626,Intent_Analysis!$A$5:$A$81,0))</f>
        <v>1</v>
      </c>
    </row>
    <row r="4627" customFormat="false" ht="15" hidden="false" customHeight="false" outlineLevel="0" collapsed="false">
      <c r="A4627" s="0" t="s">
        <v>4951</v>
      </c>
      <c r="B4627" s="0" t="s">
        <v>70</v>
      </c>
      <c r="C4627" s="0" t="str">
        <f aca="false">INDEX(Intent_Analysis!$B$5:$B$81,MATCH(B4627,Intent_Analysis!$A$5:$A$81,0))</f>
        <v>Card usage &amp; features</v>
      </c>
      <c r="D4627" s="0" t="n">
        <f aca="false">INDEX(Intent_Analysis!$E$5:$E$81,MATCH(B4627,Intent_Analysis!$A$5:$A$81,0))</f>
        <v>1</v>
      </c>
    </row>
    <row r="4628" customFormat="false" ht="15" hidden="false" customHeight="false" outlineLevel="0" collapsed="false">
      <c r="A4628" s="0" t="s">
        <v>4952</v>
      </c>
      <c r="B4628" s="0" t="s">
        <v>70</v>
      </c>
      <c r="C4628" s="0" t="str">
        <f aca="false">INDEX(Intent_Analysis!$B$5:$B$81,MATCH(B4628,Intent_Analysis!$A$5:$A$81,0))</f>
        <v>Card usage &amp; features</v>
      </c>
      <c r="D4628" s="0" t="n">
        <f aca="false">INDEX(Intent_Analysis!$E$5:$E$81,MATCH(B4628,Intent_Analysis!$A$5:$A$81,0))</f>
        <v>1</v>
      </c>
    </row>
    <row r="4629" customFormat="false" ht="15" hidden="false" customHeight="false" outlineLevel="0" collapsed="false">
      <c r="A4629" s="0" t="s">
        <v>4953</v>
      </c>
      <c r="B4629" s="0" t="s">
        <v>70</v>
      </c>
      <c r="C4629" s="0" t="str">
        <f aca="false">INDEX(Intent_Analysis!$B$5:$B$81,MATCH(B4629,Intent_Analysis!$A$5:$A$81,0))</f>
        <v>Card usage &amp; features</v>
      </c>
      <c r="D4629" s="0" t="n">
        <f aca="false">INDEX(Intent_Analysis!$E$5:$E$81,MATCH(B4629,Intent_Analysis!$A$5:$A$81,0))</f>
        <v>1</v>
      </c>
    </row>
    <row r="4630" customFormat="false" ht="15" hidden="false" customHeight="false" outlineLevel="0" collapsed="false">
      <c r="A4630" s="0" t="s">
        <v>4954</v>
      </c>
      <c r="B4630" s="0" t="s">
        <v>70</v>
      </c>
      <c r="C4630" s="0" t="str">
        <f aca="false">INDEX(Intent_Analysis!$B$5:$B$81,MATCH(B4630,Intent_Analysis!$A$5:$A$81,0))</f>
        <v>Card usage &amp; features</v>
      </c>
      <c r="D4630" s="0" t="n">
        <f aca="false">INDEX(Intent_Analysis!$E$5:$E$81,MATCH(B4630,Intent_Analysis!$A$5:$A$81,0))</f>
        <v>1</v>
      </c>
    </row>
    <row r="4631" customFormat="false" ht="15" hidden="false" customHeight="false" outlineLevel="0" collapsed="false">
      <c r="A4631" s="0" t="s">
        <v>4955</v>
      </c>
      <c r="B4631" s="0" t="s">
        <v>70</v>
      </c>
      <c r="C4631" s="0" t="str">
        <f aca="false">INDEX(Intent_Analysis!$B$5:$B$81,MATCH(B4631,Intent_Analysis!$A$5:$A$81,0))</f>
        <v>Card usage &amp; features</v>
      </c>
      <c r="D4631" s="0" t="n">
        <f aca="false">INDEX(Intent_Analysis!$E$5:$E$81,MATCH(B4631,Intent_Analysis!$A$5:$A$81,0))</f>
        <v>1</v>
      </c>
    </row>
    <row r="4632" customFormat="false" ht="15" hidden="false" customHeight="false" outlineLevel="0" collapsed="false">
      <c r="A4632" s="0" t="s">
        <v>4956</v>
      </c>
      <c r="B4632" s="0" t="s">
        <v>70</v>
      </c>
      <c r="C4632" s="0" t="str">
        <f aca="false">INDEX(Intent_Analysis!$B$5:$B$81,MATCH(B4632,Intent_Analysis!$A$5:$A$81,0))</f>
        <v>Card usage &amp; features</v>
      </c>
      <c r="D4632" s="0" t="n">
        <f aca="false">INDEX(Intent_Analysis!$E$5:$E$81,MATCH(B4632,Intent_Analysis!$A$5:$A$81,0))</f>
        <v>1</v>
      </c>
    </row>
    <row r="4633" customFormat="false" ht="15" hidden="false" customHeight="false" outlineLevel="0" collapsed="false">
      <c r="A4633" s="0" t="s">
        <v>4957</v>
      </c>
      <c r="B4633" s="0" t="s">
        <v>70</v>
      </c>
      <c r="C4633" s="0" t="str">
        <f aca="false">INDEX(Intent_Analysis!$B$5:$B$81,MATCH(B4633,Intent_Analysis!$A$5:$A$81,0))</f>
        <v>Card usage &amp; features</v>
      </c>
      <c r="D4633" s="0" t="n">
        <f aca="false">INDEX(Intent_Analysis!$E$5:$E$81,MATCH(B4633,Intent_Analysis!$A$5:$A$81,0))</f>
        <v>1</v>
      </c>
    </row>
    <row r="4634" customFormat="false" ht="15" hidden="false" customHeight="false" outlineLevel="0" collapsed="false">
      <c r="A4634" s="0" t="s">
        <v>4958</v>
      </c>
      <c r="B4634" s="0" t="s">
        <v>95</v>
      </c>
      <c r="C4634" s="0" t="str">
        <f aca="false">INDEX(Intent_Analysis!$B$5:$B$81,MATCH(B4634,Intent_Analysis!$A$5:$A$81,0))</f>
        <v>Fraud &amp; security</v>
      </c>
      <c r="D4634" s="0" t="n">
        <f aca="false">INDEX(Intent_Analysis!$E$5:$E$81,MATCH(B4634,Intent_Analysis!$A$5:$A$81,0))</f>
        <v>3</v>
      </c>
    </row>
    <row r="4635" customFormat="false" ht="15" hidden="false" customHeight="false" outlineLevel="0" collapsed="false">
      <c r="A4635" s="0" t="s">
        <v>4959</v>
      </c>
      <c r="B4635" s="0" t="s">
        <v>95</v>
      </c>
      <c r="C4635" s="0" t="str">
        <f aca="false">INDEX(Intent_Analysis!$B$5:$B$81,MATCH(B4635,Intent_Analysis!$A$5:$A$81,0))</f>
        <v>Fraud &amp; security</v>
      </c>
      <c r="D4635" s="0" t="n">
        <f aca="false">INDEX(Intent_Analysis!$E$5:$E$81,MATCH(B4635,Intent_Analysis!$A$5:$A$81,0))</f>
        <v>3</v>
      </c>
    </row>
    <row r="4636" customFormat="false" ht="15" hidden="false" customHeight="false" outlineLevel="0" collapsed="false">
      <c r="A4636" s="0" t="s">
        <v>4960</v>
      </c>
      <c r="B4636" s="0" t="s">
        <v>95</v>
      </c>
      <c r="C4636" s="0" t="str">
        <f aca="false">INDEX(Intent_Analysis!$B$5:$B$81,MATCH(B4636,Intent_Analysis!$A$5:$A$81,0))</f>
        <v>Fraud &amp; security</v>
      </c>
      <c r="D4636" s="0" t="n">
        <f aca="false">INDEX(Intent_Analysis!$E$5:$E$81,MATCH(B4636,Intent_Analysis!$A$5:$A$81,0))</f>
        <v>3</v>
      </c>
    </row>
    <row r="4637" customFormat="false" ht="15" hidden="false" customHeight="false" outlineLevel="0" collapsed="false">
      <c r="A4637" s="0" t="s">
        <v>4961</v>
      </c>
      <c r="B4637" s="0" t="s">
        <v>95</v>
      </c>
      <c r="C4637" s="0" t="str">
        <f aca="false">INDEX(Intent_Analysis!$B$5:$B$81,MATCH(B4637,Intent_Analysis!$A$5:$A$81,0))</f>
        <v>Fraud &amp; security</v>
      </c>
      <c r="D4637" s="0" t="n">
        <f aca="false">INDEX(Intent_Analysis!$E$5:$E$81,MATCH(B4637,Intent_Analysis!$A$5:$A$81,0))</f>
        <v>3</v>
      </c>
    </row>
    <row r="4638" customFormat="false" ht="15" hidden="false" customHeight="false" outlineLevel="0" collapsed="false">
      <c r="A4638" s="0" t="s">
        <v>4962</v>
      </c>
      <c r="B4638" s="0" t="s">
        <v>95</v>
      </c>
      <c r="C4638" s="0" t="str">
        <f aca="false">INDEX(Intent_Analysis!$B$5:$B$81,MATCH(B4638,Intent_Analysis!$A$5:$A$81,0))</f>
        <v>Fraud &amp; security</v>
      </c>
      <c r="D4638" s="0" t="n">
        <f aca="false">INDEX(Intent_Analysis!$E$5:$E$81,MATCH(B4638,Intent_Analysis!$A$5:$A$81,0))</f>
        <v>3</v>
      </c>
    </row>
    <row r="4639" customFormat="false" ht="15" hidden="false" customHeight="false" outlineLevel="0" collapsed="false">
      <c r="A4639" s="0" t="s">
        <v>4963</v>
      </c>
      <c r="B4639" s="0" t="s">
        <v>95</v>
      </c>
      <c r="C4639" s="0" t="str">
        <f aca="false">INDEX(Intent_Analysis!$B$5:$B$81,MATCH(B4639,Intent_Analysis!$A$5:$A$81,0))</f>
        <v>Fraud &amp; security</v>
      </c>
      <c r="D4639" s="0" t="n">
        <f aca="false">INDEX(Intent_Analysis!$E$5:$E$81,MATCH(B4639,Intent_Analysis!$A$5:$A$81,0))</f>
        <v>3</v>
      </c>
    </row>
    <row r="4640" customFormat="false" ht="15" hidden="false" customHeight="false" outlineLevel="0" collapsed="false">
      <c r="A4640" s="0" t="s">
        <v>4964</v>
      </c>
      <c r="B4640" s="0" t="s">
        <v>95</v>
      </c>
      <c r="C4640" s="0" t="str">
        <f aca="false">INDEX(Intent_Analysis!$B$5:$B$81,MATCH(B4640,Intent_Analysis!$A$5:$A$81,0))</f>
        <v>Fraud &amp; security</v>
      </c>
      <c r="D4640" s="0" t="n">
        <f aca="false">INDEX(Intent_Analysis!$E$5:$E$81,MATCH(B4640,Intent_Analysis!$A$5:$A$81,0))</f>
        <v>3</v>
      </c>
    </row>
    <row r="4641" customFormat="false" ht="15" hidden="false" customHeight="false" outlineLevel="0" collapsed="false">
      <c r="A4641" s="0" t="s">
        <v>4965</v>
      </c>
      <c r="B4641" s="0" t="s">
        <v>95</v>
      </c>
      <c r="C4641" s="0" t="str">
        <f aca="false">INDEX(Intent_Analysis!$B$5:$B$81,MATCH(B4641,Intent_Analysis!$A$5:$A$81,0))</f>
        <v>Fraud &amp; security</v>
      </c>
      <c r="D4641" s="0" t="n">
        <f aca="false">INDEX(Intent_Analysis!$E$5:$E$81,MATCH(B4641,Intent_Analysis!$A$5:$A$81,0))</f>
        <v>3</v>
      </c>
    </row>
    <row r="4642" customFormat="false" ht="15" hidden="false" customHeight="false" outlineLevel="0" collapsed="false">
      <c r="A4642" s="0" t="s">
        <v>4966</v>
      </c>
      <c r="B4642" s="0" t="s">
        <v>95</v>
      </c>
      <c r="C4642" s="0" t="str">
        <f aca="false">INDEX(Intent_Analysis!$B$5:$B$81,MATCH(B4642,Intent_Analysis!$A$5:$A$81,0))</f>
        <v>Fraud &amp; security</v>
      </c>
      <c r="D4642" s="0" t="n">
        <f aca="false">INDEX(Intent_Analysis!$E$5:$E$81,MATCH(B4642,Intent_Analysis!$A$5:$A$81,0))</f>
        <v>3</v>
      </c>
    </row>
    <row r="4643" customFormat="false" ht="15" hidden="false" customHeight="false" outlineLevel="0" collapsed="false">
      <c r="A4643" s="0" t="s">
        <v>4967</v>
      </c>
      <c r="B4643" s="0" t="s">
        <v>95</v>
      </c>
      <c r="C4643" s="0" t="str">
        <f aca="false">INDEX(Intent_Analysis!$B$5:$B$81,MATCH(B4643,Intent_Analysis!$A$5:$A$81,0))</f>
        <v>Fraud &amp; security</v>
      </c>
      <c r="D4643" s="0" t="n">
        <f aca="false">INDEX(Intent_Analysis!$E$5:$E$81,MATCH(B4643,Intent_Analysis!$A$5:$A$81,0))</f>
        <v>3</v>
      </c>
    </row>
    <row r="4644" customFormat="false" ht="15" hidden="false" customHeight="false" outlineLevel="0" collapsed="false">
      <c r="A4644" s="0" t="s">
        <v>4968</v>
      </c>
      <c r="B4644" s="0" t="s">
        <v>95</v>
      </c>
      <c r="C4644" s="0" t="str">
        <f aca="false">INDEX(Intent_Analysis!$B$5:$B$81,MATCH(B4644,Intent_Analysis!$A$5:$A$81,0))</f>
        <v>Fraud &amp; security</v>
      </c>
      <c r="D4644" s="0" t="n">
        <f aca="false">INDEX(Intent_Analysis!$E$5:$E$81,MATCH(B4644,Intent_Analysis!$A$5:$A$81,0))</f>
        <v>3</v>
      </c>
    </row>
    <row r="4645" customFormat="false" ht="15" hidden="false" customHeight="false" outlineLevel="0" collapsed="false">
      <c r="A4645" s="0" t="s">
        <v>4969</v>
      </c>
      <c r="B4645" s="0" t="s">
        <v>95</v>
      </c>
      <c r="C4645" s="0" t="str">
        <f aca="false">INDEX(Intent_Analysis!$B$5:$B$81,MATCH(B4645,Intent_Analysis!$A$5:$A$81,0))</f>
        <v>Fraud &amp; security</v>
      </c>
      <c r="D4645" s="0" t="n">
        <f aca="false">INDEX(Intent_Analysis!$E$5:$E$81,MATCH(B4645,Intent_Analysis!$A$5:$A$81,0))</f>
        <v>3</v>
      </c>
    </row>
    <row r="4646" customFormat="false" ht="15" hidden="false" customHeight="false" outlineLevel="0" collapsed="false">
      <c r="A4646" s="0" t="s">
        <v>4970</v>
      </c>
      <c r="B4646" s="0" t="s">
        <v>95</v>
      </c>
      <c r="C4646" s="0" t="str">
        <f aca="false">INDEX(Intent_Analysis!$B$5:$B$81,MATCH(B4646,Intent_Analysis!$A$5:$A$81,0))</f>
        <v>Fraud &amp; security</v>
      </c>
      <c r="D4646" s="0" t="n">
        <f aca="false">INDEX(Intent_Analysis!$E$5:$E$81,MATCH(B4646,Intent_Analysis!$A$5:$A$81,0))</f>
        <v>3</v>
      </c>
    </row>
    <row r="4647" customFormat="false" ht="15" hidden="false" customHeight="false" outlineLevel="0" collapsed="false">
      <c r="A4647" s="0" t="s">
        <v>4971</v>
      </c>
      <c r="B4647" s="0" t="s">
        <v>95</v>
      </c>
      <c r="C4647" s="0" t="str">
        <f aca="false">INDEX(Intent_Analysis!$B$5:$B$81,MATCH(B4647,Intent_Analysis!$A$5:$A$81,0))</f>
        <v>Fraud &amp; security</v>
      </c>
      <c r="D4647" s="0" t="n">
        <f aca="false">INDEX(Intent_Analysis!$E$5:$E$81,MATCH(B4647,Intent_Analysis!$A$5:$A$81,0))</f>
        <v>3</v>
      </c>
    </row>
    <row r="4648" customFormat="false" ht="15" hidden="false" customHeight="false" outlineLevel="0" collapsed="false">
      <c r="A4648" s="0" t="s">
        <v>4972</v>
      </c>
      <c r="B4648" s="0" t="s">
        <v>95</v>
      </c>
      <c r="C4648" s="0" t="str">
        <f aca="false">INDEX(Intent_Analysis!$B$5:$B$81,MATCH(B4648,Intent_Analysis!$A$5:$A$81,0))</f>
        <v>Fraud &amp; security</v>
      </c>
      <c r="D4648" s="0" t="n">
        <f aca="false">INDEX(Intent_Analysis!$E$5:$E$81,MATCH(B4648,Intent_Analysis!$A$5:$A$81,0))</f>
        <v>3</v>
      </c>
    </row>
    <row r="4649" customFormat="false" ht="15" hidden="false" customHeight="false" outlineLevel="0" collapsed="false">
      <c r="A4649" s="0" t="s">
        <v>4973</v>
      </c>
      <c r="B4649" s="0" t="s">
        <v>95</v>
      </c>
      <c r="C4649" s="0" t="str">
        <f aca="false">INDEX(Intent_Analysis!$B$5:$B$81,MATCH(B4649,Intent_Analysis!$A$5:$A$81,0))</f>
        <v>Fraud &amp; security</v>
      </c>
      <c r="D4649" s="0" t="n">
        <f aca="false">INDEX(Intent_Analysis!$E$5:$E$81,MATCH(B4649,Intent_Analysis!$A$5:$A$81,0))</f>
        <v>3</v>
      </c>
    </row>
    <row r="4650" customFormat="false" ht="15" hidden="false" customHeight="false" outlineLevel="0" collapsed="false">
      <c r="A4650" s="0" t="s">
        <v>4974</v>
      </c>
      <c r="B4650" s="0" t="s">
        <v>95</v>
      </c>
      <c r="C4650" s="0" t="str">
        <f aca="false">INDEX(Intent_Analysis!$B$5:$B$81,MATCH(B4650,Intent_Analysis!$A$5:$A$81,0))</f>
        <v>Fraud &amp; security</v>
      </c>
      <c r="D4650" s="0" t="n">
        <f aca="false">INDEX(Intent_Analysis!$E$5:$E$81,MATCH(B4650,Intent_Analysis!$A$5:$A$81,0))</f>
        <v>3</v>
      </c>
    </row>
    <row r="4651" customFormat="false" ht="15" hidden="false" customHeight="false" outlineLevel="0" collapsed="false">
      <c r="A4651" s="0" t="s">
        <v>4975</v>
      </c>
      <c r="B4651" s="0" t="s">
        <v>95</v>
      </c>
      <c r="C4651" s="0" t="str">
        <f aca="false">INDEX(Intent_Analysis!$B$5:$B$81,MATCH(B4651,Intent_Analysis!$A$5:$A$81,0))</f>
        <v>Fraud &amp; security</v>
      </c>
      <c r="D4651" s="0" t="n">
        <f aca="false">INDEX(Intent_Analysis!$E$5:$E$81,MATCH(B4651,Intent_Analysis!$A$5:$A$81,0))</f>
        <v>3</v>
      </c>
    </row>
    <row r="4652" customFormat="false" ht="15" hidden="false" customHeight="false" outlineLevel="0" collapsed="false">
      <c r="A4652" s="0" t="s">
        <v>4976</v>
      </c>
      <c r="B4652" s="0" t="s">
        <v>95</v>
      </c>
      <c r="C4652" s="0" t="str">
        <f aca="false">INDEX(Intent_Analysis!$B$5:$B$81,MATCH(B4652,Intent_Analysis!$A$5:$A$81,0))</f>
        <v>Fraud &amp; security</v>
      </c>
      <c r="D4652" s="0" t="n">
        <f aca="false">INDEX(Intent_Analysis!$E$5:$E$81,MATCH(B4652,Intent_Analysis!$A$5:$A$81,0))</f>
        <v>3</v>
      </c>
    </row>
    <row r="4653" customFormat="false" ht="15" hidden="false" customHeight="false" outlineLevel="0" collapsed="false">
      <c r="A4653" s="0" t="s">
        <v>4977</v>
      </c>
      <c r="B4653" s="0" t="s">
        <v>95</v>
      </c>
      <c r="C4653" s="0" t="str">
        <f aca="false">INDEX(Intent_Analysis!$B$5:$B$81,MATCH(B4653,Intent_Analysis!$A$5:$A$81,0))</f>
        <v>Fraud &amp; security</v>
      </c>
      <c r="D4653" s="0" t="n">
        <f aca="false">INDEX(Intent_Analysis!$E$5:$E$81,MATCH(B4653,Intent_Analysis!$A$5:$A$81,0))</f>
        <v>3</v>
      </c>
    </row>
    <row r="4654" customFormat="false" ht="15" hidden="false" customHeight="false" outlineLevel="0" collapsed="false">
      <c r="A4654" s="0" t="s">
        <v>4978</v>
      </c>
      <c r="B4654" s="0" t="s">
        <v>95</v>
      </c>
      <c r="C4654" s="0" t="str">
        <f aca="false">INDEX(Intent_Analysis!$B$5:$B$81,MATCH(B4654,Intent_Analysis!$A$5:$A$81,0))</f>
        <v>Fraud &amp; security</v>
      </c>
      <c r="D4654" s="0" t="n">
        <f aca="false">INDEX(Intent_Analysis!$E$5:$E$81,MATCH(B4654,Intent_Analysis!$A$5:$A$81,0))</f>
        <v>3</v>
      </c>
    </row>
    <row r="4655" customFormat="false" ht="15" hidden="false" customHeight="false" outlineLevel="0" collapsed="false">
      <c r="A4655" s="0" t="s">
        <v>4979</v>
      </c>
      <c r="B4655" s="0" t="s">
        <v>95</v>
      </c>
      <c r="C4655" s="0" t="str">
        <f aca="false">INDEX(Intent_Analysis!$B$5:$B$81,MATCH(B4655,Intent_Analysis!$A$5:$A$81,0))</f>
        <v>Fraud &amp; security</v>
      </c>
      <c r="D4655" s="0" t="n">
        <f aca="false">INDEX(Intent_Analysis!$E$5:$E$81,MATCH(B4655,Intent_Analysis!$A$5:$A$81,0))</f>
        <v>3</v>
      </c>
    </row>
    <row r="4656" customFormat="false" ht="15" hidden="false" customHeight="false" outlineLevel="0" collapsed="false">
      <c r="A4656" s="0" t="s">
        <v>4980</v>
      </c>
      <c r="B4656" s="0" t="s">
        <v>95</v>
      </c>
      <c r="C4656" s="0" t="str">
        <f aca="false">INDEX(Intent_Analysis!$B$5:$B$81,MATCH(B4656,Intent_Analysis!$A$5:$A$81,0))</f>
        <v>Fraud &amp; security</v>
      </c>
      <c r="D4656" s="0" t="n">
        <f aca="false">INDEX(Intent_Analysis!$E$5:$E$81,MATCH(B4656,Intent_Analysis!$A$5:$A$81,0))</f>
        <v>3</v>
      </c>
    </row>
    <row r="4657" customFormat="false" ht="15" hidden="false" customHeight="false" outlineLevel="0" collapsed="false">
      <c r="A4657" s="0" t="s">
        <v>4981</v>
      </c>
      <c r="B4657" s="0" t="s">
        <v>95</v>
      </c>
      <c r="C4657" s="0" t="str">
        <f aca="false">INDEX(Intent_Analysis!$B$5:$B$81,MATCH(B4657,Intent_Analysis!$A$5:$A$81,0))</f>
        <v>Fraud &amp; security</v>
      </c>
      <c r="D4657" s="0" t="n">
        <f aca="false">INDEX(Intent_Analysis!$E$5:$E$81,MATCH(B4657,Intent_Analysis!$A$5:$A$81,0))</f>
        <v>3</v>
      </c>
    </row>
    <row r="4658" customFormat="false" ht="15" hidden="false" customHeight="false" outlineLevel="0" collapsed="false">
      <c r="A4658" s="0" t="s">
        <v>4982</v>
      </c>
      <c r="B4658" s="0" t="s">
        <v>95</v>
      </c>
      <c r="C4658" s="0" t="str">
        <f aca="false">INDEX(Intent_Analysis!$B$5:$B$81,MATCH(B4658,Intent_Analysis!$A$5:$A$81,0))</f>
        <v>Fraud &amp; security</v>
      </c>
      <c r="D4658" s="0" t="n">
        <f aca="false">INDEX(Intent_Analysis!$E$5:$E$81,MATCH(B4658,Intent_Analysis!$A$5:$A$81,0))</f>
        <v>3</v>
      </c>
    </row>
    <row r="4659" customFormat="false" ht="15" hidden="false" customHeight="false" outlineLevel="0" collapsed="false">
      <c r="A4659" s="0" t="s">
        <v>4983</v>
      </c>
      <c r="B4659" s="0" t="s">
        <v>95</v>
      </c>
      <c r="C4659" s="0" t="str">
        <f aca="false">INDEX(Intent_Analysis!$B$5:$B$81,MATCH(B4659,Intent_Analysis!$A$5:$A$81,0))</f>
        <v>Fraud &amp; security</v>
      </c>
      <c r="D4659" s="0" t="n">
        <f aca="false">INDEX(Intent_Analysis!$E$5:$E$81,MATCH(B4659,Intent_Analysis!$A$5:$A$81,0))</f>
        <v>3</v>
      </c>
    </row>
    <row r="4660" customFormat="false" ht="15" hidden="false" customHeight="false" outlineLevel="0" collapsed="false">
      <c r="A4660" s="0" t="s">
        <v>4984</v>
      </c>
      <c r="B4660" s="0" t="s">
        <v>95</v>
      </c>
      <c r="C4660" s="0" t="str">
        <f aca="false">INDEX(Intent_Analysis!$B$5:$B$81,MATCH(B4660,Intent_Analysis!$A$5:$A$81,0))</f>
        <v>Fraud &amp; security</v>
      </c>
      <c r="D4660" s="0" t="n">
        <f aca="false">INDEX(Intent_Analysis!$E$5:$E$81,MATCH(B4660,Intent_Analysis!$A$5:$A$81,0))</f>
        <v>3</v>
      </c>
    </row>
    <row r="4661" customFormat="false" ht="15" hidden="false" customHeight="false" outlineLevel="0" collapsed="false">
      <c r="A4661" s="0" t="s">
        <v>4985</v>
      </c>
      <c r="B4661" s="0" t="s">
        <v>95</v>
      </c>
      <c r="C4661" s="0" t="str">
        <f aca="false">INDEX(Intent_Analysis!$B$5:$B$81,MATCH(B4661,Intent_Analysis!$A$5:$A$81,0))</f>
        <v>Fraud &amp; security</v>
      </c>
      <c r="D4661" s="0" t="n">
        <f aca="false">INDEX(Intent_Analysis!$E$5:$E$81,MATCH(B4661,Intent_Analysis!$A$5:$A$81,0))</f>
        <v>3</v>
      </c>
    </row>
    <row r="4662" customFormat="false" ht="15" hidden="false" customHeight="false" outlineLevel="0" collapsed="false">
      <c r="A4662" s="0" t="s">
        <v>4986</v>
      </c>
      <c r="B4662" s="0" t="s">
        <v>95</v>
      </c>
      <c r="C4662" s="0" t="str">
        <f aca="false">INDEX(Intent_Analysis!$B$5:$B$81,MATCH(B4662,Intent_Analysis!$A$5:$A$81,0))</f>
        <v>Fraud &amp; security</v>
      </c>
      <c r="D4662" s="0" t="n">
        <f aca="false">INDEX(Intent_Analysis!$E$5:$E$81,MATCH(B4662,Intent_Analysis!$A$5:$A$81,0))</f>
        <v>3</v>
      </c>
    </row>
    <row r="4663" customFormat="false" ht="15" hidden="false" customHeight="false" outlineLevel="0" collapsed="false">
      <c r="A4663" s="0" t="s">
        <v>4987</v>
      </c>
      <c r="B4663" s="0" t="s">
        <v>95</v>
      </c>
      <c r="C4663" s="0" t="str">
        <f aca="false">INDEX(Intent_Analysis!$B$5:$B$81,MATCH(B4663,Intent_Analysis!$A$5:$A$81,0))</f>
        <v>Fraud &amp; security</v>
      </c>
      <c r="D4663" s="0" t="n">
        <f aca="false">INDEX(Intent_Analysis!$E$5:$E$81,MATCH(B4663,Intent_Analysis!$A$5:$A$81,0))</f>
        <v>3</v>
      </c>
    </row>
    <row r="4664" customFormat="false" ht="15" hidden="false" customHeight="false" outlineLevel="0" collapsed="false">
      <c r="A4664" s="0" t="s">
        <v>4988</v>
      </c>
      <c r="B4664" s="0" t="s">
        <v>95</v>
      </c>
      <c r="C4664" s="0" t="str">
        <f aca="false">INDEX(Intent_Analysis!$B$5:$B$81,MATCH(B4664,Intent_Analysis!$A$5:$A$81,0))</f>
        <v>Fraud &amp; security</v>
      </c>
      <c r="D4664" s="0" t="n">
        <f aca="false">INDEX(Intent_Analysis!$E$5:$E$81,MATCH(B4664,Intent_Analysis!$A$5:$A$81,0))</f>
        <v>3</v>
      </c>
    </row>
    <row r="4665" customFormat="false" ht="15" hidden="false" customHeight="false" outlineLevel="0" collapsed="false">
      <c r="A4665" s="0" t="s">
        <v>4989</v>
      </c>
      <c r="B4665" s="0" t="s">
        <v>95</v>
      </c>
      <c r="C4665" s="0" t="str">
        <f aca="false">INDEX(Intent_Analysis!$B$5:$B$81,MATCH(B4665,Intent_Analysis!$A$5:$A$81,0))</f>
        <v>Fraud &amp; security</v>
      </c>
      <c r="D4665" s="0" t="n">
        <f aca="false">INDEX(Intent_Analysis!$E$5:$E$81,MATCH(B4665,Intent_Analysis!$A$5:$A$81,0))</f>
        <v>3</v>
      </c>
    </row>
    <row r="4666" customFormat="false" ht="15" hidden="false" customHeight="false" outlineLevel="0" collapsed="false">
      <c r="A4666" s="0" t="s">
        <v>4990</v>
      </c>
      <c r="B4666" s="0" t="s">
        <v>95</v>
      </c>
      <c r="C4666" s="0" t="str">
        <f aca="false">INDEX(Intent_Analysis!$B$5:$B$81,MATCH(B4666,Intent_Analysis!$A$5:$A$81,0))</f>
        <v>Fraud &amp; security</v>
      </c>
      <c r="D4666" s="0" t="n">
        <f aca="false">INDEX(Intent_Analysis!$E$5:$E$81,MATCH(B4666,Intent_Analysis!$A$5:$A$81,0))</f>
        <v>3</v>
      </c>
    </row>
    <row r="4667" customFormat="false" ht="15" hidden="false" customHeight="false" outlineLevel="0" collapsed="false">
      <c r="A4667" s="0" t="s">
        <v>4991</v>
      </c>
      <c r="B4667" s="0" t="s">
        <v>95</v>
      </c>
      <c r="C4667" s="0" t="str">
        <f aca="false">INDEX(Intent_Analysis!$B$5:$B$81,MATCH(B4667,Intent_Analysis!$A$5:$A$81,0))</f>
        <v>Fraud &amp; security</v>
      </c>
      <c r="D4667" s="0" t="n">
        <f aca="false">INDEX(Intent_Analysis!$E$5:$E$81,MATCH(B4667,Intent_Analysis!$A$5:$A$81,0))</f>
        <v>3</v>
      </c>
    </row>
    <row r="4668" customFormat="false" ht="15" hidden="false" customHeight="false" outlineLevel="0" collapsed="false">
      <c r="A4668" s="0" t="s">
        <v>4992</v>
      </c>
      <c r="B4668" s="0" t="s">
        <v>95</v>
      </c>
      <c r="C4668" s="0" t="str">
        <f aca="false">INDEX(Intent_Analysis!$B$5:$B$81,MATCH(B4668,Intent_Analysis!$A$5:$A$81,0))</f>
        <v>Fraud &amp; security</v>
      </c>
      <c r="D4668" s="0" t="n">
        <f aca="false">INDEX(Intent_Analysis!$E$5:$E$81,MATCH(B4668,Intent_Analysis!$A$5:$A$81,0))</f>
        <v>3</v>
      </c>
    </row>
    <row r="4669" customFormat="false" ht="15" hidden="false" customHeight="false" outlineLevel="0" collapsed="false">
      <c r="A4669" s="0" t="s">
        <v>4993</v>
      </c>
      <c r="B4669" s="0" t="s">
        <v>95</v>
      </c>
      <c r="C4669" s="0" t="str">
        <f aca="false">INDEX(Intent_Analysis!$B$5:$B$81,MATCH(B4669,Intent_Analysis!$A$5:$A$81,0))</f>
        <v>Fraud &amp; security</v>
      </c>
      <c r="D4669" s="0" t="n">
        <f aca="false">INDEX(Intent_Analysis!$E$5:$E$81,MATCH(B4669,Intent_Analysis!$A$5:$A$81,0))</f>
        <v>3</v>
      </c>
    </row>
    <row r="4670" customFormat="false" ht="15" hidden="false" customHeight="false" outlineLevel="0" collapsed="false">
      <c r="A4670" s="0" t="s">
        <v>4994</v>
      </c>
      <c r="B4670" s="0" t="s">
        <v>95</v>
      </c>
      <c r="C4670" s="0" t="str">
        <f aca="false">INDEX(Intent_Analysis!$B$5:$B$81,MATCH(B4670,Intent_Analysis!$A$5:$A$81,0))</f>
        <v>Fraud &amp; security</v>
      </c>
      <c r="D4670" s="0" t="n">
        <f aca="false">INDEX(Intent_Analysis!$E$5:$E$81,MATCH(B4670,Intent_Analysis!$A$5:$A$81,0))</f>
        <v>3</v>
      </c>
    </row>
    <row r="4671" customFormat="false" ht="15" hidden="false" customHeight="false" outlineLevel="0" collapsed="false">
      <c r="A4671" s="0" t="s">
        <v>4995</v>
      </c>
      <c r="B4671" s="0" t="s">
        <v>95</v>
      </c>
      <c r="C4671" s="0" t="str">
        <f aca="false">INDEX(Intent_Analysis!$B$5:$B$81,MATCH(B4671,Intent_Analysis!$A$5:$A$81,0))</f>
        <v>Fraud &amp; security</v>
      </c>
      <c r="D4671" s="0" t="n">
        <f aca="false">INDEX(Intent_Analysis!$E$5:$E$81,MATCH(B4671,Intent_Analysis!$A$5:$A$81,0))</f>
        <v>3</v>
      </c>
    </row>
    <row r="4672" customFormat="false" ht="15" hidden="false" customHeight="false" outlineLevel="0" collapsed="false">
      <c r="A4672" s="0" t="s">
        <v>4996</v>
      </c>
      <c r="B4672" s="0" t="s">
        <v>95</v>
      </c>
      <c r="C4672" s="0" t="str">
        <f aca="false">INDEX(Intent_Analysis!$B$5:$B$81,MATCH(B4672,Intent_Analysis!$A$5:$A$81,0))</f>
        <v>Fraud &amp; security</v>
      </c>
      <c r="D4672" s="0" t="n">
        <f aca="false">INDEX(Intent_Analysis!$E$5:$E$81,MATCH(B4672,Intent_Analysis!$A$5:$A$81,0))</f>
        <v>3</v>
      </c>
    </row>
    <row r="4673" customFormat="false" ht="15" hidden="false" customHeight="false" outlineLevel="0" collapsed="false">
      <c r="A4673" s="0" t="s">
        <v>4997</v>
      </c>
      <c r="B4673" s="0" t="s">
        <v>95</v>
      </c>
      <c r="C4673" s="0" t="str">
        <f aca="false">INDEX(Intent_Analysis!$B$5:$B$81,MATCH(B4673,Intent_Analysis!$A$5:$A$81,0))</f>
        <v>Fraud &amp; security</v>
      </c>
      <c r="D4673" s="0" t="n">
        <f aca="false">INDEX(Intent_Analysis!$E$5:$E$81,MATCH(B4673,Intent_Analysis!$A$5:$A$81,0))</f>
        <v>3</v>
      </c>
    </row>
    <row r="4674" customFormat="false" ht="15" hidden="false" customHeight="false" outlineLevel="0" collapsed="false">
      <c r="A4674" s="0" t="s">
        <v>4998</v>
      </c>
      <c r="B4674" s="0" t="s">
        <v>95</v>
      </c>
      <c r="C4674" s="0" t="str">
        <f aca="false">INDEX(Intent_Analysis!$B$5:$B$81,MATCH(B4674,Intent_Analysis!$A$5:$A$81,0))</f>
        <v>Fraud &amp; security</v>
      </c>
      <c r="D4674" s="0" t="n">
        <f aca="false">INDEX(Intent_Analysis!$E$5:$E$81,MATCH(B4674,Intent_Analysis!$A$5:$A$81,0))</f>
        <v>3</v>
      </c>
    </row>
    <row r="4675" customFormat="false" ht="15" hidden="false" customHeight="false" outlineLevel="0" collapsed="false">
      <c r="A4675" s="0" t="s">
        <v>4999</v>
      </c>
      <c r="B4675" s="0" t="s">
        <v>95</v>
      </c>
      <c r="C4675" s="0" t="str">
        <f aca="false">INDEX(Intent_Analysis!$B$5:$B$81,MATCH(B4675,Intent_Analysis!$A$5:$A$81,0))</f>
        <v>Fraud &amp; security</v>
      </c>
      <c r="D4675" s="0" t="n">
        <f aca="false">INDEX(Intent_Analysis!$E$5:$E$81,MATCH(B4675,Intent_Analysis!$A$5:$A$81,0))</f>
        <v>3</v>
      </c>
    </row>
    <row r="4676" customFormat="false" ht="15" hidden="false" customHeight="false" outlineLevel="0" collapsed="false">
      <c r="A4676" s="0" t="s">
        <v>5000</v>
      </c>
      <c r="B4676" s="0" t="s">
        <v>95</v>
      </c>
      <c r="C4676" s="0" t="str">
        <f aca="false">INDEX(Intent_Analysis!$B$5:$B$81,MATCH(B4676,Intent_Analysis!$A$5:$A$81,0))</f>
        <v>Fraud &amp; security</v>
      </c>
      <c r="D4676" s="0" t="n">
        <f aca="false">INDEX(Intent_Analysis!$E$5:$E$81,MATCH(B4676,Intent_Analysis!$A$5:$A$81,0))</f>
        <v>3</v>
      </c>
    </row>
    <row r="4677" customFormat="false" ht="15" hidden="false" customHeight="false" outlineLevel="0" collapsed="false">
      <c r="A4677" s="0" t="s">
        <v>5001</v>
      </c>
      <c r="B4677" s="0" t="s">
        <v>95</v>
      </c>
      <c r="C4677" s="0" t="str">
        <f aca="false">INDEX(Intent_Analysis!$B$5:$B$81,MATCH(B4677,Intent_Analysis!$A$5:$A$81,0))</f>
        <v>Fraud &amp; security</v>
      </c>
      <c r="D4677" s="0" t="n">
        <f aca="false">INDEX(Intent_Analysis!$E$5:$E$81,MATCH(B4677,Intent_Analysis!$A$5:$A$81,0))</f>
        <v>3</v>
      </c>
    </row>
    <row r="4678" customFormat="false" ht="15" hidden="false" customHeight="false" outlineLevel="0" collapsed="false">
      <c r="A4678" s="0" t="s">
        <v>5002</v>
      </c>
      <c r="B4678" s="0" t="s">
        <v>95</v>
      </c>
      <c r="C4678" s="0" t="str">
        <f aca="false">INDEX(Intent_Analysis!$B$5:$B$81,MATCH(B4678,Intent_Analysis!$A$5:$A$81,0))</f>
        <v>Fraud &amp; security</v>
      </c>
      <c r="D4678" s="0" t="n">
        <f aca="false">INDEX(Intent_Analysis!$E$5:$E$81,MATCH(B4678,Intent_Analysis!$A$5:$A$81,0))</f>
        <v>3</v>
      </c>
    </row>
    <row r="4679" customFormat="false" ht="15" hidden="false" customHeight="false" outlineLevel="0" collapsed="false">
      <c r="A4679" s="0" t="s">
        <v>5003</v>
      </c>
      <c r="B4679" s="0" t="s">
        <v>95</v>
      </c>
      <c r="C4679" s="0" t="str">
        <f aca="false">INDEX(Intent_Analysis!$B$5:$B$81,MATCH(B4679,Intent_Analysis!$A$5:$A$81,0))</f>
        <v>Fraud &amp; security</v>
      </c>
      <c r="D4679" s="0" t="n">
        <f aca="false">INDEX(Intent_Analysis!$E$5:$E$81,MATCH(B4679,Intent_Analysis!$A$5:$A$81,0))</f>
        <v>3</v>
      </c>
    </row>
    <row r="4680" customFormat="false" ht="15" hidden="false" customHeight="false" outlineLevel="0" collapsed="false">
      <c r="A4680" s="0" t="s">
        <v>5004</v>
      </c>
      <c r="B4680" s="0" t="s">
        <v>95</v>
      </c>
      <c r="C4680" s="0" t="str">
        <f aca="false">INDEX(Intent_Analysis!$B$5:$B$81,MATCH(B4680,Intent_Analysis!$A$5:$A$81,0))</f>
        <v>Fraud &amp; security</v>
      </c>
      <c r="D4680" s="0" t="n">
        <f aca="false">INDEX(Intent_Analysis!$E$5:$E$81,MATCH(B4680,Intent_Analysis!$A$5:$A$81,0))</f>
        <v>3</v>
      </c>
    </row>
    <row r="4681" customFormat="false" ht="15" hidden="false" customHeight="false" outlineLevel="0" collapsed="false">
      <c r="A4681" s="0" t="s">
        <v>5005</v>
      </c>
      <c r="B4681" s="0" t="s">
        <v>95</v>
      </c>
      <c r="C4681" s="0" t="str">
        <f aca="false">INDEX(Intent_Analysis!$B$5:$B$81,MATCH(B4681,Intent_Analysis!$A$5:$A$81,0))</f>
        <v>Fraud &amp; security</v>
      </c>
      <c r="D4681" s="0" t="n">
        <f aca="false">INDEX(Intent_Analysis!$E$5:$E$81,MATCH(B4681,Intent_Analysis!$A$5:$A$81,0))</f>
        <v>3</v>
      </c>
    </row>
    <row r="4682" customFormat="false" ht="15" hidden="false" customHeight="false" outlineLevel="0" collapsed="false">
      <c r="A4682" s="0" t="s">
        <v>5006</v>
      </c>
      <c r="B4682" s="0" t="s">
        <v>95</v>
      </c>
      <c r="C4682" s="0" t="str">
        <f aca="false">INDEX(Intent_Analysis!$B$5:$B$81,MATCH(B4682,Intent_Analysis!$A$5:$A$81,0))</f>
        <v>Fraud &amp; security</v>
      </c>
      <c r="D4682" s="0" t="n">
        <f aca="false">INDEX(Intent_Analysis!$E$5:$E$81,MATCH(B4682,Intent_Analysis!$A$5:$A$81,0))</f>
        <v>3</v>
      </c>
    </row>
    <row r="4683" customFormat="false" ht="15" hidden="false" customHeight="false" outlineLevel="0" collapsed="false">
      <c r="A4683" s="0" t="s">
        <v>5007</v>
      </c>
      <c r="B4683" s="0" t="s">
        <v>95</v>
      </c>
      <c r="C4683" s="0" t="str">
        <f aca="false">INDEX(Intent_Analysis!$B$5:$B$81,MATCH(B4683,Intent_Analysis!$A$5:$A$81,0))</f>
        <v>Fraud &amp; security</v>
      </c>
      <c r="D4683" s="0" t="n">
        <f aca="false">INDEX(Intent_Analysis!$E$5:$E$81,MATCH(B4683,Intent_Analysis!$A$5:$A$81,0))</f>
        <v>3</v>
      </c>
    </row>
    <row r="4684" customFormat="false" ht="15" hidden="false" customHeight="false" outlineLevel="0" collapsed="false">
      <c r="A4684" s="0" t="s">
        <v>5008</v>
      </c>
      <c r="B4684" s="0" t="s">
        <v>95</v>
      </c>
      <c r="C4684" s="0" t="str">
        <f aca="false">INDEX(Intent_Analysis!$B$5:$B$81,MATCH(B4684,Intent_Analysis!$A$5:$A$81,0))</f>
        <v>Fraud &amp; security</v>
      </c>
      <c r="D4684" s="0" t="n">
        <f aca="false">INDEX(Intent_Analysis!$E$5:$E$81,MATCH(B4684,Intent_Analysis!$A$5:$A$81,0))</f>
        <v>3</v>
      </c>
    </row>
    <row r="4685" customFormat="false" ht="15" hidden="false" customHeight="false" outlineLevel="0" collapsed="false">
      <c r="A4685" s="0" t="s">
        <v>5009</v>
      </c>
      <c r="B4685" s="0" t="s">
        <v>95</v>
      </c>
      <c r="C4685" s="0" t="str">
        <f aca="false">INDEX(Intent_Analysis!$B$5:$B$81,MATCH(B4685,Intent_Analysis!$A$5:$A$81,0))</f>
        <v>Fraud &amp; security</v>
      </c>
      <c r="D4685" s="0" t="n">
        <f aca="false">INDEX(Intent_Analysis!$E$5:$E$81,MATCH(B4685,Intent_Analysis!$A$5:$A$81,0))</f>
        <v>3</v>
      </c>
    </row>
    <row r="4686" customFormat="false" ht="15" hidden="false" customHeight="false" outlineLevel="0" collapsed="false">
      <c r="A4686" s="0" t="s">
        <v>5010</v>
      </c>
      <c r="B4686" s="0" t="s">
        <v>95</v>
      </c>
      <c r="C4686" s="0" t="str">
        <f aca="false">INDEX(Intent_Analysis!$B$5:$B$81,MATCH(B4686,Intent_Analysis!$A$5:$A$81,0))</f>
        <v>Fraud &amp; security</v>
      </c>
      <c r="D4686" s="0" t="n">
        <f aca="false">INDEX(Intent_Analysis!$E$5:$E$81,MATCH(B4686,Intent_Analysis!$A$5:$A$81,0))</f>
        <v>3</v>
      </c>
    </row>
    <row r="4687" customFormat="false" ht="15" hidden="false" customHeight="false" outlineLevel="0" collapsed="false">
      <c r="A4687" s="0" t="s">
        <v>5011</v>
      </c>
      <c r="B4687" s="0" t="s">
        <v>95</v>
      </c>
      <c r="C4687" s="0" t="str">
        <f aca="false">INDEX(Intent_Analysis!$B$5:$B$81,MATCH(B4687,Intent_Analysis!$A$5:$A$81,0))</f>
        <v>Fraud &amp; security</v>
      </c>
      <c r="D4687" s="0" t="n">
        <f aca="false">INDEX(Intent_Analysis!$E$5:$E$81,MATCH(B4687,Intent_Analysis!$A$5:$A$81,0))</f>
        <v>3</v>
      </c>
    </row>
    <row r="4688" customFormat="false" ht="15" hidden="false" customHeight="false" outlineLevel="0" collapsed="false">
      <c r="A4688" s="0" t="s">
        <v>5012</v>
      </c>
      <c r="B4688" s="0" t="s">
        <v>95</v>
      </c>
      <c r="C4688" s="0" t="str">
        <f aca="false">INDEX(Intent_Analysis!$B$5:$B$81,MATCH(B4688,Intent_Analysis!$A$5:$A$81,0))</f>
        <v>Fraud &amp; security</v>
      </c>
      <c r="D4688" s="0" t="n">
        <f aca="false">INDEX(Intent_Analysis!$E$5:$E$81,MATCH(B4688,Intent_Analysis!$A$5:$A$81,0))</f>
        <v>3</v>
      </c>
    </row>
    <row r="4689" customFormat="false" ht="15" hidden="false" customHeight="false" outlineLevel="0" collapsed="false">
      <c r="A4689" s="0" t="s">
        <v>5013</v>
      </c>
      <c r="B4689" s="0" t="s">
        <v>95</v>
      </c>
      <c r="C4689" s="0" t="str">
        <f aca="false">INDEX(Intent_Analysis!$B$5:$B$81,MATCH(B4689,Intent_Analysis!$A$5:$A$81,0))</f>
        <v>Fraud &amp; security</v>
      </c>
      <c r="D4689" s="0" t="n">
        <f aca="false">INDEX(Intent_Analysis!$E$5:$E$81,MATCH(B4689,Intent_Analysis!$A$5:$A$81,0))</f>
        <v>3</v>
      </c>
    </row>
    <row r="4690" customFormat="false" ht="15" hidden="false" customHeight="false" outlineLevel="0" collapsed="false">
      <c r="A4690" s="0" t="s">
        <v>5014</v>
      </c>
      <c r="B4690" s="0" t="s">
        <v>95</v>
      </c>
      <c r="C4690" s="0" t="str">
        <f aca="false">INDEX(Intent_Analysis!$B$5:$B$81,MATCH(B4690,Intent_Analysis!$A$5:$A$81,0))</f>
        <v>Fraud &amp; security</v>
      </c>
      <c r="D4690" s="0" t="n">
        <f aca="false">INDEX(Intent_Analysis!$E$5:$E$81,MATCH(B4690,Intent_Analysis!$A$5:$A$81,0))</f>
        <v>3</v>
      </c>
    </row>
    <row r="4691" customFormat="false" ht="15" hidden="false" customHeight="false" outlineLevel="0" collapsed="false">
      <c r="A4691" s="0" t="s">
        <v>5015</v>
      </c>
      <c r="B4691" s="0" t="s">
        <v>95</v>
      </c>
      <c r="C4691" s="0" t="str">
        <f aca="false">INDEX(Intent_Analysis!$B$5:$B$81,MATCH(B4691,Intent_Analysis!$A$5:$A$81,0))</f>
        <v>Fraud &amp; security</v>
      </c>
      <c r="D4691" s="0" t="n">
        <f aca="false">INDEX(Intent_Analysis!$E$5:$E$81,MATCH(B4691,Intent_Analysis!$A$5:$A$81,0))</f>
        <v>3</v>
      </c>
    </row>
    <row r="4692" customFormat="false" ht="15" hidden="false" customHeight="false" outlineLevel="0" collapsed="false">
      <c r="A4692" s="0" t="s">
        <v>5016</v>
      </c>
      <c r="B4692" s="0" t="s">
        <v>95</v>
      </c>
      <c r="C4692" s="0" t="str">
        <f aca="false">INDEX(Intent_Analysis!$B$5:$B$81,MATCH(B4692,Intent_Analysis!$A$5:$A$81,0))</f>
        <v>Fraud &amp; security</v>
      </c>
      <c r="D4692" s="0" t="n">
        <f aca="false">INDEX(Intent_Analysis!$E$5:$E$81,MATCH(B4692,Intent_Analysis!$A$5:$A$81,0))</f>
        <v>3</v>
      </c>
    </row>
    <row r="4693" customFormat="false" ht="15" hidden="false" customHeight="false" outlineLevel="0" collapsed="false">
      <c r="A4693" s="0" t="s">
        <v>5017</v>
      </c>
      <c r="B4693" s="0" t="s">
        <v>95</v>
      </c>
      <c r="C4693" s="0" t="str">
        <f aca="false">INDEX(Intent_Analysis!$B$5:$B$81,MATCH(B4693,Intent_Analysis!$A$5:$A$81,0))</f>
        <v>Fraud &amp; security</v>
      </c>
      <c r="D4693" s="0" t="n">
        <f aca="false">INDEX(Intent_Analysis!$E$5:$E$81,MATCH(B4693,Intent_Analysis!$A$5:$A$81,0))</f>
        <v>3</v>
      </c>
    </row>
    <row r="4694" customFormat="false" ht="15" hidden="false" customHeight="false" outlineLevel="0" collapsed="false">
      <c r="A4694" s="0" t="s">
        <v>5018</v>
      </c>
      <c r="B4694" s="0" t="s">
        <v>95</v>
      </c>
      <c r="C4694" s="0" t="str">
        <f aca="false">INDEX(Intent_Analysis!$B$5:$B$81,MATCH(B4694,Intent_Analysis!$A$5:$A$81,0))</f>
        <v>Fraud &amp; security</v>
      </c>
      <c r="D4694" s="0" t="n">
        <f aca="false">INDEX(Intent_Analysis!$E$5:$E$81,MATCH(B4694,Intent_Analysis!$A$5:$A$81,0))</f>
        <v>3</v>
      </c>
    </row>
    <row r="4695" customFormat="false" ht="15" hidden="false" customHeight="false" outlineLevel="0" collapsed="false">
      <c r="A4695" s="0" t="s">
        <v>5019</v>
      </c>
      <c r="B4695" s="0" t="s">
        <v>95</v>
      </c>
      <c r="C4695" s="0" t="str">
        <f aca="false">INDEX(Intent_Analysis!$B$5:$B$81,MATCH(B4695,Intent_Analysis!$A$5:$A$81,0))</f>
        <v>Fraud &amp; security</v>
      </c>
      <c r="D4695" s="0" t="n">
        <f aca="false">INDEX(Intent_Analysis!$E$5:$E$81,MATCH(B4695,Intent_Analysis!$A$5:$A$81,0))</f>
        <v>3</v>
      </c>
    </row>
    <row r="4696" customFormat="false" ht="15" hidden="false" customHeight="false" outlineLevel="0" collapsed="false">
      <c r="A4696" s="0" t="s">
        <v>5020</v>
      </c>
      <c r="B4696" s="0" t="s">
        <v>95</v>
      </c>
      <c r="C4696" s="0" t="str">
        <f aca="false">INDEX(Intent_Analysis!$B$5:$B$81,MATCH(B4696,Intent_Analysis!$A$5:$A$81,0))</f>
        <v>Fraud &amp; security</v>
      </c>
      <c r="D4696" s="0" t="n">
        <f aca="false">INDEX(Intent_Analysis!$E$5:$E$81,MATCH(B4696,Intent_Analysis!$A$5:$A$81,0))</f>
        <v>3</v>
      </c>
    </row>
    <row r="4697" customFormat="false" ht="15" hidden="false" customHeight="false" outlineLevel="0" collapsed="false">
      <c r="A4697" s="0" t="s">
        <v>5021</v>
      </c>
      <c r="B4697" s="0" t="s">
        <v>95</v>
      </c>
      <c r="C4697" s="0" t="str">
        <f aca="false">INDEX(Intent_Analysis!$B$5:$B$81,MATCH(B4697,Intent_Analysis!$A$5:$A$81,0))</f>
        <v>Fraud &amp; security</v>
      </c>
      <c r="D4697" s="0" t="n">
        <f aca="false">INDEX(Intent_Analysis!$E$5:$E$81,MATCH(B4697,Intent_Analysis!$A$5:$A$81,0))</f>
        <v>3</v>
      </c>
    </row>
    <row r="4698" customFormat="false" ht="15" hidden="false" customHeight="false" outlineLevel="0" collapsed="false">
      <c r="A4698" s="0" t="s">
        <v>5022</v>
      </c>
      <c r="B4698" s="0" t="s">
        <v>95</v>
      </c>
      <c r="C4698" s="0" t="str">
        <f aca="false">INDEX(Intent_Analysis!$B$5:$B$81,MATCH(B4698,Intent_Analysis!$A$5:$A$81,0))</f>
        <v>Fraud &amp; security</v>
      </c>
      <c r="D4698" s="0" t="n">
        <f aca="false">INDEX(Intent_Analysis!$E$5:$E$81,MATCH(B4698,Intent_Analysis!$A$5:$A$81,0))</f>
        <v>3</v>
      </c>
    </row>
    <row r="4699" customFormat="false" ht="15" hidden="false" customHeight="false" outlineLevel="0" collapsed="false">
      <c r="A4699" s="0" t="s">
        <v>5023</v>
      </c>
      <c r="B4699" s="0" t="s">
        <v>95</v>
      </c>
      <c r="C4699" s="0" t="str">
        <f aca="false">INDEX(Intent_Analysis!$B$5:$B$81,MATCH(B4699,Intent_Analysis!$A$5:$A$81,0))</f>
        <v>Fraud &amp; security</v>
      </c>
      <c r="D4699" s="0" t="n">
        <f aca="false">INDEX(Intent_Analysis!$E$5:$E$81,MATCH(B4699,Intent_Analysis!$A$5:$A$81,0))</f>
        <v>3</v>
      </c>
    </row>
    <row r="4700" customFormat="false" ht="15" hidden="false" customHeight="false" outlineLevel="0" collapsed="false">
      <c r="A4700" s="0" t="s">
        <v>5024</v>
      </c>
      <c r="B4700" s="0" t="s">
        <v>95</v>
      </c>
      <c r="C4700" s="0" t="str">
        <f aca="false">INDEX(Intent_Analysis!$B$5:$B$81,MATCH(B4700,Intent_Analysis!$A$5:$A$81,0))</f>
        <v>Fraud &amp; security</v>
      </c>
      <c r="D4700" s="0" t="n">
        <f aca="false">INDEX(Intent_Analysis!$E$5:$E$81,MATCH(B4700,Intent_Analysis!$A$5:$A$81,0))</f>
        <v>3</v>
      </c>
    </row>
    <row r="4701" customFormat="false" ht="15" hidden="false" customHeight="false" outlineLevel="0" collapsed="false">
      <c r="A4701" s="0" t="s">
        <v>5025</v>
      </c>
      <c r="B4701" s="0" t="s">
        <v>95</v>
      </c>
      <c r="C4701" s="0" t="str">
        <f aca="false">INDEX(Intent_Analysis!$B$5:$B$81,MATCH(B4701,Intent_Analysis!$A$5:$A$81,0))</f>
        <v>Fraud &amp; security</v>
      </c>
      <c r="D4701" s="0" t="n">
        <f aca="false">INDEX(Intent_Analysis!$E$5:$E$81,MATCH(B4701,Intent_Analysis!$A$5:$A$81,0))</f>
        <v>3</v>
      </c>
    </row>
    <row r="4702" customFormat="false" ht="15" hidden="false" customHeight="false" outlineLevel="0" collapsed="false">
      <c r="A4702" s="0" t="s">
        <v>5026</v>
      </c>
      <c r="B4702" s="0" t="s">
        <v>95</v>
      </c>
      <c r="C4702" s="0" t="str">
        <f aca="false">INDEX(Intent_Analysis!$B$5:$B$81,MATCH(B4702,Intent_Analysis!$A$5:$A$81,0))</f>
        <v>Fraud &amp; security</v>
      </c>
      <c r="D4702" s="0" t="n">
        <f aca="false">INDEX(Intent_Analysis!$E$5:$E$81,MATCH(B4702,Intent_Analysis!$A$5:$A$81,0))</f>
        <v>3</v>
      </c>
    </row>
    <row r="4703" customFormat="false" ht="15" hidden="false" customHeight="false" outlineLevel="0" collapsed="false">
      <c r="A4703" s="0" t="s">
        <v>5027</v>
      </c>
      <c r="B4703" s="0" t="s">
        <v>95</v>
      </c>
      <c r="C4703" s="0" t="str">
        <f aca="false">INDEX(Intent_Analysis!$B$5:$B$81,MATCH(B4703,Intent_Analysis!$A$5:$A$81,0))</f>
        <v>Fraud &amp; security</v>
      </c>
      <c r="D4703" s="0" t="n">
        <f aca="false">INDEX(Intent_Analysis!$E$5:$E$81,MATCH(B4703,Intent_Analysis!$A$5:$A$81,0))</f>
        <v>3</v>
      </c>
    </row>
    <row r="4704" customFormat="false" ht="15" hidden="false" customHeight="false" outlineLevel="0" collapsed="false">
      <c r="A4704" s="0" t="s">
        <v>5028</v>
      </c>
      <c r="B4704" s="0" t="s">
        <v>95</v>
      </c>
      <c r="C4704" s="0" t="str">
        <f aca="false">INDEX(Intent_Analysis!$B$5:$B$81,MATCH(B4704,Intent_Analysis!$A$5:$A$81,0))</f>
        <v>Fraud &amp; security</v>
      </c>
      <c r="D4704" s="0" t="n">
        <f aca="false">INDEX(Intent_Analysis!$E$5:$E$81,MATCH(B4704,Intent_Analysis!$A$5:$A$81,0))</f>
        <v>3</v>
      </c>
    </row>
    <row r="4705" customFormat="false" ht="15" hidden="false" customHeight="false" outlineLevel="0" collapsed="false">
      <c r="A4705" s="0" t="s">
        <v>5029</v>
      </c>
      <c r="B4705" s="0" t="s">
        <v>95</v>
      </c>
      <c r="C4705" s="0" t="str">
        <f aca="false">INDEX(Intent_Analysis!$B$5:$B$81,MATCH(B4705,Intent_Analysis!$A$5:$A$81,0))</f>
        <v>Fraud &amp; security</v>
      </c>
      <c r="D4705" s="0" t="n">
        <f aca="false">INDEX(Intent_Analysis!$E$5:$E$81,MATCH(B4705,Intent_Analysis!$A$5:$A$81,0))</f>
        <v>3</v>
      </c>
    </row>
    <row r="4706" customFormat="false" ht="15" hidden="false" customHeight="false" outlineLevel="0" collapsed="false">
      <c r="A4706" s="0" t="s">
        <v>5030</v>
      </c>
      <c r="B4706" s="0" t="s">
        <v>95</v>
      </c>
      <c r="C4706" s="0" t="str">
        <f aca="false">INDEX(Intent_Analysis!$B$5:$B$81,MATCH(B4706,Intent_Analysis!$A$5:$A$81,0))</f>
        <v>Fraud &amp; security</v>
      </c>
      <c r="D4706" s="0" t="n">
        <f aca="false">INDEX(Intent_Analysis!$E$5:$E$81,MATCH(B4706,Intent_Analysis!$A$5:$A$81,0))</f>
        <v>3</v>
      </c>
    </row>
    <row r="4707" customFormat="false" ht="15" hidden="false" customHeight="false" outlineLevel="0" collapsed="false">
      <c r="A4707" s="0" t="s">
        <v>5031</v>
      </c>
      <c r="B4707" s="0" t="s">
        <v>95</v>
      </c>
      <c r="C4707" s="0" t="str">
        <f aca="false">INDEX(Intent_Analysis!$B$5:$B$81,MATCH(B4707,Intent_Analysis!$A$5:$A$81,0))</f>
        <v>Fraud &amp; security</v>
      </c>
      <c r="D4707" s="0" t="n">
        <f aca="false">INDEX(Intent_Analysis!$E$5:$E$81,MATCH(B4707,Intent_Analysis!$A$5:$A$81,0))</f>
        <v>3</v>
      </c>
    </row>
    <row r="4708" customFormat="false" ht="15" hidden="false" customHeight="false" outlineLevel="0" collapsed="false">
      <c r="A4708" s="0" t="s">
        <v>5032</v>
      </c>
      <c r="B4708" s="0" t="s">
        <v>95</v>
      </c>
      <c r="C4708" s="0" t="str">
        <f aca="false">INDEX(Intent_Analysis!$B$5:$B$81,MATCH(B4708,Intent_Analysis!$A$5:$A$81,0))</f>
        <v>Fraud &amp; security</v>
      </c>
      <c r="D4708" s="0" t="n">
        <f aca="false">INDEX(Intent_Analysis!$E$5:$E$81,MATCH(B4708,Intent_Analysis!$A$5:$A$81,0))</f>
        <v>3</v>
      </c>
    </row>
    <row r="4709" customFormat="false" ht="15" hidden="false" customHeight="false" outlineLevel="0" collapsed="false">
      <c r="A4709" s="0" t="s">
        <v>5033</v>
      </c>
      <c r="B4709" s="0" t="s">
        <v>95</v>
      </c>
      <c r="C4709" s="0" t="str">
        <f aca="false">INDEX(Intent_Analysis!$B$5:$B$81,MATCH(B4709,Intent_Analysis!$A$5:$A$81,0))</f>
        <v>Fraud &amp; security</v>
      </c>
      <c r="D4709" s="0" t="n">
        <f aca="false">INDEX(Intent_Analysis!$E$5:$E$81,MATCH(B4709,Intent_Analysis!$A$5:$A$81,0))</f>
        <v>3</v>
      </c>
    </row>
    <row r="4710" customFormat="false" ht="15" hidden="false" customHeight="false" outlineLevel="0" collapsed="false">
      <c r="A4710" s="0" t="s">
        <v>5034</v>
      </c>
      <c r="B4710" s="0" t="s">
        <v>95</v>
      </c>
      <c r="C4710" s="0" t="str">
        <f aca="false">INDEX(Intent_Analysis!$B$5:$B$81,MATCH(B4710,Intent_Analysis!$A$5:$A$81,0))</f>
        <v>Fraud &amp; security</v>
      </c>
      <c r="D4710" s="0" t="n">
        <f aca="false">INDEX(Intent_Analysis!$E$5:$E$81,MATCH(B4710,Intent_Analysis!$A$5:$A$81,0))</f>
        <v>3</v>
      </c>
    </row>
    <row r="4711" customFormat="false" ht="15" hidden="false" customHeight="false" outlineLevel="0" collapsed="false">
      <c r="A4711" s="0" t="s">
        <v>5035</v>
      </c>
      <c r="B4711" s="0" t="s">
        <v>95</v>
      </c>
      <c r="C4711" s="0" t="str">
        <f aca="false">INDEX(Intent_Analysis!$B$5:$B$81,MATCH(B4711,Intent_Analysis!$A$5:$A$81,0))</f>
        <v>Fraud &amp; security</v>
      </c>
      <c r="D4711" s="0" t="n">
        <f aca="false">INDEX(Intent_Analysis!$E$5:$E$81,MATCH(B4711,Intent_Analysis!$A$5:$A$81,0))</f>
        <v>3</v>
      </c>
    </row>
    <row r="4712" customFormat="false" ht="15" hidden="false" customHeight="false" outlineLevel="0" collapsed="false">
      <c r="A4712" s="0" t="s">
        <v>5036</v>
      </c>
      <c r="B4712" s="0" t="s">
        <v>95</v>
      </c>
      <c r="C4712" s="0" t="str">
        <f aca="false">INDEX(Intent_Analysis!$B$5:$B$81,MATCH(B4712,Intent_Analysis!$A$5:$A$81,0))</f>
        <v>Fraud &amp; security</v>
      </c>
      <c r="D4712" s="0" t="n">
        <f aca="false">INDEX(Intent_Analysis!$E$5:$E$81,MATCH(B4712,Intent_Analysis!$A$5:$A$81,0))</f>
        <v>3</v>
      </c>
    </row>
    <row r="4713" customFormat="false" ht="15" hidden="false" customHeight="false" outlineLevel="0" collapsed="false">
      <c r="A4713" s="0" t="s">
        <v>5037</v>
      </c>
      <c r="B4713" s="0" t="s">
        <v>95</v>
      </c>
      <c r="C4713" s="0" t="str">
        <f aca="false">INDEX(Intent_Analysis!$B$5:$B$81,MATCH(B4713,Intent_Analysis!$A$5:$A$81,0))</f>
        <v>Fraud &amp; security</v>
      </c>
      <c r="D4713" s="0" t="n">
        <f aca="false">INDEX(Intent_Analysis!$E$5:$E$81,MATCH(B4713,Intent_Analysis!$A$5:$A$81,0))</f>
        <v>3</v>
      </c>
    </row>
    <row r="4714" customFormat="false" ht="15" hidden="false" customHeight="false" outlineLevel="0" collapsed="false">
      <c r="A4714" s="0" t="s">
        <v>5038</v>
      </c>
      <c r="B4714" s="0" t="s">
        <v>95</v>
      </c>
      <c r="C4714" s="0" t="str">
        <f aca="false">INDEX(Intent_Analysis!$B$5:$B$81,MATCH(B4714,Intent_Analysis!$A$5:$A$81,0))</f>
        <v>Fraud &amp; security</v>
      </c>
      <c r="D4714" s="0" t="n">
        <f aca="false">INDEX(Intent_Analysis!$E$5:$E$81,MATCH(B4714,Intent_Analysis!$A$5:$A$81,0))</f>
        <v>3</v>
      </c>
    </row>
    <row r="4715" customFormat="false" ht="15" hidden="false" customHeight="false" outlineLevel="0" collapsed="false">
      <c r="A4715" s="0" t="s">
        <v>5039</v>
      </c>
      <c r="B4715" s="0" t="s">
        <v>95</v>
      </c>
      <c r="C4715" s="0" t="str">
        <f aca="false">INDEX(Intent_Analysis!$B$5:$B$81,MATCH(B4715,Intent_Analysis!$A$5:$A$81,0))</f>
        <v>Fraud &amp; security</v>
      </c>
      <c r="D4715" s="0" t="n">
        <f aca="false">INDEX(Intent_Analysis!$E$5:$E$81,MATCH(B4715,Intent_Analysis!$A$5:$A$81,0))</f>
        <v>3</v>
      </c>
    </row>
    <row r="4716" customFormat="false" ht="15" hidden="false" customHeight="false" outlineLevel="0" collapsed="false">
      <c r="A4716" s="0" t="s">
        <v>5040</v>
      </c>
      <c r="B4716" s="0" t="s">
        <v>95</v>
      </c>
      <c r="C4716" s="0" t="str">
        <f aca="false">INDEX(Intent_Analysis!$B$5:$B$81,MATCH(B4716,Intent_Analysis!$A$5:$A$81,0))</f>
        <v>Fraud &amp; security</v>
      </c>
      <c r="D4716" s="0" t="n">
        <f aca="false">INDEX(Intent_Analysis!$E$5:$E$81,MATCH(B4716,Intent_Analysis!$A$5:$A$81,0))</f>
        <v>3</v>
      </c>
    </row>
    <row r="4717" customFormat="false" ht="15" hidden="false" customHeight="false" outlineLevel="0" collapsed="false">
      <c r="A4717" s="0" t="s">
        <v>5041</v>
      </c>
      <c r="B4717" s="0" t="s">
        <v>95</v>
      </c>
      <c r="C4717" s="0" t="str">
        <f aca="false">INDEX(Intent_Analysis!$B$5:$B$81,MATCH(B4717,Intent_Analysis!$A$5:$A$81,0))</f>
        <v>Fraud &amp; security</v>
      </c>
      <c r="D4717" s="0" t="n">
        <f aca="false">INDEX(Intent_Analysis!$E$5:$E$81,MATCH(B4717,Intent_Analysis!$A$5:$A$81,0))</f>
        <v>3</v>
      </c>
    </row>
    <row r="4718" customFormat="false" ht="15" hidden="false" customHeight="false" outlineLevel="0" collapsed="false">
      <c r="A4718" s="0" t="s">
        <v>5042</v>
      </c>
      <c r="B4718" s="0" t="s">
        <v>95</v>
      </c>
      <c r="C4718" s="0" t="str">
        <f aca="false">INDEX(Intent_Analysis!$B$5:$B$81,MATCH(B4718,Intent_Analysis!$A$5:$A$81,0))</f>
        <v>Fraud &amp; security</v>
      </c>
      <c r="D4718" s="0" t="n">
        <f aca="false">INDEX(Intent_Analysis!$E$5:$E$81,MATCH(B4718,Intent_Analysis!$A$5:$A$81,0))</f>
        <v>3</v>
      </c>
    </row>
    <row r="4719" customFormat="false" ht="15" hidden="false" customHeight="false" outlineLevel="0" collapsed="false">
      <c r="A4719" s="0" t="s">
        <v>5043</v>
      </c>
      <c r="B4719" s="0" t="s">
        <v>95</v>
      </c>
      <c r="C4719" s="0" t="str">
        <f aca="false">INDEX(Intent_Analysis!$B$5:$B$81,MATCH(B4719,Intent_Analysis!$A$5:$A$81,0))</f>
        <v>Fraud &amp; security</v>
      </c>
      <c r="D4719" s="0" t="n">
        <f aca="false">INDEX(Intent_Analysis!$E$5:$E$81,MATCH(B4719,Intent_Analysis!$A$5:$A$81,0))</f>
        <v>3</v>
      </c>
    </row>
    <row r="4720" customFormat="false" ht="15" hidden="false" customHeight="false" outlineLevel="0" collapsed="false">
      <c r="A4720" s="0" t="s">
        <v>5044</v>
      </c>
      <c r="B4720" s="0" t="s">
        <v>95</v>
      </c>
      <c r="C4720" s="0" t="str">
        <f aca="false">INDEX(Intent_Analysis!$B$5:$B$81,MATCH(B4720,Intent_Analysis!$A$5:$A$81,0))</f>
        <v>Fraud &amp; security</v>
      </c>
      <c r="D4720" s="0" t="n">
        <f aca="false">INDEX(Intent_Analysis!$E$5:$E$81,MATCH(B4720,Intent_Analysis!$A$5:$A$81,0))</f>
        <v>3</v>
      </c>
    </row>
    <row r="4721" customFormat="false" ht="15" hidden="false" customHeight="false" outlineLevel="0" collapsed="false">
      <c r="A4721" s="0" t="s">
        <v>5045</v>
      </c>
      <c r="B4721" s="0" t="s">
        <v>95</v>
      </c>
      <c r="C4721" s="0" t="str">
        <f aca="false">INDEX(Intent_Analysis!$B$5:$B$81,MATCH(B4721,Intent_Analysis!$A$5:$A$81,0))</f>
        <v>Fraud &amp; security</v>
      </c>
      <c r="D4721" s="0" t="n">
        <f aca="false">INDEX(Intent_Analysis!$E$5:$E$81,MATCH(B4721,Intent_Analysis!$A$5:$A$81,0))</f>
        <v>3</v>
      </c>
    </row>
    <row r="4722" customFormat="false" ht="15" hidden="false" customHeight="false" outlineLevel="0" collapsed="false">
      <c r="A4722" s="0" t="s">
        <v>5046</v>
      </c>
      <c r="B4722" s="0" t="s">
        <v>95</v>
      </c>
      <c r="C4722" s="0" t="str">
        <f aca="false">INDEX(Intent_Analysis!$B$5:$B$81,MATCH(B4722,Intent_Analysis!$A$5:$A$81,0))</f>
        <v>Fraud &amp; security</v>
      </c>
      <c r="D4722" s="0" t="n">
        <f aca="false">INDEX(Intent_Analysis!$E$5:$E$81,MATCH(B4722,Intent_Analysis!$A$5:$A$81,0))</f>
        <v>3</v>
      </c>
    </row>
    <row r="4723" customFormat="false" ht="15" hidden="false" customHeight="false" outlineLevel="0" collapsed="false">
      <c r="A4723" s="0" t="s">
        <v>5047</v>
      </c>
      <c r="B4723" s="0" t="s">
        <v>95</v>
      </c>
      <c r="C4723" s="0" t="str">
        <f aca="false">INDEX(Intent_Analysis!$B$5:$B$81,MATCH(B4723,Intent_Analysis!$A$5:$A$81,0))</f>
        <v>Fraud &amp; security</v>
      </c>
      <c r="D4723" s="0" t="n">
        <f aca="false">INDEX(Intent_Analysis!$E$5:$E$81,MATCH(B4723,Intent_Analysis!$A$5:$A$81,0))</f>
        <v>3</v>
      </c>
    </row>
    <row r="4724" customFormat="false" ht="15" hidden="false" customHeight="false" outlineLevel="0" collapsed="false">
      <c r="A4724" s="0" t="s">
        <v>5048</v>
      </c>
      <c r="B4724" s="0" t="s">
        <v>95</v>
      </c>
      <c r="C4724" s="0" t="str">
        <f aca="false">INDEX(Intent_Analysis!$B$5:$B$81,MATCH(B4724,Intent_Analysis!$A$5:$A$81,0))</f>
        <v>Fraud &amp; security</v>
      </c>
      <c r="D4724" s="0" t="n">
        <f aca="false">INDEX(Intent_Analysis!$E$5:$E$81,MATCH(B4724,Intent_Analysis!$A$5:$A$81,0))</f>
        <v>3</v>
      </c>
    </row>
    <row r="4725" customFormat="false" ht="15" hidden="false" customHeight="false" outlineLevel="0" collapsed="false">
      <c r="A4725" s="0" t="s">
        <v>5049</v>
      </c>
      <c r="B4725" s="0" t="s">
        <v>95</v>
      </c>
      <c r="C4725" s="0" t="str">
        <f aca="false">INDEX(Intent_Analysis!$B$5:$B$81,MATCH(B4725,Intent_Analysis!$A$5:$A$81,0))</f>
        <v>Fraud &amp; security</v>
      </c>
      <c r="D4725" s="0" t="n">
        <f aca="false">INDEX(Intent_Analysis!$E$5:$E$81,MATCH(B4725,Intent_Analysis!$A$5:$A$81,0))</f>
        <v>3</v>
      </c>
    </row>
    <row r="4726" customFormat="false" ht="15" hidden="false" customHeight="false" outlineLevel="0" collapsed="false">
      <c r="A4726" s="0" t="s">
        <v>5050</v>
      </c>
      <c r="B4726" s="0" t="s">
        <v>95</v>
      </c>
      <c r="C4726" s="0" t="str">
        <f aca="false">INDEX(Intent_Analysis!$B$5:$B$81,MATCH(B4726,Intent_Analysis!$A$5:$A$81,0))</f>
        <v>Fraud &amp; security</v>
      </c>
      <c r="D4726" s="0" t="n">
        <f aca="false">INDEX(Intent_Analysis!$E$5:$E$81,MATCH(B4726,Intent_Analysis!$A$5:$A$81,0))</f>
        <v>3</v>
      </c>
    </row>
    <row r="4727" customFormat="false" ht="15" hidden="false" customHeight="false" outlineLevel="0" collapsed="false">
      <c r="A4727" s="0" t="s">
        <v>5051</v>
      </c>
      <c r="B4727" s="0" t="s">
        <v>95</v>
      </c>
      <c r="C4727" s="0" t="str">
        <f aca="false">INDEX(Intent_Analysis!$B$5:$B$81,MATCH(B4727,Intent_Analysis!$A$5:$A$81,0))</f>
        <v>Fraud &amp; security</v>
      </c>
      <c r="D4727" s="0" t="n">
        <f aca="false">INDEX(Intent_Analysis!$E$5:$E$81,MATCH(B4727,Intent_Analysis!$A$5:$A$81,0))</f>
        <v>3</v>
      </c>
    </row>
    <row r="4728" customFormat="false" ht="15" hidden="false" customHeight="false" outlineLevel="0" collapsed="false">
      <c r="A4728" s="0" t="s">
        <v>5052</v>
      </c>
      <c r="B4728" s="0" t="s">
        <v>95</v>
      </c>
      <c r="C4728" s="0" t="str">
        <f aca="false">INDEX(Intent_Analysis!$B$5:$B$81,MATCH(B4728,Intent_Analysis!$A$5:$A$81,0))</f>
        <v>Fraud &amp; security</v>
      </c>
      <c r="D4728" s="0" t="n">
        <f aca="false">INDEX(Intent_Analysis!$E$5:$E$81,MATCH(B4728,Intent_Analysis!$A$5:$A$81,0))</f>
        <v>3</v>
      </c>
    </row>
    <row r="4729" customFormat="false" ht="15" hidden="false" customHeight="false" outlineLevel="0" collapsed="false">
      <c r="A4729" s="0" t="s">
        <v>5053</v>
      </c>
      <c r="B4729" s="0" t="s">
        <v>95</v>
      </c>
      <c r="C4729" s="0" t="str">
        <f aca="false">INDEX(Intent_Analysis!$B$5:$B$81,MATCH(B4729,Intent_Analysis!$A$5:$A$81,0))</f>
        <v>Fraud &amp; security</v>
      </c>
      <c r="D4729" s="0" t="n">
        <f aca="false">INDEX(Intent_Analysis!$E$5:$E$81,MATCH(B4729,Intent_Analysis!$A$5:$A$81,0))</f>
        <v>3</v>
      </c>
    </row>
    <row r="4730" customFormat="false" ht="15" hidden="false" customHeight="false" outlineLevel="0" collapsed="false">
      <c r="A4730" s="0" t="s">
        <v>5054</v>
      </c>
      <c r="B4730" s="0" t="s">
        <v>95</v>
      </c>
      <c r="C4730" s="0" t="str">
        <f aca="false">INDEX(Intent_Analysis!$B$5:$B$81,MATCH(B4730,Intent_Analysis!$A$5:$A$81,0))</f>
        <v>Fraud &amp; security</v>
      </c>
      <c r="D4730" s="0" t="n">
        <f aca="false">INDEX(Intent_Analysis!$E$5:$E$81,MATCH(B4730,Intent_Analysis!$A$5:$A$81,0))</f>
        <v>3</v>
      </c>
    </row>
    <row r="4731" customFormat="false" ht="15" hidden="false" customHeight="false" outlineLevel="0" collapsed="false">
      <c r="A4731" s="0" t="s">
        <v>5055</v>
      </c>
      <c r="B4731" s="0" t="s">
        <v>95</v>
      </c>
      <c r="C4731" s="0" t="str">
        <f aca="false">INDEX(Intent_Analysis!$B$5:$B$81,MATCH(B4731,Intent_Analysis!$A$5:$A$81,0))</f>
        <v>Fraud &amp; security</v>
      </c>
      <c r="D4731" s="0" t="n">
        <f aca="false">INDEX(Intent_Analysis!$E$5:$E$81,MATCH(B4731,Intent_Analysis!$A$5:$A$81,0))</f>
        <v>3</v>
      </c>
    </row>
    <row r="4732" customFormat="false" ht="15" hidden="false" customHeight="false" outlineLevel="0" collapsed="false">
      <c r="A4732" s="0" t="s">
        <v>5056</v>
      </c>
      <c r="B4732" s="0" t="s">
        <v>95</v>
      </c>
      <c r="C4732" s="0" t="str">
        <f aca="false">INDEX(Intent_Analysis!$B$5:$B$81,MATCH(B4732,Intent_Analysis!$A$5:$A$81,0))</f>
        <v>Fraud &amp; security</v>
      </c>
      <c r="D4732" s="0" t="n">
        <f aca="false">INDEX(Intent_Analysis!$E$5:$E$81,MATCH(B4732,Intent_Analysis!$A$5:$A$81,0))</f>
        <v>3</v>
      </c>
    </row>
    <row r="4733" customFormat="false" ht="15" hidden="false" customHeight="false" outlineLevel="0" collapsed="false">
      <c r="A4733" s="0" t="s">
        <v>5057</v>
      </c>
      <c r="B4733" s="0" t="s">
        <v>95</v>
      </c>
      <c r="C4733" s="0" t="str">
        <f aca="false">INDEX(Intent_Analysis!$B$5:$B$81,MATCH(B4733,Intent_Analysis!$A$5:$A$81,0))</f>
        <v>Fraud &amp; security</v>
      </c>
      <c r="D4733" s="0" t="n">
        <f aca="false">INDEX(Intent_Analysis!$E$5:$E$81,MATCH(B4733,Intent_Analysis!$A$5:$A$81,0))</f>
        <v>3</v>
      </c>
    </row>
    <row r="4734" customFormat="false" ht="15" hidden="false" customHeight="false" outlineLevel="0" collapsed="false">
      <c r="A4734" s="0" t="s">
        <v>5058</v>
      </c>
      <c r="B4734" s="0" t="s">
        <v>95</v>
      </c>
      <c r="C4734" s="0" t="str">
        <f aca="false">INDEX(Intent_Analysis!$B$5:$B$81,MATCH(B4734,Intent_Analysis!$A$5:$A$81,0))</f>
        <v>Fraud &amp; security</v>
      </c>
      <c r="D4734" s="0" t="n">
        <f aca="false">INDEX(Intent_Analysis!$E$5:$E$81,MATCH(B4734,Intent_Analysis!$A$5:$A$81,0))</f>
        <v>3</v>
      </c>
    </row>
    <row r="4735" customFormat="false" ht="15" hidden="false" customHeight="false" outlineLevel="0" collapsed="false">
      <c r="A4735" s="0" t="s">
        <v>5059</v>
      </c>
      <c r="B4735" s="0" t="s">
        <v>95</v>
      </c>
      <c r="C4735" s="0" t="str">
        <f aca="false">INDEX(Intent_Analysis!$B$5:$B$81,MATCH(B4735,Intent_Analysis!$A$5:$A$81,0))</f>
        <v>Fraud &amp; security</v>
      </c>
      <c r="D4735" s="0" t="n">
        <f aca="false">INDEX(Intent_Analysis!$E$5:$E$81,MATCH(B4735,Intent_Analysis!$A$5:$A$81,0))</f>
        <v>3</v>
      </c>
    </row>
    <row r="4736" customFormat="false" ht="15" hidden="false" customHeight="false" outlineLevel="0" collapsed="false">
      <c r="A4736" s="0" t="s">
        <v>5060</v>
      </c>
      <c r="B4736" s="0" t="s">
        <v>95</v>
      </c>
      <c r="C4736" s="0" t="str">
        <f aca="false">INDEX(Intent_Analysis!$B$5:$B$81,MATCH(B4736,Intent_Analysis!$A$5:$A$81,0))</f>
        <v>Fraud &amp; security</v>
      </c>
      <c r="D4736" s="0" t="n">
        <f aca="false">INDEX(Intent_Analysis!$E$5:$E$81,MATCH(B4736,Intent_Analysis!$A$5:$A$81,0))</f>
        <v>3</v>
      </c>
    </row>
    <row r="4737" customFormat="false" ht="15" hidden="false" customHeight="false" outlineLevel="0" collapsed="false">
      <c r="A4737" s="0" t="s">
        <v>5061</v>
      </c>
      <c r="B4737" s="0" t="s">
        <v>95</v>
      </c>
      <c r="C4737" s="0" t="str">
        <f aca="false">INDEX(Intent_Analysis!$B$5:$B$81,MATCH(B4737,Intent_Analysis!$A$5:$A$81,0))</f>
        <v>Fraud &amp; security</v>
      </c>
      <c r="D4737" s="0" t="n">
        <f aca="false">INDEX(Intent_Analysis!$E$5:$E$81,MATCH(B4737,Intent_Analysis!$A$5:$A$81,0))</f>
        <v>3</v>
      </c>
    </row>
    <row r="4738" customFormat="false" ht="15" hidden="false" customHeight="false" outlineLevel="0" collapsed="false">
      <c r="A4738" s="0" t="s">
        <v>5062</v>
      </c>
      <c r="B4738" s="0" t="s">
        <v>95</v>
      </c>
      <c r="C4738" s="0" t="str">
        <f aca="false">INDEX(Intent_Analysis!$B$5:$B$81,MATCH(B4738,Intent_Analysis!$A$5:$A$81,0))</f>
        <v>Fraud &amp; security</v>
      </c>
      <c r="D4738" s="0" t="n">
        <f aca="false">INDEX(Intent_Analysis!$E$5:$E$81,MATCH(B4738,Intent_Analysis!$A$5:$A$81,0))</f>
        <v>3</v>
      </c>
    </row>
    <row r="4739" customFormat="false" ht="15" hidden="false" customHeight="false" outlineLevel="0" collapsed="false">
      <c r="A4739" s="0" t="s">
        <v>5063</v>
      </c>
      <c r="B4739" s="0" t="s">
        <v>95</v>
      </c>
      <c r="C4739" s="0" t="str">
        <f aca="false">INDEX(Intent_Analysis!$B$5:$B$81,MATCH(B4739,Intent_Analysis!$A$5:$A$81,0))</f>
        <v>Fraud &amp; security</v>
      </c>
      <c r="D4739" s="0" t="n">
        <f aca="false">INDEX(Intent_Analysis!$E$5:$E$81,MATCH(B4739,Intent_Analysis!$A$5:$A$81,0))</f>
        <v>3</v>
      </c>
    </row>
    <row r="4740" customFormat="false" ht="15" hidden="false" customHeight="false" outlineLevel="0" collapsed="false">
      <c r="A4740" s="0" t="s">
        <v>5064</v>
      </c>
      <c r="B4740" s="0" t="s">
        <v>95</v>
      </c>
      <c r="C4740" s="0" t="str">
        <f aca="false">INDEX(Intent_Analysis!$B$5:$B$81,MATCH(B4740,Intent_Analysis!$A$5:$A$81,0))</f>
        <v>Fraud &amp; security</v>
      </c>
      <c r="D4740" s="0" t="n">
        <f aca="false">INDEX(Intent_Analysis!$E$5:$E$81,MATCH(B4740,Intent_Analysis!$A$5:$A$81,0))</f>
        <v>3</v>
      </c>
    </row>
    <row r="4741" customFormat="false" ht="15" hidden="false" customHeight="false" outlineLevel="0" collapsed="false">
      <c r="A4741" s="0" t="s">
        <v>5065</v>
      </c>
      <c r="B4741" s="0" t="s">
        <v>95</v>
      </c>
      <c r="C4741" s="0" t="str">
        <f aca="false">INDEX(Intent_Analysis!$B$5:$B$81,MATCH(B4741,Intent_Analysis!$A$5:$A$81,0))</f>
        <v>Fraud &amp; security</v>
      </c>
      <c r="D4741" s="0" t="n">
        <f aca="false">INDEX(Intent_Analysis!$E$5:$E$81,MATCH(B4741,Intent_Analysis!$A$5:$A$81,0))</f>
        <v>3</v>
      </c>
    </row>
    <row r="4742" customFormat="false" ht="15" hidden="false" customHeight="false" outlineLevel="0" collapsed="false">
      <c r="A4742" s="0" t="s">
        <v>5066</v>
      </c>
      <c r="B4742" s="0" t="s">
        <v>95</v>
      </c>
      <c r="C4742" s="0" t="str">
        <f aca="false">INDEX(Intent_Analysis!$B$5:$B$81,MATCH(B4742,Intent_Analysis!$A$5:$A$81,0))</f>
        <v>Fraud &amp; security</v>
      </c>
      <c r="D4742" s="0" t="n">
        <f aca="false">INDEX(Intent_Analysis!$E$5:$E$81,MATCH(B4742,Intent_Analysis!$A$5:$A$81,0))</f>
        <v>3</v>
      </c>
    </row>
    <row r="4743" customFormat="false" ht="15" hidden="false" customHeight="false" outlineLevel="0" collapsed="false">
      <c r="A4743" s="0" t="s">
        <v>5067</v>
      </c>
      <c r="B4743" s="0" t="s">
        <v>95</v>
      </c>
      <c r="C4743" s="0" t="str">
        <f aca="false">INDEX(Intent_Analysis!$B$5:$B$81,MATCH(B4743,Intent_Analysis!$A$5:$A$81,0))</f>
        <v>Fraud &amp; security</v>
      </c>
      <c r="D4743" s="0" t="n">
        <f aca="false">INDEX(Intent_Analysis!$E$5:$E$81,MATCH(B4743,Intent_Analysis!$A$5:$A$81,0))</f>
        <v>3</v>
      </c>
    </row>
    <row r="4744" customFormat="false" ht="15" hidden="false" customHeight="false" outlineLevel="0" collapsed="false">
      <c r="A4744" s="0" t="s">
        <v>5068</v>
      </c>
      <c r="B4744" s="0" t="s">
        <v>95</v>
      </c>
      <c r="C4744" s="0" t="str">
        <f aca="false">INDEX(Intent_Analysis!$B$5:$B$81,MATCH(B4744,Intent_Analysis!$A$5:$A$81,0))</f>
        <v>Fraud &amp; security</v>
      </c>
      <c r="D4744" s="0" t="n">
        <f aca="false">INDEX(Intent_Analysis!$E$5:$E$81,MATCH(B4744,Intent_Analysis!$A$5:$A$81,0))</f>
        <v>3</v>
      </c>
    </row>
    <row r="4745" customFormat="false" ht="15" hidden="false" customHeight="false" outlineLevel="0" collapsed="false">
      <c r="A4745" s="0" t="s">
        <v>5069</v>
      </c>
      <c r="B4745" s="0" t="s">
        <v>95</v>
      </c>
      <c r="C4745" s="0" t="str">
        <f aca="false">INDEX(Intent_Analysis!$B$5:$B$81,MATCH(B4745,Intent_Analysis!$A$5:$A$81,0))</f>
        <v>Fraud &amp; security</v>
      </c>
      <c r="D4745" s="0" t="n">
        <f aca="false">INDEX(Intent_Analysis!$E$5:$E$81,MATCH(B4745,Intent_Analysis!$A$5:$A$81,0))</f>
        <v>3</v>
      </c>
    </row>
    <row r="4746" customFormat="false" ht="15" hidden="false" customHeight="false" outlineLevel="0" collapsed="false">
      <c r="A4746" s="0" t="s">
        <v>5070</v>
      </c>
      <c r="B4746" s="0" t="s">
        <v>95</v>
      </c>
      <c r="C4746" s="0" t="str">
        <f aca="false">INDEX(Intent_Analysis!$B$5:$B$81,MATCH(B4746,Intent_Analysis!$A$5:$A$81,0))</f>
        <v>Fraud &amp; security</v>
      </c>
      <c r="D4746" s="0" t="n">
        <f aca="false">INDEX(Intent_Analysis!$E$5:$E$81,MATCH(B4746,Intent_Analysis!$A$5:$A$81,0))</f>
        <v>3</v>
      </c>
    </row>
    <row r="4747" customFormat="false" ht="15" hidden="false" customHeight="false" outlineLevel="0" collapsed="false">
      <c r="A4747" s="0" t="s">
        <v>5071</v>
      </c>
      <c r="B4747" s="0" t="s">
        <v>95</v>
      </c>
      <c r="C4747" s="0" t="str">
        <f aca="false">INDEX(Intent_Analysis!$B$5:$B$81,MATCH(B4747,Intent_Analysis!$A$5:$A$81,0))</f>
        <v>Fraud &amp; security</v>
      </c>
      <c r="D4747" s="0" t="n">
        <f aca="false">INDEX(Intent_Analysis!$E$5:$E$81,MATCH(B4747,Intent_Analysis!$A$5:$A$81,0))</f>
        <v>3</v>
      </c>
    </row>
    <row r="4748" customFormat="false" ht="15" hidden="false" customHeight="false" outlineLevel="0" collapsed="false">
      <c r="A4748" s="0" t="s">
        <v>5072</v>
      </c>
      <c r="B4748" s="0" t="s">
        <v>95</v>
      </c>
      <c r="C4748" s="0" t="str">
        <f aca="false">INDEX(Intent_Analysis!$B$5:$B$81,MATCH(B4748,Intent_Analysis!$A$5:$A$81,0))</f>
        <v>Fraud &amp; security</v>
      </c>
      <c r="D4748" s="0" t="n">
        <f aca="false">INDEX(Intent_Analysis!$E$5:$E$81,MATCH(B4748,Intent_Analysis!$A$5:$A$81,0))</f>
        <v>3</v>
      </c>
    </row>
    <row r="4749" customFormat="false" ht="15" hidden="false" customHeight="false" outlineLevel="0" collapsed="false">
      <c r="A4749" s="0" t="s">
        <v>5073</v>
      </c>
      <c r="B4749" s="0" t="s">
        <v>95</v>
      </c>
      <c r="C4749" s="0" t="str">
        <f aca="false">INDEX(Intent_Analysis!$B$5:$B$81,MATCH(B4749,Intent_Analysis!$A$5:$A$81,0))</f>
        <v>Fraud &amp; security</v>
      </c>
      <c r="D4749" s="0" t="n">
        <f aca="false">INDEX(Intent_Analysis!$E$5:$E$81,MATCH(B4749,Intent_Analysis!$A$5:$A$81,0))</f>
        <v>3</v>
      </c>
    </row>
    <row r="4750" customFormat="false" ht="15" hidden="false" customHeight="false" outlineLevel="0" collapsed="false">
      <c r="A4750" s="0" t="s">
        <v>5074</v>
      </c>
      <c r="B4750" s="0" t="s">
        <v>95</v>
      </c>
      <c r="C4750" s="0" t="str">
        <f aca="false">INDEX(Intent_Analysis!$B$5:$B$81,MATCH(B4750,Intent_Analysis!$A$5:$A$81,0))</f>
        <v>Fraud &amp; security</v>
      </c>
      <c r="D4750" s="0" t="n">
        <f aca="false">INDEX(Intent_Analysis!$E$5:$E$81,MATCH(B4750,Intent_Analysis!$A$5:$A$81,0))</f>
        <v>3</v>
      </c>
    </row>
    <row r="4751" customFormat="false" ht="15" hidden="false" customHeight="false" outlineLevel="0" collapsed="false">
      <c r="A4751" s="0" t="s">
        <v>5075</v>
      </c>
      <c r="B4751" s="0" t="s">
        <v>95</v>
      </c>
      <c r="C4751" s="0" t="str">
        <f aca="false">INDEX(Intent_Analysis!$B$5:$B$81,MATCH(B4751,Intent_Analysis!$A$5:$A$81,0))</f>
        <v>Fraud &amp; security</v>
      </c>
      <c r="D4751" s="0" t="n">
        <f aca="false">INDEX(Intent_Analysis!$E$5:$E$81,MATCH(B4751,Intent_Analysis!$A$5:$A$81,0))</f>
        <v>3</v>
      </c>
    </row>
    <row r="4752" customFormat="false" ht="15" hidden="false" customHeight="false" outlineLevel="0" collapsed="false">
      <c r="A4752" s="0" t="s">
        <v>5076</v>
      </c>
      <c r="B4752" s="0" t="s">
        <v>95</v>
      </c>
      <c r="C4752" s="0" t="str">
        <f aca="false">INDEX(Intent_Analysis!$B$5:$B$81,MATCH(B4752,Intent_Analysis!$A$5:$A$81,0))</f>
        <v>Fraud &amp; security</v>
      </c>
      <c r="D4752" s="0" t="n">
        <f aca="false">INDEX(Intent_Analysis!$E$5:$E$81,MATCH(B4752,Intent_Analysis!$A$5:$A$81,0))</f>
        <v>3</v>
      </c>
    </row>
    <row r="4753" customFormat="false" ht="15" hidden="false" customHeight="false" outlineLevel="0" collapsed="false">
      <c r="A4753" s="0" t="s">
        <v>5077</v>
      </c>
      <c r="B4753" s="0" t="s">
        <v>95</v>
      </c>
      <c r="C4753" s="0" t="str">
        <f aca="false">INDEX(Intent_Analysis!$B$5:$B$81,MATCH(B4753,Intent_Analysis!$A$5:$A$81,0))</f>
        <v>Fraud &amp; security</v>
      </c>
      <c r="D4753" s="0" t="n">
        <f aca="false">INDEX(Intent_Analysis!$E$5:$E$81,MATCH(B4753,Intent_Analysis!$A$5:$A$81,0))</f>
        <v>3</v>
      </c>
    </row>
    <row r="4754" customFormat="false" ht="15" hidden="false" customHeight="false" outlineLevel="0" collapsed="false">
      <c r="A4754" s="0" t="s">
        <v>5078</v>
      </c>
      <c r="B4754" s="0" t="s">
        <v>95</v>
      </c>
      <c r="C4754" s="0" t="str">
        <f aca="false">INDEX(Intent_Analysis!$B$5:$B$81,MATCH(B4754,Intent_Analysis!$A$5:$A$81,0))</f>
        <v>Fraud &amp; security</v>
      </c>
      <c r="D4754" s="0" t="n">
        <f aca="false">INDEX(Intent_Analysis!$E$5:$E$81,MATCH(B4754,Intent_Analysis!$A$5:$A$81,0))</f>
        <v>3</v>
      </c>
    </row>
    <row r="4755" customFormat="false" ht="15" hidden="false" customHeight="false" outlineLevel="0" collapsed="false">
      <c r="A4755" s="0" t="s">
        <v>5079</v>
      </c>
      <c r="B4755" s="0" t="s">
        <v>95</v>
      </c>
      <c r="C4755" s="0" t="str">
        <f aca="false">INDEX(Intent_Analysis!$B$5:$B$81,MATCH(B4755,Intent_Analysis!$A$5:$A$81,0))</f>
        <v>Fraud &amp; security</v>
      </c>
      <c r="D4755" s="0" t="n">
        <f aca="false">INDEX(Intent_Analysis!$E$5:$E$81,MATCH(B4755,Intent_Analysis!$A$5:$A$81,0))</f>
        <v>3</v>
      </c>
    </row>
    <row r="4756" customFormat="false" ht="15" hidden="false" customHeight="false" outlineLevel="0" collapsed="false">
      <c r="A4756" s="0" t="s">
        <v>5080</v>
      </c>
      <c r="B4756" s="0" t="s">
        <v>95</v>
      </c>
      <c r="C4756" s="0" t="str">
        <f aca="false">INDEX(Intent_Analysis!$B$5:$B$81,MATCH(B4756,Intent_Analysis!$A$5:$A$81,0))</f>
        <v>Fraud &amp; security</v>
      </c>
      <c r="D4756" s="0" t="n">
        <f aca="false">INDEX(Intent_Analysis!$E$5:$E$81,MATCH(B4756,Intent_Analysis!$A$5:$A$81,0))</f>
        <v>3</v>
      </c>
    </row>
    <row r="4757" customFormat="false" ht="15" hidden="false" customHeight="false" outlineLevel="0" collapsed="false">
      <c r="A4757" s="0" t="s">
        <v>5081</v>
      </c>
      <c r="B4757" s="0" t="s">
        <v>95</v>
      </c>
      <c r="C4757" s="0" t="str">
        <f aca="false">INDEX(Intent_Analysis!$B$5:$B$81,MATCH(B4757,Intent_Analysis!$A$5:$A$81,0))</f>
        <v>Fraud &amp; security</v>
      </c>
      <c r="D4757" s="0" t="n">
        <f aca="false">INDEX(Intent_Analysis!$E$5:$E$81,MATCH(B4757,Intent_Analysis!$A$5:$A$81,0))</f>
        <v>3</v>
      </c>
    </row>
    <row r="4758" customFormat="false" ht="15" hidden="false" customHeight="false" outlineLevel="0" collapsed="false">
      <c r="A4758" s="0" t="s">
        <v>5082</v>
      </c>
      <c r="B4758" s="0" t="s">
        <v>95</v>
      </c>
      <c r="C4758" s="0" t="str">
        <f aca="false">INDEX(Intent_Analysis!$B$5:$B$81,MATCH(B4758,Intent_Analysis!$A$5:$A$81,0))</f>
        <v>Fraud &amp; security</v>
      </c>
      <c r="D4758" s="0" t="n">
        <f aca="false">INDEX(Intent_Analysis!$E$5:$E$81,MATCH(B4758,Intent_Analysis!$A$5:$A$81,0))</f>
        <v>3</v>
      </c>
    </row>
    <row r="4759" customFormat="false" ht="15" hidden="false" customHeight="false" outlineLevel="0" collapsed="false">
      <c r="A4759" s="0" t="s">
        <v>5083</v>
      </c>
      <c r="B4759" s="0" t="s">
        <v>95</v>
      </c>
      <c r="C4759" s="0" t="str">
        <f aca="false">INDEX(Intent_Analysis!$B$5:$B$81,MATCH(B4759,Intent_Analysis!$A$5:$A$81,0))</f>
        <v>Fraud &amp; security</v>
      </c>
      <c r="D4759" s="0" t="n">
        <f aca="false">INDEX(Intent_Analysis!$E$5:$E$81,MATCH(B4759,Intent_Analysis!$A$5:$A$81,0))</f>
        <v>3</v>
      </c>
    </row>
    <row r="4760" customFormat="false" ht="15" hidden="false" customHeight="false" outlineLevel="0" collapsed="false">
      <c r="A4760" s="0" t="s">
        <v>5084</v>
      </c>
      <c r="B4760" s="0" t="s">
        <v>95</v>
      </c>
      <c r="C4760" s="0" t="str">
        <f aca="false">INDEX(Intent_Analysis!$B$5:$B$81,MATCH(B4760,Intent_Analysis!$A$5:$A$81,0))</f>
        <v>Fraud &amp; security</v>
      </c>
      <c r="D4760" s="0" t="n">
        <f aca="false">INDEX(Intent_Analysis!$E$5:$E$81,MATCH(B4760,Intent_Analysis!$A$5:$A$81,0))</f>
        <v>3</v>
      </c>
    </row>
    <row r="4761" customFormat="false" ht="15" hidden="false" customHeight="false" outlineLevel="0" collapsed="false">
      <c r="A4761" s="0" t="s">
        <v>5085</v>
      </c>
      <c r="B4761" s="0" t="s">
        <v>95</v>
      </c>
      <c r="C4761" s="0" t="str">
        <f aca="false">INDEX(Intent_Analysis!$B$5:$B$81,MATCH(B4761,Intent_Analysis!$A$5:$A$81,0))</f>
        <v>Fraud &amp; security</v>
      </c>
      <c r="D4761" s="0" t="n">
        <f aca="false">INDEX(Intent_Analysis!$E$5:$E$81,MATCH(B4761,Intent_Analysis!$A$5:$A$81,0))</f>
        <v>3</v>
      </c>
    </row>
    <row r="4762" customFormat="false" ht="15" hidden="false" customHeight="false" outlineLevel="0" collapsed="false">
      <c r="A4762" s="0" t="s">
        <v>5086</v>
      </c>
      <c r="B4762" s="0" t="s">
        <v>95</v>
      </c>
      <c r="C4762" s="0" t="str">
        <f aca="false">INDEX(Intent_Analysis!$B$5:$B$81,MATCH(B4762,Intent_Analysis!$A$5:$A$81,0))</f>
        <v>Fraud &amp; security</v>
      </c>
      <c r="D4762" s="0" t="n">
        <f aca="false">INDEX(Intent_Analysis!$E$5:$E$81,MATCH(B4762,Intent_Analysis!$A$5:$A$81,0))</f>
        <v>3</v>
      </c>
    </row>
    <row r="4763" customFormat="false" ht="15" hidden="false" customHeight="false" outlineLevel="0" collapsed="false">
      <c r="A4763" s="0" t="s">
        <v>5087</v>
      </c>
      <c r="B4763" s="0" t="s">
        <v>95</v>
      </c>
      <c r="C4763" s="0" t="str">
        <f aca="false">INDEX(Intent_Analysis!$B$5:$B$81,MATCH(B4763,Intent_Analysis!$A$5:$A$81,0))</f>
        <v>Fraud &amp; security</v>
      </c>
      <c r="D4763" s="0" t="n">
        <f aca="false">INDEX(Intent_Analysis!$E$5:$E$81,MATCH(B4763,Intent_Analysis!$A$5:$A$81,0))</f>
        <v>3</v>
      </c>
    </row>
    <row r="4764" customFormat="false" ht="15" hidden="false" customHeight="false" outlineLevel="0" collapsed="false">
      <c r="A4764" s="0" t="s">
        <v>5088</v>
      </c>
      <c r="B4764" s="0" t="s">
        <v>95</v>
      </c>
      <c r="C4764" s="0" t="str">
        <f aca="false">INDEX(Intent_Analysis!$B$5:$B$81,MATCH(B4764,Intent_Analysis!$A$5:$A$81,0))</f>
        <v>Fraud &amp; security</v>
      </c>
      <c r="D4764" s="0" t="n">
        <f aca="false">INDEX(Intent_Analysis!$E$5:$E$81,MATCH(B4764,Intent_Analysis!$A$5:$A$81,0))</f>
        <v>3</v>
      </c>
    </row>
    <row r="4765" customFormat="false" ht="15" hidden="false" customHeight="false" outlineLevel="0" collapsed="false">
      <c r="A4765" s="0" t="s">
        <v>5089</v>
      </c>
      <c r="B4765" s="0" t="s">
        <v>95</v>
      </c>
      <c r="C4765" s="0" t="str">
        <f aca="false">INDEX(Intent_Analysis!$B$5:$B$81,MATCH(B4765,Intent_Analysis!$A$5:$A$81,0))</f>
        <v>Fraud &amp; security</v>
      </c>
      <c r="D4765" s="0" t="n">
        <f aca="false">INDEX(Intent_Analysis!$E$5:$E$81,MATCH(B4765,Intent_Analysis!$A$5:$A$81,0))</f>
        <v>3</v>
      </c>
    </row>
    <row r="4766" customFormat="false" ht="15" hidden="false" customHeight="false" outlineLevel="0" collapsed="false">
      <c r="A4766" s="0" t="s">
        <v>5090</v>
      </c>
      <c r="B4766" s="0" t="s">
        <v>95</v>
      </c>
      <c r="C4766" s="0" t="str">
        <f aca="false">INDEX(Intent_Analysis!$B$5:$B$81,MATCH(B4766,Intent_Analysis!$A$5:$A$81,0))</f>
        <v>Fraud &amp; security</v>
      </c>
      <c r="D4766" s="0" t="n">
        <f aca="false">INDEX(Intent_Analysis!$E$5:$E$81,MATCH(B4766,Intent_Analysis!$A$5:$A$81,0))</f>
        <v>3</v>
      </c>
    </row>
    <row r="4767" customFormat="false" ht="15" hidden="false" customHeight="false" outlineLevel="0" collapsed="false">
      <c r="A4767" s="0" t="s">
        <v>5091</v>
      </c>
      <c r="B4767" s="0" t="s">
        <v>95</v>
      </c>
      <c r="C4767" s="0" t="str">
        <f aca="false">INDEX(Intent_Analysis!$B$5:$B$81,MATCH(B4767,Intent_Analysis!$A$5:$A$81,0))</f>
        <v>Fraud &amp; security</v>
      </c>
      <c r="D4767" s="0" t="n">
        <f aca="false">INDEX(Intent_Analysis!$E$5:$E$81,MATCH(B4767,Intent_Analysis!$A$5:$A$81,0))</f>
        <v>3</v>
      </c>
    </row>
    <row r="4768" customFormat="false" ht="15" hidden="false" customHeight="false" outlineLevel="0" collapsed="false">
      <c r="A4768" s="0" t="s">
        <v>5092</v>
      </c>
      <c r="B4768" s="0" t="s">
        <v>95</v>
      </c>
      <c r="C4768" s="0" t="str">
        <f aca="false">INDEX(Intent_Analysis!$B$5:$B$81,MATCH(B4768,Intent_Analysis!$A$5:$A$81,0))</f>
        <v>Fraud &amp; security</v>
      </c>
      <c r="D4768" s="0" t="n">
        <f aca="false">INDEX(Intent_Analysis!$E$5:$E$81,MATCH(B4768,Intent_Analysis!$A$5:$A$81,0))</f>
        <v>3</v>
      </c>
    </row>
    <row r="4769" customFormat="false" ht="15" hidden="false" customHeight="false" outlineLevel="0" collapsed="false">
      <c r="A4769" s="0" t="s">
        <v>5093</v>
      </c>
      <c r="B4769" s="0" t="s">
        <v>95</v>
      </c>
      <c r="C4769" s="0" t="str">
        <f aca="false">INDEX(Intent_Analysis!$B$5:$B$81,MATCH(B4769,Intent_Analysis!$A$5:$A$81,0))</f>
        <v>Fraud &amp; security</v>
      </c>
      <c r="D4769" s="0" t="n">
        <f aca="false">INDEX(Intent_Analysis!$E$5:$E$81,MATCH(B4769,Intent_Analysis!$A$5:$A$81,0))</f>
        <v>3</v>
      </c>
    </row>
    <row r="4770" customFormat="false" ht="15" hidden="false" customHeight="false" outlineLevel="0" collapsed="false">
      <c r="A4770" s="0" t="s">
        <v>5094</v>
      </c>
      <c r="B4770" s="0" t="s">
        <v>95</v>
      </c>
      <c r="C4770" s="0" t="str">
        <f aca="false">INDEX(Intent_Analysis!$B$5:$B$81,MATCH(B4770,Intent_Analysis!$A$5:$A$81,0))</f>
        <v>Fraud &amp; security</v>
      </c>
      <c r="D4770" s="0" t="n">
        <f aca="false">INDEX(Intent_Analysis!$E$5:$E$81,MATCH(B4770,Intent_Analysis!$A$5:$A$81,0))</f>
        <v>3</v>
      </c>
    </row>
    <row r="4771" customFormat="false" ht="15" hidden="false" customHeight="false" outlineLevel="0" collapsed="false">
      <c r="A4771" s="0" t="s">
        <v>5095</v>
      </c>
      <c r="B4771" s="0" t="s">
        <v>95</v>
      </c>
      <c r="C4771" s="0" t="str">
        <f aca="false">INDEX(Intent_Analysis!$B$5:$B$81,MATCH(B4771,Intent_Analysis!$A$5:$A$81,0))</f>
        <v>Fraud &amp; security</v>
      </c>
      <c r="D4771" s="0" t="n">
        <f aca="false">INDEX(Intent_Analysis!$E$5:$E$81,MATCH(B4771,Intent_Analysis!$A$5:$A$81,0))</f>
        <v>3</v>
      </c>
    </row>
    <row r="4772" customFormat="false" ht="15" hidden="false" customHeight="false" outlineLevel="0" collapsed="false">
      <c r="A4772" s="0" t="s">
        <v>5096</v>
      </c>
      <c r="B4772" s="0" t="s">
        <v>95</v>
      </c>
      <c r="C4772" s="0" t="str">
        <f aca="false">INDEX(Intent_Analysis!$B$5:$B$81,MATCH(B4772,Intent_Analysis!$A$5:$A$81,0))</f>
        <v>Fraud &amp; security</v>
      </c>
      <c r="D4772" s="0" t="n">
        <f aca="false">INDEX(Intent_Analysis!$E$5:$E$81,MATCH(B4772,Intent_Analysis!$A$5:$A$81,0))</f>
        <v>3</v>
      </c>
    </row>
    <row r="4773" customFormat="false" ht="15" hidden="false" customHeight="false" outlineLevel="0" collapsed="false">
      <c r="A4773" s="0" t="s">
        <v>5097</v>
      </c>
      <c r="B4773" s="0" t="s">
        <v>95</v>
      </c>
      <c r="C4773" s="0" t="str">
        <f aca="false">INDEX(Intent_Analysis!$B$5:$B$81,MATCH(B4773,Intent_Analysis!$A$5:$A$81,0))</f>
        <v>Fraud &amp; security</v>
      </c>
      <c r="D4773" s="0" t="n">
        <f aca="false">INDEX(Intent_Analysis!$E$5:$E$81,MATCH(B4773,Intent_Analysis!$A$5:$A$81,0))</f>
        <v>3</v>
      </c>
    </row>
    <row r="4774" customFormat="false" ht="15" hidden="false" customHeight="false" outlineLevel="0" collapsed="false">
      <c r="A4774" s="0" t="s">
        <v>5098</v>
      </c>
      <c r="B4774" s="0" t="s">
        <v>95</v>
      </c>
      <c r="C4774" s="0" t="str">
        <f aca="false">INDEX(Intent_Analysis!$B$5:$B$81,MATCH(B4774,Intent_Analysis!$A$5:$A$81,0))</f>
        <v>Fraud &amp; security</v>
      </c>
      <c r="D4774" s="0" t="n">
        <f aca="false">INDEX(Intent_Analysis!$E$5:$E$81,MATCH(B4774,Intent_Analysis!$A$5:$A$81,0))</f>
        <v>3</v>
      </c>
    </row>
    <row r="4775" customFormat="false" ht="15" hidden="false" customHeight="false" outlineLevel="0" collapsed="false">
      <c r="A4775" s="0" t="s">
        <v>5099</v>
      </c>
      <c r="B4775" s="0" t="s">
        <v>95</v>
      </c>
      <c r="C4775" s="0" t="str">
        <f aca="false">INDEX(Intent_Analysis!$B$5:$B$81,MATCH(B4775,Intent_Analysis!$A$5:$A$81,0))</f>
        <v>Fraud &amp; security</v>
      </c>
      <c r="D4775" s="0" t="n">
        <f aca="false">INDEX(Intent_Analysis!$E$5:$E$81,MATCH(B4775,Intent_Analysis!$A$5:$A$81,0))</f>
        <v>3</v>
      </c>
    </row>
    <row r="4776" customFormat="false" ht="15" hidden="false" customHeight="false" outlineLevel="0" collapsed="false">
      <c r="A4776" s="0" t="s">
        <v>5100</v>
      </c>
      <c r="B4776" s="0" t="s">
        <v>95</v>
      </c>
      <c r="C4776" s="0" t="str">
        <f aca="false">INDEX(Intent_Analysis!$B$5:$B$81,MATCH(B4776,Intent_Analysis!$A$5:$A$81,0))</f>
        <v>Fraud &amp; security</v>
      </c>
      <c r="D4776" s="0" t="n">
        <f aca="false">INDEX(Intent_Analysis!$E$5:$E$81,MATCH(B4776,Intent_Analysis!$A$5:$A$81,0))</f>
        <v>3</v>
      </c>
    </row>
    <row r="4777" customFormat="false" ht="15" hidden="false" customHeight="false" outlineLevel="0" collapsed="false">
      <c r="A4777" s="0" t="s">
        <v>5101</v>
      </c>
      <c r="B4777" s="0" t="s">
        <v>95</v>
      </c>
      <c r="C4777" s="0" t="str">
        <f aca="false">INDEX(Intent_Analysis!$B$5:$B$81,MATCH(B4777,Intent_Analysis!$A$5:$A$81,0))</f>
        <v>Fraud &amp; security</v>
      </c>
      <c r="D4777" s="0" t="n">
        <f aca="false">INDEX(Intent_Analysis!$E$5:$E$81,MATCH(B4777,Intent_Analysis!$A$5:$A$81,0))</f>
        <v>3</v>
      </c>
    </row>
    <row r="4778" customFormat="false" ht="15" hidden="false" customHeight="false" outlineLevel="0" collapsed="false">
      <c r="A4778" s="0" t="s">
        <v>5102</v>
      </c>
      <c r="B4778" s="0" t="s">
        <v>95</v>
      </c>
      <c r="C4778" s="0" t="str">
        <f aca="false">INDEX(Intent_Analysis!$B$5:$B$81,MATCH(B4778,Intent_Analysis!$A$5:$A$81,0))</f>
        <v>Fraud &amp; security</v>
      </c>
      <c r="D4778" s="0" t="n">
        <f aca="false">INDEX(Intent_Analysis!$E$5:$E$81,MATCH(B4778,Intent_Analysis!$A$5:$A$81,0))</f>
        <v>3</v>
      </c>
    </row>
    <row r="4779" customFormat="false" ht="15" hidden="false" customHeight="false" outlineLevel="0" collapsed="false">
      <c r="A4779" s="0" t="s">
        <v>5103</v>
      </c>
      <c r="B4779" s="0" t="s">
        <v>95</v>
      </c>
      <c r="C4779" s="0" t="str">
        <f aca="false">INDEX(Intent_Analysis!$B$5:$B$81,MATCH(B4779,Intent_Analysis!$A$5:$A$81,0))</f>
        <v>Fraud &amp; security</v>
      </c>
      <c r="D4779" s="0" t="n">
        <f aca="false">INDEX(Intent_Analysis!$E$5:$E$81,MATCH(B4779,Intent_Analysis!$A$5:$A$81,0))</f>
        <v>3</v>
      </c>
    </row>
    <row r="4780" customFormat="false" ht="15" hidden="false" customHeight="false" outlineLevel="0" collapsed="false">
      <c r="A4780" s="0" t="s">
        <v>5104</v>
      </c>
      <c r="B4780" s="0" t="s">
        <v>95</v>
      </c>
      <c r="C4780" s="0" t="str">
        <f aca="false">INDEX(Intent_Analysis!$B$5:$B$81,MATCH(B4780,Intent_Analysis!$A$5:$A$81,0))</f>
        <v>Fraud &amp; security</v>
      </c>
      <c r="D4780" s="0" t="n">
        <f aca="false">INDEX(Intent_Analysis!$E$5:$E$81,MATCH(B4780,Intent_Analysis!$A$5:$A$81,0))</f>
        <v>3</v>
      </c>
    </row>
    <row r="4781" customFormat="false" ht="15" hidden="false" customHeight="false" outlineLevel="0" collapsed="false">
      <c r="A4781" s="0" t="s">
        <v>5105</v>
      </c>
      <c r="B4781" s="0" t="s">
        <v>95</v>
      </c>
      <c r="C4781" s="0" t="str">
        <f aca="false">INDEX(Intent_Analysis!$B$5:$B$81,MATCH(B4781,Intent_Analysis!$A$5:$A$81,0))</f>
        <v>Fraud &amp; security</v>
      </c>
      <c r="D4781" s="0" t="n">
        <f aca="false">INDEX(Intent_Analysis!$E$5:$E$81,MATCH(B4781,Intent_Analysis!$A$5:$A$81,0))</f>
        <v>3</v>
      </c>
    </row>
    <row r="4782" customFormat="false" ht="15" hidden="false" customHeight="false" outlineLevel="0" collapsed="false">
      <c r="A4782" s="0" t="s">
        <v>5106</v>
      </c>
      <c r="B4782" s="0" t="s">
        <v>95</v>
      </c>
      <c r="C4782" s="0" t="str">
        <f aca="false">INDEX(Intent_Analysis!$B$5:$B$81,MATCH(B4782,Intent_Analysis!$A$5:$A$81,0))</f>
        <v>Fraud &amp; security</v>
      </c>
      <c r="D4782" s="0" t="n">
        <f aca="false">INDEX(Intent_Analysis!$E$5:$E$81,MATCH(B4782,Intent_Analysis!$A$5:$A$81,0))</f>
        <v>3</v>
      </c>
    </row>
    <row r="4783" customFormat="false" ht="15" hidden="false" customHeight="false" outlineLevel="0" collapsed="false">
      <c r="A4783" s="0" t="s">
        <v>5107</v>
      </c>
      <c r="B4783" s="0" t="s">
        <v>95</v>
      </c>
      <c r="C4783" s="0" t="str">
        <f aca="false">INDEX(Intent_Analysis!$B$5:$B$81,MATCH(B4783,Intent_Analysis!$A$5:$A$81,0))</f>
        <v>Fraud &amp; security</v>
      </c>
      <c r="D4783" s="0" t="n">
        <f aca="false">INDEX(Intent_Analysis!$E$5:$E$81,MATCH(B4783,Intent_Analysis!$A$5:$A$81,0))</f>
        <v>3</v>
      </c>
    </row>
    <row r="4784" customFormat="false" ht="15" hidden="false" customHeight="false" outlineLevel="0" collapsed="false">
      <c r="A4784" s="0" t="s">
        <v>5108</v>
      </c>
      <c r="B4784" s="0" t="s">
        <v>95</v>
      </c>
      <c r="C4784" s="0" t="str">
        <f aca="false">INDEX(Intent_Analysis!$B$5:$B$81,MATCH(B4784,Intent_Analysis!$A$5:$A$81,0))</f>
        <v>Fraud &amp; security</v>
      </c>
      <c r="D4784" s="0" t="n">
        <f aca="false">INDEX(Intent_Analysis!$E$5:$E$81,MATCH(B4784,Intent_Analysis!$A$5:$A$81,0))</f>
        <v>3</v>
      </c>
    </row>
    <row r="4785" customFormat="false" ht="15" hidden="false" customHeight="false" outlineLevel="0" collapsed="false">
      <c r="A4785" s="0" t="s">
        <v>5109</v>
      </c>
      <c r="B4785" s="0" t="s">
        <v>95</v>
      </c>
      <c r="C4785" s="0" t="str">
        <f aca="false">INDEX(Intent_Analysis!$B$5:$B$81,MATCH(B4785,Intent_Analysis!$A$5:$A$81,0))</f>
        <v>Fraud &amp; security</v>
      </c>
      <c r="D4785" s="0" t="n">
        <f aca="false">INDEX(Intent_Analysis!$E$5:$E$81,MATCH(B4785,Intent_Analysis!$A$5:$A$81,0))</f>
        <v>3</v>
      </c>
    </row>
    <row r="4786" customFormat="false" ht="15" hidden="false" customHeight="false" outlineLevel="0" collapsed="false">
      <c r="A4786" s="0" t="s">
        <v>5110</v>
      </c>
      <c r="B4786" s="0" t="s">
        <v>95</v>
      </c>
      <c r="C4786" s="0" t="str">
        <f aca="false">INDEX(Intent_Analysis!$B$5:$B$81,MATCH(B4786,Intent_Analysis!$A$5:$A$81,0))</f>
        <v>Fraud &amp; security</v>
      </c>
      <c r="D4786" s="0" t="n">
        <f aca="false">INDEX(Intent_Analysis!$E$5:$E$81,MATCH(B4786,Intent_Analysis!$A$5:$A$81,0))</f>
        <v>3</v>
      </c>
    </row>
    <row r="4787" customFormat="false" ht="15" hidden="false" customHeight="false" outlineLevel="0" collapsed="false">
      <c r="A4787" s="0" t="s">
        <v>5111</v>
      </c>
      <c r="B4787" s="0" t="s">
        <v>95</v>
      </c>
      <c r="C4787" s="0" t="str">
        <f aca="false">INDEX(Intent_Analysis!$B$5:$B$81,MATCH(B4787,Intent_Analysis!$A$5:$A$81,0))</f>
        <v>Fraud &amp; security</v>
      </c>
      <c r="D4787" s="0" t="n">
        <f aca="false">INDEX(Intent_Analysis!$E$5:$E$81,MATCH(B4787,Intent_Analysis!$A$5:$A$81,0))</f>
        <v>3</v>
      </c>
    </row>
    <row r="4788" customFormat="false" ht="15" hidden="false" customHeight="false" outlineLevel="0" collapsed="false">
      <c r="A4788" s="0" t="s">
        <v>5112</v>
      </c>
      <c r="B4788" s="0" t="s">
        <v>95</v>
      </c>
      <c r="C4788" s="0" t="str">
        <f aca="false">INDEX(Intent_Analysis!$B$5:$B$81,MATCH(B4788,Intent_Analysis!$A$5:$A$81,0))</f>
        <v>Fraud &amp; security</v>
      </c>
      <c r="D4788" s="0" t="n">
        <f aca="false">INDEX(Intent_Analysis!$E$5:$E$81,MATCH(B4788,Intent_Analysis!$A$5:$A$81,0))</f>
        <v>3</v>
      </c>
    </row>
    <row r="4789" customFormat="false" ht="15" hidden="false" customHeight="false" outlineLevel="0" collapsed="false">
      <c r="A4789" s="0" t="s">
        <v>5113</v>
      </c>
      <c r="B4789" s="0" t="s">
        <v>95</v>
      </c>
      <c r="C4789" s="0" t="str">
        <f aca="false">INDEX(Intent_Analysis!$B$5:$B$81,MATCH(B4789,Intent_Analysis!$A$5:$A$81,0))</f>
        <v>Fraud &amp; security</v>
      </c>
      <c r="D4789" s="0" t="n">
        <f aca="false">INDEX(Intent_Analysis!$E$5:$E$81,MATCH(B4789,Intent_Analysis!$A$5:$A$81,0))</f>
        <v>3</v>
      </c>
    </row>
    <row r="4790" customFormat="false" ht="15" hidden="false" customHeight="false" outlineLevel="0" collapsed="false">
      <c r="A4790" s="0" t="s">
        <v>5114</v>
      </c>
      <c r="B4790" s="0" t="s">
        <v>95</v>
      </c>
      <c r="C4790" s="0" t="str">
        <f aca="false">INDEX(Intent_Analysis!$B$5:$B$81,MATCH(B4790,Intent_Analysis!$A$5:$A$81,0))</f>
        <v>Fraud &amp; security</v>
      </c>
      <c r="D4790" s="0" t="n">
        <f aca="false">INDEX(Intent_Analysis!$E$5:$E$81,MATCH(B4790,Intent_Analysis!$A$5:$A$81,0))</f>
        <v>3</v>
      </c>
    </row>
    <row r="4791" customFormat="false" ht="15" hidden="false" customHeight="false" outlineLevel="0" collapsed="false">
      <c r="A4791" s="0" t="s">
        <v>5115</v>
      </c>
      <c r="B4791" s="0" t="s">
        <v>95</v>
      </c>
      <c r="C4791" s="0" t="str">
        <f aca="false">INDEX(Intent_Analysis!$B$5:$B$81,MATCH(B4791,Intent_Analysis!$A$5:$A$81,0))</f>
        <v>Fraud &amp; security</v>
      </c>
      <c r="D4791" s="0" t="n">
        <f aca="false">INDEX(Intent_Analysis!$E$5:$E$81,MATCH(B4791,Intent_Analysis!$A$5:$A$81,0))</f>
        <v>3</v>
      </c>
    </row>
    <row r="4792" customFormat="false" ht="15" hidden="false" customHeight="false" outlineLevel="0" collapsed="false">
      <c r="A4792" s="0" t="s">
        <v>5116</v>
      </c>
      <c r="B4792" s="0" t="s">
        <v>95</v>
      </c>
      <c r="C4792" s="0" t="str">
        <f aca="false">INDEX(Intent_Analysis!$B$5:$B$81,MATCH(B4792,Intent_Analysis!$A$5:$A$81,0))</f>
        <v>Fraud &amp; security</v>
      </c>
      <c r="D4792" s="0" t="n">
        <f aca="false">INDEX(Intent_Analysis!$E$5:$E$81,MATCH(B4792,Intent_Analysis!$A$5:$A$81,0))</f>
        <v>3</v>
      </c>
    </row>
    <row r="4793" customFormat="false" ht="15" hidden="false" customHeight="false" outlineLevel="0" collapsed="false">
      <c r="A4793" s="0" t="s">
        <v>5117</v>
      </c>
      <c r="B4793" s="0" t="s">
        <v>95</v>
      </c>
      <c r="C4793" s="0" t="str">
        <f aca="false">INDEX(Intent_Analysis!$B$5:$B$81,MATCH(B4793,Intent_Analysis!$A$5:$A$81,0))</f>
        <v>Fraud &amp; security</v>
      </c>
      <c r="D4793" s="0" t="n">
        <f aca="false">INDEX(Intent_Analysis!$E$5:$E$81,MATCH(B4793,Intent_Analysis!$A$5:$A$81,0))</f>
        <v>3</v>
      </c>
    </row>
    <row r="4794" customFormat="false" ht="15" hidden="false" customHeight="false" outlineLevel="0" collapsed="false">
      <c r="A4794" s="0" t="s">
        <v>5118</v>
      </c>
      <c r="B4794" s="0" t="s">
        <v>95</v>
      </c>
      <c r="C4794" s="0" t="str">
        <f aca="false">INDEX(Intent_Analysis!$B$5:$B$81,MATCH(B4794,Intent_Analysis!$A$5:$A$81,0))</f>
        <v>Fraud &amp; security</v>
      </c>
      <c r="D4794" s="0" t="n">
        <f aca="false">INDEX(Intent_Analysis!$E$5:$E$81,MATCH(B4794,Intent_Analysis!$A$5:$A$81,0))</f>
        <v>3</v>
      </c>
    </row>
    <row r="4795" customFormat="false" ht="15" hidden="false" customHeight="false" outlineLevel="0" collapsed="false">
      <c r="A4795" s="0" t="s">
        <v>5119</v>
      </c>
      <c r="B4795" s="0" t="s">
        <v>95</v>
      </c>
      <c r="C4795" s="0" t="str">
        <f aca="false">INDEX(Intent_Analysis!$B$5:$B$81,MATCH(B4795,Intent_Analysis!$A$5:$A$81,0))</f>
        <v>Fraud &amp; security</v>
      </c>
      <c r="D4795" s="0" t="n">
        <f aca="false">INDEX(Intent_Analysis!$E$5:$E$81,MATCH(B4795,Intent_Analysis!$A$5:$A$81,0))</f>
        <v>3</v>
      </c>
    </row>
    <row r="4796" customFormat="false" ht="15" hidden="false" customHeight="false" outlineLevel="0" collapsed="false">
      <c r="A4796" s="0" t="s">
        <v>5120</v>
      </c>
      <c r="B4796" s="0" t="s">
        <v>95</v>
      </c>
      <c r="C4796" s="0" t="str">
        <f aca="false">INDEX(Intent_Analysis!$B$5:$B$81,MATCH(B4796,Intent_Analysis!$A$5:$A$81,0))</f>
        <v>Fraud &amp; security</v>
      </c>
      <c r="D4796" s="0" t="n">
        <f aca="false">INDEX(Intent_Analysis!$E$5:$E$81,MATCH(B4796,Intent_Analysis!$A$5:$A$81,0))</f>
        <v>3</v>
      </c>
    </row>
    <row r="4797" customFormat="false" ht="15" hidden="false" customHeight="false" outlineLevel="0" collapsed="false">
      <c r="A4797" s="0" t="s">
        <v>5121</v>
      </c>
      <c r="B4797" s="0" t="s">
        <v>95</v>
      </c>
      <c r="C4797" s="0" t="str">
        <f aca="false">INDEX(Intent_Analysis!$B$5:$B$81,MATCH(B4797,Intent_Analysis!$A$5:$A$81,0))</f>
        <v>Fraud &amp; security</v>
      </c>
      <c r="D4797" s="0" t="n">
        <f aca="false">INDEX(Intent_Analysis!$E$5:$E$81,MATCH(B4797,Intent_Analysis!$A$5:$A$81,0))</f>
        <v>3</v>
      </c>
    </row>
    <row r="4798" customFormat="false" ht="15" hidden="false" customHeight="false" outlineLevel="0" collapsed="false">
      <c r="A4798" s="0" t="s">
        <v>5122</v>
      </c>
      <c r="B4798" s="0" t="s">
        <v>95</v>
      </c>
      <c r="C4798" s="0" t="str">
        <f aca="false">INDEX(Intent_Analysis!$B$5:$B$81,MATCH(B4798,Intent_Analysis!$A$5:$A$81,0))</f>
        <v>Fraud &amp; security</v>
      </c>
      <c r="D4798" s="0" t="n">
        <f aca="false">INDEX(Intent_Analysis!$E$5:$E$81,MATCH(B4798,Intent_Analysis!$A$5:$A$81,0))</f>
        <v>3</v>
      </c>
    </row>
    <row r="4799" customFormat="false" ht="15" hidden="false" customHeight="false" outlineLevel="0" collapsed="false">
      <c r="A4799" s="0" t="s">
        <v>5123</v>
      </c>
      <c r="B4799" s="0" t="s">
        <v>95</v>
      </c>
      <c r="C4799" s="0" t="str">
        <f aca="false">INDEX(Intent_Analysis!$B$5:$B$81,MATCH(B4799,Intent_Analysis!$A$5:$A$81,0))</f>
        <v>Fraud &amp; security</v>
      </c>
      <c r="D4799" s="0" t="n">
        <f aca="false">INDEX(Intent_Analysis!$E$5:$E$81,MATCH(B4799,Intent_Analysis!$A$5:$A$81,0))</f>
        <v>3</v>
      </c>
    </row>
    <row r="4800" customFormat="false" ht="15" hidden="false" customHeight="false" outlineLevel="0" collapsed="false">
      <c r="A4800" s="0" t="s">
        <v>5124</v>
      </c>
      <c r="B4800" s="0" t="s">
        <v>95</v>
      </c>
      <c r="C4800" s="0" t="str">
        <f aca="false">INDEX(Intent_Analysis!$B$5:$B$81,MATCH(B4800,Intent_Analysis!$A$5:$A$81,0))</f>
        <v>Fraud &amp; security</v>
      </c>
      <c r="D4800" s="0" t="n">
        <f aca="false">INDEX(Intent_Analysis!$E$5:$E$81,MATCH(B4800,Intent_Analysis!$A$5:$A$81,0))</f>
        <v>3</v>
      </c>
    </row>
    <row r="4801" customFormat="false" ht="15" hidden="false" customHeight="false" outlineLevel="0" collapsed="false">
      <c r="A4801" s="0" t="s">
        <v>5125</v>
      </c>
      <c r="B4801" s="0" t="s">
        <v>95</v>
      </c>
      <c r="C4801" s="0" t="str">
        <f aca="false">INDEX(Intent_Analysis!$B$5:$B$81,MATCH(B4801,Intent_Analysis!$A$5:$A$81,0))</f>
        <v>Fraud &amp; security</v>
      </c>
      <c r="D4801" s="0" t="n">
        <f aca="false">INDEX(Intent_Analysis!$E$5:$E$81,MATCH(B4801,Intent_Analysis!$A$5:$A$81,0))</f>
        <v>3</v>
      </c>
    </row>
    <row r="4802" customFormat="false" ht="15" hidden="false" customHeight="false" outlineLevel="0" collapsed="false">
      <c r="A4802" s="0" t="s">
        <v>5126</v>
      </c>
      <c r="B4802" s="0" t="s">
        <v>95</v>
      </c>
      <c r="C4802" s="0" t="str">
        <f aca="false">INDEX(Intent_Analysis!$B$5:$B$81,MATCH(B4802,Intent_Analysis!$A$5:$A$81,0))</f>
        <v>Fraud &amp; security</v>
      </c>
      <c r="D4802" s="0" t="n">
        <f aca="false">INDEX(Intent_Analysis!$E$5:$E$81,MATCH(B4802,Intent_Analysis!$A$5:$A$81,0))</f>
        <v>3</v>
      </c>
    </row>
    <row r="4803" customFormat="false" ht="15" hidden="false" customHeight="false" outlineLevel="0" collapsed="false">
      <c r="A4803" s="0" t="s">
        <v>5127</v>
      </c>
      <c r="B4803" s="0" t="s">
        <v>95</v>
      </c>
      <c r="C4803" s="0" t="str">
        <f aca="false">INDEX(Intent_Analysis!$B$5:$B$81,MATCH(B4803,Intent_Analysis!$A$5:$A$81,0))</f>
        <v>Fraud &amp; security</v>
      </c>
      <c r="D4803" s="0" t="n">
        <f aca="false">INDEX(Intent_Analysis!$E$5:$E$81,MATCH(B4803,Intent_Analysis!$A$5:$A$81,0))</f>
        <v>3</v>
      </c>
    </row>
    <row r="4804" customFormat="false" ht="15" hidden="false" customHeight="false" outlineLevel="0" collapsed="false">
      <c r="A4804" s="0" t="s">
        <v>5128</v>
      </c>
      <c r="B4804" s="0" t="s">
        <v>95</v>
      </c>
      <c r="C4804" s="0" t="str">
        <f aca="false">INDEX(Intent_Analysis!$B$5:$B$81,MATCH(B4804,Intent_Analysis!$A$5:$A$81,0))</f>
        <v>Fraud &amp; security</v>
      </c>
      <c r="D4804" s="0" t="n">
        <f aca="false">INDEX(Intent_Analysis!$E$5:$E$81,MATCH(B4804,Intent_Analysis!$A$5:$A$81,0))</f>
        <v>3</v>
      </c>
    </row>
    <row r="4805" customFormat="false" ht="15" hidden="false" customHeight="false" outlineLevel="0" collapsed="false">
      <c r="A4805" s="0" t="s">
        <v>5129</v>
      </c>
      <c r="B4805" s="0" t="s">
        <v>95</v>
      </c>
      <c r="C4805" s="0" t="str">
        <f aca="false">INDEX(Intent_Analysis!$B$5:$B$81,MATCH(B4805,Intent_Analysis!$A$5:$A$81,0))</f>
        <v>Fraud &amp; security</v>
      </c>
      <c r="D4805" s="0" t="n">
        <f aca="false">INDEX(Intent_Analysis!$E$5:$E$81,MATCH(B4805,Intent_Analysis!$A$5:$A$81,0))</f>
        <v>3</v>
      </c>
    </row>
    <row r="4806" customFormat="false" ht="15" hidden="false" customHeight="false" outlineLevel="0" collapsed="false">
      <c r="A4806" s="0" t="s">
        <v>5130</v>
      </c>
      <c r="B4806" s="0" t="s">
        <v>95</v>
      </c>
      <c r="C4806" s="0" t="str">
        <f aca="false">INDEX(Intent_Analysis!$B$5:$B$81,MATCH(B4806,Intent_Analysis!$A$5:$A$81,0))</f>
        <v>Fraud &amp; security</v>
      </c>
      <c r="D4806" s="0" t="n">
        <f aca="false">INDEX(Intent_Analysis!$E$5:$E$81,MATCH(B4806,Intent_Analysis!$A$5:$A$81,0))</f>
        <v>3</v>
      </c>
    </row>
    <row r="4807" customFormat="false" ht="15" hidden="false" customHeight="false" outlineLevel="0" collapsed="false">
      <c r="A4807" s="0" t="s">
        <v>5131</v>
      </c>
      <c r="B4807" s="0" t="s">
        <v>95</v>
      </c>
      <c r="C4807" s="0" t="str">
        <f aca="false">INDEX(Intent_Analysis!$B$5:$B$81,MATCH(B4807,Intent_Analysis!$A$5:$A$81,0))</f>
        <v>Fraud &amp; security</v>
      </c>
      <c r="D4807" s="0" t="n">
        <f aca="false">INDEX(Intent_Analysis!$E$5:$E$81,MATCH(B4807,Intent_Analysis!$A$5:$A$81,0))</f>
        <v>3</v>
      </c>
    </row>
    <row r="4808" customFormat="false" ht="15" hidden="false" customHeight="false" outlineLevel="0" collapsed="false">
      <c r="A4808" s="0" t="s">
        <v>5132</v>
      </c>
      <c r="B4808" s="0" t="s">
        <v>95</v>
      </c>
      <c r="C4808" s="0" t="str">
        <f aca="false">INDEX(Intent_Analysis!$B$5:$B$81,MATCH(B4808,Intent_Analysis!$A$5:$A$81,0))</f>
        <v>Fraud &amp; security</v>
      </c>
      <c r="D4808" s="0" t="n">
        <f aca="false">INDEX(Intent_Analysis!$E$5:$E$81,MATCH(B4808,Intent_Analysis!$A$5:$A$81,0))</f>
        <v>3</v>
      </c>
    </row>
    <row r="4809" customFormat="false" ht="15" hidden="false" customHeight="false" outlineLevel="0" collapsed="false">
      <c r="A4809" s="0" t="s">
        <v>5133</v>
      </c>
      <c r="B4809" s="0" t="s">
        <v>95</v>
      </c>
      <c r="C4809" s="0" t="str">
        <f aca="false">INDEX(Intent_Analysis!$B$5:$B$81,MATCH(B4809,Intent_Analysis!$A$5:$A$81,0))</f>
        <v>Fraud &amp; security</v>
      </c>
      <c r="D4809" s="0" t="n">
        <f aca="false">INDEX(Intent_Analysis!$E$5:$E$81,MATCH(B4809,Intent_Analysis!$A$5:$A$81,0))</f>
        <v>3</v>
      </c>
    </row>
    <row r="4810" customFormat="false" ht="15" hidden="false" customHeight="false" outlineLevel="0" collapsed="false">
      <c r="A4810" s="0" t="s">
        <v>5134</v>
      </c>
      <c r="B4810" s="0" t="s">
        <v>95</v>
      </c>
      <c r="C4810" s="0" t="str">
        <f aca="false">INDEX(Intent_Analysis!$B$5:$B$81,MATCH(B4810,Intent_Analysis!$A$5:$A$81,0))</f>
        <v>Fraud &amp; security</v>
      </c>
      <c r="D4810" s="0" t="n">
        <f aca="false">INDEX(Intent_Analysis!$E$5:$E$81,MATCH(B4810,Intent_Analysis!$A$5:$A$81,0))</f>
        <v>3</v>
      </c>
    </row>
    <row r="4811" customFormat="false" ht="15" hidden="false" customHeight="false" outlineLevel="0" collapsed="false">
      <c r="A4811" s="0" t="s">
        <v>5135</v>
      </c>
      <c r="B4811" s="0" t="s">
        <v>95</v>
      </c>
      <c r="C4811" s="0" t="str">
        <f aca="false">INDEX(Intent_Analysis!$B$5:$B$81,MATCH(B4811,Intent_Analysis!$A$5:$A$81,0))</f>
        <v>Fraud &amp; security</v>
      </c>
      <c r="D4811" s="0" t="n">
        <f aca="false">INDEX(Intent_Analysis!$E$5:$E$81,MATCH(B4811,Intent_Analysis!$A$5:$A$81,0))</f>
        <v>3</v>
      </c>
    </row>
    <row r="4812" customFormat="false" ht="15" hidden="false" customHeight="false" outlineLevel="0" collapsed="false">
      <c r="A4812" s="0" t="s">
        <v>5136</v>
      </c>
      <c r="B4812" s="0" t="s">
        <v>95</v>
      </c>
      <c r="C4812" s="0" t="str">
        <f aca="false">INDEX(Intent_Analysis!$B$5:$B$81,MATCH(B4812,Intent_Analysis!$A$5:$A$81,0))</f>
        <v>Fraud &amp; security</v>
      </c>
      <c r="D4812" s="0" t="n">
        <f aca="false">INDEX(Intent_Analysis!$E$5:$E$81,MATCH(B4812,Intent_Analysis!$A$5:$A$81,0))</f>
        <v>3</v>
      </c>
    </row>
    <row r="4813" customFormat="false" ht="15" hidden="false" customHeight="false" outlineLevel="0" collapsed="false">
      <c r="A4813" s="0" t="s">
        <v>5137</v>
      </c>
      <c r="B4813" s="0" t="s">
        <v>95</v>
      </c>
      <c r="C4813" s="0" t="str">
        <f aca="false">INDEX(Intent_Analysis!$B$5:$B$81,MATCH(B4813,Intent_Analysis!$A$5:$A$81,0))</f>
        <v>Fraud &amp; security</v>
      </c>
      <c r="D4813" s="0" t="n">
        <f aca="false">INDEX(Intent_Analysis!$E$5:$E$81,MATCH(B4813,Intent_Analysis!$A$5:$A$81,0))</f>
        <v>3</v>
      </c>
    </row>
    <row r="4814" customFormat="false" ht="15" hidden="false" customHeight="false" outlineLevel="0" collapsed="false">
      <c r="A4814" s="0" t="s">
        <v>5138</v>
      </c>
      <c r="B4814" s="0" t="s">
        <v>95</v>
      </c>
      <c r="C4814" s="0" t="str">
        <f aca="false">INDEX(Intent_Analysis!$B$5:$B$81,MATCH(B4814,Intent_Analysis!$A$5:$A$81,0))</f>
        <v>Fraud &amp; security</v>
      </c>
      <c r="D4814" s="0" t="n">
        <f aca="false">INDEX(Intent_Analysis!$E$5:$E$81,MATCH(B4814,Intent_Analysis!$A$5:$A$81,0))</f>
        <v>3</v>
      </c>
    </row>
    <row r="4815" customFormat="false" ht="15" hidden="false" customHeight="false" outlineLevel="0" collapsed="false">
      <c r="A4815" s="0" t="s">
        <v>5139</v>
      </c>
      <c r="B4815" s="0" t="s">
        <v>95</v>
      </c>
      <c r="C4815" s="0" t="str">
        <f aca="false">INDEX(Intent_Analysis!$B$5:$B$81,MATCH(B4815,Intent_Analysis!$A$5:$A$81,0))</f>
        <v>Fraud &amp; security</v>
      </c>
      <c r="D4815" s="0" t="n">
        <f aca="false">INDEX(Intent_Analysis!$E$5:$E$81,MATCH(B4815,Intent_Analysis!$A$5:$A$81,0))</f>
        <v>3</v>
      </c>
    </row>
    <row r="4816" customFormat="false" ht="15" hidden="false" customHeight="false" outlineLevel="0" collapsed="false">
      <c r="A4816" s="0" t="s">
        <v>5140</v>
      </c>
      <c r="B4816" s="0" t="s">
        <v>41</v>
      </c>
      <c r="C4816" s="0" t="str">
        <f aca="false">INDEX(Intent_Analysis!$B$5:$B$81,MATCH(B4816,Intent_Analysis!$A$5:$A$81,0))</f>
        <v>Account &amp; identity</v>
      </c>
      <c r="D4816" s="0" t="n">
        <f aca="false">INDEX(Intent_Analysis!$E$5:$E$81,MATCH(B4816,Intent_Analysis!$A$5:$A$81,0))</f>
        <v>2</v>
      </c>
    </row>
    <row r="4817" customFormat="false" ht="15" hidden="false" customHeight="false" outlineLevel="0" collapsed="false">
      <c r="A4817" s="0" t="s">
        <v>5141</v>
      </c>
      <c r="B4817" s="0" t="s">
        <v>41</v>
      </c>
      <c r="C4817" s="0" t="str">
        <f aca="false">INDEX(Intent_Analysis!$B$5:$B$81,MATCH(B4817,Intent_Analysis!$A$5:$A$81,0))</f>
        <v>Account &amp; identity</v>
      </c>
      <c r="D4817" s="0" t="n">
        <f aca="false">INDEX(Intent_Analysis!$E$5:$E$81,MATCH(B4817,Intent_Analysis!$A$5:$A$81,0))</f>
        <v>2</v>
      </c>
    </row>
    <row r="4818" customFormat="false" ht="15" hidden="false" customHeight="false" outlineLevel="0" collapsed="false">
      <c r="A4818" s="0" t="s">
        <v>5142</v>
      </c>
      <c r="B4818" s="0" t="s">
        <v>41</v>
      </c>
      <c r="C4818" s="0" t="str">
        <f aca="false">INDEX(Intent_Analysis!$B$5:$B$81,MATCH(B4818,Intent_Analysis!$A$5:$A$81,0))</f>
        <v>Account &amp; identity</v>
      </c>
      <c r="D4818" s="0" t="n">
        <f aca="false">INDEX(Intent_Analysis!$E$5:$E$81,MATCH(B4818,Intent_Analysis!$A$5:$A$81,0))</f>
        <v>2</v>
      </c>
    </row>
    <row r="4819" customFormat="false" ht="15" hidden="false" customHeight="false" outlineLevel="0" collapsed="false">
      <c r="A4819" s="0" t="s">
        <v>5143</v>
      </c>
      <c r="B4819" s="0" t="s">
        <v>41</v>
      </c>
      <c r="C4819" s="0" t="str">
        <f aca="false">INDEX(Intent_Analysis!$B$5:$B$81,MATCH(B4819,Intent_Analysis!$A$5:$A$81,0))</f>
        <v>Account &amp; identity</v>
      </c>
      <c r="D4819" s="0" t="n">
        <f aca="false">INDEX(Intent_Analysis!$E$5:$E$81,MATCH(B4819,Intent_Analysis!$A$5:$A$81,0))</f>
        <v>2</v>
      </c>
    </row>
    <row r="4820" customFormat="false" ht="15" hidden="false" customHeight="false" outlineLevel="0" collapsed="false">
      <c r="A4820" s="0" t="s">
        <v>5144</v>
      </c>
      <c r="B4820" s="0" t="s">
        <v>41</v>
      </c>
      <c r="C4820" s="0" t="str">
        <f aca="false">INDEX(Intent_Analysis!$B$5:$B$81,MATCH(B4820,Intent_Analysis!$A$5:$A$81,0))</f>
        <v>Account &amp; identity</v>
      </c>
      <c r="D4820" s="0" t="n">
        <f aca="false">INDEX(Intent_Analysis!$E$5:$E$81,MATCH(B4820,Intent_Analysis!$A$5:$A$81,0))</f>
        <v>2</v>
      </c>
    </row>
    <row r="4821" customFormat="false" ht="15" hidden="false" customHeight="false" outlineLevel="0" collapsed="false">
      <c r="A4821" s="0" t="s">
        <v>5145</v>
      </c>
      <c r="B4821" s="0" t="s">
        <v>41</v>
      </c>
      <c r="C4821" s="0" t="str">
        <f aca="false">INDEX(Intent_Analysis!$B$5:$B$81,MATCH(B4821,Intent_Analysis!$A$5:$A$81,0))</f>
        <v>Account &amp; identity</v>
      </c>
      <c r="D4821" s="0" t="n">
        <f aca="false">INDEX(Intent_Analysis!$E$5:$E$81,MATCH(B4821,Intent_Analysis!$A$5:$A$81,0))</f>
        <v>2</v>
      </c>
    </row>
    <row r="4822" customFormat="false" ht="15" hidden="false" customHeight="false" outlineLevel="0" collapsed="false">
      <c r="A4822" s="0" t="s">
        <v>5146</v>
      </c>
      <c r="B4822" s="0" t="s">
        <v>41</v>
      </c>
      <c r="C4822" s="0" t="str">
        <f aca="false">INDEX(Intent_Analysis!$B$5:$B$81,MATCH(B4822,Intent_Analysis!$A$5:$A$81,0))</f>
        <v>Account &amp; identity</v>
      </c>
      <c r="D4822" s="0" t="n">
        <f aca="false">INDEX(Intent_Analysis!$E$5:$E$81,MATCH(B4822,Intent_Analysis!$A$5:$A$81,0))</f>
        <v>2</v>
      </c>
    </row>
    <row r="4823" customFormat="false" ht="15" hidden="false" customHeight="false" outlineLevel="0" collapsed="false">
      <c r="A4823" s="0" t="s">
        <v>5147</v>
      </c>
      <c r="B4823" s="0" t="s">
        <v>41</v>
      </c>
      <c r="C4823" s="0" t="str">
        <f aca="false">INDEX(Intent_Analysis!$B$5:$B$81,MATCH(B4823,Intent_Analysis!$A$5:$A$81,0))</f>
        <v>Account &amp; identity</v>
      </c>
      <c r="D4823" s="0" t="n">
        <f aca="false">INDEX(Intent_Analysis!$E$5:$E$81,MATCH(B4823,Intent_Analysis!$A$5:$A$81,0))</f>
        <v>2</v>
      </c>
    </row>
    <row r="4824" customFormat="false" ht="15" hidden="false" customHeight="false" outlineLevel="0" collapsed="false">
      <c r="A4824" s="0" t="s">
        <v>5148</v>
      </c>
      <c r="B4824" s="0" t="s">
        <v>41</v>
      </c>
      <c r="C4824" s="0" t="str">
        <f aca="false">INDEX(Intent_Analysis!$B$5:$B$81,MATCH(B4824,Intent_Analysis!$A$5:$A$81,0))</f>
        <v>Account &amp; identity</v>
      </c>
      <c r="D4824" s="0" t="n">
        <f aca="false">INDEX(Intent_Analysis!$E$5:$E$81,MATCH(B4824,Intent_Analysis!$A$5:$A$81,0))</f>
        <v>2</v>
      </c>
    </row>
    <row r="4825" customFormat="false" ht="15" hidden="false" customHeight="false" outlineLevel="0" collapsed="false">
      <c r="A4825" s="0" t="s">
        <v>5149</v>
      </c>
      <c r="B4825" s="0" t="s">
        <v>41</v>
      </c>
      <c r="C4825" s="0" t="str">
        <f aca="false">INDEX(Intent_Analysis!$B$5:$B$81,MATCH(B4825,Intent_Analysis!$A$5:$A$81,0))</f>
        <v>Account &amp; identity</v>
      </c>
      <c r="D4825" s="0" t="n">
        <f aca="false">INDEX(Intent_Analysis!$E$5:$E$81,MATCH(B4825,Intent_Analysis!$A$5:$A$81,0))</f>
        <v>2</v>
      </c>
    </row>
    <row r="4826" customFormat="false" ht="15" hidden="false" customHeight="false" outlineLevel="0" collapsed="false">
      <c r="A4826" s="0" t="s">
        <v>5150</v>
      </c>
      <c r="B4826" s="0" t="s">
        <v>41</v>
      </c>
      <c r="C4826" s="0" t="str">
        <f aca="false">INDEX(Intent_Analysis!$B$5:$B$81,MATCH(B4826,Intent_Analysis!$A$5:$A$81,0))</f>
        <v>Account &amp; identity</v>
      </c>
      <c r="D4826" s="0" t="n">
        <f aca="false">INDEX(Intent_Analysis!$E$5:$E$81,MATCH(B4826,Intent_Analysis!$A$5:$A$81,0))</f>
        <v>2</v>
      </c>
    </row>
    <row r="4827" customFormat="false" ht="15" hidden="false" customHeight="false" outlineLevel="0" collapsed="false">
      <c r="A4827" s="0" t="s">
        <v>5151</v>
      </c>
      <c r="B4827" s="0" t="s">
        <v>41</v>
      </c>
      <c r="C4827" s="0" t="str">
        <f aca="false">INDEX(Intent_Analysis!$B$5:$B$81,MATCH(B4827,Intent_Analysis!$A$5:$A$81,0))</f>
        <v>Account &amp; identity</v>
      </c>
      <c r="D4827" s="0" t="n">
        <f aca="false">INDEX(Intent_Analysis!$E$5:$E$81,MATCH(B4827,Intent_Analysis!$A$5:$A$81,0))</f>
        <v>2</v>
      </c>
    </row>
    <row r="4828" customFormat="false" ht="15" hidden="false" customHeight="false" outlineLevel="0" collapsed="false">
      <c r="A4828" s="0" t="s">
        <v>5152</v>
      </c>
      <c r="B4828" s="0" t="s">
        <v>41</v>
      </c>
      <c r="C4828" s="0" t="str">
        <f aca="false">INDEX(Intent_Analysis!$B$5:$B$81,MATCH(B4828,Intent_Analysis!$A$5:$A$81,0))</f>
        <v>Account &amp; identity</v>
      </c>
      <c r="D4828" s="0" t="n">
        <f aca="false">INDEX(Intent_Analysis!$E$5:$E$81,MATCH(B4828,Intent_Analysis!$A$5:$A$81,0))</f>
        <v>2</v>
      </c>
    </row>
    <row r="4829" customFormat="false" ht="15" hidden="false" customHeight="false" outlineLevel="0" collapsed="false">
      <c r="A4829" s="0" t="s">
        <v>5153</v>
      </c>
      <c r="B4829" s="0" t="s">
        <v>41</v>
      </c>
      <c r="C4829" s="0" t="str">
        <f aca="false">INDEX(Intent_Analysis!$B$5:$B$81,MATCH(B4829,Intent_Analysis!$A$5:$A$81,0))</f>
        <v>Account &amp; identity</v>
      </c>
      <c r="D4829" s="0" t="n">
        <f aca="false">INDEX(Intent_Analysis!$E$5:$E$81,MATCH(B4829,Intent_Analysis!$A$5:$A$81,0))</f>
        <v>2</v>
      </c>
    </row>
    <row r="4830" customFormat="false" ht="15" hidden="false" customHeight="false" outlineLevel="0" collapsed="false">
      <c r="A4830" s="0" t="s">
        <v>5154</v>
      </c>
      <c r="B4830" s="0" t="s">
        <v>41</v>
      </c>
      <c r="C4830" s="0" t="str">
        <f aca="false">INDEX(Intent_Analysis!$B$5:$B$81,MATCH(B4830,Intent_Analysis!$A$5:$A$81,0))</f>
        <v>Account &amp; identity</v>
      </c>
      <c r="D4830" s="0" t="n">
        <f aca="false">INDEX(Intent_Analysis!$E$5:$E$81,MATCH(B4830,Intent_Analysis!$A$5:$A$81,0))</f>
        <v>2</v>
      </c>
    </row>
    <row r="4831" customFormat="false" ht="15" hidden="false" customHeight="false" outlineLevel="0" collapsed="false">
      <c r="A4831" s="0" t="s">
        <v>5155</v>
      </c>
      <c r="B4831" s="0" t="s">
        <v>41</v>
      </c>
      <c r="C4831" s="0" t="str">
        <f aca="false">INDEX(Intent_Analysis!$B$5:$B$81,MATCH(B4831,Intent_Analysis!$A$5:$A$81,0))</f>
        <v>Account &amp; identity</v>
      </c>
      <c r="D4831" s="0" t="n">
        <f aca="false">INDEX(Intent_Analysis!$E$5:$E$81,MATCH(B4831,Intent_Analysis!$A$5:$A$81,0))</f>
        <v>2</v>
      </c>
    </row>
    <row r="4832" customFormat="false" ht="15" hidden="false" customHeight="false" outlineLevel="0" collapsed="false">
      <c r="A4832" s="0" t="s">
        <v>5156</v>
      </c>
      <c r="B4832" s="0" t="s">
        <v>41</v>
      </c>
      <c r="C4832" s="0" t="str">
        <f aca="false">INDEX(Intent_Analysis!$B$5:$B$81,MATCH(B4832,Intent_Analysis!$A$5:$A$81,0))</f>
        <v>Account &amp; identity</v>
      </c>
      <c r="D4832" s="0" t="n">
        <f aca="false">INDEX(Intent_Analysis!$E$5:$E$81,MATCH(B4832,Intent_Analysis!$A$5:$A$81,0))</f>
        <v>2</v>
      </c>
    </row>
    <row r="4833" customFormat="false" ht="15" hidden="false" customHeight="false" outlineLevel="0" collapsed="false">
      <c r="A4833" s="0" t="s">
        <v>5157</v>
      </c>
      <c r="B4833" s="0" t="s">
        <v>41</v>
      </c>
      <c r="C4833" s="0" t="str">
        <f aca="false">INDEX(Intent_Analysis!$B$5:$B$81,MATCH(B4833,Intent_Analysis!$A$5:$A$81,0))</f>
        <v>Account &amp; identity</v>
      </c>
      <c r="D4833" s="0" t="n">
        <f aca="false">INDEX(Intent_Analysis!$E$5:$E$81,MATCH(B4833,Intent_Analysis!$A$5:$A$81,0))</f>
        <v>2</v>
      </c>
    </row>
    <row r="4834" customFormat="false" ht="15" hidden="false" customHeight="false" outlineLevel="0" collapsed="false">
      <c r="A4834" s="0" t="s">
        <v>5158</v>
      </c>
      <c r="B4834" s="0" t="s">
        <v>41</v>
      </c>
      <c r="C4834" s="0" t="str">
        <f aca="false">INDEX(Intent_Analysis!$B$5:$B$81,MATCH(B4834,Intent_Analysis!$A$5:$A$81,0))</f>
        <v>Account &amp; identity</v>
      </c>
      <c r="D4834" s="0" t="n">
        <f aca="false">INDEX(Intent_Analysis!$E$5:$E$81,MATCH(B4834,Intent_Analysis!$A$5:$A$81,0))</f>
        <v>2</v>
      </c>
    </row>
    <row r="4835" customFormat="false" ht="15" hidden="false" customHeight="false" outlineLevel="0" collapsed="false">
      <c r="A4835" s="0" t="s">
        <v>5159</v>
      </c>
      <c r="B4835" s="0" t="s">
        <v>41</v>
      </c>
      <c r="C4835" s="0" t="str">
        <f aca="false">INDEX(Intent_Analysis!$B$5:$B$81,MATCH(B4835,Intent_Analysis!$A$5:$A$81,0))</f>
        <v>Account &amp; identity</v>
      </c>
      <c r="D4835" s="0" t="n">
        <f aca="false">INDEX(Intent_Analysis!$E$5:$E$81,MATCH(B4835,Intent_Analysis!$A$5:$A$81,0))</f>
        <v>2</v>
      </c>
    </row>
    <row r="4836" customFormat="false" ht="15" hidden="false" customHeight="false" outlineLevel="0" collapsed="false">
      <c r="A4836" s="0" t="s">
        <v>5160</v>
      </c>
      <c r="B4836" s="0" t="s">
        <v>41</v>
      </c>
      <c r="C4836" s="0" t="str">
        <f aca="false">INDEX(Intent_Analysis!$B$5:$B$81,MATCH(B4836,Intent_Analysis!$A$5:$A$81,0))</f>
        <v>Account &amp; identity</v>
      </c>
      <c r="D4836" s="0" t="n">
        <f aca="false">INDEX(Intent_Analysis!$E$5:$E$81,MATCH(B4836,Intent_Analysis!$A$5:$A$81,0))</f>
        <v>2</v>
      </c>
    </row>
    <row r="4837" customFormat="false" ht="15" hidden="false" customHeight="false" outlineLevel="0" collapsed="false">
      <c r="A4837" s="0" t="s">
        <v>5161</v>
      </c>
      <c r="B4837" s="0" t="s">
        <v>41</v>
      </c>
      <c r="C4837" s="0" t="str">
        <f aca="false">INDEX(Intent_Analysis!$B$5:$B$81,MATCH(B4837,Intent_Analysis!$A$5:$A$81,0))</f>
        <v>Account &amp; identity</v>
      </c>
      <c r="D4837" s="0" t="n">
        <f aca="false">INDEX(Intent_Analysis!$E$5:$E$81,MATCH(B4837,Intent_Analysis!$A$5:$A$81,0))</f>
        <v>2</v>
      </c>
    </row>
    <row r="4838" customFormat="false" ht="15" hidden="false" customHeight="false" outlineLevel="0" collapsed="false">
      <c r="A4838" s="0" t="s">
        <v>5162</v>
      </c>
      <c r="B4838" s="0" t="s">
        <v>41</v>
      </c>
      <c r="C4838" s="0" t="str">
        <f aca="false">INDEX(Intent_Analysis!$B$5:$B$81,MATCH(B4838,Intent_Analysis!$A$5:$A$81,0))</f>
        <v>Account &amp; identity</v>
      </c>
      <c r="D4838" s="0" t="n">
        <f aca="false">INDEX(Intent_Analysis!$E$5:$E$81,MATCH(B4838,Intent_Analysis!$A$5:$A$81,0))</f>
        <v>2</v>
      </c>
    </row>
    <row r="4839" customFormat="false" ht="15" hidden="false" customHeight="false" outlineLevel="0" collapsed="false">
      <c r="A4839" s="0" t="s">
        <v>5163</v>
      </c>
      <c r="B4839" s="0" t="s">
        <v>41</v>
      </c>
      <c r="C4839" s="0" t="str">
        <f aca="false">INDEX(Intent_Analysis!$B$5:$B$81,MATCH(B4839,Intent_Analysis!$A$5:$A$81,0))</f>
        <v>Account &amp; identity</v>
      </c>
      <c r="D4839" s="0" t="n">
        <f aca="false">INDEX(Intent_Analysis!$E$5:$E$81,MATCH(B4839,Intent_Analysis!$A$5:$A$81,0))</f>
        <v>2</v>
      </c>
    </row>
    <row r="4840" customFormat="false" ht="15" hidden="false" customHeight="false" outlineLevel="0" collapsed="false">
      <c r="A4840" s="0" t="s">
        <v>5164</v>
      </c>
      <c r="B4840" s="0" t="s">
        <v>41</v>
      </c>
      <c r="C4840" s="0" t="str">
        <f aca="false">INDEX(Intent_Analysis!$B$5:$B$81,MATCH(B4840,Intent_Analysis!$A$5:$A$81,0))</f>
        <v>Account &amp; identity</v>
      </c>
      <c r="D4840" s="0" t="n">
        <f aca="false">INDEX(Intent_Analysis!$E$5:$E$81,MATCH(B4840,Intent_Analysis!$A$5:$A$81,0))</f>
        <v>2</v>
      </c>
    </row>
    <row r="4841" customFormat="false" ht="15" hidden="false" customHeight="false" outlineLevel="0" collapsed="false">
      <c r="A4841" s="0" t="s">
        <v>5165</v>
      </c>
      <c r="B4841" s="0" t="s">
        <v>41</v>
      </c>
      <c r="C4841" s="0" t="str">
        <f aca="false">INDEX(Intent_Analysis!$B$5:$B$81,MATCH(B4841,Intent_Analysis!$A$5:$A$81,0))</f>
        <v>Account &amp; identity</v>
      </c>
      <c r="D4841" s="0" t="n">
        <f aca="false">INDEX(Intent_Analysis!$E$5:$E$81,MATCH(B4841,Intent_Analysis!$A$5:$A$81,0))</f>
        <v>2</v>
      </c>
    </row>
    <row r="4842" customFormat="false" ht="15" hidden="false" customHeight="false" outlineLevel="0" collapsed="false">
      <c r="A4842" s="0" t="s">
        <v>5166</v>
      </c>
      <c r="B4842" s="0" t="s">
        <v>41</v>
      </c>
      <c r="C4842" s="0" t="str">
        <f aca="false">INDEX(Intent_Analysis!$B$5:$B$81,MATCH(B4842,Intent_Analysis!$A$5:$A$81,0))</f>
        <v>Account &amp; identity</v>
      </c>
      <c r="D4842" s="0" t="n">
        <f aca="false">INDEX(Intent_Analysis!$E$5:$E$81,MATCH(B4842,Intent_Analysis!$A$5:$A$81,0))</f>
        <v>2</v>
      </c>
    </row>
    <row r="4843" customFormat="false" ht="15" hidden="false" customHeight="false" outlineLevel="0" collapsed="false">
      <c r="A4843" s="0" t="s">
        <v>5167</v>
      </c>
      <c r="B4843" s="0" t="s">
        <v>41</v>
      </c>
      <c r="C4843" s="0" t="str">
        <f aca="false">INDEX(Intent_Analysis!$B$5:$B$81,MATCH(B4843,Intent_Analysis!$A$5:$A$81,0))</f>
        <v>Account &amp; identity</v>
      </c>
      <c r="D4843" s="0" t="n">
        <f aca="false">INDEX(Intent_Analysis!$E$5:$E$81,MATCH(B4843,Intent_Analysis!$A$5:$A$81,0))</f>
        <v>2</v>
      </c>
    </row>
    <row r="4844" customFormat="false" ht="15" hidden="false" customHeight="false" outlineLevel="0" collapsed="false">
      <c r="A4844" s="0" t="s">
        <v>5168</v>
      </c>
      <c r="B4844" s="0" t="s">
        <v>41</v>
      </c>
      <c r="C4844" s="0" t="str">
        <f aca="false">INDEX(Intent_Analysis!$B$5:$B$81,MATCH(B4844,Intent_Analysis!$A$5:$A$81,0))</f>
        <v>Account &amp; identity</v>
      </c>
      <c r="D4844" s="0" t="n">
        <f aca="false">INDEX(Intent_Analysis!$E$5:$E$81,MATCH(B4844,Intent_Analysis!$A$5:$A$81,0))</f>
        <v>2</v>
      </c>
    </row>
    <row r="4845" customFormat="false" ht="15" hidden="false" customHeight="false" outlineLevel="0" collapsed="false">
      <c r="A4845" s="0" t="s">
        <v>5169</v>
      </c>
      <c r="B4845" s="0" t="s">
        <v>41</v>
      </c>
      <c r="C4845" s="0" t="str">
        <f aca="false">INDEX(Intent_Analysis!$B$5:$B$81,MATCH(B4845,Intent_Analysis!$A$5:$A$81,0))</f>
        <v>Account &amp; identity</v>
      </c>
      <c r="D4845" s="0" t="n">
        <f aca="false">INDEX(Intent_Analysis!$E$5:$E$81,MATCH(B4845,Intent_Analysis!$A$5:$A$81,0))</f>
        <v>2</v>
      </c>
    </row>
    <row r="4846" customFormat="false" ht="15" hidden="false" customHeight="false" outlineLevel="0" collapsed="false">
      <c r="A4846" s="0" t="s">
        <v>5170</v>
      </c>
      <c r="B4846" s="0" t="s">
        <v>41</v>
      </c>
      <c r="C4846" s="0" t="str">
        <f aca="false">INDEX(Intent_Analysis!$B$5:$B$81,MATCH(B4846,Intent_Analysis!$A$5:$A$81,0))</f>
        <v>Account &amp; identity</v>
      </c>
      <c r="D4846" s="0" t="n">
        <f aca="false">INDEX(Intent_Analysis!$E$5:$E$81,MATCH(B4846,Intent_Analysis!$A$5:$A$81,0))</f>
        <v>2</v>
      </c>
    </row>
    <row r="4847" customFormat="false" ht="15" hidden="false" customHeight="false" outlineLevel="0" collapsed="false">
      <c r="A4847" s="0" t="s">
        <v>5171</v>
      </c>
      <c r="B4847" s="0" t="s">
        <v>41</v>
      </c>
      <c r="C4847" s="0" t="str">
        <f aca="false">INDEX(Intent_Analysis!$B$5:$B$81,MATCH(B4847,Intent_Analysis!$A$5:$A$81,0))</f>
        <v>Account &amp; identity</v>
      </c>
      <c r="D4847" s="0" t="n">
        <f aca="false">INDEX(Intent_Analysis!$E$5:$E$81,MATCH(B4847,Intent_Analysis!$A$5:$A$81,0))</f>
        <v>2</v>
      </c>
    </row>
    <row r="4848" customFormat="false" ht="15" hidden="false" customHeight="false" outlineLevel="0" collapsed="false">
      <c r="A4848" s="0" t="s">
        <v>5172</v>
      </c>
      <c r="B4848" s="0" t="s">
        <v>41</v>
      </c>
      <c r="C4848" s="0" t="str">
        <f aca="false">INDEX(Intent_Analysis!$B$5:$B$81,MATCH(B4848,Intent_Analysis!$A$5:$A$81,0))</f>
        <v>Account &amp; identity</v>
      </c>
      <c r="D4848" s="0" t="n">
        <f aca="false">INDEX(Intent_Analysis!$E$5:$E$81,MATCH(B4848,Intent_Analysis!$A$5:$A$81,0))</f>
        <v>2</v>
      </c>
    </row>
    <row r="4849" customFormat="false" ht="15" hidden="false" customHeight="false" outlineLevel="0" collapsed="false">
      <c r="A4849" s="0" t="s">
        <v>5173</v>
      </c>
      <c r="B4849" s="0" t="s">
        <v>41</v>
      </c>
      <c r="C4849" s="0" t="str">
        <f aca="false">INDEX(Intent_Analysis!$B$5:$B$81,MATCH(B4849,Intent_Analysis!$A$5:$A$81,0))</f>
        <v>Account &amp; identity</v>
      </c>
      <c r="D4849" s="0" t="n">
        <f aca="false">INDEX(Intent_Analysis!$E$5:$E$81,MATCH(B4849,Intent_Analysis!$A$5:$A$81,0))</f>
        <v>2</v>
      </c>
    </row>
    <row r="4850" customFormat="false" ht="15" hidden="false" customHeight="false" outlineLevel="0" collapsed="false">
      <c r="A4850" s="0" t="s">
        <v>5174</v>
      </c>
      <c r="B4850" s="0" t="s">
        <v>41</v>
      </c>
      <c r="C4850" s="0" t="str">
        <f aca="false">INDEX(Intent_Analysis!$B$5:$B$81,MATCH(B4850,Intent_Analysis!$A$5:$A$81,0))</f>
        <v>Account &amp; identity</v>
      </c>
      <c r="D4850" s="0" t="n">
        <f aca="false">INDEX(Intent_Analysis!$E$5:$E$81,MATCH(B4850,Intent_Analysis!$A$5:$A$81,0))</f>
        <v>2</v>
      </c>
    </row>
    <row r="4851" customFormat="false" ht="15" hidden="false" customHeight="false" outlineLevel="0" collapsed="false">
      <c r="A4851" s="0" t="s">
        <v>5175</v>
      </c>
      <c r="B4851" s="0" t="s">
        <v>41</v>
      </c>
      <c r="C4851" s="0" t="str">
        <f aca="false">INDEX(Intent_Analysis!$B$5:$B$81,MATCH(B4851,Intent_Analysis!$A$5:$A$81,0))</f>
        <v>Account &amp; identity</v>
      </c>
      <c r="D4851" s="0" t="n">
        <f aca="false">INDEX(Intent_Analysis!$E$5:$E$81,MATCH(B4851,Intent_Analysis!$A$5:$A$81,0))</f>
        <v>2</v>
      </c>
    </row>
    <row r="4852" customFormat="false" ht="15" hidden="false" customHeight="false" outlineLevel="0" collapsed="false">
      <c r="A4852" s="0" t="s">
        <v>5176</v>
      </c>
      <c r="B4852" s="0" t="s">
        <v>41</v>
      </c>
      <c r="C4852" s="0" t="str">
        <f aca="false">INDEX(Intent_Analysis!$B$5:$B$81,MATCH(B4852,Intent_Analysis!$A$5:$A$81,0))</f>
        <v>Account &amp; identity</v>
      </c>
      <c r="D4852" s="0" t="n">
        <f aca="false">INDEX(Intent_Analysis!$E$5:$E$81,MATCH(B4852,Intent_Analysis!$A$5:$A$81,0))</f>
        <v>2</v>
      </c>
    </row>
    <row r="4853" customFormat="false" ht="15" hidden="false" customHeight="false" outlineLevel="0" collapsed="false">
      <c r="A4853" s="0" t="s">
        <v>5177</v>
      </c>
      <c r="B4853" s="0" t="s">
        <v>41</v>
      </c>
      <c r="C4853" s="0" t="str">
        <f aca="false">INDEX(Intent_Analysis!$B$5:$B$81,MATCH(B4853,Intent_Analysis!$A$5:$A$81,0))</f>
        <v>Account &amp; identity</v>
      </c>
      <c r="D4853" s="0" t="n">
        <f aca="false">INDEX(Intent_Analysis!$E$5:$E$81,MATCH(B4853,Intent_Analysis!$A$5:$A$81,0))</f>
        <v>2</v>
      </c>
    </row>
    <row r="4854" customFormat="false" ht="15" hidden="false" customHeight="false" outlineLevel="0" collapsed="false">
      <c r="A4854" s="0" t="s">
        <v>5178</v>
      </c>
      <c r="B4854" s="0" t="s">
        <v>41</v>
      </c>
      <c r="C4854" s="0" t="str">
        <f aca="false">INDEX(Intent_Analysis!$B$5:$B$81,MATCH(B4854,Intent_Analysis!$A$5:$A$81,0))</f>
        <v>Account &amp; identity</v>
      </c>
      <c r="D4854" s="0" t="n">
        <f aca="false">INDEX(Intent_Analysis!$E$5:$E$81,MATCH(B4854,Intent_Analysis!$A$5:$A$81,0))</f>
        <v>2</v>
      </c>
    </row>
    <row r="4855" customFormat="false" ht="15" hidden="false" customHeight="false" outlineLevel="0" collapsed="false">
      <c r="A4855" s="0" t="s">
        <v>5179</v>
      </c>
      <c r="B4855" s="0" t="s">
        <v>41</v>
      </c>
      <c r="C4855" s="0" t="str">
        <f aca="false">INDEX(Intent_Analysis!$B$5:$B$81,MATCH(B4855,Intent_Analysis!$A$5:$A$81,0))</f>
        <v>Account &amp; identity</v>
      </c>
      <c r="D4855" s="0" t="n">
        <f aca="false">INDEX(Intent_Analysis!$E$5:$E$81,MATCH(B4855,Intent_Analysis!$A$5:$A$81,0))</f>
        <v>2</v>
      </c>
    </row>
    <row r="4856" customFormat="false" ht="15" hidden="false" customHeight="false" outlineLevel="0" collapsed="false">
      <c r="A4856" s="0" t="s">
        <v>5180</v>
      </c>
      <c r="B4856" s="0" t="s">
        <v>41</v>
      </c>
      <c r="C4856" s="0" t="str">
        <f aca="false">INDEX(Intent_Analysis!$B$5:$B$81,MATCH(B4856,Intent_Analysis!$A$5:$A$81,0))</f>
        <v>Account &amp; identity</v>
      </c>
      <c r="D4856" s="0" t="n">
        <f aca="false">INDEX(Intent_Analysis!$E$5:$E$81,MATCH(B4856,Intent_Analysis!$A$5:$A$81,0))</f>
        <v>2</v>
      </c>
    </row>
    <row r="4857" customFormat="false" ht="15" hidden="false" customHeight="false" outlineLevel="0" collapsed="false">
      <c r="A4857" s="0" t="s">
        <v>5181</v>
      </c>
      <c r="B4857" s="0" t="s">
        <v>41</v>
      </c>
      <c r="C4857" s="0" t="str">
        <f aca="false">INDEX(Intent_Analysis!$B$5:$B$81,MATCH(B4857,Intent_Analysis!$A$5:$A$81,0))</f>
        <v>Account &amp; identity</v>
      </c>
      <c r="D4857" s="0" t="n">
        <f aca="false">INDEX(Intent_Analysis!$E$5:$E$81,MATCH(B4857,Intent_Analysis!$A$5:$A$81,0))</f>
        <v>2</v>
      </c>
    </row>
    <row r="4858" customFormat="false" ht="15" hidden="false" customHeight="false" outlineLevel="0" collapsed="false">
      <c r="A4858" s="0" t="s">
        <v>5182</v>
      </c>
      <c r="B4858" s="0" t="s">
        <v>41</v>
      </c>
      <c r="C4858" s="0" t="str">
        <f aca="false">INDEX(Intent_Analysis!$B$5:$B$81,MATCH(B4858,Intent_Analysis!$A$5:$A$81,0))</f>
        <v>Account &amp; identity</v>
      </c>
      <c r="D4858" s="0" t="n">
        <f aca="false">INDEX(Intent_Analysis!$E$5:$E$81,MATCH(B4858,Intent_Analysis!$A$5:$A$81,0))</f>
        <v>2</v>
      </c>
    </row>
    <row r="4859" customFormat="false" ht="15" hidden="false" customHeight="false" outlineLevel="0" collapsed="false">
      <c r="A4859" s="0" t="s">
        <v>5183</v>
      </c>
      <c r="B4859" s="0" t="s">
        <v>41</v>
      </c>
      <c r="C4859" s="0" t="str">
        <f aca="false">INDEX(Intent_Analysis!$B$5:$B$81,MATCH(B4859,Intent_Analysis!$A$5:$A$81,0))</f>
        <v>Account &amp; identity</v>
      </c>
      <c r="D4859" s="0" t="n">
        <f aca="false">INDEX(Intent_Analysis!$E$5:$E$81,MATCH(B4859,Intent_Analysis!$A$5:$A$81,0))</f>
        <v>2</v>
      </c>
    </row>
    <row r="4860" customFormat="false" ht="15" hidden="false" customHeight="false" outlineLevel="0" collapsed="false">
      <c r="A4860" s="0" t="s">
        <v>5184</v>
      </c>
      <c r="B4860" s="0" t="s">
        <v>41</v>
      </c>
      <c r="C4860" s="0" t="str">
        <f aca="false">INDEX(Intent_Analysis!$B$5:$B$81,MATCH(B4860,Intent_Analysis!$A$5:$A$81,0))</f>
        <v>Account &amp; identity</v>
      </c>
      <c r="D4860" s="0" t="n">
        <f aca="false">INDEX(Intent_Analysis!$E$5:$E$81,MATCH(B4860,Intent_Analysis!$A$5:$A$81,0))</f>
        <v>2</v>
      </c>
    </row>
    <row r="4861" customFormat="false" ht="15" hidden="false" customHeight="false" outlineLevel="0" collapsed="false">
      <c r="A4861" s="0" t="s">
        <v>5185</v>
      </c>
      <c r="B4861" s="0" t="s">
        <v>41</v>
      </c>
      <c r="C4861" s="0" t="str">
        <f aca="false">INDEX(Intent_Analysis!$B$5:$B$81,MATCH(B4861,Intent_Analysis!$A$5:$A$81,0))</f>
        <v>Account &amp; identity</v>
      </c>
      <c r="D4861" s="0" t="n">
        <f aca="false">INDEX(Intent_Analysis!$E$5:$E$81,MATCH(B4861,Intent_Analysis!$A$5:$A$81,0))</f>
        <v>2</v>
      </c>
    </row>
    <row r="4862" customFormat="false" ht="15" hidden="false" customHeight="false" outlineLevel="0" collapsed="false">
      <c r="A4862" s="0" t="s">
        <v>5186</v>
      </c>
      <c r="B4862" s="0" t="s">
        <v>41</v>
      </c>
      <c r="C4862" s="0" t="str">
        <f aca="false">INDEX(Intent_Analysis!$B$5:$B$81,MATCH(B4862,Intent_Analysis!$A$5:$A$81,0))</f>
        <v>Account &amp; identity</v>
      </c>
      <c r="D4862" s="0" t="n">
        <f aca="false">INDEX(Intent_Analysis!$E$5:$E$81,MATCH(B4862,Intent_Analysis!$A$5:$A$81,0))</f>
        <v>2</v>
      </c>
    </row>
    <row r="4863" customFormat="false" ht="15" hidden="false" customHeight="false" outlineLevel="0" collapsed="false">
      <c r="A4863" s="0" t="s">
        <v>5187</v>
      </c>
      <c r="B4863" s="0" t="s">
        <v>41</v>
      </c>
      <c r="C4863" s="0" t="str">
        <f aca="false">INDEX(Intent_Analysis!$B$5:$B$81,MATCH(B4863,Intent_Analysis!$A$5:$A$81,0))</f>
        <v>Account &amp; identity</v>
      </c>
      <c r="D4863" s="0" t="n">
        <f aca="false">INDEX(Intent_Analysis!$E$5:$E$81,MATCH(B4863,Intent_Analysis!$A$5:$A$81,0))</f>
        <v>2</v>
      </c>
    </row>
    <row r="4864" customFormat="false" ht="15" hidden="false" customHeight="false" outlineLevel="0" collapsed="false">
      <c r="A4864" s="0" t="s">
        <v>5188</v>
      </c>
      <c r="B4864" s="0" t="s">
        <v>41</v>
      </c>
      <c r="C4864" s="0" t="str">
        <f aca="false">INDEX(Intent_Analysis!$B$5:$B$81,MATCH(B4864,Intent_Analysis!$A$5:$A$81,0))</f>
        <v>Account &amp; identity</v>
      </c>
      <c r="D4864" s="0" t="n">
        <f aca="false">INDEX(Intent_Analysis!$E$5:$E$81,MATCH(B4864,Intent_Analysis!$A$5:$A$81,0))</f>
        <v>2</v>
      </c>
    </row>
    <row r="4865" customFormat="false" ht="15" hidden="false" customHeight="false" outlineLevel="0" collapsed="false">
      <c r="A4865" s="0" t="s">
        <v>5189</v>
      </c>
      <c r="B4865" s="0" t="s">
        <v>41</v>
      </c>
      <c r="C4865" s="0" t="str">
        <f aca="false">INDEX(Intent_Analysis!$B$5:$B$81,MATCH(B4865,Intent_Analysis!$A$5:$A$81,0))</f>
        <v>Account &amp; identity</v>
      </c>
      <c r="D4865" s="0" t="n">
        <f aca="false">INDEX(Intent_Analysis!$E$5:$E$81,MATCH(B4865,Intent_Analysis!$A$5:$A$81,0))</f>
        <v>2</v>
      </c>
    </row>
    <row r="4866" customFormat="false" ht="15" hidden="false" customHeight="false" outlineLevel="0" collapsed="false">
      <c r="A4866" s="0" t="s">
        <v>5190</v>
      </c>
      <c r="B4866" s="0" t="s">
        <v>41</v>
      </c>
      <c r="C4866" s="0" t="str">
        <f aca="false">INDEX(Intent_Analysis!$B$5:$B$81,MATCH(B4866,Intent_Analysis!$A$5:$A$81,0))</f>
        <v>Account &amp; identity</v>
      </c>
      <c r="D4866" s="0" t="n">
        <f aca="false">INDEX(Intent_Analysis!$E$5:$E$81,MATCH(B4866,Intent_Analysis!$A$5:$A$81,0))</f>
        <v>2</v>
      </c>
    </row>
    <row r="4867" customFormat="false" ht="15" hidden="false" customHeight="false" outlineLevel="0" collapsed="false">
      <c r="A4867" s="0" t="s">
        <v>5191</v>
      </c>
      <c r="B4867" s="0" t="s">
        <v>41</v>
      </c>
      <c r="C4867" s="0" t="str">
        <f aca="false">INDEX(Intent_Analysis!$B$5:$B$81,MATCH(B4867,Intent_Analysis!$A$5:$A$81,0))</f>
        <v>Account &amp; identity</v>
      </c>
      <c r="D4867" s="0" t="n">
        <f aca="false">INDEX(Intent_Analysis!$E$5:$E$81,MATCH(B4867,Intent_Analysis!$A$5:$A$81,0))</f>
        <v>2</v>
      </c>
    </row>
    <row r="4868" customFormat="false" ht="15" hidden="false" customHeight="false" outlineLevel="0" collapsed="false">
      <c r="A4868" s="0" t="s">
        <v>5192</v>
      </c>
      <c r="B4868" s="0" t="s">
        <v>41</v>
      </c>
      <c r="C4868" s="0" t="str">
        <f aca="false">INDEX(Intent_Analysis!$B$5:$B$81,MATCH(B4868,Intent_Analysis!$A$5:$A$81,0))</f>
        <v>Account &amp; identity</v>
      </c>
      <c r="D4868" s="0" t="n">
        <f aca="false">INDEX(Intent_Analysis!$E$5:$E$81,MATCH(B4868,Intent_Analysis!$A$5:$A$81,0))</f>
        <v>2</v>
      </c>
    </row>
    <row r="4869" customFormat="false" ht="15" hidden="false" customHeight="false" outlineLevel="0" collapsed="false">
      <c r="A4869" s="0" t="s">
        <v>5193</v>
      </c>
      <c r="B4869" s="0" t="s">
        <v>41</v>
      </c>
      <c r="C4869" s="0" t="str">
        <f aca="false">INDEX(Intent_Analysis!$B$5:$B$81,MATCH(B4869,Intent_Analysis!$A$5:$A$81,0))</f>
        <v>Account &amp; identity</v>
      </c>
      <c r="D4869" s="0" t="n">
        <f aca="false">INDEX(Intent_Analysis!$E$5:$E$81,MATCH(B4869,Intent_Analysis!$A$5:$A$81,0))</f>
        <v>2</v>
      </c>
    </row>
    <row r="4870" customFormat="false" ht="15" hidden="false" customHeight="false" outlineLevel="0" collapsed="false">
      <c r="A4870" s="0" t="s">
        <v>5194</v>
      </c>
      <c r="B4870" s="0" t="s">
        <v>41</v>
      </c>
      <c r="C4870" s="0" t="str">
        <f aca="false">INDEX(Intent_Analysis!$B$5:$B$81,MATCH(B4870,Intent_Analysis!$A$5:$A$81,0))</f>
        <v>Account &amp; identity</v>
      </c>
      <c r="D4870" s="0" t="n">
        <f aca="false">INDEX(Intent_Analysis!$E$5:$E$81,MATCH(B4870,Intent_Analysis!$A$5:$A$81,0))</f>
        <v>2</v>
      </c>
    </row>
    <row r="4871" customFormat="false" ht="15" hidden="false" customHeight="false" outlineLevel="0" collapsed="false">
      <c r="A4871" s="0" t="s">
        <v>5195</v>
      </c>
      <c r="B4871" s="0" t="s">
        <v>41</v>
      </c>
      <c r="C4871" s="0" t="str">
        <f aca="false">INDEX(Intent_Analysis!$B$5:$B$81,MATCH(B4871,Intent_Analysis!$A$5:$A$81,0))</f>
        <v>Account &amp; identity</v>
      </c>
      <c r="D4871" s="0" t="n">
        <f aca="false">INDEX(Intent_Analysis!$E$5:$E$81,MATCH(B4871,Intent_Analysis!$A$5:$A$81,0))</f>
        <v>2</v>
      </c>
    </row>
    <row r="4872" customFormat="false" ht="15" hidden="false" customHeight="false" outlineLevel="0" collapsed="false">
      <c r="A4872" s="0" t="s">
        <v>5196</v>
      </c>
      <c r="B4872" s="0" t="s">
        <v>41</v>
      </c>
      <c r="C4872" s="0" t="str">
        <f aca="false">INDEX(Intent_Analysis!$B$5:$B$81,MATCH(B4872,Intent_Analysis!$A$5:$A$81,0))</f>
        <v>Account &amp; identity</v>
      </c>
      <c r="D4872" s="0" t="n">
        <f aca="false">INDEX(Intent_Analysis!$E$5:$E$81,MATCH(B4872,Intent_Analysis!$A$5:$A$81,0))</f>
        <v>2</v>
      </c>
    </row>
    <row r="4873" customFormat="false" ht="15" hidden="false" customHeight="false" outlineLevel="0" collapsed="false">
      <c r="A4873" s="0" t="s">
        <v>5197</v>
      </c>
      <c r="B4873" s="0" t="s">
        <v>41</v>
      </c>
      <c r="C4873" s="0" t="str">
        <f aca="false">INDEX(Intent_Analysis!$B$5:$B$81,MATCH(B4873,Intent_Analysis!$A$5:$A$81,0))</f>
        <v>Account &amp; identity</v>
      </c>
      <c r="D4873" s="0" t="n">
        <f aca="false">INDEX(Intent_Analysis!$E$5:$E$81,MATCH(B4873,Intent_Analysis!$A$5:$A$81,0))</f>
        <v>2</v>
      </c>
    </row>
    <row r="4874" customFormat="false" ht="15" hidden="false" customHeight="false" outlineLevel="0" collapsed="false">
      <c r="A4874" s="0" t="s">
        <v>5198</v>
      </c>
      <c r="B4874" s="0" t="s">
        <v>41</v>
      </c>
      <c r="C4874" s="0" t="str">
        <f aca="false">INDEX(Intent_Analysis!$B$5:$B$81,MATCH(B4874,Intent_Analysis!$A$5:$A$81,0))</f>
        <v>Account &amp; identity</v>
      </c>
      <c r="D4874" s="0" t="n">
        <f aca="false">INDEX(Intent_Analysis!$E$5:$E$81,MATCH(B4874,Intent_Analysis!$A$5:$A$81,0))</f>
        <v>2</v>
      </c>
    </row>
    <row r="4875" customFormat="false" ht="15" hidden="false" customHeight="false" outlineLevel="0" collapsed="false">
      <c r="A4875" s="0" t="s">
        <v>5199</v>
      </c>
      <c r="B4875" s="0" t="s">
        <v>41</v>
      </c>
      <c r="C4875" s="0" t="str">
        <f aca="false">INDEX(Intent_Analysis!$B$5:$B$81,MATCH(B4875,Intent_Analysis!$A$5:$A$81,0))</f>
        <v>Account &amp; identity</v>
      </c>
      <c r="D4875" s="0" t="n">
        <f aca="false">INDEX(Intent_Analysis!$E$5:$E$81,MATCH(B4875,Intent_Analysis!$A$5:$A$81,0))</f>
        <v>2</v>
      </c>
    </row>
    <row r="4876" customFormat="false" ht="15" hidden="false" customHeight="false" outlineLevel="0" collapsed="false">
      <c r="A4876" s="0" t="s">
        <v>5200</v>
      </c>
      <c r="B4876" s="0" t="s">
        <v>41</v>
      </c>
      <c r="C4876" s="0" t="str">
        <f aca="false">INDEX(Intent_Analysis!$B$5:$B$81,MATCH(B4876,Intent_Analysis!$A$5:$A$81,0))</f>
        <v>Account &amp; identity</v>
      </c>
      <c r="D4876" s="0" t="n">
        <f aca="false">INDEX(Intent_Analysis!$E$5:$E$81,MATCH(B4876,Intent_Analysis!$A$5:$A$81,0))</f>
        <v>2</v>
      </c>
    </row>
    <row r="4877" customFormat="false" ht="15" hidden="false" customHeight="false" outlineLevel="0" collapsed="false">
      <c r="A4877" s="0" t="s">
        <v>5201</v>
      </c>
      <c r="B4877" s="0" t="s">
        <v>41</v>
      </c>
      <c r="C4877" s="0" t="str">
        <f aca="false">INDEX(Intent_Analysis!$B$5:$B$81,MATCH(B4877,Intent_Analysis!$A$5:$A$81,0))</f>
        <v>Account &amp; identity</v>
      </c>
      <c r="D4877" s="0" t="n">
        <f aca="false">INDEX(Intent_Analysis!$E$5:$E$81,MATCH(B4877,Intent_Analysis!$A$5:$A$81,0))</f>
        <v>2</v>
      </c>
    </row>
    <row r="4878" customFormat="false" ht="15" hidden="false" customHeight="false" outlineLevel="0" collapsed="false">
      <c r="A4878" s="0" t="s">
        <v>5202</v>
      </c>
      <c r="B4878" s="0" t="s">
        <v>41</v>
      </c>
      <c r="C4878" s="0" t="str">
        <f aca="false">INDEX(Intent_Analysis!$B$5:$B$81,MATCH(B4878,Intent_Analysis!$A$5:$A$81,0))</f>
        <v>Account &amp; identity</v>
      </c>
      <c r="D4878" s="0" t="n">
        <f aca="false">INDEX(Intent_Analysis!$E$5:$E$81,MATCH(B4878,Intent_Analysis!$A$5:$A$81,0))</f>
        <v>2</v>
      </c>
    </row>
    <row r="4879" customFormat="false" ht="15" hidden="false" customHeight="false" outlineLevel="0" collapsed="false">
      <c r="A4879" s="0" t="s">
        <v>5203</v>
      </c>
      <c r="B4879" s="0" t="s">
        <v>41</v>
      </c>
      <c r="C4879" s="0" t="str">
        <f aca="false">INDEX(Intent_Analysis!$B$5:$B$81,MATCH(B4879,Intent_Analysis!$A$5:$A$81,0))</f>
        <v>Account &amp; identity</v>
      </c>
      <c r="D4879" s="0" t="n">
        <f aca="false">INDEX(Intent_Analysis!$E$5:$E$81,MATCH(B4879,Intent_Analysis!$A$5:$A$81,0))</f>
        <v>2</v>
      </c>
    </row>
    <row r="4880" customFormat="false" ht="15" hidden="false" customHeight="false" outlineLevel="0" collapsed="false">
      <c r="A4880" s="0" t="s">
        <v>5204</v>
      </c>
      <c r="B4880" s="0" t="s">
        <v>41</v>
      </c>
      <c r="C4880" s="0" t="str">
        <f aca="false">INDEX(Intent_Analysis!$B$5:$B$81,MATCH(B4880,Intent_Analysis!$A$5:$A$81,0))</f>
        <v>Account &amp; identity</v>
      </c>
      <c r="D4880" s="0" t="n">
        <f aca="false">INDEX(Intent_Analysis!$E$5:$E$81,MATCH(B4880,Intent_Analysis!$A$5:$A$81,0))</f>
        <v>2</v>
      </c>
    </row>
    <row r="4881" customFormat="false" ht="15" hidden="false" customHeight="false" outlineLevel="0" collapsed="false">
      <c r="A4881" s="0" t="s">
        <v>5205</v>
      </c>
      <c r="B4881" s="0" t="s">
        <v>41</v>
      </c>
      <c r="C4881" s="0" t="str">
        <f aca="false">INDEX(Intent_Analysis!$B$5:$B$81,MATCH(B4881,Intent_Analysis!$A$5:$A$81,0))</f>
        <v>Account &amp; identity</v>
      </c>
      <c r="D4881" s="0" t="n">
        <f aca="false">INDEX(Intent_Analysis!$E$5:$E$81,MATCH(B4881,Intent_Analysis!$A$5:$A$81,0))</f>
        <v>2</v>
      </c>
    </row>
    <row r="4882" customFormat="false" ht="15" hidden="false" customHeight="false" outlineLevel="0" collapsed="false">
      <c r="A4882" s="0" t="s">
        <v>5206</v>
      </c>
      <c r="B4882" s="0" t="s">
        <v>41</v>
      </c>
      <c r="C4882" s="0" t="str">
        <f aca="false">INDEX(Intent_Analysis!$B$5:$B$81,MATCH(B4882,Intent_Analysis!$A$5:$A$81,0))</f>
        <v>Account &amp; identity</v>
      </c>
      <c r="D4882" s="0" t="n">
        <f aca="false">INDEX(Intent_Analysis!$E$5:$E$81,MATCH(B4882,Intent_Analysis!$A$5:$A$81,0))</f>
        <v>2</v>
      </c>
    </row>
    <row r="4883" customFormat="false" ht="15" hidden="false" customHeight="false" outlineLevel="0" collapsed="false">
      <c r="A4883" s="0" t="s">
        <v>5207</v>
      </c>
      <c r="B4883" s="0" t="s">
        <v>41</v>
      </c>
      <c r="C4883" s="0" t="str">
        <f aca="false">INDEX(Intent_Analysis!$B$5:$B$81,MATCH(B4883,Intent_Analysis!$A$5:$A$81,0))</f>
        <v>Account &amp; identity</v>
      </c>
      <c r="D4883" s="0" t="n">
        <f aca="false">INDEX(Intent_Analysis!$E$5:$E$81,MATCH(B4883,Intent_Analysis!$A$5:$A$81,0))</f>
        <v>2</v>
      </c>
    </row>
    <row r="4884" customFormat="false" ht="15" hidden="false" customHeight="false" outlineLevel="0" collapsed="false">
      <c r="A4884" s="0" t="s">
        <v>5208</v>
      </c>
      <c r="B4884" s="0" t="s">
        <v>41</v>
      </c>
      <c r="C4884" s="0" t="str">
        <f aca="false">INDEX(Intent_Analysis!$B$5:$B$81,MATCH(B4884,Intent_Analysis!$A$5:$A$81,0))</f>
        <v>Account &amp; identity</v>
      </c>
      <c r="D4884" s="0" t="n">
        <f aca="false">INDEX(Intent_Analysis!$E$5:$E$81,MATCH(B4884,Intent_Analysis!$A$5:$A$81,0))</f>
        <v>2</v>
      </c>
    </row>
    <row r="4885" customFormat="false" ht="15" hidden="false" customHeight="false" outlineLevel="0" collapsed="false">
      <c r="A4885" s="0" t="s">
        <v>5209</v>
      </c>
      <c r="B4885" s="0" t="s">
        <v>41</v>
      </c>
      <c r="C4885" s="0" t="str">
        <f aca="false">INDEX(Intent_Analysis!$B$5:$B$81,MATCH(B4885,Intent_Analysis!$A$5:$A$81,0))</f>
        <v>Account &amp; identity</v>
      </c>
      <c r="D4885" s="0" t="n">
        <f aca="false">INDEX(Intent_Analysis!$E$5:$E$81,MATCH(B4885,Intent_Analysis!$A$5:$A$81,0))</f>
        <v>2</v>
      </c>
    </row>
    <row r="4886" customFormat="false" ht="15" hidden="false" customHeight="false" outlineLevel="0" collapsed="false">
      <c r="A4886" s="0" t="s">
        <v>5210</v>
      </c>
      <c r="B4886" s="0" t="s">
        <v>41</v>
      </c>
      <c r="C4886" s="0" t="str">
        <f aca="false">INDEX(Intent_Analysis!$B$5:$B$81,MATCH(B4886,Intent_Analysis!$A$5:$A$81,0))</f>
        <v>Account &amp; identity</v>
      </c>
      <c r="D4886" s="0" t="n">
        <f aca="false">INDEX(Intent_Analysis!$E$5:$E$81,MATCH(B4886,Intent_Analysis!$A$5:$A$81,0))</f>
        <v>2</v>
      </c>
    </row>
    <row r="4887" customFormat="false" ht="15" hidden="false" customHeight="false" outlineLevel="0" collapsed="false">
      <c r="A4887" s="0" t="s">
        <v>5211</v>
      </c>
      <c r="B4887" s="0" t="s">
        <v>41</v>
      </c>
      <c r="C4887" s="0" t="str">
        <f aca="false">INDEX(Intent_Analysis!$B$5:$B$81,MATCH(B4887,Intent_Analysis!$A$5:$A$81,0))</f>
        <v>Account &amp; identity</v>
      </c>
      <c r="D4887" s="0" t="n">
        <f aca="false">INDEX(Intent_Analysis!$E$5:$E$81,MATCH(B4887,Intent_Analysis!$A$5:$A$81,0))</f>
        <v>2</v>
      </c>
    </row>
    <row r="4888" customFormat="false" ht="15" hidden="false" customHeight="false" outlineLevel="0" collapsed="false">
      <c r="A4888" s="0" t="s">
        <v>5212</v>
      </c>
      <c r="B4888" s="0" t="s">
        <v>41</v>
      </c>
      <c r="C4888" s="0" t="str">
        <f aca="false">INDEX(Intent_Analysis!$B$5:$B$81,MATCH(B4888,Intent_Analysis!$A$5:$A$81,0))</f>
        <v>Account &amp; identity</v>
      </c>
      <c r="D4888" s="0" t="n">
        <f aca="false">INDEX(Intent_Analysis!$E$5:$E$81,MATCH(B4888,Intent_Analysis!$A$5:$A$81,0))</f>
        <v>2</v>
      </c>
    </row>
    <row r="4889" customFormat="false" ht="15" hidden="false" customHeight="false" outlineLevel="0" collapsed="false">
      <c r="A4889" s="0" t="s">
        <v>5213</v>
      </c>
      <c r="B4889" s="0" t="s">
        <v>41</v>
      </c>
      <c r="C4889" s="0" t="str">
        <f aca="false">INDEX(Intent_Analysis!$B$5:$B$81,MATCH(B4889,Intent_Analysis!$A$5:$A$81,0))</f>
        <v>Account &amp; identity</v>
      </c>
      <c r="D4889" s="0" t="n">
        <f aca="false">INDEX(Intent_Analysis!$E$5:$E$81,MATCH(B4889,Intent_Analysis!$A$5:$A$81,0))</f>
        <v>2</v>
      </c>
    </row>
    <row r="4890" customFormat="false" ht="15" hidden="false" customHeight="false" outlineLevel="0" collapsed="false">
      <c r="A4890" s="0" t="s">
        <v>5214</v>
      </c>
      <c r="B4890" s="0" t="s">
        <v>41</v>
      </c>
      <c r="C4890" s="0" t="str">
        <f aca="false">INDEX(Intent_Analysis!$B$5:$B$81,MATCH(B4890,Intent_Analysis!$A$5:$A$81,0))</f>
        <v>Account &amp; identity</v>
      </c>
      <c r="D4890" s="0" t="n">
        <f aca="false">INDEX(Intent_Analysis!$E$5:$E$81,MATCH(B4890,Intent_Analysis!$A$5:$A$81,0))</f>
        <v>2</v>
      </c>
    </row>
    <row r="4891" customFormat="false" ht="15" hidden="false" customHeight="false" outlineLevel="0" collapsed="false">
      <c r="A4891" s="0" t="s">
        <v>5215</v>
      </c>
      <c r="B4891" s="0" t="s">
        <v>41</v>
      </c>
      <c r="C4891" s="0" t="str">
        <f aca="false">INDEX(Intent_Analysis!$B$5:$B$81,MATCH(B4891,Intent_Analysis!$A$5:$A$81,0))</f>
        <v>Account &amp; identity</v>
      </c>
      <c r="D4891" s="0" t="n">
        <f aca="false">INDEX(Intent_Analysis!$E$5:$E$81,MATCH(B4891,Intent_Analysis!$A$5:$A$81,0))</f>
        <v>2</v>
      </c>
    </row>
    <row r="4892" customFormat="false" ht="15" hidden="false" customHeight="false" outlineLevel="0" collapsed="false">
      <c r="A4892" s="0" t="s">
        <v>5216</v>
      </c>
      <c r="B4892" s="0" t="s">
        <v>41</v>
      </c>
      <c r="C4892" s="0" t="str">
        <f aca="false">INDEX(Intent_Analysis!$B$5:$B$81,MATCH(B4892,Intent_Analysis!$A$5:$A$81,0))</f>
        <v>Account &amp; identity</v>
      </c>
      <c r="D4892" s="0" t="n">
        <f aca="false">INDEX(Intent_Analysis!$E$5:$E$81,MATCH(B4892,Intent_Analysis!$A$5:$A$81,0))</f>
        <v>2</v>
      </c>
    </row>
    <row r="4893" customFormat="false" ht="15" hidden="false" customHeight="false" outlineLevel="0" collapsed="false">
      <c r="A4893" s="0" t="s">
        <v>5217</v>
      </c>
      <c r="B4893" s="0" t="s">
        <v>41</v>
      </c>
      <c r="C4893" s="0" t="str">
        <f aca="false">INDEX(Intent_Analysis!$B$5:$B$81,MATCH(B4893,Intent_Analysis!$A$5:$A$81,0))</f>
        <v>Account &amp; identity</v>
      </c>
      <c r="D4893" s="0" t="n">
        <f aca="false">INDEX(Intent_Analysis!$E$5:$E$81,MATCH(B4893,Intent_Analysis!$A$5:$A$81,0))</f>
        <v>2</v>
      </c>
    </row>
    <row r="4894" customFormat="false" ht="15" hidden="false" customHeight="false" outlineLevel="0" collapsed="false">
      <c r="A4894" s="0" t="s">
        <v>5218</v>
      </c>
      <c r="B4894" s="0" t="s">
        <v>41</v>
      </c>
      <c r="C4894" s="0" t="str">
        <f aca="false">INDEX(Intent_Analysis!$B$5:$B$81,MATCH(B4894,Intent_Analysis!$A$5:$A$81,0))</f>
        <v>Account &amp; identity</v>
      </c>
      <c r="D4894" s="0" t="n">
        <f aca="false">INDEX(Intent_Analysis!$E$5:$E$81,MATCH(B4894,Intent_Analysis!$A$5:$A$81,0))</f>
        <v>2</v>
      </c>
    </row>
    <row r="4895" customFormat="false" ht="15" hidden="false" customHeight="false" outlineLevel="0" collapsed="false">
      <c r="A4895" s="0" t="s">
        <v>5219</v>
      </c>
      <c r="B4895" s="0" t="s">
        <v>41</v>
      </c>
      <c r="C4895" s="0" t="str">
        <f aca="false">INDEX(Intent_Analysis!$B$5:$B$81,MATCH(B4895,Intent_Analysis!$A$5:$A$81,0))</f>
        <v>Account &amp; identity</v>
      </c>
      <c r="D4895" s="0" t="n">
        <f aca="false">INDEX(Intent_Analysis!$E$5:$E$81,MATCH(B4895,Intent_Analysis!$A$5:$A$81,0))</f>
        <v>2</v>
      </c>
    </row>
    <row r="4896" customFormat="false" ht="15" hidden="false" customHeight="false" outlineLevel="0" collapsed="false">
      <c r="A4896" s="0" t="s">
        <v>5220</v>
      </c>
      <c r="B4896" s="0" t="s">
        <v>41</v>
      </c>
      <c r="C4896" s="0" t="str">
        <f aca="false">INDEX(Intent_Analysis!$B$5:$B$81,MATCH(B4896,Intent_Analysis!$A$5:$A$81,0))</f>
        <v>Account &amp; identity</v>
      </c>
      <c r="D4896" s="0" t="n">
        <f aca="false">INDEX(Intent_Analysis!$E$5:$E$81,MATCH(B4896,Intent_Analysis!$A$5:$A$81,0))</f>
        <v>2</v>
      </c>
    </row>
    <row r="4897" customFormat="false" ht="15" hidden="false" customHeight="false" outlineLevel="0" collapsed="false">
      <c r="A4897" s="0" t="s">
        <v>5221</v>
      </c>
      <c r="B4897" s="0" t="s">
        <v>41</v>
      </c>
      <c r="C4897" s="0" t="str">
        <f aca="false">INDEX(Intent_Analysis!$B$5:$B$81,MATCH(B4897,Intent_Analysis!$A$5:$A$81,0))</f>
        <v>Account &amp; identity</v>
      </c>
      <c r="D4897" s="0" t="n">
        <f aca="false">INDEX(Intent_Analysis!$E$5:$E$81,MATCH(B4897,Intent_Analysis!$A$5:$A$81,0))</f>
        <v>2</v>
      </c>
    </row>
    <row r="4898" customFormat="false" ht="15" hidden="false" customHeight="false" outlineLevel="0" collapsed="false">
      <c r="A4898" s="0" t="s">
        <v>5222</v>
      </c>
      <c r="B4898" s="0" t="s">
        <v>41</v>
      </c>
      <c r="C4898" s="0" t="str">
        <f aca="false">INDEX(Intent_Analysis!$B$5:$B$81,MATCH(B4898,Intent_Analysis!$A$5:$A$81,0))</f>
        <v>Account &amp; identity</v>
      </c>
      <c r="D4898" s="0" t="n">
        <f aca="false">INDEX(Intent_Analysis!$E$5:$E$81,MATCH(B4898,Intent_Analysis!$A$5:$A$81,0))</f>
        <v>2</v>
      </c>
    </row>
    <row r="4899" customFormat="false" ht="15" hidden="false" customHeight="false" outlineLevel="0" collapsed="false">
      <c r="A4899" s="0" t="s">
        <v>5223</v>
      </c>
      <c r="B4899" s="0" t="s">
        <v>41</v>
      </c>
      <c r="C4899" s="0" t="str">
        <f aca="false">INDEX(Intent_Analysis!$B$5:$B$81,MATCH(B4899,Intent_Analysis!$A$5:$A$81,0))</f>
        <v>Account &amp; identity</v>
      </c>
      <c r="D4899" s="0" t="n">
        <f aca="false">INDEX(Intent_Analysis!$E$5:$E$81,MATCH(B4899,Intent_Analysis!$A$5:$A$81,0))</f>
        <v>2</v>
      </c>
    </row>
    <row r="4900" customFormat="false" ht="15" hidden="false" customHeight="false" outlineLevel="0" collapsed="false">
      <c r="A4900" s="0" t="s">
        <v>5224</v>
      </c>
      <c r="B4900" s="0" t="s">
        <v>41</v>
      </c>
      <c r="C4900" s="0" t="str">
        <f aca="false">INDEX(Intent_Analysis!$B$5:$B$81,MATCH(B4900,Intent_Analysis!$A$5:$A$81,0))</f>
        <v>Account &amp; identity</v>
      </c>
      <c r="D4900" s="0" t="n">
        <f aca="false">INDEX(Intent_Analysis!$E$5:$E$81,MATCH(B4900,Intent_Analysis!$A$5:$A$81,0))</f>
        <v>2</v>
      </c>
    </row>
    <row r="4901" customFormat="false" ht="15" hidden="false" customHeight="false" outlineLevel="0" collapsed="false">
      <c r="A4901" s="0" t="s">
        <v>5225</v>
      </c>
      <c r="B4901" s="0" t="s">
        <v>41</v>
      </c>
      <c r="C4901" s="0" t="str">
        <f aca="false">INDEX(Intent_Analysis!$B$5:$B$81,MATCH(B4901,Intent_Analysis!$A$5:$A$81,0))</f>
        <v>Account &amp; identity</v>
      </c>
      <c r="D4901" s="0" t="n">
        <f aca="false">INDEX(Intent_Analysis!$E$5:$E$81,MATCH(B4901,Intent_Analysis!$A$5:$A$81,0))</f>
        <v>2</v>
      </c>
    </row>
    <row r="4902" customFormat="false" ht="15" hidden="false" customHeight="false" outlineLevel="0" collapsed="false">
      <c r="A4902" s="0" t="s">
        <v>5226</v>
      </c>
      <c r="B4902" s="0" t="s">
        <v>41</v>
      </c>
      <c r="C4902" s="0" t="str">
        <f aca="false">INDEX(Intent_Analysis!$B$5:$B$81,MATCH(B4902,Intent_Analysis!$A$5:$A$81,0))</f>
        <v>Account &amp; identity</v>
      </c>
      <c r="D4902" s="0" t="n">
        <f aca="false">INDEX(Intent_Analysis!$E$5:$E$81,MATCH(B4902,Intent_Analysis!$A$5:$A$81,0))</f>
        <v>2</v>
      </c>
    </row>
    <row r="4903" customFormat="false" ht="15" hidden="false" customHeight="false" outlineLevel="0" collapsed="false">
      <c r="A4903" s="0" t="s">
        <v>5227</v>
      </c>
      <c r="B4903" s="0" t="s">
        <v>41</v>
      </c>
      <c r="C4903" s="0" t="str">
        <f aca="false">INDEX(Intent_Analysis!$B$5:$B$81,MATCH(B4903,Intent_Analysis!$A$5:$A$81,0))</f>
        <v>Account &amp; identity</v>
      </c>
      <c r="D4903" s="0" t="n">
        <f aca="false">INDEX(Intent_Analysis!$E$5:$E$81,MATCH(B4903,Intent_Analysis!$A$5:$A$81,0))</f>
        <v>2</v>
      </c>
    </row>
    <row r="4904" customFormat="false" ht="15" hidden="false" customHeight="false" outlineLevel="0" collapsed="false">
      <c r="A4904" s="0" t="s">
        <v>5228</v>
      </c>
      <c r="B4904" s="0" t="s">
        <v>41</v>
      </c>
      <c r="C4904" s="0" t="str">
        <f aca="false">INDEX(Intent_Analysis!$B$5:$B$81,MATCH(B4904,Intent_Analysis!$A$5:$A$81,0))</f>
        <v>Account &amp; identity</v>
      </c>
      <c r="D4904" s="0" t="n">
        <f aca="false">INDEX(Intent_Analysis!$E$5:$E$81,MATCH(B4904,Intent_Analysis!$A$5:$A$81,0))</f>
        <v>2</v>
      </c>
    </row>
    <row r="4905" customFormat="false" ht="15" hidden="false" customHeight="false" outlineLevel="0" collapsed="false">
      <c r="A4905" s="0" t="s">
        <v>5229</v>
      </c>
      <c r="B4905" s="0" t="s">
        <v>41</v>
      </c>
      <c r="C4905" s="0" t="str">
        <f aca="false">INDEX(Intent_Analysis!$B$5:$B$81,MATCH(B4905,Intent_Analysis!$A$5:$A$81,0))</f>
        <v>Account &amp; identity</v>
      </c>
      <c r="D4905" s="0" t="n">
        <f aca="false">INDEX(Intent_Analysis!$E$5:$E$81,MATCH(B4905,Intent_Analysis!$A$5:$A$81,0))</f>
        <v>2</v>
      </c>
    </row>
    <row r="4906" customFormat="false" ht="15" hidden="false" customHeight="false" outlineLevel="0" collapsed="false">
      <c r="A4906" s="0" t="s">
        <v>5230</v>
      </c>
      <c r="B4906" s="0" t="s">
        <v>41</v>
      </c>
      <c r="C4906" s="0" t="str">
        <f aca="false">INDEX(Intent_Analysis!$B$5:$B$81,MATCH(B4906,Intent_Analysis!$A$5:$A$81,0))</f>
        <v>Account &amp; identity</v>
      </c>
      <c r="D4906" s="0" t="n">
        <f aca="false">INDEX(Intent_Analysis!$E$5:$E$81,MATCH(B4906,Intent_Analysis!$A$5:$A$81,0))</f>
        <v>2</v>
      </c>
    </row>
    <row r="4907" customFormat="false" ht="15" hidden="false" customHeight="false" outlineLevel="0" collapsed="false">
      <c r="A4907" s="0" t="s">
        <v>5231</v>
      </c>
      <c r="B4907" s="0" t="s">
        <v>41</v>
      </c>
      <c r="C4907" s="0" t="str">
        <f aca="false">INDEX(Intent_Analysis!$B$5:$B$81,MATCH(B4907,Intent_Analysis!$A$5:$A$81,0))</f>
        <v>Account &amp; identity</v>
      </c>
      <c r="D4907" s="0" t="n">
        <f aca="false">INDEX(Intent_Analysis!$E$5:$E$81,MATCH(B4907,Intent_Analysis!$A$5:$A$81,0))</f>
        <v>2</v>
      </c>
    </row>
    <row r="4908" customFormat="false" ht="15" hidden="false" customHeight="false" outlineLevel="0" collapsed="false">
      <c r="A4908" s="0" t="s">
        <v>5232</v>
      </c>
      <c r="B4908" s="0" t="s">
        <v>41</v>
      </c>
      <c r="C4908" s="0" t="str">
        <f aca="false">INDEX(Intent_Analysis!$B$5:$B$81,MATCH(B4908,Intent_Analysis!$A$5:$A$81,0))</f>
        <v>Account &amp; identity</v>
      </c>
      <c r="D4908" s="0" t="n">
        <f aca="false">INDEX(Intent_Analysis!$E$5:$E$81,MATCH(B4908,Intent_Analysis!$A$5:$A$81,0))</f>
        <v>2</v>
      </c>
    </row>
    <row r="4909" customFormat="false" ht="15" hidden="false" customHeight="false" outlineLevel="0" collapsed="false">
      <c r="A4909" s="0" t="s">
        <v>5233</v>
      </c>
      <c r="B4909" s="0" t="s">
        <v>41</v>
      </c>
      <c r="C4909" s="0" t="str">
        <f aca="false">INDEX(Intent_Analysis!$B$5:$B$81,MATCH(B4909,Intent_Analysis!$A$5:$A$81,0))</f>
        <v>Account &amp; identity</v>
      </c>
      <c r="D4909" s="0" t="n">
        <f aca="false">INDEX(Intent_Analysis!$E$5:$E$81,MATCH(B4909,Intent_Analysis!$A$5:$A$81,0))</f>
        <v>2</v>
      </c>
    </row>
    <row r="4910" customFormat="false" ht="15" hidden="false" customHeight="false" outlineLevel="0" collapsed="false">
      <c r="A4910" s="0" t="s">
        <v>5234</v>
      </c>
      <c r="B4910" s="0" t="s">
        <v>41</v>
      </c>
      <c r="C4910" s="0" t="str">
        <f aca="false">INDEX(Intent_Analysis!$B$5:$B$81,MATCH(B4910,Intent_Analysis!$A$5:$A$81,0))</f>
        <v>Account &amp; identity</v>
      </c>
      <c r="D4910" s="0" t="n">
        <f aca="false">INDEX(Intent_Analysis!$E$5:$E$81,MATCH(B4910,Intent_Analysis!$A$5:$A$81,0))</f>
        <v>2</v>
      </c>
    </row>
    <row r="4911" customFormat="false" ht="15" hidden="false" customHeight="false" outlineLevel="0" collapsed="false">
      <c r="A4911" s="0" t="s">
        <v>5235</v>
      </c>
      <c r="B4911" s="0" t="s">
        <v>41</v>
      </c>
      <c r="C4911" s="0" t="str">
        <f aca="false">INDEX(Intent_Analysis!$B$5:$B$81,MATCH(B4911,Intent_Analysis!$A$5:$A$81,0))</f>
        <v>Account &amp; identity</v>
      </c>
      <c r="D4911" s="0" t="n">
        <f aca="false">INDEX(Intent_Analysis!$E$5:$E$81,MATCH(B4911,Intent_Analysis!$A$5:$A$81,0))</f>
        <v>2</v>
      </c>
    </row>
    <row r="4912" customFormat="false" ht="15" hidden="false" customHeight="false" outlineLevel="0" collapsed="false">
      <c r="A4912" s="0" t="s">
        <v>5236</v>
      </c>
      <c r="B4912" s="0" t="s">
        <v>41</v>
      </c>
      <c r="C4912" s="0" t="str">
        <f aca="false">INDEX(Intent_Analysis!$B$5:$B$81,MATCH(B4912,Intent_Analysis!$A$5:$A$81,0))</f>
        <v>Account &amp; identity</v>
      </c>
      <c r="D4912" s="0" t="n">
        <f aca="false">INDEX(Intent_Analysis!$E$5:$E$81,MATCH(B4912,Intent_Analysis!$A$5:$A$81,0))</f>
        <v>2</v>
      </c>
    </row>
    <row r="4913" customFormat="false" ht="15" hidden="false" customHeight="false" outlineLevel="0" collapsed="false">
      <c r="A4913" s="0" t="s">
        <v>5237</v>
      </c>
      <c r="B4913" s="0" t="s">
        <v>41</v>
      </c>
      <c r="C4913" s="0" t="str">
        <f aca="false">INDEX(Intent_Analysis!$B$5:$B$81,MATCH(B4913,Intent_Analysis!$A$5:$A$81,0))</f>
        <v>Account &amp; identity</v>
      </c>
      <c r="D4913" s="0" t="n">
        <f aca="false">INDEX(Intent_Analysis!$E$5:$E$81,MATCH(B4913,Intent_Analysis!$A$5:$A$81,0))</f>
        <v>2</v>
      </c>
    </row>
    <row r="4914" customFormat="false" ht="15" hidden="false" customHeight="false" outlineLevel="0" collapsed="false">
      <c r="A4914" s="0" t="s">
        <v>5238</v>
      </c>
      <c r="B4914" s="0" t="s">
        <v>41</v>
      </c>
      <c r="C4914" s="0" t="str">
        <f aca="false">INDEX(Intent_Analysis!$B$5:$B$81,MATCH(B4914,Intent_Analysis!$A$5:$A$81,0))</f>
        <v>Account &amp; identity</v>
      </c>
      <c r="D4914" s="0" t="n">
        <f aca="false">INDEX(Intent_Analysis!$E$5:$E$81,MATCH(B4914,Intent_Analysis!$A$5:$A$81,0))</f>
        <v>2</v>
      </c>
    </row>
    <row r="4915" customFormat="false" ht="15" hidden="false" customHeight="false" outlineLevel="0" collapsed="false">
      <c r="A4915" s="0" t="s">
        <v>5239</v>
      </c>
      <c r="B4915" s="0" t="s">
        <v>41</v>
      </c>
      <c r="C4915" s="0" t="str">
        <f aca="false">INDEX(Intent_Analysis!$B$5:$B$81,MATCH(B4915,Intent_Analysis!$A$5:$A$81,0))</f>
        <v>Account &amp; identity</v>
      </c>
      <c r="D4915" s="0" t="n">
        <f aca="false">INDEX(Intent_Analysis!$E$5:$E$81,MATCH(B4915,Intent_Analysis!$A$5:$A$81,0))</f>
        <v>2</v>
      </c>
    </row>
    <row r="4916" customFormat="false" ht="15" hidden="false" customHeight="false" outlineLevel="0" collapsed="false">
      <c r="A4916" s="0" t="s">
        <v>5240</v>
      </c>
      <c r="B4916" s="0" t="s">
        <v>41</v>
      </c>
      <c r="C4916" s="0" t="str">
        <f aca="false">INDEX(Intent_Analysis!$B$5:$B$81,MATCH(B4916,Intent_Analysis!$A$5:$A$81,0))</f>
        <v>Account &amp; identity</v>
      </c>
      <c r="D4916" s="0" t="n">
        <f aca="false">INDEX(Intent_Analysis!$E$5:$E$81,MATCH(B4916,Intent_Analysis!$A$5:$A$81,0))</f>
        <v>2</v>
      </c>
    </row>
    <row r="4917" customFormat="false" ht="15" hidden="false" customHeight="false" outlineLevel="0" collapsed="false">
      <c r="A4917" s="0" t="s">
        <v>5241</v>
      </c>
      <c r="B4917" s="0" t="s">
        <v>41</v>
      </c>
      <c r="C4917" s="0" t="str">
        <f aca="false">INDEX(Intent_Analysis!$B$5:$B$81,MATCH(B4917,Intent_Analysis!$A$5:$A$81,0))</f>
        <v>Account &amp; identity</v>
      </c>
      <c r="D4917" s="0" t="n">
        <f aca="false">INDEX(Intent_Analysis!$E$5:$E$81,MATCH(B4917,Intent_Analysis!$A$5:$A$81,0))</f>
        <v>2</v>
      </c>
    </row>
    <row r="4918" customFormat="false" ht="15" hidden="false" customHeight="false" outlineLevel="0" collapsed="false">
      <c r="A4918" s="0" t="s">
        <v>5242</v>
      </c>
      <c r="B4918" s="0" t="s">
        <v>41</v>
      </c>
      <c r="C4918" s="0" t="str">
        <f aca="false">INDEX(Intent_Analysis!$B$5:$B$81,MATCH(B4918,Intent_Analysis!$A$5:$A$81,0))</f>
        <v>Account &amp; identity</v>
      </c>
      <c r="D4918" s="0" t="n">
        <f aca="false">INDEX(Intent_Analysis!$E$5:$E$81,MATCH(B4918,Intent_Analysis!$A$5:$A$81,0))</f>
        <v>2</v>
      </c>
    </row>
    <row r="4919" customFormat="false" ht="15" hidden="false" customHeight="false" outlineLevel="0" collapsed="false">
      <c r="A4919" s="0" t="s">
        <v>5243</v>
      </c>
      <c r="B4919" s="0" t="s">
        <v>41</v>
      </c>
      <c r="C4919" s="0" t="str">
        <f aca="false">INDEX(Intent_Analysis!$B$5:$B$81,MATCH(B4919,Intent_Analysis!$A$5:$A$81,0))</f>
        <v>Account &amp; identity</v>
      </c>
      <c r="D4919" s="0" t="n">
        <f aca="false">INDEX(Intent_Analysis!$E$5:$E$81,MATCH(B4919,Intent_Analysis!$A$5:$A$81,0))</f>
        <v>2</v>
      </c>
    </row>
    <row r="4920" customFormat="false" ht="15" hidden="false" customHeight="false" outlineLevel="0" collapsed="false">
      <c r="A4920" s="0" t="s">
        <v>5244</v>
      </c>
      <c r="B4920" s="0" t="s">
        <v>41</v>
      </c>
      <c r="C4920" s="0" t="str">
        <f aca="false">INDEX(Intent_Analysis!$B$5:$B$81,MATCH(B4920,Intent_Analysis!$A$5:$A$81,0))</f>
        <v>Account &amp; identity</v>
      </c>
      <c r="D4920" s="0" t="n">
        <f aca="false">INDEX(Intent_Analysis!$E$5:$E$81,MATCH(B4920,Intent_Analysis!$A$5:$A$81,0))</f>
        <v>2</v>
      </c>
    </row>
    <row r="4921" customFormat="false" ht="15" hidden="false" customHeight="false" outlineLevel="0" collapsed="false">
      <c r="A4921" s="0" t="s">
        <v>5245</v>
      </c>
      <c r="B4921" s="0" t="s">
        <v>78</v>
      </c>
      <c r="C4921" s="0" t="str">
        <f aca="false">INDEX(Intent_Analysis!$B$5:$B$81,MATCH(B4921,Intent_Analysis!$A$5:$A$81,0))</f>
        <v>Cash, ATM &amp; deposits</v>
      </c>
      <c r="D4921" s="0" t="n">
        <f aca="false">INDEX(Intent_Analysis!$E$5:$E$81,MATCH(B4921,Intent_Analysis!$A$5:$A$81,0))</f>
        <v>2</v>
      </c>
    </row>
    <row r="4922" customFormat="false" ht="15" hidden="false" customHeight="false" outlineLevel="0" collapsed="false">
      <c r="A4922" s="0" t="s">
        <v>5246</v>
      </c>
      <c r="B4922" s="0" t="s">
        <v>78</v>
      </c>
      <c r="C4922" s="0" t="str">
        <f aca="false">INDEX(Intent_Analysis!$B$5:$B$81,MATCH(B4922,Intent_Analysis!$A$5:$A$81,0))</f>
        <v>Cash, ATM &amp; deposits</v>
      </c>
      <c r="D4922" s="0" t="n">
        <f aca="false">INDEX(Intent_Analysis!$E$5:$E$81,MATCH(B4922,Intent_Analysis!$A$5:$A$81,0))</f>
        <v>2</v>
      </c>
    </row>
    <row r="4923" customFormat="false" ht="15" hidden="false" customHeight="false" outlineLevel="0" collapsed="false">
      <c r="A4923" s="0" t="s">
        <v>5247</v>
      </c>
      <c r="B4923" s="0" t="s">
        <v>78</v>
      </c>
      <c r="C4923" s="0" t="str">
        <f aca="false">INDEX(Intent_Analysis!$B$5:$B$81,MATCH(B4923,Intent_Analysis!$A$5:$A$81,0))</f>
        <v>Cash, ATM &amp; deposits</v>
      </c>
      <c r="D4923" s="0" t="n">
        <f aca="false">INDEX(Intent_Analysis!$E$5:$E$81,MATCH(B4923,Intent_Analysis!$A$5:$A$81,0))</f>
        <v>2</v>
      </c>
    </row>
    <row r="4924" customFormat="false" ht="15" hidden="false" customHeight="false" outlineLevel="0" collapsed="false">
      <c r="A4924" s="0" t="s">
        <v>5248</v>
      </c>
      <c r="B4924" s="0" t="s">
        <v>78</v>
      </c>
      <c r="C4924" s="0" t="str">
        <f aca="false">INDEX(Intent_Analysis!$B$5:$B$81,MATCH(B4924,Intent_Analysis!$A$5:$A$81,0))</f>
        <v>Cash, ATM &amp; deposits</v>
      </c>
      <c r="D4924" s="0" t="n">
        <f aca="false">INDEX(Intent_Analysis!$E$5:$E$81,MATCH(B4924,Intent_Analysis!$A$5:$A$81,0))</f>
        <v>2</v>
      </c>
    </row>
    <row r="4925" customFormat="false" ht="15" hidden="false" customHeight="false" outlineLevel="0" collapsed="false">
      <c r="A4925" s="0" t="s">
        <v>5249</v>
      </c>
      <c r="B4925" s="0" t="s">
        <v>78</v>
      </c>
      <c r="C4925" s="0" t="str">
        <f aca="false">INDEX(Intent_Analysis!$B$5:$B$81,MATCH(B4925,Intent_Analysis!$A$5:$A$81,0))</f>
        <v>Cash, ATM &amp; deposits</v>
      </c>
      <c r="D4925" s="0" t="n">
        <f aca="false">INDEX(Intent_Analysis!$E$5:$E$81,MATCH(B4925,Intent_Analysis!$A$5:$A$81,0))</f>
        <v>2</v>
      </c>
    </row>
    <row r="4926" customFormat="false" ht="15" hidden="false" customHeight="false" outlineLevel="0" collapsed="false">
      <c r="A4926" s="0" t="s">
        <v>5250</v>
      </c>
      <c r="B4926" s="0" t="s">
        <v>78</v>
      </c>
      <c r="C4926" s="0" t="str">
        <f aca="false">INDEX(Intent_Analysis!$B$5:$B$81,MATCH(B4926,Intent_Analysis!$A$5:$A$81,0))</f>
        <v>Cash, ATM &amp; deposits</v>
      </c>
      <c r="D4926" s="0" t="n">
        <f aca="false">INDEX(Intent_Analysis!$E$5:$E$81,MATCH(B4926,Intent_Analysis!$A$5:$A$81,0))</f>
        <v>2</v>
      </c>
    </row>
    <row r="4927" customFormat="false" ht="15" hidden="false" customHeight="false" outlineLevel="0" collapsed="false">
      <c r="A4927" s="0" t="s">
        <v>5251</v>
      </c>
      <c r="B4927" s="0" t="s">
        <v>78</v>
      </c>
      <c r="C4927" s="0" t="str">
        <f aca="false">INDEX(Intent_Analysis!$B$5:$B$81,MATCH(B4927,Intent_Analysis!$A$5:$A$81,0))</f>
        <v>Cash, ATM &amp; deposits</v>
      </c>
      <c r="D4927" s="0" t="n">
        <f aca="false">INDEX(Intent_Analysis!$E$5:$E$81,MATCH(B4927,Intent_Analysis!$A$5:$A$81,0))</f>
        <v>2</v>
      </c>
    </row>
    <row r="4928" customFormat="false" ht="15" hidden="false" customHeight="false" outlineLevel="0" collapsed="false">
      <c r="A4928" s="0" t="s">
        <v>5252</v>
      </c>
      <c r="B4928" s="0" t="s">
        <v>78</v>
      </c>
      <c r="C4928" s="0" t="str">
        <f aca="false">INDEX(Intent_Analysis!$B$5:$B$81,MATCH(B4928,Intent_Analysis!$A$5:$A$81,0))</f>
        <v>Cash, ATM &amp; deposits</v>
      </c>
      <c r="D4928" s="0" t="n">
        <f aca="false">INDEX(Intent_Analysis!$E$5:$E$81,MATCH(B4928,Intent_Analysis!$A$5:$A$81,0))</f>
        <v>2</v>
      </c>
    </row>
    <row r="4929" customFormat="false" ht="15" hidden="false" customHeight="false" outlineLevel="0" collapsed="false">
      <c r="A4929" s="0" t="s">
        <v>5253</v>
      </c>
      <c r="B4929" s="0" t="s">
        <v>78</v>
      </c>
      <c r="C4929" s="0" t="str">
        <f aca="false">INDEX(Intent_Analysis!$B$5:$B$81,MATCH(B4929,Intent_Analysis!$A$5:$A$81,0))</f>
        <v>Cash, ATM &amp; deposits</v>
      </c>
      <c r="D4929" s="0" t="n">
        <f aca="false">INDEX(Intent_Analysis!$E$5:$E$81,MATCH(B4929,Intent_Analysis!$A$5:$A$81,0))</f>
        <v>2</v>
      </c>
    </row>
    <row r="4930" customFormat="false" ht="15" hidden="false" customHeight="false" outlineLevel="0" collapsed="false">
      <c r="A4930" s="0" t="s">
        <v>5254</v>
      </c>
      <c r="B4930" s="0" t="s">
        <v>78</v>
      </c>
      <c r="C4930" s="0" t="str">
        <f aca="false">INDEX(Intent_Analysis!$B$5:$B$81,MATCH(B4930,Intent_Analysis!$A$5:$A$81,0))</f>
        <v>Cash, ATM &amp; deposits</v>
      </c>
      <c r="D4930" s="0" t="n">
        <f aca="false">INDEX(Intent_Analysis!$E$5:$E$81,MATCH(B4930,Intent_Analysis!$A$5:$A$81,0))</f>
        <v>2</v>
      </c>
    </row>
    <row r="4931" customFormat="false" ht="15" hidden="false" customHeight="false" outlineLevel="0" collapsed="false">
      <c r="A4931" s="0" t="s">
        <v>5255</v>
      </c>
      <c r="B4931" s="0" t="s">
        <v>78</v>
      </c>
      <c r="C4931" s="0" t="str">
        <f aca="false">INDEX(Intent_Analysis!$B$5:$B$81,MATCH(B4931,Intent_Analysis!$A$5:$A$81,0))</f>
        <v>Cash, ATM &amp; deposits</v>
      </c>
      <c r="D4931" s="0" t="n">
        <f aca="false">INDEX(Intent_Analysis!$E$5:$E$81,MATCH(B4931,Intent_Analysis!$A$5:$A$81,0))</f>
        <v>2</v>
      </c>
    </row>
    <row r="4932" customFormat="false" ht="15" hidden="false" customHeight="false" outlineLevel="0" collapsed="false">
      <c r="A4932" s="0" t="s">
        <v>5256</v>
      </c>
      <c r="B4932" s="0" t="s">
        <v>78</v>
      </c>
      <c r="C4932" s="0" t="str">
        <f aca="false">INDEX(Intent_Analysis!$B$5:$B$81,MATCH(B4932,Intent_Analysis!$A$5:$A$81,0))</f>
        <v>Cash, ATM &amp; deposits</v>
      </c>
      <c r="D4932" s="0" t="n">
        <f aca="false">INDEX(Intent_Analysis!$E$5:$E$81,MATCH(B4932,Intent_Analysis!$A$5:$A$81,0))</f>
        <v>2</v>
      </c>
    </row>
    <row r="4933" customFormat="false" ht="15" hidden="false" customHeight="false" outlineLevel="0" collapsed="false">
      <c r="A4933" s="0" t="s">
        <v>5257</v>
      </c>
      <c r="B4933" s="0" t="s">
        <v>78</v>
      </c>
      <c r="C4933" s="0" t="str">
        <f aca="false">INDEX(Intent_Analysis!$B$5:$B$81,MATCH(B4933,Intent_Analysis!$A$5:$A$81,0))</f>
        <v>Cash, ATM &amp; deposits</v>
      </c>
      <c r="D4933" s="0" t="n">
        <f aca="false">INDEX(Intent_Analysis!$E$5:$E$81,MATCH(B4933,Intent_Analysis!$A$5:$A$81,0))</f>
        <v>2</v>
      </c>
    </row>
    <row r="4934" customFormat="false" ht="15" hidden="false" customHeight="false" outlineLevel="0" collapsed="false">
      <c r="A4934" s="0" t="s">
        <v>5258</v>
      </c>
      <c r="B4934" s="0" t="s">
        <v>78</v>
      </c>
      <c r="C4934" s="0" t="str">
        <f aca="false">INDEX(Intent_Analysis!$B$5:$B$81,MATCH(B4934,Intent_Analysis!$A$5:$A$81,0))</f>
        <v>Cash, ATM &amp; deposits</v>
      </c>
      <c r="D4934" s="0" t="n">
        <f aca="false">INDEX(Intent_Analysis!$E$5:$E$81,MATCH(B4934,Intent_Analysis!$A$5:$A$81,0))</f>
        <v>2</v>
      </c>
    </row>
    <row r="4935" customFormat="false" ht="15" hidden="false" customHeight="false" outlineLevel="0" collapsed="false">
      <c r="A4935" s="0" t="s">
        <v>5259</v>
      </c>
      <c r="B4935" s="0" t="s">
        <v>78</v>
      </c>
      <c r="C4935" s="0" t="str">
        <f aca="false">INDEX(Intent_Analysis!$B$5:$B$81,MATCH(B4935,Intent_Analysis!$A$5:$A$81,0))</f>
        <v>Cash, ATM &amp; deposits</v>
      </c>
      <c r="D4935" s="0" t="n">
        <f aca="false">INDEX(Intent_Analysis!$E$5:$E$81,MATCH(B4935,Intent_Analysis!$A$5:$A$81,0))</f>
        <v>2</v>
      </c>
    </row>
    <row r="4936" customFormat="false" ht="15" hidden="false" customHeight="false" outlineLevel="0" collapsed="false">
      <c r="A4936" s="0" t="s">
        <v>5260</v>
      </c>
      <c r="B4936" s="0" t="s">
        <v>78</v>
      </c>
      <c r="C4936" s="0" t="str">
        <f aca="false">INDEX(Intent_Analysis!$B$5:$B$81,MATCH(B4936,Intent_Analysis!$A$5:$A$81,0))</f>
        <v>Cash, ATM &amp; deposits</v>
      </c>
      <c r="D4936" s="0" t="n">
        <f aca="false">INDEX(Intent_Analysis!$E$5:$E$81,MATCH(B4936,Intent_Analysis!$A$5:$A$81,0))</f>
        <v>2</v>
      </c>
    </row>
    <row r="4937" customFormat="false" ht="15" hidden="false" customHeight="false" outlineLevel="0" collapsed="false">
      <c r="A4937" s="0" t="s">
        <v>5261</v>
      </c>
      <c r="B4937" s="0" t="s">
        <v>78</v>
      </c>
      <c r="C4937" s="0" t="str">
        <f aca="false">INDEX(Intent_Analysis!$B$5:$B$81,MATCH(B4937,Intent_Analysis!$A$5:$A$81,0))</f>
        <v>Cash, ATM &amp; deposits</v>
      </c>
      <c r="D4937" s="0" t="n">
        <f aca="false">INDEX(Intent_Analysis!$E$5:$E$81,MATCH(B4937,Intent_Analysis!$A$5:$A$81,0))</f>
        <v>2</v>
      </c>
    </row>
    <row r="4938" customFormat="false" ht="15" hidden="false" customHeight="false" outlineLevel="0" collapsed="false">
      <c r="A4938" s="0" t="s">
        <v>5262</v>
      </c>
      <c r="B4938" s="0" t="s">
        <v>78</v>
      </c>
      <c r="C4938" s="0" t="str">
        <f aca="false">INDEX(Intent_Analysis!$B$5:$B$81,MATCH(B4938,Intent_Analysis!$A$5:$A$81,0))</f>
        <v>Cash, ATM &amp; deposits</v>
      </c>
      <c r="D4938" s="0" t="n">
        <f aca="false">INDEX(Intent_Analysis!$E$5:$E$81,MATCH(B4938,Intent_Analysis!$A$5:$A$81,0))</f>
        <v>2</v>
      </c>
    </row>
    <row r="4939" customFormat="false" ht="15" hidden="false" customHeight="false" outlineLevel="0" collapsed="false">
      <c r="A4939" s="0" t="s">
        <v>5263</v>
      </c>
      <c r="B4939" s="0" t="s">
        <v>78</v>
      </c>
      <c r="C4939" s="0" t="str">
        <f aca="false">INDEX(Intent_Analysis!$B$5:$B$81,MATCH(B4939,Intent_Analysis!$A$5:$A$81,0))</f>
        <v>Cash, ATM &amp; deposits</v>
      </c>
      <c r="D4939" s="0" t="n">
        <f aca="false">INDEX(Intent_Analysis!$E$5:$E$81,MATCH(B4939,Intent_Analysis!$A$5:$A$81,0))</f>
        <v>2</v>
      </c>
    </row>
    <row r="4940" customFormat="false" ht="15" hidden="false" customHeight="false" outlineLevel="0" collapsed="false">
      <c r="A4940" s="0" t="s">
        <v>5264</v>
      </c>
      <c r="B4940" s="0" t="s">
        <v>78</v>
      </c>
      <c r="C4940" s="0" t="str">
        <f aca="false">INDEX(Intent_Analysis!$B$5:$B$81,MATCH(B4940,Intent_Analysis!$A$5:$A$81,0))</f>
        <v>Cash, ATM &amp; deposits</v>
      </c>
      <c r="D4940" s="0" t="n">
        <f aca="false">INDEX(Intent_Analysis!$E$5:$E$81,MATCH(B4940,Intent_Analysis!$A$5:$A$81,0))</f>
        <v>2</v>
      </c>
    </row>
    <row r="4941" customFormat="false" ht="15" hidden="false" customHeight="false" outlineLevel="0" collapsed="false">
      <c r="A4941" s="0" t="s">
        <v>5265</v>
      </c>
      <c r="B4941" s="0" t="s">
        <v>78</v>
      </c>
      <c r="C4941" s="0" t="str">
        <f aca="false">INDEX(Intent_Analysis!$B$5:$B$81,MATCH(B4941,Intent_Analysis!$A$5:$A$81,0))</f>
        <v>Cash, ATM &amp; deposits</v>
      </c>
      <c r="D4941" s="0" t="n">
        <f aca="false">INDEX(Intent_Analysis!$E$5:$E$81,MATCH(B4941,Intent_Analysis!$A$5:$A$81,0))</f>
        <v>2</v>
      </c>
    </row>
    <row r="4942" customFormat="false" ht="15" hidden="false" customHeight="false" outlineLevel="0" collapsed="false">
      <c r="A4942" s="0" t="s">
        <v>5266</v>
      </c>
      <c r="B4942" s="0" t="s">
        <v>78</v>
      </c>
      <c r="C4942" s="0" t="str">
        <f aca="false">INDEX(Intent_Analysis!$B$5:$B$81,MATCH(B4942,Intent_Analysis!$A$5:$A$81,0))</f>
        <v>Cash, ATM &amp; deposits</v>
      </c>
      <c r="D4942" s="0" t="n">
        <f aca="false">INDEX(Intent_Analysis!$E$5:$E$81,MATCH(B4942,Intent_Analysis!$A$5:$A$81,0))</f>
        <v>2</v>
      </c>
    </row>
    <row r="4943" customFormat="false" ht="15" hidden="false" customHeight="false" outlineLevel="0" collapsed="false">
      <c r="A4943" s="0" t="s">
        <v>5267</v>
      </c>
      <c r="B4943" s="0" t="s">
        <v>78</v>
      </c>
      <c r="C4943" s="0" t="str">
        <f aca="false">INDEX(Intent_Analysis!$B$5:$B$81,MATCH(B4943,Intent_Analysis!$A$5:$A$81,0))</f>
        <v>Cash, ATM &amp; deposits</v>
      </c>
      <c r="D4943" s="0" t="n">
        <f aca="false">INDEX(Intent_Analysis!$E$5:$E$81,MATCH(B4943,Intent_Analysis!$A$5:$A$81,0))</f>
        <v>2</v>
      </c>
    </row>
    <row r="4944" customFormat="false" ht="15" hidden="false" customHeight="false" outlineLevel="0" collapsed="false">
      <c r="A4944" s="0" t="s">
        <v>5268</v>
      </c>
      <c r="B4944" s="0" t="s">
        <v>78</v>
      </c>
      <c r="C4944" s="0" t="str">
        <f aca="false">INDEX(Intent_Analysis!$B$5:$B$81,MATCH(B4944,Intent_Analysis!$A$5:$A$81,0))</f>
        <v>Cash, ATM &amp; deposits</v>
      </c>
      <c r="D4944" s="0" t="n">
        <f aca="false">INDEX(Intent_Analysis!$E$5:$E$81,MATCH(B4944,Intent_Analysis!$A$5:$A$81,0))</f>
        <v>2</v>
      </c>
    </row>
    <row r="4945" customFormat="false" ht="15" hidden="false" customHeight="false" outlineLevel="0" collapsed="false">
      <c r="A4945" s="0" t="s">
        <v>5269</v>
      </c>
      <c r="B4945" s="0" t="s">
        <v>78</v>
      </c>
      <c r="C4945" s="0" t="str">
        <f aca="false">INDEX(Intent_Analysis!$B$5:$B$81,MATCH(B4945,Intent_Analysis!$A$5:$A$81,0))</f>
        <v>Cash, ATM &amp; deposits</v>
      </c>
      <c r="D4945" s="0" t="n">
        <f aca="false">INDEX(Intent_Analysis!$E$5:$E$81,MATCH(B4945,Intent_Analysis!$A$5:$A$81,0))</f>
        <v>2</v>
      </c>
    </row>
    <row r="4946" customFormat="false" ht="15" hidden="false" customHeight="false" outlineLevel="0" collapsed="false">
      <c r="A4946" s="0" t="s">
        <v>5270</v>
      </c>
      <c r="B4946" s="0" t="s">
        <v>78</v>
      </c>
      <c r="C4946" s="0" t="str">
        <f aca="false">INDEX(Intent_Analysis!$B$5:$B$81,MATCH(B4946,Intent_Analysis!$A$5:$A$81,0))</f>
        <v>Cash, ATM &amp; deposits</v>
      </c>
      <c r="D4946" s="0" t="n">
        <f aca="false">INDEX(Intent_Analysis!$E$5:$E$81,MATCH(B4946,Intent_Analysis!$A$5:$A$81,0))</f>
        <v>2</v>
      </c>
    </row>
    <row r="4947" customFormat="false" ht="15" hidden="false" customHeight="false" outlineLevel="0" collapsed="false">
      <c r="A4947" s="0" t="s">
        <v>5271</v>
      </c>
      <c r="B4947" s="0" t="s">
        <v>78</v>
      </c>
      <c r="C4947" s="0" t="str">
        <f aca="false">INDEX(Intent_Analysis!$B$5:$B$81,MATCH(B4947,Intent_Analysis!$A$5:$A$81,0))</f>
        <v>Cash, ATM &amp; deposits</v>
      </c>
      <c r="D4947" s="0" t="n">
        <f aca="false">INDEX(Intent_Analysis!$E$5:$E$81,MATCH(B4947,Intent_Analysis!$A$5:$A$81,0))</f>
        <v>2</v>
      </c>
    </row>
    <row r="4948" customFormat="false" ht="15" hidden="false" customHeight="false" outlineLevel="0" collapsed="false">
      <c r="A4948" s="0" t="s">
        <v>5272</v>
      </c>
      <c r="B4948" s="0" t="s">
        <v>78</v>
      </c>
      <c r="C4948" s="0" t="str">
        <f aca="false">INDEX(Intent_Analysis!$B$5:$B$81,MATCH(B4948,Intent_Analysis!$A$5:$A$81,0))</f>
        <v>Cash, ATM &amp; deposits</v>
      </c>
      <c r="D4948" s="0" t="n">
        <f aca="false">INDEX(Intent_Analysis!$E$5:$E$81,MATCH(B4948,Intent_Analysis!$A$5:$A$81,0))</f>
        <v>2</v>
      </c>
    </row>
    <row r="4949" customFormat="false" ht="15" hidden="false" customHeight="false" outlineLevel="0" collapsed="false">
      <c r="A4949" s="0" t="s">
        <v>5273</v>
      </c>
      <c r="B4949" s="0" t="s">
        <v>78</v>
      </c>
      <c r="C4949" s="0" t="str">
        <f aca="false">INDEX(Intent_Analysis!$B$5:$B$81,MATCH(B4949,Intent_Analysis!$A$5:$A$81,0))</f>
        <v>Cash, ATM &amp; deposits</v>
      </c>
      <c r="D4949" s="0" t="n">
        <f aca="false">INDEX(Intent_Analysis!$E$5:$E$81,MATCH(B4949,Intent_Analysis!$A$5:$A$81,0))</f>
        <v>2</v>
      </c>
    </row>
    <row r="4950" customFormat="false" ht="15" hidden="false" customHeight="false" outlineLevel="0" collapsed="false">
      <c r="A4950" s="0" t="s">
        <v>5274</v>
      </c>
      <c r="B4950" s="0" t="s">
        <v>78</v>
      </c>
      <c r="C4950" s="0" t="str">
        <f aca="false">INDEX(Intent_Analysis!$B$5:$B$81,MATCH(B4950,Intent_Analysis!$A$5:$A$81,0))</f>
        <v>Cash, ATM &amp; deposits</v>
      </c>
      <c r="D4950" s="0" t="n">
        <f aca="false">INDEX(Intent_Analysis!$E$5:$E$81,MATCH(B4950,Intent_Analysis!$A$5:$A$81,0))</f>
        <v>2</v>
      </c>
    </row>
    <row r="4951" customFormat="false" ht="15" hidden="false" customHeight="false" outlineLevel="0" collapsed="false">
      <c r="A4951" s="0" t="s">
        <v>5275</v>
      </c>
      <c r="B4951" s="0" t="s">
        <v>78</v>
      </c>
      <c r="C4951" s="0" t="str">
        <f aca="false">INDEX(Intent_Analysis!$B$5:$B$81,MATCH(B4951,Intent_Analysis!$A$5:$A$81,0))</f>
        <v>Cash, ATM &amp; deposits</v>
      </c>
      <c r="D4951" s="0" t="n">
        <f aca="false">INDEX(Intent_Analysis!$E$5:$E$81,MATCH(B4951,Intent_Analysis!$A$5:$A$81,0))</f>
        <v>2</v>
      </c>
    </row>
    <row r="4952" customFormat="false" ht="15" hidden="false" customHeight="false" outlineLevel="0" collapsed="false">
      <c r="A4952" s="0" t="s">
        <v>5276</v>
      </c>
      <c r="B4952" s="0" t="s">
        <v>78</v>
      </c>
      <c r="C4952" s="0" t="str">
        <f aca="false">INDEX(Intent_Analysis!$B$5:$B$81,MATCH(B4952,Intent_Analysis!$A$5:$A$81,0))</f>
        <v>Cash, ATM &amp; deposits</v>
      </c>
      <c r="D4952" s="0" t="n">
        <f aca="false">INDEX(Intent_Analysis!$E$5:$E$81,MATCH(B4952,Intent_Analysis!$A$5:$A$81,0))</f>
        <v>2</v>
      </c>
    </row>
    <row r="4953" customFormat="false" ht="15" hidden="false" customHeight="false" outlineLevel="0" collapsed="false">
      <c r="A4953" s="0" t="s">
        <v>5277</v>
      </c>
      <c r="B4953" s="0" t="s">
        <v>78</v>
      </c>
      <c r="C4953" s="0" t="str">
        <f aca="false">INDEX(Intent_Analysis!$B$5:$B$81,MATCH(B4953,Intent_Analysis!$A$5:$A$81,0))</f>
        <v>Cash, ATM &amp; deposits</v>
      </c>
      <c r="D4953" s="0" t="n">
        <f aca="false">INDEX(Intent_Analysis!$E$5:$E$81,MATCH(B4953,Intent_Analysis!$A$5:$A$81,0))</f>
        <v>2</v>
      </c>
    </row>
    <row r="4954" customFormat="false" ht="15" hidden="false" customHeight="false" outlineLevel="0" collapsed="false">
      <c r="A4954" s="0" t="s">
        <v>5278</v>
      </c>
      <c r="B4954" s="0" t="s">
        <v>78</v>
      </c>
      <c r="C4954" s="0" t="str">
        <f aca="false">INDEX(Intent_Analysis!$B$5:$B$81,MATCH(B4954,Intent_Analysis!$A$5:$A$81,0))</f>
        <v>Cash, ATM &amp; deposits</v>
      </c>
      <c r="D4954" s="0" t="n">
        <f aca="false">INDEX(Intent_Analysis!$E$5:$E$81,MATCH(B4954,Intent_Analysis!$A$5:$A$81,0))</f>
        <v>2</v>
      </c>
    </row>
    <row r="4955" customFormat="false" ht="15" hidden="false" customHeight="false" outlineLevel="0" collapsed="false">
      <c r="A4955" s="0" t="s">
        <v>5279</v>
      </c>
      <c r="B4955" s="0" t="s">
        <v>78</v>
      </c>
      <c r="C4955" s="0" t="str">
        <f aca="false">INDEX(Intent_Analysis!$B$5:$B$81,MATCH(B4955,Intent_Analysis!$A$5:$A$81,0))</f>
        <v>Cash, ATM &amp; deposits</v>
      </c>
      <c r="D4955" s="0" t="n">
        <f aca="false">INDEX(Intent_Analysis!$E$5:$E$81,MATCH(B4955,Intent_Analysis!$A$5:$A$81,0))</f>
        <v>2</v>
      </c>
    </row>
    <row r="4956" customFormat="false" ht="15" hidden="false" customHeight="false" outlineLevel="0" collapsed="false">
      <c r="A4956" s="0" t="s">
        <v>5280</v>
      </c>
      <c r="B4956" s="0" t="s">
        <v>78</v>
      </c>
      <c r="C4956" s="0" t="str">
        <f aca="false">INDEX(Intent_Analysis!$B$5:$B$81,MATCH(B4956,Intent_Analysis!$A$5:$A$81,0))</f>
        <v>Cash, ATM &amp; deposits</v>
      </c>
      <c r="D4956" s="0" t="n">
        <f aca="false">INDEX(Intent_Analysis!$E$5:$E$81,MATCH(B4956,Intent_Analysis!$A$5:$A$81,0))</f>
        <v>2</v>
      </c>
    </row>
    <row r="4957" customFormat="false" ht="15" hidden="false" customHeight="false" outlineLevel="0" collapsed="false">
      <c r="A4957" s="0" t="s">
        <v>5281</v>
      </c>
      <c r="B4957" s="0" t="s">
        <v>78</v>
      </c>
      <c r="C4957" s="0" t="str">
        <f aca="false">INDEX(Intent_Analysis!$B$5:$B$81,MATCH(B4957,Intent_Analysis!$A$5:$A$81,0))</f>
        <v>Cash, ATM &amp; deposits</v>
      </c>
      <c r="D4957" s="0" t="n">
        <f aca="false">INDEX(Intent_Analysis!$E$5:$E$81,MATCH(B4957,Intent_Analysis!$A$5:$A$81,0))</f>
        <v>2</v>
      </c>
    </row>
    <row r="4958" customFormat="false" ht="15" hidden="false" customHeight="false" outlineLevel="0" collapsed="false">
      <c r="A4958" s="0" t="s">
        <v>5282</v>
      </c>
      <c r="B4958" s="0" t="s">
        <v>78</v>
      </c>
      <c r="C4958" s="0" t="str">
        <f aca="false">INDEX(Intent_Analysis!$B$5:$B$81,MATCH(B4958,Intent_Analysis!$A$5:$A$81,0))</f>
        <v>Cash, ATM &amp; deposits</v>
      </c>
      <c r="D4958" s="0" t="n">
        <f aca="false">INDEX(Intent_Analysis!$E$5:$E$81,MATCH(B4958,Intent_Analysis!$A$5:$A$81,0))</f>
        <v>2</v>
      </c>
    </row>
    <row r="4959" customFormat="false" ht="15" hidden="false" customHeight="false" outlineLevel="0" collapsed="false">
      <c r="A4959" s="0" t="s">
        <v>5283</v>
      </c>
      <c r="B4959" s="0" t="s">
        <v>78</v>
      </c>
      <c r="C4959" s="0" t="str">
        <f aca="false">INDEX(Intent_Analysis!$B$5:$B$81,MATCH(B4959,Intent_Analysis!$A$5:$A$81,0))</f>
        <v>Cash, ATM &amp; deposits</v>
      </c>
      <c r="D4959" s="0" t="n">
        <f aca="false">INDEX(Intent_Analysis!$E$5:$E$81,MATCH(B4959,Intent_Analysis!$A$5:$A$81,0))</f>
        <v>2</v>
      </c>
    </row>
    <row r="4960" customFormat="false" ht="15" hidden="false" customHeight="false" outlineLevel="0" collapsed="false">
      <c r="A4960" s="0" t="s">
        <v>5284</v>
      </c>
      <c r="B4960" s="0" t="s">
        <v>78</v>
      </c>
      <c r="C4960" s="0" t="str">
        <f aca="false">INDEX(Intent_Analysis!$B$5:$B$81,MATCH(B4960,Intent_Analysis!$A$5:$A$81,0))</f>
        <v>Cash, ATM &amp; deposits</v>
      </c>
      <c r="D4960" s="0" t="n">
        <f aca="false">INDEX(Intent_Analysis!$E$5:$E$81,MATCH(B4960,Intent_Analysis!$A$5:$A$81,0))</f>
        <v>2</v>
      </c>
    </row>
    <row r="4961" customFormat="false" ht="15" hidden="false" customHeight="false" outlineLevel="0" collapsed="false">
      <c r="A4961" s="0" t="s">
        <v>5285</v>
      </c>
      <c r="B4961" s="0" t="s">
        <v>78</v>
      </c>
      <c r="C4961" s="0" t="str">
        <f aca="false">INDEX(Intent_Analysis!$B$5:$B$81,MATCH(B4961,Intent_Analysis!$A$5:$A$81,0))</f>
        <v>Cash, ATM &amp; deposits</v>
      </c>
      <c r="D4961" s="0" t="n">
        <f aca="false">INDEX(Intent_Analysis!$E$5:$E$81,MATCH(B4961,Intent_Analysis!$A$5:$A$81,0))</f>
        <v>2</v>
      </c>
    </row>
    <row r="4962" customFormat="false" ht="15" hidden="false" customHeight="false" outlineLevel="0" collapsed="false">
      <c r="A4962" s="0" t="s">
        <v>5286</v>
      </c>
      <c r="B4962" s="0" t="s">
        <v>78</v>
      </c>
      <c r="C4962" s="0" t="str">
        <f aca="false">INDEX(Intent_Analysis!$B$5:$B$81,MATCH(B4962,Intent_Analysis!$A$5:$A$81,0))</f>
        <v>Cash, ATM &amp; deposits</v>
      </c>
      <c r="D4962" s="0" t="n">
        <f aca="false">INDEX(Intent_Analysis!$E$5:$E$81,MATCH(B4962,Intent_Analysis!$A$5:$A$81,0))</f>
        <v>2</v>
      </c>
    </row>
    <row r="4963" customFormat="false" ht="15" hidden="false" customHeight="false" outlineLevel="0" collapsed="false">
      <c r="A4963" s="0" t="s">
        <v>5287</v>
      </c>
      <c r="B4963" s="0" t="s">
        <v>78</v>
      </c>
      <c r="C4963" s="0" t="str">
        <f aca="false">INDEX(Intent_Analysis!$B$5:$B$81,MATCH(B4963,Intent_Analysis!$A$5:$A$81,0))</f>
        <v>Cash, ATM &amp; deposits</v>
      </c>
      <c r="D4963" s="0" t="n">
        <f aca="false">INDEX(Intent_Analysis!$E$5:$E$81,MATCH(B4963,Intent_Analysis!$A$5:$A$81,0))</f>
        <v>2</v>
      </c>
    </row>
    <row r="4964" customFormat="false" ht="15" hidden="false" customHeight="false" outlineLevel="0" collapsed="false">
      <c r="A4964" s="0" t="s">
        <v>5288</v>
      </c>
      <c r="B4964" s="0" t="s">
        <v>78</v>
      </c>
      <c r="C4964" s="0" t="str">
        <f aca="false">INDEX(Intent_Analysis!$B$5:$B$81,MATCH(B4964,Intent_Analysis!$A$5:$A$81,0))</f>
        <v>Cash, ATM &amp; deposits</v>
      </c>
      <c r="D4964" s="0" t="n">
        <f aca="false">INDEX(Intent_Analysis!$E$5:$E$81,MATCH(B4964,Intent_Analysis!$A$5:$A$81,0))</f>
        <v>2</v>
      </c>
    </row>
    <row r="4965" customFormat="false" ht="15" hidden="false" customHeight="false" outlineLevel="0" collapsed="false">
      <c r="A4965" s="0" t="s">
        <v>5289</v>
      </c>
      <c r="B4965" s="0" t="s">
        <v>78</v>
      </c>
      <c r="C4965" s="0" t="str">
        <f aca="false">INDEX(Intent_Analysis!$B$5:$B$81,MATCH(B4965,Intent_Analysis!$A$5:$A$81,0))</f>
        <v>Cash, ATM &amp; deposits</v>
      </c>
      <c r="D4965" s="0" t="n">
        <f aca="false">INDEX(Intent_Analysis!$E$5:$E$81,MATCH(B4965,Intent_Analysis!$A$5:$A$81,0))</f>
        <v>2</v>
      </c>
    </row>
    <row r="4966" customFormat="false" ht="15" hidden="false" customHeight="false" outlineLevel="0" collapsed="false">
      <c r="A4966" s="0" t="s">
        <v>5290</v>
      </c>
      <c r="B4966" s="0" t="s">
        <v>78</v>
      </c>
      <c r="C4966" s="0" t="str">
        <f aca="false">INDEX(Intent_Analysis!$B$5:$B$81,MATCH(B4966,Intent_Analysis!$A$5:$A$81,0))</f>
        <v>Cash, ATM &amp; deposits</v>
      </c>
      <c r="D4966" s="0" t="n">
        <f aca="false">INDEX(Intent_Analysis!$E$5:$E$81,MATCH(B4966,Intent_Analysis!$A$5:$A$81,0))</f>
        <v>2</v>
      </c>
    </row>
    <row r="4967" customFormat="false" ht="15" hidden="false" customHeight="false" outlineLevel="0" collapsed="false">
      <c r="A4967" s="0" t="s">
        <v>5291</v>
      </c>
      <c r="B4967" s="0" t="s">
        <v>78</v>
      </c>
      <c r="C4967" s="0" t="str">
        <f aca="false">INDEX(Intent_Analysis!$B$5:$B$81,MATCH(B4967,Intent_Analysis!$A$5:$A$81,0))</f>
        <v>Cash, ATM &amp; deposits</v>
      </c>
      <c r="D4967" s="0" t="n">
        <f aca="false">INDEX(Intent_Analysis!$E$5:$E$81,MATCH(B4967,Intent_Analysis!$A$5:$A$81,0))</f>
        <v>2</v>
      </c>
    </row>
    <row r="4968" customFormat="false" ht="15" hidden="false" customHeight="false" outlineLevel="0" collapsed="false">
      <c r="A4968" s="0" t="s">
        <v>5292</v>
      </c>
      <c r="B4968" s="0" t="s">
        <v>78</v>
      </c>
      <c r="C4968" s="0" t="str">
        <f aca="false">INDEX(Intent_Analysis!$B$5:$B$81,MATCH(B4968,Intent_Analysis!$A$5:$A$81,0))</f>
        <v>Cash, ATM &amp; deposits</v>
      </c>
      <c r="D4968" s="0" t="n">
        <f aca="false">INDEX(Intent_Analysis!$E$5:$E$81,MATCH(B4968,Intent_Analysis!$A$5:$A$81,0))</f>
        <v>2</v>
      </c>
    </row>
    <row r="4969" customFormat="false" ht="15" hidden="false" customHeight="false" outlineLevel="0" collapsed="false">
      <c r="A4969" s="0" t="s">
        <v>5293</v>
      </c>
      <c r="B4969" s="0" t="s">
        <v>78</v>
      </c>
      <c r="C4969" s="0" t="str">
        <f aca="false">INDEX(Intent_Analysis!$B$5:$B$81,MATCH(B4969,Intent_Analysis!$A$5:$A$81,0))</f>
        <v>Cash, ATM &amp; deposits</v>
      </c>
      <c r="D4969" s="0" t="n">
        <f aca="false">INDEX(Intent_Analysis!$E$5:$E$81,MATCH(B4969,Intent_Analysis!$A$5:$A$81,0))</f>
        <v>2</v>
      </c>
    </row>
    <row r="4970" customFormat="false" ht="15" hidden="false" customHeight="false" outlineLevel="0" collapsed="false">
      <c r="A4970" s="0" t="s">
        <v>5294</v>
      </c>
      <c r="B4970" s="0" t="s">
        <v>78</v>
      </c>
      <c r="C4970" s="0" t="str">
        <f aca="false">INDEX(Intent_Analysis!$B$5:$B$81,MATCH(B4970,Intent_Analysis!$A$5:$A$81,0))</f>
        <v>Cash, ATM &amp; deposits</v>
      </c>
      <c r="D4970" s="0" t="n">
        <f aca="false">INDEX(Intent_Analysis!$E$5:$E$81,MATCH(B4970,Intent_Analysis!$A$5:$A$81,0))</f>
        <v>2</v>
      </c>
    </row>
    <row r="4971" customFormat="false" ht="15" hidden="false" customHeight="false" outlineLevel="0" collapsed="false">
      <c r="A4971" s="0" t="s">
        <v>5295</v>
      </c>
      <c r="B4971" s="0" t="s">
        <v>78</v>
      </c>
      <c r="C4971" s="0" t="str">
        <f aca="false">INDEX(Intent_Analysis!$B$5:$B$81,MATCH(B4971,Intent_Analysis!$A$5:$A$81,0))</f>
        <v>Cash, ATM &amp; deposits</v>
      </c>
      <c r="D4971" s="0" t="n">
        <f aca="false">INDEX(Intent_Analysis!$E$5:$E$81,MATCH(B4971,Intent_Analysis!$A$5:$A$81,0))</f>
        <v>2</v>
      </c>
    </row>
    <row r="4972" customFormat="false" ht="15" hidden="false" customHeight="false" outlineLevel="0" collapsed="false">
      <c r="A4972" s="0" t="s">
        <v>5296</v>
      </c>
      <c r="B4972" s="0" t="s">
        <v>78</v>
      </c>
      <c r="C4972" s="0" t="str">
        <f aca="false">INDEX(Intent_Analysis!$B$5:$B$81,MATCH(B4972,Intent_Analysis!$A$5:$A$81,0))</f>
        <v>Cash, ATM &amp; deposits</v>
      </c>
      <c r="D4972" s="0" t="n">
        <f aca="false">INDEX(Intent_Analysis!$E$5:$E$81,MATCH(B4972,Intent_Analysis!$A$5:$A$81,0))</f>
        <v>2</v>
      </c>
    </row>
    <row r="4973" customFormat="false" ht="15" hidden="false" customHeight="false" outlineLevel="0" collapsed="false">
      <c r="A4973" s="0" t="s">
        <v>5297</v>
      </c>
      <c r="B4973" s="0" t="s">
        <v>78</v>
      </c>
      <c r="C4973" s="0" t="str">
        <f aca="false">INDEX(Intent_Analysis!$B$5:$B$81,MATCH(B4973,Intent_Analysis!$A$5:$A$81,0))</f>
        <v>Cash, ATM &amp; deposits</v>
      </c>
      <c r="D4973" s="0" t="n">
        <f aca="false">INDEX(Intent_Analysis!$E$5:$E$81,MATCH(B4973,Intent_Analysis!$A$5:$A$81,0))</f>
        <v>2</v>
      </c>
    </row>
    <row r="4974" customFormat="false" ht="15" hidden="false" customHeight="false" outlineLevel="0" collapsed="false">
      <c r="A4974" s="0" t="s">
        <v>5298</v>
      </c>
      <c r="B4974" s="0" t="s">
        <v>78</v>
      </c>
      <c r="C4974" s="0" t="str">
        <f aca="false">INDEX(Intent_Analysis!$B$5:$B$81,MATCH(B4974,Intent_Analysis!$A$5:$A$81,0))</f>
        <v>Cash, ATM &amp; deposits</v>
      </c>
      <c r="D4974" s="0" t="n">
        <f aca="false">INDEX(Intent_Analysis!$E$5:$E$81,MATCH(B4974,Intent_Analysis!$A$5:$A$81,0))</f>
        <v>2</v>
      </c>
    </row>
    <row r="4975" customFormat="false" ht="15" hidden="false" customHeight="false" outlineLevel="0" collapsed="false">
      <c r="A4975" s="0" t="s">
        <v>5299</v>
      </c>
      <c r="B4975" s="0" t="s">
        <v>78</v>
      </c>
      <c r="C4975" s="0" t="str">
        <f aca="false">INDEX(Intent_Analysis!$B$5:$B$81,MATCH(B4975,Intent_Analysis!$A$5:$A$81,0))</f>
        <v>Cash, ATM &amp; deposits</v>
      </c>
      <c r="D4975" s="0" t="n">
        <f aca="false">INDEX(Intent_Analysis!$E$5:$E$81,MATCH(B4975,Intent_Analysis!$A$5:$A$81,0))</f>
        <v>2</v>
      </c>
    </row>
    <row r="4976" customFormat="false" ht="15" hidden="false" customHeight="false" outlineLevel="0" collapsed="false">
      <c r="A4976" s="0" t="s">
        <v>5300</v>
      </c>
      <c r="B4976" s="0" t="s">
        <v>78</v>
      </c>
      <c r="C4976" s="0" t="str">
        <f aca="false">INDEX(Intent_Analysis!$B$5:$B$81,MATCH(B4976,Intent_Analysis!$A$5:$A$81,0))</f>
        <v>Cash, ATM &amp; deposits</v>
      </c>
      <c r="D4976" s="0" t="n">
        <f aca="false">INDEX(Intent_Analysis!$E$5:$E$81,MATCH(B4976,Intent_Analysis!$A$5:$A$81,0))</f>
        <v>2</v>
      </c>
    </row>
    <row r="4977" customFormat="false" ht="15" hidden="false" customHeight="false" outlineLevel="0" collapsed="false">
      <c r="A4977" s="0" t="s">
        <v>5301</v>
      </c>
      <c r="B4977" s="0" t="s">
        <v>78</v>
      </c>
      <c r="C4977" s="0" t="str">
        <f aca="false">INDEX(Intent_Analysis!$B$5:$B$81,MATCH(B4977,Intent_Analysis!$A$5:$A$81,0))</f>
        <v>Cash, ATM &amp; deposits</v>
      </c>
      <c r="D4977" s="0" t="n">
        <f aca="false">INDEX(Intent_Analysis!$E$5:$E$81,MATCH(B4977,Intent_Analysis!$A$5:$A$81,0))</f>
        <v>2</v>
      </c>
    </row>
    <row r="4978" customFormat="false" ht="15" hidden="false" customHeight="false" outlineLevel="0" collapsed="false">
      <c r="A4978" s="0" t="s">
        <v>5302</v>
      </c>
      <c r="B4978" s="0" t="s">
        <v>78</v>
      </c>
      <c r="C4978" s="0" t="str">
        <f aca="false">INDEX(Intent_Analysis!$B$5:$B$81,MATCH(B4978,Intent_Analysis!$A$5:$A$81,0))</f>
        <v>Cash, ATM &amp; deposits</v>
      </c>
      <c r="D4978" s="0" t="n">
        <f aca="false">INDEX(Intent_Analysis!$E$5:$E$81,MATCH(B4978,Intent_Analysis!$A$5:$A$81,0))</f>
        <v>2</v>
      </c>
    </row>
    <row r="4979" customFormat="false" ht="15" hidden="false" customHeight="false" outlineLevel="0" collapsed="false">
      <c r="A4979" s="0" t="s">
        <v>5303</v>
      </c>
      <c r="B4979" s="0" t="s">
        <v>78</v>
      </c>
      <c r="C4979" s="0" t="str">
        <f aca="false">INDEX(Intent_Analysis!$B$5:$B$81,MATCH(B4979,Intent_Analysis!$A$5:$A$81,0))</f>
        <v>Cash, ATM &amp; deposits</v>
      </c>
      <c r="D4979" s="0" t="n">
        <f aca="false">INDEX(Intent_Analysis!$E$5:$E$81,MATCH(B4979,Intent_Analysis!$A$5:$A$81,0))</f>
        <v>2</v>
      </c>
    </row>
    <row r="4980" customFormat="false" ht="15" hidden="false" customHeight="false" outlineLevel="0" collapsed="false">
      <c r="A4980" s="0" t="s">
        <v>5304</v>
      </c>
      <c r="B4980" s="0" t="s">
        <v>78</v>
      </c>
      <c r="C4980" s="0" t="str">
        <f aca="false">INDEX(Intent_Analysis!$B$5:$B$81,MATCH(B4980,Intent_Analysis!$A$5:$A$81,0))</f>
        <v>Cash, ATM &amp; deposits</v>
      </c>
      <c r="D4980" s="0" t="n">
        <f aca="false">INDEX(Intent_Analysis!$E$5:$E$81,MATCH(B4980,Intent_Analysis!$A$5:$A$81,0))</f>
        <v>2</v>
      </c>
    </row>
    <row r="4981" customFormat="false" ht="15" hidden="false" customHeight="false" outlineLevel="0" collapsed="false">
      <c r="A4981" s="0" t="s">
        <v>5305</v>
      </c>
      <c r="B4981" s="0" t="s">
        <v>78</v>
      </c>
      <c r="C4981" s="0" t="str">
        <f aca="false">INDEX(Intent_Analysis!$B$5:$B$81,MATCH(B4981,Intent_Analysis!$A$5:$A$81,0))</f>
        <v>Cash, ATM &amp; deposits</v>
      </c>
      <c r="D4981" s="0" t="n">
        <f aca="false">INDEX(Intent_Analysis!$E$5:$E$81,MATCH(B4981,Intent_Analysis!$A$5:$A$81,0))</f>
        <v>2</v>
      </c>
    </row>
    <row r="4982" customFormat="false" ht="15" hidden="false" customHeight="false" outlineLevel="0" collapsed="false">
      <c r="A4982" s="0" t="s">
        <v>5306</v>
      </c>
      <c r="B4982" s="0" t="s">
        <v>78</v>
      </c>
      <c r="C4982" s="0" t="str">
        <f aca="false">INDEX(Intent_Analysis!$B$5:$B$81,MATCH(B4982,Intent_Analysis!$A$5:$A$81,0))</f>
        <v>Cash, ATM &amp; deposits</v>
      </c>
      <c r="D4982" s="0" t="n">
        <f aca="false">INDEX(Intent_Analysis!$E$5:$E$81,MATCH(B4982,Intent_Analysis!$A$5:$A$81,0))</f>
        <v>2</v>
      </c>
    </row>
    <row r="4983" customFormat="false" ht="15" hidden="false" customHeight="false" outlineLevel="0" collapsed="false">
      <c r="A4983" s="0" t="s">
        <v>5307</v>
      </c>
      <c r="B4983" s="0" t="s">
        <v>78</v>
      </c>
      <c r="C4983" s="0" t="str">
        <f aca="false">INDEX(Intent_Analysis!$B$5:$B$81,MATCH(B4983,Intent_Analysis!$A$5:$A$81,0))</f>
        <v>Cash, ATM &amp; deposits</v>
      </c>
      <c r="D4983" s="0" t="n">
        <f aca="false">INDEX(Intent_Analysis!$E$5:$E$81,MATCH(B4983,Intent_Analysis!$A$5:$A$81,0))</f>
        <v>2</v>
      </c>
    </row>
    <row r="4984" customFormat="false" ht="15" hidden="false" customHeight="false" outlineLevel="0" collapsed="false">
      <c r="A4984" s="0" t="s">
        <v>5308</v>
      </c>
      <c r="B4984" s="0" t="s">
        <v>78</v>
      </c>
      <c r="C4984" s="0" t="str">
        <f aca="false">INDEX(Intent_Analysis!$B$5:$B$81,MATCH(B4984,Intent_Analysis!$A$5:$A$81,0))</f>
        <v>Cash, ATM &amp; deposits</v>
      </c>
      <c r="D4984" s="0" t="n">
        <f aca="false">INDEX(Intent_Analysis!$E$5:$E$81,MATCH(B4984,Intent_Analysis!$A$5:$A$81,0))</f>
        <v>2</v>
      </c>
    </row>
    <row r="4985" customFormat="false" ht="15" hidden="false" customHeight="false" outlineLevel="0" collapsed="false">
      <c r="A4985" s="0" t="s">
        <v>5309</v>
      </c>
      <c r="B4985" s="0" t="s">
        <v>78</v>
      </c>
      <c r="C4985" s="0" t="str">
        <f aca="false">INDEX(Intent_Analysis!$B$5:$B$81,MATCH(B4985,Intent_Analysis!$A$5:$A$81,0))</f>
        <v>Cash, ATM &amp; deposits</v>
      </c>
      <c r="D4985" s="0" t="n">
        <f aca="false">INDEX(Intent_Analysis!$E$5:$E$81,MATCH(B4985,Intent_Analysis!$A$5:$A$81,0))</f>
        <v>2</v>
      </c>
    </row>
    <row r="4986" customFormat="false" ht="15" hidden="false" customHeight="false" outlineLevel="0" collapsed="false">
      <c r="A4986" s="0" t="s">
        <v>5310</v>
      </c>
      <c r="B4986" s="0" t="s">
        <v>78</v>
      </c>
      <c r="C4986" s="0" t="str">
        <f aca="false">INDEX(Intent_Analysis!$B$5:$B$81,MATCH(B4986,Intent_Analysis!$A$5:$A$81,0))</f>
        <v>Cash, ATM &amp; deposits</v>
      </c>
      <c r="D4986" s="0" t="n">
        <f aca="false">INDEX(Intent_Analysis!$E$5:$E$81,MATCH(B4986,Intent_Analysis!$A$5:$A$81,0))</f>
        <v>2</v>
      </c>
    </row>
    <row r="4987" customFormat="false" ht="15" hidden="false" customHeight="false" outlineLevel="0" collapsed="false">
      <c r="A4987" s="0" t="s">
        <v>5311</v>
      </c>
      <c r="B4987" s="0" t="s">
        <v>78</v>
      </c>
      <c r="C4987" s="0" t="str">
        <f aca="false">INDEX(Intent_Analysis!$B$5:$B$81,MATCH(B4987,Intent_Analysis!$A$5:$A$81,0))</f>
        <v>Cash, ATM &amp; deposits</v>
      </c>
      <c r="D4987" s="0" t="n">
        <f aca="false">INDEX(Intent_Analysis!$E$5:$E$81,MATCH(B4987,Intent_Analysis!$A$5:$A$81,0))</f>
        <v>2</v>
      </c>
    </row>
    <row r="4988" customFormat="false" ht="15" hidden="false" customHeight="false" outlineLevel="0" collapsed="false">
      <c r="A4988" s="0" t="s">
        <v>5312</v>
      </c>
      <c r="B4988" s="0" t="s">
        <v>78</v>
      </c>
      <c r="C4988" s="0" t="str">
        <f aca="false">INDEX(Intent_Analysis!$B$5:$B$81,MATCH(B4988,Intent_Analysis!$A$5:$A$81,0))</f>
        <v>Cash, ATM &amp; deposits</v>
      </c>
      <c r="D4988" s="0" t="n">
        <f aca="false">INDEX(Intent_Analysis!$E$5:$E$81,MATCH(B4988,Intent_Analysis!$A$5:$A$81,0))</f>
        <v>2</v>
      </c>
    </row>
    <row r="4989" customFormat="false" ht="15" hidden="false" customHeight="false" outlineLevel="0" collapsed="false">
      <c r="A4989" s="0" t="s">
        <v>5313</v>
      </c>
      <c r="B4989" s="0" t="s">
        <v>78</v>
      </c>
      <c r="C4989" s="0" t="str">
        <f aca="false">INDEX(Intent_Analysis!$B$5:$B$81,MATCH(B4989,Intent_Analysis!$A$5:$A$81,0))</f>
        <v>Cash, ATM &amp; deposits</v>
      </c>
      <c r="D4989" s="0" t="n">
        <f aca="false">INDEX(Intent_Analysis!$E$5:$E$81,MATCH(B4989,Intent_Analysis!$A$5:$A$81,0))</f>
        <v>2</v>
      </c>
    </row>
    <row r="4990" customFormat="false" ht="15" hidden="false" customHeight="false" outlineLevel="0" collapsed="false">
      <c r="A4990" s="0" t="s">
        <v>5314</v>
      </c>
      <c r="B4990" s="0" t="s">
        <v>78</v>
      </c>
      <c r="C4990" s="0" t="str">
        <f aca="false">INDEX(Intent_Analysis!$B$5:$B$81,MATCH(B4990,Intent_Analysis!$A$5:$A$81,0))</f>
        <v>Cash, ATM &amp; deposits</v>
      </c>
      <c r="D4990" s="0" t="n">
        <f aca="false">INDEX(Intent_Analysis!$E$5:$E$81,MATCH(B4990,Intent_Analysis!$A$5:$A$81,0))</f>
        <v>2</v>
      </c>
    </row>
    <row r="4991" customFormat="false" ht="15" hidden="false" customHeight="false" outlineLevel="0" collapsed="false">
      <c r="A4991" s="0" t="s">
        <v>5315</v>
      </c>
      <c r="B4991" s="0" t="s">
        <v>78</v>
      </c>
      <c r="C4991" s="0" t="str">
        <f aca="false">INDEX(Intent_Analysis!$B$5:$B$81,MATCH(B4991,Intent_Analysis!$A$5:$A$81,0))</f>
        <v>Cash, ATM &amp; deposits</v>
      </c>
      <c r="D4991" s="0" t="n">
        <f aca="false">INDEX(Intent_Analysis!$E$5:$E$81,MATCH(B4991,Intent_Analysis!$A$5:$A$81,0))</f>
        <v>2</v>
      </c>
    </row>
    <row r="4992" customFormat="false" ht="15" hidden="false" customHeight="false" outlineLevel="0" collapsed="false">
      <c r="A4992" s="0" t="s">
        <v>5316</v>
      </c>
      <c r="B4992" s="0" t="s">
        <v>78</v>
      </c>
      <c r="C4992" s="0" t="str">
        <f aca="false">INDEX(Intent_Analysis!$B$5:$B$81,MATCH(B4992,Intent_Analysis!$A$5:$A$81,0))</f>
        <v>Cash, ATM &amp; deposits</v>
      </c>
      <c r="D4992" s="0" t="n">
        <f aca="false">INDEX(Intent_Analysis!$E$5:$E$81,MATCH(B4992,Intent_Analysis!$A$5:$A$81,0))</f>
        <v>2</v>
      </c>
    </row>
    <row r="4993" customFormat="false" ht="15" hidden="false" customHeight="false" outlineLevel="0" collapsed="false">
      <c r="A4993" s="0" t="s">
        <v>5317</v>
      </c>
      <c r="B4993" s="0" t="s">
        <v>78</v>
      </c>
      <c r="C4993" s="0" t="str">
        <f aca="false">INDEX(Intent_Analysis!$B$5:$B$81,MATCH(B4993,Intent_Analysis!$A$5:$A$81,0))</f>
        <v>Cash, ATM &amp; deposits</v>
      </c>
      <c r="D4993" s="0" t="n">
        <f aca="false">INDEX(Intent_Analysis!$E$5:$E$81,MATCH(B4993,Intent_Analysis!$A$5:$A$81,0))</f>
        <v>2</v>
      </c>
    </row>
    <row r="4994" customFormat="false" ht="15" hidden="false" customHeight="false" outlineLevel="0" collapsed="false">
      <c r="A4994" s="0" t="s">
        <v>5318</v>
      </c>
      <c r="B4994" s="0" t="s">
        <v>78</v>
      </c>
      <c r="C4994" s="0" t="str">
        <f aca="false">INDEX(Intent_Analysis!$B$5:$B$81,MATCH(B4994,Intent_Analysis!$A$5:$A$81,0))</f>
        <v>Cash, ATM &amp; deposits</v>
      </c>
      <c r="D4994" s="0" t="n">
        <f aca="false">INDEX(Intent_Analysis!$E$5:$E$81,MATCH(B4994,Intent_Analysis!$A$5:$A$81,0))</f>
        <v>2</v>
      </c>
    </row>
    <row r="4995" customFormat="false" ht="15" hidden="false" customHeight="false" outlineLevel="0" collapsed="false">
      <c r="A4995" s="0" t="s">
        <v>5319</v>
      </c>
      <c r="B4995" s="0" t="s">
        <v>78</v>
      </c>
      <c r="C4995" s="0" t="str">
        <f aca="false">INDEX(Intent_Analysis!$B$5:$B$81,MATCH(B4995,Intent_Analysis!$A$5:$A$81,0))</f>
        <v>Cash, ATM &amp; deposits</v>
      </c>
      <c r="D4995" s="0" t="n">
        <f aca="false">INDEX(Intent_Analysis!$E$5:$E$81,MATCH(B4995,Intent_Analysis!$A$5:$A$81,0))</f>
        <v>2</v>
      </c>
    </row>
    <row r="4996" customFormat="false" ht="15" hidden="false" customHeight="false" outlineLevel="0" collapsed="false">
      <c r="A4996" s="0" t="s">
        <v>5320</v>
      </c>
      <c r="B4996" s="0" t="s">
        <v>78</v>
      </c>
      <c r="C4996" s="0" t="str">
        <f aca="false">INDEX(Intent_Analysis!$B$5:$B$81,MATCH(B4996,Intent_Analysis!$A$5:$A$81,0))</f>
        <v>Cash, ATM &amp; deposits</v>
      </c>
      <c r="D4996" s="0" t="n">
        <f aca="false">INDEX(Intent_Analysis!$E$5:$E$81,MATCH(B4996,Intent_Analysis!$A$5:$A$81,0))</f>
        <v>2</v>
      </c>
    </row>
    <row r="4997" customFormat="false" ht="15" hidden="false" customHeight="false" outlineLevel="0" collapsed="false">
      <c r="A4997" s="0" t="s">
        <v>5321</v>
      </c>
      <c r="B4997" s="0" t="s">
        <v>78</v>
      </c>
      <c r="C4997" s="0" t="str">
        <f aca="false">INDEX(Intent_Analysis!$B$5:$B$81,MATCH(B4997,Intent_Analysis!$A$5:$A$81,0))</f>
        <v>Cash, ATM &amp; deposits</v>
      </c>
      <c r="D4997" s="0" t="n">
        <f aca="false">INDEX(Intent_Analysis!$E$5:$E$81,MATCH(B4997,Intent_Analysis!$A$5:$A$81,0))</f>
        <v>2</v>
      </c>
    </row>
    <row r="4998" customFormat="false" ht="15" hidden="false" customHeight="false" outlineLevel="0" collapsed="false">
      <c r="A4998" s="0" t="s">
        <v>5322</v>
      </c>
      <c r="B4998" s="0" t="s">
        <v>78</v>
      </c>
      <c r="C4998" s="0" t="str">
        <f aca="false">INDEX(Intent_Analysis!$B$5:$B$81,MATCH(B4998,Intent_Analysis!$A$5:$A$81,0))</f>
        <v>Cash, ATM &amp; deposits</v>
      </c>
      <c r="D4998" s="0" t="n">
        <f aca="false">INDEX(Intent_Analysis!$E$5:$E$81,MATCH(B4998,Intent_Analysis!$A$5:$A$81,0))</f>
        <v>2</v>
      </c>
    </row>
    <row r="4999" customFormat="false" ht="15" hidden="false" customHeight="false" outlineLevel="0" collapsed="false">
      <c r="A4999" s="0" t="s">
        <v>5323</v>
      </c>
      <c r="B4999" s="0" t="s">
        <v>78</v>
      </c>
      <c r="C4999" s="0" t="str">
        <f aca="false">INDEX(Intent_Analysis!$B$5:$B$81,MATCH(B4999,Intent_Analysis!$A$5:$A$81,0))</f>
        <v>Cash, ATM &amp; deposits</v>
      </c>
      <c r="D4999" s="0" t="n">
        <f aca="false">INDEX(Intent_Analysis!$E$5:$E$81,MATCH(B4999,Intent_Analysis!$A$5:$A$81,0))</f>
        <v>2</v>
      </c>
    </row>
    <row r="5000" customFormat="false" ht="15" hidden="false" customHeight="false" outlineLevel="0" collapsed="false">
      <c r="A5000" s="0" t="s">
        <v>5324</v>
      </c>
      <c r="B5000" s="0" t="s">
        <v>78</v>
      </c>
      <c r="C5000" s="0" t="str">
        <f aca="false">INDEX(Intent_Analysis!$B$5:$B$81,MATCH(B5000,Intent_Analysis!$A$5:$A$81,0))</f>
        <v>Cash, ATM &amp; deposits</v>
      </c>
      <c r="D5000" s="0" t="n">
        <f aca="false">INDEX(Intent_Analysis!$E$5:$E$81,MATCH(B5000,Intent_Analysis!$A$5:$A$81,0))</f>
        <v>2</v>
      </c>
    </row>
    <row r="5001" customFormat="false" ht="15" hidden="false" customHeight="false" outlineLevel="0" collapsed="false">
      <c r="A5001" s="0" t="s">
        <v>5325</v>
      </c>
      <c r="B5001" s="0" t="s">
        <v>78</v>
      </c>
      <c r="C5001" s="0" t="str">
        <f aca="false">INDEX(Intent_Analysis!$B$5:$B$81,MATCH(B5001,Intent_Analysis!$A$5:$A$81,0))</f>
        <v>Cash, ATM &amp; deposits</v>
      </c>
      <c r="D5001" s="0" t="n">
        <f aca="false">INDEX(Intent_Analysis!$E$5:$E$81,MATCH(B5001,Intent_Analysis!$A$5:$A$81,0))</f>
        <v>2</v>
      </c>
    </row>
    <row r="5002" customFormat="false" ht="15" hidden="false" customHeight="false" outlineLevel="0" collapsed="false">
      <c r="A5002" s="0" t="s">
        <v>5326</v>
      </c>
      <c r="B5002" s="0" t="s">
        <v>78</v>
      </c>
      <c r="C5002" s="0" t="str">
        <f aca="false">INDEX(Intent_Analysis!$B$5:$B$81,MATCH(B5002,Intent_Analysis!$A$5:$A$81,0))</f>
        <v>Cash, ATM &amp; deposits</v>
      </c>
      <c r="D5002" s="0" t="n">
        <f aca="false">INDEX(Intent_Analysis!$E$5:$E$81,MATCH(B5002,Intent_Analysis!$A$5:$A$81,0))</f>
        <v>2</v>
      </c>
    </row>
    <row r="5003" customFormat="false" ht="15" hidden="false" customHeight="false" outlineLevel="0" collapsed="false">
      <c r="A5003" s="0" t="s">
        <v>5327</v>
      </c>
      <c r="B5003" s="0" t="s">
        <v>78</v>
      </c>
      <c r="C5003" s="0" t="str">
        <f aca="false">INDEX(Intent_Analysis!$B$5:$B$81,MATCH(B5003,Intent_Analysis!$A$5:$A$81,0))</f>
        <v>Cash, ATM &amp; deposits</v>
      </c>
      <c r="D5003" s="0" t="n">
        <f aca="false">INDEX(Intent_Analysis!$E$5:$E$81,MATCH(B5003,Intent_Analysis!$A$5:$A$81,0))</f>
        <v>2</v>
      </c>
    </row>
    <row r="5004" customFormat="false" ht="15" hidden="false" customHeight="false" outlineLevel="0" collapsed="false">
      <c r="A5004" s="0" t="s">
        <v>5328</v>
      </c>
      <c r="B5004" s="0" t="s">
        <v>78</v>
      </c>
      <c r="C5004" s="0" t="str">
        <f aca="false">INDEX(Intent_Analysis!$B$5:$B$81,MATCH(B5004,Intent_Analysis!$A$5:$A$81,0))</f>
        <v>Cash, ATM &amp; deposits</v>
      </c>
      <c r="D5004" s="0" t="n">
        <f aca="false">INDEX(Intent_Analysis!$E$5:$E$81,MATCH(B5004,Intent_Analysis!$A$5:$A$81,0))</f>
        <v>2</v>
      </c>
    </row>
    <row r="5005" customFormat="false" ht="15" hidden="false" customHeight="false" outlineLevel="0" collapsed="false">
      <c r="A5005" s="0" t="s">
        <v>5329</v>
      </c>
      <c r="B5005" s="0" t="s">
        <v>78</v>
      </c>
      <c r="C5005" s="0" t="str">
        <f aca="false">INDEX(Intent_Analysis!$B$5:$B$81,MATCH(B5005,Intent_Analysis!$A$5:$A$81,0))</f>
        <v>Cash, ATM &amp; deposits</v>
      </c>
      <c r="D5005" s="0" t="n">
        <f aca="false">INDEX(Intent_Analysis!$E$5:$E$81,MATCH(B5005,Intent_Analysis!$A$5:$A$81,0))</f>
        <v>2</v>
      </c>
    </row>
    <row r="5006" customFormat="false" ht="15" hidden="false" customHeight="false" outlineLevel="0" collapsed="false">
      <c r="A5006" s="0" t="s">
        <v>5330</v>
      </c>
      <c r="B5006" s="0" t="s">
        <v>78</v>
      </c>
      <c r="C5006" s="0" t="str">
        <f aca="false">INDEX(Intent_Analysis!$B$5:$B$81,MATCH(B5006,Intent_Analysis!$A$5:$A$81,0))</f>
        <v>Cash, ATM &amp; deposits</v>
      </c>
      <c r="D5006" s="0" t="n">
        <f aca="false">INDEX(Intent_Analysis!$E$5:$E$81,MATCH(B5006,Intent_Analysis!$A$5:$A$81,0))</f>
        <v>2</v>
      </c>
    </row>
    <row r="5007" customFormat="false" ht="15" hidden="false" customHeight="false" outlineLevel="0" collapsed="false">
      <c r="A5007" s="0" t="s">
        <v>5331</v>
      </c>
      <c r="B5007" s="0" t="s">
        <v>78</v>
      </c>
      <c r="C5007" s="0" t="str">
        <f aca="false">INDEX(Intent_Analysis!$B$5:$B$81,MATCH(B5007,Intent_Analysis!$A$5:$A$81,0))</f>
        <v>Cash, ATM &amp; deposits</v>
      </c>
      <c r="D5007" s="0" t="n">
        <f aca="false">INDEX(Intent_Analysis!$E$5:$E$81,MATCH(B5007,Intent_Analysis!$A$5:$A$81,0))</f>
        <v>2</v>
      </c>
    </row>
    <row r="5008" customFormat="false" ht="15" hidden="false" customHeight="false" outlineLevel="0" collapsed="false">
      <c r="A5008" s="0" t="s">
        <v>5332</v>
      </c>
      <c r="B5008" s="0" t="s">
        <v>78</v>
      </c>
      <c r="C5008" s="0" t="str">
        <f aca="false">INDEX(Intent_Analysis!$B$5:$B$81,MATCH(B5008,Intent_Analysis!$A$5:$A$81,0))</f>
        <v>Cash, ATM &amp; deposits</v>
      </c>
      <c r="D5008" s="0" t="n">
        <f aca="false">INDEX(Intent_Analysis!$E$5:$E$81,MATCH(B5008,Intent_Analysis!$A$5:$A$81,0))</f>
        <v>2</v>
      </c>
    </row>
    <row r="5009" customFormat="false" ht="15" hidden="false" customHeight="false" outlineLevel="0" collapsed="false">
      <c r="A5009" s="0" t="s">
        <v>5333</v>
      </c>
      <c r="B5009" s="0" t="s">
        <v>78</v>
      </c>
      <c r="C5009" s="0" t="str">
        <f aca="false">INDEX(Intent_Analysis!$B$5:$B$81,MATCH(B5009,Intent_Analysis!$A$5:$A$81,0))</f>
        <v>Cash, ATM &amp; deposits</v>
      </c>
      <c r="D5009" s="0" t="n">
        <f aca="false">INDEX(Intent_Analysis!$E$5:$E$81,MATCH(B5009,Intent_Analysis!$A$5:$A$81,0))</f>
        <v>2</v>
      </c>
    </row>
    <row r="5010" customFormat="false" ht="15" hidden="false" customHeight="false" outlineLevel="0" collapsed="false">
      <c r="A5010" s="0" t="s">
        <v>5334</v>
      </c>
      <c r="B5010" s="0" t="s">
        <v>78</v>
      </c>
      <c r="C5010" s="0" t="str">
        <f aca="false">INDEX(Intent_Analysis!$B$5:$B$81,MATCH(B5010,Intent_Analysis!$A$5:$A$81,0))</f>
        <v>Cash, ATM &amp; deposits</v>
      </c>
      <c r="D5010" s="0" t="n">
        <f aca="false">INDEX(Intent_Analysis!$E$5:$E$81,MATCH(B5010,Intent_Analysis!$A$5:$A$81,0))</f>
        <v>2</v>
      </c>
    </row>
    <row r="5011" customFormat="false" ht="15" hidden="false" customHeight="false" outlineLevel="0" collapsed="false">
      <c r="A5011" s="0" t="s">
        <v>5335</v>
      </c>
      <c r="B5011" s="0" t="s">
        <v>78</v>
      </c>
      <c r="C5011" s="0" t="str">
        <f aca="false">INDEX(Intent_Analysis!$B$5:$B$81,MATCH(B5011,Intent_Analysis!$A$5:$A$81,0))</f>
        <v>Cash, ATM &amp; deposits</v>
      </c>
      <c r="D5011" s="0" t="n">
        <f aca="false">INDEX(Intent_Analysis!$E$5:$E$81,MATCH(B5011,Intent_Analysis!$A$5:$A$81,0))</f>
        <v>2</v>
      </c>
    </row>
    <row r="5012" customFormat="false" ht="15" hidden="false" customHeight="false" outlineLevel="0" collapsed="false">
      <c r="A5012" s="0" t="s">
        <v>5336</v>
      </c>
      <c r="B5012" s="0" t="s">
        <v>78</v>
      </c>
      <c r="C5012" s="0" t="str">
        <f aca="false">INDEX(Intent_Analysis!$B$5:$B$81,MATCH(B5012,Intent_Analysis!$A$5:$A$81,0))</f>
        <v>Cash, ATM &amp; deposits</v>
      </c>
      <c r="D5012" s="0" t="n">
        <f aca="false">INDEX(Intent_Analysis!$E$5:$E$81,MATCH(B5012,Intent_Analysis!$A$5:$A$81,0))</f>
        <v>2</v>
      </c>
    </row>
    <row r="5013" customFormat="false" ht="15" hidden="false" customHeight="false" outlineLevel="0" collapsed="false">
      <c r="A5013" s="0" t="s">
        <v>5337</v>
      </c>
      <c r="B5013" s="0" t="s">
        <v>78</v>
      </c>
      <c r="C5013" s="0" t="str">
        <f aca="false">INDEX(Intent_Analysis!$B$5:$B$81,MATCH(B5013,Intent_Analysis!$A$5:$A$81,0))</f>
        <v>Cash, ATM &amp; deposits</v>
      </c>
      <c r="D5013" s="0" t="n">
        <f aca="false">INDEX(Intent_Analysis!$E$5:$E$81,MATCH(B5013,Intent_Analysis!$A$5:$A$81,0))</f>
        <v>2</v>
      </c>
    </row>
    <row r="5014" customFormat="false" ht="15" hidden="false" customHeight="false" outlineLevel="0" collapsed="false">
      <c r="A5014" s="0" t="s">
        <v>5338</v>
      </c>
      <c r="B5014" s="0" t="s">
        <v>78</v>
      </c>
      <c r="C5014" s="0" t="str">
        <f aca="false">INDEX(Intent_Analysis!$B$5:$B$81,MATCH(B5014,Intent_Analysis!$A$5:$A$81,0))</f>
        <v>Cash, ATM &amp; deposits</v>
      </c>
      <c r="D5014" s="0" t="n">
        <f aca="false">INDEX(Intent_Analysis!$E$5:$E$81,MATCH(B5014,Intent_Analysis!$A$5:$A$81,0))</f>
        <v>2</v>
      </c>
    </row>
    <row r="5015" customFormat="false" ht="15" hidden="false" customHeight="false" outlineLevel="0" collapsed="false">
      <c r="A5015" s="0" t="s">
        <v>5339</v>
      </c>
      <c r="B5015" s="0" t="s">
        <v>78</v>
      </c>
      <c r="C5015" s="0" t="str">
        <f aca="false">INDEX(Intent_Analysis!$B$5:$B$81,MATCH(B5015,Intent_Analysis!$A$5:$A$81,0))</f>
        <v>Cash, ATM &amp; deposits</v>
      </c>
      <c r="D5015" s="0" t="n">
        <f aca="false">INDEX(Intent_Analysis!$E$5:$E$81,MATCH(B5015,Intent_Analysis!$A$5:$A$81,0))</f>
        <v>2</v>
      </c>
    </row>
    <row r="5016" customFormat="false" ht="15" hidden="false" customHeight="false" outlineLevel="0" collapsed="false">
      <c r="A5016" s="0" t="s">
        <v>5340</v>
      </c>
      <c r="B5016" s="0" t="s">
        <v>78</v>
      </c>
      <c r="C5016" s="0" t="str">
        <f aca="false">INDEX(Intent_Analysis!$B$5:$B$81,MATCH(B5016,Intent_Analysis!$A$5:$A$81,0))</f>
        <v>Cash, ATM &amp; deposits</v>
      </c>
      <c r="D5016" s="0" t="n">
        <f aca="false">INDEX(Intent_Analysis!$E$5:$E$81,MATCH(B5016,Intent_Analysis!$A$5:$A$81,0))</f>
        <v>2</v>
      </c>
    </row>
    <row r="5017" customFormat="false" ht="15" hidden="false" customHeight="false" outlineLevel="0" collapsed="false">
      <c r="A5017" s="0" t="s">
        <v>5341</v>
      </c>
      <c r="B5017" s="0" t="s">
        <v>78</v>
      </c>
      <c r="C5017" s="0" t="str">
        <f aca="false">INDEX(Intent_Analysis!$B$5:$B$81,MATCH(B5017,Intent_Analysis!$A$5:$A$81,0))</f>
        <v>Cash, ATM &amp; deposits</v>
      </c>
      <c r="D5017" s="0" t="n">
        <f aca="false">INDEX(Intent_Analysis!$E$5:$E$81,MATCH(B5017,Intent_Analysis!$A$5:$A$81,0))</f>
        <v>2</v>
      </c>
    </row>
    <row r="5018" customFormat="false" ht="15" hidden="false" customHeight="false" outlineLevel="0" collapsed="false">
      <c r="A5018" s="0" t="s">
        <v>5342</v>
      </c>
      <c r="B5018" s="0" t="s">
        <v>78</v>
      </c>
      <c r="C5018" s="0" t="str">
        <f aca="false">INDEX(Intent_Analysis!$B$5:$B$81,MATCH(B5018,Intent_Analysis!$A$5:$A$81,0))</f>
        <v>Cash, ATM &amp; deposits</v>
      </c>
      <c r="D5018" s="0" t="n">
        <f aca="false">INDEX(Intent_Analysis!$E$5:$E$81,MATCH(B5018,Intent_Analysis!$A$5:$A$81,0))</f>
        <v>2</v>
      </c>
    </row>
    <row r="5019" customFormat="false" ht="15" hidden="false" customHeight="false" outlineLevel="0" collapsed="false">
      <c r="A5019" s="0" t="s">
        <v>5343</v>
      </c>
      <c r="B5019" s="0" t="s">
        <v>78</v>
      </c>
      <c r="C5019" s="0" t="str">
        <f aca="false">INDEX(Intent_Analysis!$B$5:$B$81,MATCH(B5019,Intent_Analysis!$A$5:$A$81,0))</f>
        <v>Cash, ATM &amp; deposits</v>
      </c>
      <c r="D5019" s="0" t="n">
        <f aca="false">INDEX(Intent_Analysis!$E$5:$E$81,MATCH(B5019,Intent_Analysis!$A$5:$A$81,0))</f>
        <v>2</v>
      </c>
    </row>
    <row r="5020" customFormat="false" ht="15" hidden="false" customHeight="false" outlineLevel="0" collapsed="false">
      <c r="A5020" s="0" t="s">
        <v>5344</v>
      </c>
      <c r="B5020" s="0" t="s">
        <v>78</v>
      </c>
      <c r="C5020" s="0" t="str">
        <f aca="false">INDEX(Intent_Analysis!$B$5:$B$81,MATCH(B5020,Intent_Analysis!$A$5:$A$81,0))</f>
        <v>Cash, ATM &amp; deposits</v>
      </c>
      <c r="D5020" s="0" t="n">
        <f aca="false">INDEX(Intent_Analysis!$E$5:$E$81,MATCH(B5020,Intent_Analysis!$A$5:$A$81,0))</f>
        <v>2</v>
      </c>
    </row>
    <row r="5021" customFormat="false" ht="15" hidden="false" customHeight="false" outlineLevel="0" collapsed="false">
      <c r="A5021" s="0" t="s">
        <v>5345</v>
      </c>
      <c r="B5021" s="0" t="s">
        <v>78</v>
      </c>
      <c r="C5021" s="0" t="str">
        <f aca="false">INDEX(Intent_Analysis!$B$5:$B$81,MATCH(B5021,Intent_Analysis!$A$5:$A$81,0))</f>
        <v>Cash, ATM &amp; deposits</v>
      </c>
      <c r="D5021" s="0" t="n">
        <f aca="false">INDEX(Intent_Analysis!$E$5:$E$81,MATCH(B5021,Intent_Analysis!$A$5:$A$81,0))</f>
        <v>2</v>
      </c>
    </row>
    <row r="5022" customFormat="false" ht="15" hidden="false" customHeight="false" outlineLevel="0" collapsed="false">
      <c r="A5022" s="0" t="s">
        <v>5346</v>
      </c>
      <c r="B5022" s="0" t="s">
        <v>78</v>
      </c>
      <c r="C5022" s="0" t="str">
        <f aca="false">INDEX(Intent_Analysis!$B$5:$B$81,MATCH(B5022,Intent_Analysis!$A$5:$A$81,0))</f>
        <v>Cash, ATM &amp; deposits</v>
      </c>
      <c r="D5022" s="0" t="n">
        <f aca="false">INDEX(Intent_Analysis!$E$5:$E$81,MATCH(B5022,Intent_Analysis!$A$5:$A$81,0))</f>
        <v>2</v>
      </c>
    </row>
    <row r="5023" customFormat="false" ht="15" hidden="false" customHeight="false" outlineLevel="0" collapsed="false">
      <c r="A5023" s="0" t="s">
        <v>5347</v>
      </c>
      <c r="B5023" s="0" t="s">
        <v>78</v>
      </c>
      <c r="C5023" s="0" t="str">
        <f aca="false">INDEX(Intent_Analysis!$B$5:$B$81,MATCH(B5023,Intent_Analysis!$A$5:$A$81,0))</f>
        <v>Cash, ATM &amp; deposits</v>
      </c>
      <c r="D5023" s="0" t="n">
        <f aca="false">INDEX(Intent_Analysis!$E$5:$E$81,MATCH(B5023,Intent_Analysis!$A$5:$A$81,0))</f>
        <v>2</v>
      </c>
    </row>
    <row r="5024" customFormat="false" ht="15" hidden="false" customHeight="false" outlineLevel="0" collapsed="false">
      <c r="A5024" s="0" t="s">
        <v>5348</v>
      </c>
      <c r="B5024" s="0" t="s">
        <v>78</v>
      </c>
      <c r="C5024" s="0" t="str">
        <f aca="false">INDEX(Intent_Analysis!$B$5:$B$81,MATCH(B5024,Intent_Analysis!$A$5:$A$81,0))</f>
        <v>Cash, ATM &amp; deposits</v>
      </c>
      <c r="D5024" s="0" t="n">
        <f aca="false">INDEX(Intent_Analysis!$E$5:$E$81,MATCH(B5024,Intent_Analysis!$A$5:$A$81,0))</f>
        <v>2</v>
      </c>
    </row>
    <row r="5025" customFormat="false" ht="15" hidden="false" customHeight="false" outlineLevel="0" collapsed="false">
      <c r="A5025" s="0" t="s">
        <v>5349</v>
      </c>
      <c r="B5025" s="0" t="s">
        <v>78</v>
      </c>
      <c r="C5025" s="0" t="str">
        <f aca="false">INDEX(Intent_Analysis!$B$5:$B$81,MATCH(B5025,Intent_Analysis!$A$5:$A$81,0))</f>
        <v>Cash, ATM &amp; deposits</v>
      </c>
      <c r="D5025" s="0" t="n">
        <f aca="false">INDEX(Intent_Analysis!$E$5:$E$81,MATCH(B5025,Intent_Analysis!$A$5:$A$81,0))</f>
        <v>2</v>
      </c>
    </row>
    <row r="5026" customFormat="false" ht="15" hidden="false" customHeight="false" outlineLevel="0" collapsed="false">
      <c r="A5026" s="0" t="s">
        <v>5350</v>
      </c>
      <c r="B5026" s="0" t="s">
        <v>78</v>
      </c>
      <c r="C5026" s="0" t="str">
        <f aca="false">INDEX(Intent_Analysis!$B$5:$B$81,MATCH(B5026,Intent_Analysis!$A$5:$A$81,0))</f>
        <v>Cash, ATM &amp; deposits</v>
      </c>
      <c r="D5026" s="0" t="n">
        <f aca="false">INDEX(Intent_Analysis!$E$5:$E$81,MATCH(B5026,Intent_Analysis!$A$5:$A$81,0))</f>
        <v>2</v>
      </c>
    </row>
    <row r="5027" customFormat="false" ht="15" hidden="false" customHeight="false" outlineLevel="0" collapsed="false">
      <c r="A5027" s="0" t="s">
        <v>5351</v>
      </c>
      <c r="B5027" s="0" t="s">
        <v>78</v>
      </c>
      <c r="C5027" s="0" t="str">
        <f aca="false">INDEX(Intent_Analysis!$B$5:$B$81,MATCH(B5027,Intent_Analysis!$A$5:$A$81,0))</f>
        <v>Cash, ATM &amp; deposits</v>
      </c>
      <c r="D5027" s="0" t="n">
        <f aca="false">INDEX(Intent_Analysis!$E$5:$E$81,MATCH(B5027,Intent_Analysis!$A$5:$A$81,0))</f>
        <v>2</v>
      </c>
    </row>
    <row r="5028" customFormat="false" ht="15" hidden="false" customHeight="false" outlineLevel="0" collapsed="false">
      <c r="A5028" s="0" t="s">
        <v>5352</v>
      </c>
      <c r="B5028" s="0" t="s">
        <v>78</v>
      </c>
      <c r="C5028" s="0" t="str">
        <f aca="false">INDEX(Intent_Analysis!$B$5:$B$81,MATCH(B5028,Intent_Analysis!$A$5:$A$81,0))</f>
        <v>Cash, ATM &amp; deposits</v>
      </c>
      <c r="D5028" s="0" t="n">
        <f aca="false">INDEX(Intent_Analysis!$E$5:$E$81,MATCH(B5028,Intent_Analysis!$A$5:$A$81,0))</f>
        <v>2</v>
      </c>
    </row>
    <row r="5029" customFormat="false" ht="15" hidden="false" customHeight="false" outlineLevel="0" collapsed="false">
      <c r="A5029" s="0" t="s">
        <v>5353</v>
      </c>
      <c r="B5029" s="0" t="s">
        <v>78</v>
      </c>
      <c r="C5029" s="0" t="str">
        <f aca="false">INDEX(Intent_Analysis!$B$5:$B$81,MATCH(B5029,Intent_Analysis!$A$5:$A$81,0))</f>
        <v>Cash, ATM &amp; deposits</v>
      </c>
      <c r="D5029" s="0" t="n">
        <f aca="false">INDEX(Intent_Analysis!$E$5:$E$81,MATCH(B5029,Intent_Analysis!$A$5:$A$81,0))</f>
        <v>2</v>
      </c>
    </row>
    <row r="5030" customFormat="false" ht="15" hidden="false" customHeight="false" outlineLevel="0" collapsed="false">
      <c r="A5030" s="0" t="s">
        <v>5354</v>
      </c>
      <c r="B5030" s="0" t="s">
        <v>78</v>
      </c>
      <c r="C5030" s="0" t="str">
        <f aca="false">INDEX(Intent_Analysis!$B$5:$B$81,MATCH(B5030,Intent_Analysis!$A$5:$A$81,0))</f>
        <v>Cash, ATM &amp; deposits</v>
      </c>
      <c r="D5030" s="0" t="n">
        <f aca="false">INDEX(Intent_Analysis!$E$5:$E$81,MATCH(B5030,Intent_Analysis!$A$5:$A$81,0))</f>
        <v>2</v>
      </c>
    </row>
    <row r="5031" customFormat="false" ht="15" hidden="false" customHeight="false" outlineLevel="0" collapsed="false">
      <c r="A5031" s="0" t="s">
        <v>5355</v>
      </c>
      <c r="B5031" s="0" t="s">
        <v>78</v>
      </c>
      <c r="C5031" s="0" t="str">
        <f aca="false">INDEX(Intent_Analysis!$B$5:$B$81,MATCH(B5031,Intent_Analysis!$A$5:$A$81,0))</f>
        <v>Cash, ATM &amp; deposits</v>
      </c>
      <c r="D5031" s="0" t="n">
        <f aca="false">INDEX(Intent_Analysis!$E$5:$E$81,MATCH(B5031,Intent_Analysis!$A$5:$A$81,0))</f>
        <v>2</v>
      </c>
    </row>
    <row r="5032" customFormat="false" ht="15" hidden="false" customHeight="false" outlineLevel="0" collapsed="false">
      <c r="A5032" s="0" t="s">
        <v>5356</v>
      </c>
      <c r="B5032" s="0" t="s">
        <v>78</v>
      </c>
      <c r="C5032" s="0" t="str">
        <f aca="false">INDEX(Intent_Analysis!$B$5:$B$81,MATCH(B5032,Intent_Analysis!$A$5:$A$81,0))</f>
        <v>Cash, ATM &amp; deposits</v>
      </c>
      <c r="D5032" s="0" t="n">
        <f aca="false">INDEX(Intent_Analysis!$E$5:$E$81,MATCH(B5032,Intent_Analysis!$A$5:$A$81,0))</f>
        <v>2</v>
      </c>
    </row>
    <row r="5033" customFormat="false" ht="15" hidden="false" customHeight="false" outlineLevel="0" collapsed="false">
      <c r="A5033" s="0" t="s">
        <v>5357</v>
      </c>
      <c r="B5033" s="0" t="s">
        <v>78</v>
      </c>
      <c r="C5033" s="0" t="str">
        <f aca="false">INDEX(Intent_Analysis!$B$5:$B$81,MATCH(B5033,Intent_Analysis!$A$5:$A$81,0))</f>
        <v>Cash, ATM &amp; deposits</v>
      </c>
      <c r="D5033" s="0" t="n">
        <f aca="false">INDEX(Intent_Analysis!$E$5:$E$81,MATCH(B5033,Intent_Analysis!$A$5:$A$81,0))</f>
        <v>2</v>
      </c>
    </row>
    <row r="5034" customFormat="false" ht="15" hidden="false" customHeight="false" outlineLevel="0" collapsed="false">
      <c r="A5034" s="0" t="s">
        <v>5358</v>
      </c>
      <c r="B5034" s="0" t="s">
        <v>78</v>
      </c>
      <c r="C5034" s="0" t="str">
        <f aca="false">INDEX(Intent_Analysis!$B$5:$B$81,MATCH(B5034,Intent_Analysis!$A$5:$A$81,0))</f>
        <v>Cash, ATM &amp; deposits</v>
      </c>
      <c r="D5034" s="0" t="n">
        <f aca="false">INDEX(Intent_Analysis!$E$5:$E$81,MATCH(B5034,Intent_Analysis!$A$5:$A$81,0))</f>
        <v>2</v>
      </c>
    </row>
    <row r="5035" customFormat="false" ht="15" hidden="false" customHeight="false" outlineLevel="0" collapsed="false">
      <c r="A5035" s="0" t="s">
        <v>5359</v>
      </c>
      <c r="B5035" s="0" t="s">
        <v>78</v>
      </c>
      <c r="C5035" s="0" t="str">
        <f aca="false">INDEX(Intent_Analysis!$B$5:$B$81,MATCH(B5035,Intent_Analysis!$A$5:$A$81,0))</f>
        <v>Cash, ATM &amp; deposits</v>
      </c>
      <c r="D5035" s="0" t="n">
        <f aca="false">INDEX(Intent_Analysis!$E$5:$E$81,MATCH(B5035,Intent_Analysis!$A$5:$A$81,0))</f>
        <v>2</v>
      </c>
    </row>
    <row r="5036" customFormat="false" ht="15" hidden="false" customHeight="false" outlineLevel="0" collapsed="false">
      <c r="A5036" s="0" t="s">
        <v>5360</v>
      </c>
      <c r="B5036" s="0" t="s">
        <v>78</v>
      </c>
      <c r="C5036" s="0" t="str">
        <f aca="false">INDEX(Intent_Analysis!$B$5:$B$81,MATCH(B5036,Intent_Analysis!$A$5:$A$81,0))</f>
        <v>Cash, ATM &amp; deposits</v>
      </c>
      <c r="D5036" s="0" t="n">
        <f aca="false">INDEX(Intent_Analysis!$E$5:$E$81,MATCH(B5036,Intent_Analysis!$A$5:$A$81,0))</f>
        <v>2</v>
      </c>
    </row>
    <row r="5037" customFormat="false" ht="15" hidden="false" customHeight="false" outlineLevel="0" collapsed="false">
      <c r="A5037" s="0" t="s">
        <v>5361</v>
      </c>
      <c r="B5037" s="0" t="s">
        <v>78</v>
      </c>
      <c r="C5037" s="0" t="str">
        <f aca="false">INDEX(Intent_Analysis!$B$5:$B$81,MATCH(B5037,Intent_Analysis!$A$5:$A$81,0))</f>
        <v>Cash, ATM &amp; deposits</v>
      </c>
      <c r="D5037" s="0" t="n">
        <f aca="false">INDEX(Intent_Analysis!$E$5:$E$81,MATCH(B5037,Intent_Analysis!$A$5:$A$81,0))</f>
        <v>2</v>
      </c>
    </row>
    <row r="5038" customFormat="false" ht="15" hidden="false" customHeight="false" outlineLevel="0" collapsed="false">
      <c r="A5038" s="0" t="s">
        <v>5362</v>
      </c>
      <c r="B5038" s="0" t="s">
        <v>78</v>
      </c>
      <c r="C5038" s="0" t="str">
        <f aca="false">INDEX(Intent_Analysis!$B$5:$B$81,MATCH(B5038,Intent_Analysis!$A$5:$A$81,0))</f>
        <v>Cash, ATM &amp; deposits</v>
      </c>
      <c r="D5038" s="0" t="n">
        <f aca="false">INDEX(Intent_Analysis!$E$5:$E$81,MATCH(B5038,Intent_Analysis!$A$5:$A$81,0))</f>
        <v>2</v>
      </c>
    </row>
    <row r="5039" customFormat="false" ht="15" hidden="false" customHeight="false" outlineLevel="0" collapsed="false">
      <c r="A5039" s="0" t="s">
        <v>5363</v>
      </c>
      <c r="B5039" s="0" t="s">
        <v>78</v>
      </c>
      <c r="C5039" s="0" t="str">
        <f aca="false">INDEX(Intent_Analysis!$B$5:$B$81,MATCH(B5039,Intent_Analysis!$A$5:$A$81,0))</f>
        <v>Cash, ATM &amp; deposits</v>
      </c>
      <c r="D5039" s="0" t="n">
        <f aca="false">INDEX(Intent_Analysis!$E$5:$E$81,MATCH(B5039,Intent_Analysis!$A$5:$A$81,0))</f>
        <v>2</v>
      </c>
    </row>
    <row r="5040" customFormat="false" ht="15" hidden="false" customHeight="false" outlineLevel="0" collapsed="false">
      <c r="A5040" s="0" t="s">
        <v>5364</v>
      </c>
      <c r="B5040" s="0" t="s">
        <v>78</v>
      </c>
      <c r="C5040" s="0" t="str">
        <f aca="false">INDEX(Intent_Analysis!$B$5:$B$81,MATCH(B5040,Intent_Analysis!$A$5:$A$81,0))</f>
        <v>Cash, ATM &amp; deposits</v>
      </c>
      <c r="D5040" s="0" t="n">
        <f aca="false">INDEX(Intent_Analysis!$E$5:$E$81,MATCH(B5040,Intent_Analysis!$A$5:$A$81,0))</f>
        <v>2</v>
      </c>
    </row>
    <row r="5041" customFormat="false" ht="15" hidden="false" customHeight="false" outlineLevel="0" collapsed="false">
      <c r="A5041" s="0" t="s">
        <v>5365</v>
      </c>
      <c r="B5041" s="0" t="s">
        <v>78</v>
      </c>
      <c r="C5041" s="0" t="str">
        <f aca="false">INDEX(Intent_Analysis!$B$5:$B$81,MATCH(B5041,Intent_Analysis!$A$5:$A$81,0))</f>
        <v>Cash, ATM &amp; deposits</v>
      </c>
      <c r="D5041" s="0" t="n">
        <f aca="false">INDEX(Intent_Analysis!$E$5:$E$81,MATCH(B5041,Intent_Analysis!$A$5:$A$81,0))</f>
        <v>2</v>
      </c>
    </row>
    <row r="5042" customFormat="false" ht="15" hidden="false" customHeight="false" outlineLevel="0" collapsed="false">
      <c r="A5042" s="0" t="s">
        <v>5366</v>
      </c>
      <c r="B5042" s="0" t="s">
        <v>78</v>
      </c>
      <c r="C5042" s="0" t="str">
        <f aca="false">INDEX(Intent_Analysis!$B$5:$B$81,MATCH(B5042,Intent_Analysis!$A$5:$A$81,0))</f>
        <v>Cash, ATM &amp; deposits</v>
      </c>
      <c r="D5042" s="0" t="n">
        <f aca="false">INDEX(Intent_Analysis!$E$5:$E$81,MATCH(B5042,Intent_Analysis!$A$5:$A$81,0))</f>
        <v>2</v>
      </c>
    </row>
    <row r="5043" customFormat="false" ht="15" hidden="false" customHeight="false" outlineLevel="0" collapsed="false">
      <c r="A5043" s="0" t="s">
        <v>5367</v>
      </c>
      <c r="B5043" s="0" t="s">
        <v>78</v>
      </c>
      <c r="C5043" s="0" t="str">
        <f aca="false">INDEX(Intent_Analysis!$B$5:$B$81,MATCH(B5043,Intent_Analysis!$A$5:$A$81,0))</f>
        <v>Cash, ATM &amp; deposits</v>
      </c>
      <c r="D5043" s="0" t="n">
        <f aca="false">INDEX(Intent_Analysis!$E$5:$E$81,MATCH(B5043,Intent_Analysis!$A$5:$A$81,0))</f>
        <v>2</v>
      </c>
    </row>
    <row r="5044" customFormat="false" ht="15" hidden="false" customHeight="false" outlineLevel="0" collapsed="false">
      <c r="A5044" s="0" t="s">
        <v>5368</v>
      </c>
      <c r="B5044" s="0" t="s">
        <v>78</v>
      </c>
      <c r="C5044" s="0" t="str">
        <f aca="false">INDEX(Intent_Analysis!$B$5:$B$81,MATCH(B5044,Intent_Analysis!$A$5:$A$81,0))</f>
        <v>Cash, ATM &amp; deposits</v>
      </c>
      <c r="D5044" s="0" t="n">
        <f aca="false">INDEX(Intent_Analysis!$E$5:$E$81,MATCH(B5044,Intent_Analysis!$A$5:$A$81,0))</f>
        <v>2</v>
      </c>
    </row>
    <row r="5045" customFormat="false" ht="15" hidden="false" customHeight="false" outlineLevel="0" collapsed="false">
      <c r="A5045" s="0" t="s">
        <v>5369</v>
      </c>
      <c r="B5045" s="0" t="s">
        <v>78</v>
      </c>
      <c r="C5045" s="0" t="str">
        <f aca="false">INDEX(Intent_Analysis!$B$5:$B$81,MATCH(B5045,Intent_Analysis!$A$5:$A$81,0))</f>
        <v>Cash, ATM &amp; deposits</v>
      </c>
      <c r="D5045" s="0" t="n">
        <f aca="false">INDEX(Intent_Analysis!$E$5:$E$81,MATCH(B5045,Intent_Analysis!$A$5:$A$81,0))</f>
        <v>2</v>
      </c>
    </row>
    <row r="5046" customFormat="false" ht="15" hidden="false" customHeight="false" outlineLevel="0" collapsed="false">
      <c r="A5046" s="0" t="s">
        <v>5370</v>
      </c>
      <c r="B5046" s="0" t="s">
        <v>78</v>
      </c>
      <c r="C5046" s="0" t="str">
        <f aca="false">INDEX(Intent_Analysis!$B$5:$B$81,MATCH(B5046,Intent_Analysis!$A$5:$A$81,0))</f>
        <v>Cash, ATM &amp; deposits</v>
      </c>
      <c r="D5046" s="0" t="n">
        <f aca="false">INDEX(Intent_Analysis!$E$5:$E$81,MATCH(B5046,Intent_Analysis!$A$5:$A$81,0))</f>
        <v>2</v>
      </c>
    </row>
    <row r="5047" customFormat="false" ht="15" hidden="false" customHeight="false" outlineLevel="0" collapsed="false">
      <c r="A5047" s="0" t="s">
        <v>5371</v>
      </c>
      <c r="B5047" s="0" t="s">
        <v>78</v>
      </c>
      <c r="C5047" s="0" t="str">
        <f aca="false">INDEX(Intent_Analysis!$B$5:$B$81,MATCH(B5047,Intent_Analysis!$A$5:$A$81,0))</f>
        <v>Cash, ATM &amp; deposits</v>
      </c>
      <c r="D5047" s="0" t="n">
        <f aca="false">INDEX(Intent_Analysis!$E$5:$E$81,MATCH(B5047,Intent_Analysis!$A$5:$A$81,0))</f>
        <v>2</v>
      </c>
    </row>
    <row r="5048" customFormat="false" ht="15" hidden="false" customHeight="false" outlineLevel="0" collapsed="false">
      <c r="A5048" s="0" t="s">
        <v>5372</v>
      </c>
      <c r="B5048" s="0" t="s">
        <v>78</v>
      </c>
      <c r="C5048" s="0" t="str">
        <f aca="false">INDEX(Intent_Analysis!$B$5:$B$81,MATCH(B5048,Intent_Analysis!$A$5:$A$81,0))</f>
        <v>Cash, ATM &amp; deposits</v>
      </c>
      <c r="D5048" s="0" t="n">
        <f aca="false">INDEX(Intent_Analysis!$E$5:$E$81,MATCH(B5048,Intent_Analysis!$A$5:$A$81,0))</f>
        <v>2</v>
      </c>
    </row>
    <row r="5049" customFormat="false" ht="15" hidden="false" customHeight="false" outlineLevel="0" collapsed="false">
      <c r="A5049" s="0" t="s">
        <v>5373</v>
      </c>
      <c r="B5049" s="0" t="s">
        <v>78</v>
      </c>
      <c r="C5049" s="0" t="str">
        <f aca="false">INDEX(Intent_Analysis!$B$5:$B$81,MATCH(B5049,Intent_Analysis!$A$5:$A$81,0))</f>
        <v>Cash, ATM &amp; deposits</v>
      </c>
      <c r="D5049" s="0" t="n">
        <f aca="false">INDEX(Intent_Analysis!$E$5:$E$81,MATCH(B5049,Intent_Analysis!$A$5:$A$81,0))</f>
        <v>2</v>
      </c>
    </row>
    <row r="5050" customFormat="false" ht="15" hidden="false" customHeight="false" outlineLevel="0" collapsed="false">
      <c r="A5050" s="0" t="s">
        <v>5374</v>
      </c>
      <c r="B5050" s="0" t="s">
        <v>78</v>
      </c>
      <c r="C5050" s="0" t="str">
        <f aca="false">INDEX(Intent_Analysis!$B$5:$B$81,MATCH(B5050,Intent_Analysis!$A$5:$A$81,0))</f>
        <v>Cash, ATM &amp; deposits</v>
      </c>
      <c r="D5050" s="0" t="n">
        <f aca="false">INDEX(Intent_Analysis!$E$5:$E$81,MATCH(B5050,Intent_Analysis!$A$5:$A$81,0))</f>
        <v>2</v>
      </c>
    </row>
    <row r="5051" customFormat="false" ht="15" hidden="false" customHeight="false" outlineLevel="0" collapsed="false">
      <c r="A5051" s="0" t="s">
        <v>5375</v>
      </c>
      <c r="B5051" s="0" t="s">
        <v>78</v>
      </c>
      <c r="C5051" s="0" t="str">
        <f aca="false">INDEX(Intent_Analysis!$B$5:$B$81,MATCH(B5051,Intent_Analysis!$A$5:$A$81,0))</f>
        <v>Cash, ATM &amp; deposits</v>
      </c>
      <c r="D5051" s="0" t="n">
        <f aca="false">INDEX(Intent_Analysis!$E$5:$E$81,MATCH(B5051,Intent_Analysis!$A$5:$A$81,0))</f>
        <v>2</v>
      </c>
    </row>
    <row r="5052" customFormat="false" ht="15" hidden="false" customHeight="false" outlineLevel="0" collapsed="false">
      <c r="A5052" s="0" t="s">
        <v>5376</v>
      </c>
      <c r="B5052" s="0" t="s">
        <v>78</v>
      </c>
      <c r="C5052" s="0" t="str">
        <f aca="false">INDEX(Intent_Analysis!$B$5:$B$81,MATCH(B5052,Intent_Analysis!$A$5:$A$81,0))</f>
        <v>Cash, ATM &amp; deposits</v>
      </c>
      <c r="D5052" s="0" t="n">
        <f aca="false">INDEX(Intent_Analysis!$E$5:$E$81,MATCH(B5052,Intent_Analysis!$A$5:$A$81,0))</f>
        <v>2</v>
      </c>
    </row>
    <row r="5053" customFormat="false" ht="15" hidden="false" customHeight="false" outlineLevel="0" collapsed="false">
      <c r="A5053" s="0" t="s">
        <v>5377</v>
      </c>
      <c r="B5053" s="0" t="s">
        <v>78</v>
      </c>
      <c r="C5053" s="0" t="str">
        <f aca="false">INDEX(Intent_Analysis!$B$5:$B$81,MATCH(B5053,Intent_Analysis!$A$5:$A$81,0))</f>
        <v>Cash, ATM &amp; deposits</v>
      </c>
      <c r="D5053" s="0" t="n">
        <f aca="false">INDEX(Intent_Analysis!$E$5:$E$81,MATCH(B5053,Intent_Analysis!$A$5:$A$81,0))</f>
        <v>2</v>
      </c>
    </row>
    <row r="5054" customFormat="false" ht="15" hidden="false" customHeight="false" outlineLevel="0" collapsed="false">
      <c r="A5054" s="0" t="s">
        <v>5378</v>
      </c>
      <c r="B5054" s="0" t="s">
        <v>78</v>
      </c>
      <c r="C5054" s="0" t="str">
        <f aca="false">INDEX(Intent_Analysis!$B$5:$B$81,MATCH(B5054,Intent_Analysis!$A$5:$A$81,0))</f>
        <v>Cash, ATM &amp; deposits</v>
      </c>
      <c r="D5054" s="0" t="n">
        <f aca="false">INDEX(Intent_Analysis!$E$5:$E$81,MATCH(B5054,Intent_Analysis!$A$5:$A$81,0))</f>
        <v>2</v>
      </c>
    </row>
    <row r="5055" customFormat="false" ht="15" hidden="false" customHeight="false" outlineLevel="0" collapsed="false">
      <c r="A5055" s="0" t="s">
        <v>5379</v>
      </c>
      <c r="B5055" s="0" t="s">
        <v>78</v>
      </c>
      <c r="C5055" s="0" t="str">
        <f aca="false">INDEX(Intent_Analysis!$B$5:$B$81,MATCH(B5055,Intent_Analysis!$A$5:$A$81,0))</f>
        <v>Cash, ATM &amp; deposits</v>
      </c>
      <c r="D5055" s="0" t="n">
        <f aca="false">INDEX(Intent_Analysis!$E$5:$E$81,MATCH(B5055,Intent_Analysis!$A$5:$A$81,0))</f>
        <v>2</v>
      </c>
    </row>
    <row r="5056" customFormat="false" ht="15" hidden="false" customHeight="false" outlineLevel="0" collapsed="false">
      <c r="A5056" s="0" t="s">
        <v>5380</v>
      </c>
      <c r="B5056" s="0" t="s">
        <v>78</v>
      </c>
      <c r="C5056" s="0" t="str">
        <f aca="false">INDEX(Intent_Analysis!$B$5:$B$81,MATCH(B5056,Intent_Analysis!$A$5:$A$81,0))</f>
        <v>Cash, ATM &amp; deposits</v>
      </c>
      <c r="D5056" s="0" t="n">
        <f aca="false">INDEX(Intent_Analysis!$E$5:$E$81,MATCH(B5056,Intent_Analysis!$A$5:$A$81,0))</f>
        <v>2</v>
      </c>
    </row>
    <row r="5057" customFormat="false" ht="15" hidden="false" customHeight="false" outlineLevel="0" collapsed="false">
      <c r="A5057" s="0" t="s">
        <v>5381</v>
      </c>
      <c r="B5057" s="0" t="s">
        <v>78</v>
      </c>
      <c r="C5057" s="0" t="str">
        <f aca="false">INDEX(Intent_Analysis!$B$5:$B$81,MATCH(B5057,Intent_Analysis!$A$5:$A$81,0))</f>
        <v>Cash, ATM &amp; deposits</v>
      </c>
      <c r="D5057" s="0" t="n">
        <f aca="false">INDEX(Intent_Analysis!$E$5:$E$81,MATCH(B5057,Intent_Analysis!$A$5:$A$81,0))</f>
        <v>2</v>
      </c>
    </row>
    <row r="5058" customFormat="false" ht="15" hidden="false" customHeight="false" outlineLevel="0" collapsed="false">
      <c r="A5058" s="0" t="s">
        <v>5382</v>
      </c>
      <c r="B5058" s="0" t="s">
        <v>78</v>
      </c>
      <c r="C5058" s="0" t="str">
        <f aca="false">INDEX(Intent_Analysis!$B$5:$B$81,MATCH(B5058,Intent_Analysis!$A$5:$A$81,0))</f>
        <v>Cash, ATM &amp; deposits</v>
      </c>
      <c r="D5058" s="0" t="n">
        <f aca="false">INDEX(Intent_Analysis!$E$5:$E$81,MATCH(B5058,Intent_Analysis!$A$5:$A$81,0))</f>
        <v>2</v>
      </c>
    </row>
    <row r="5059" customFormat="false" ht="15" hidden="false" customHeight="false" outlineLevel="0" collapsed="false">
      <c r="A5059" s="0" t="s">
        <v>5383</v>
      </c>
      <c r="B5059" s="0" t="s">
        <v>78</v>
      </c>
      <c r="C5059" s="0" t="str">
        <f aca="false">INDEX(Intent_Analysis!$B$5:$B$81,MATCH(B5059,Intent_Analysis!$A$5:$A$81,0))</f>
        <v>Cash, ATM &amp; deposits</v>
      </c>
      <c r="D5059" s="0" t="n">
        <f aca="false">INDEX(Intent_Analysis!$E$5:$E$81,MATCH(B5059,Intent_Analysis!$A$5:$A$81,0))</f>
        <v>2</v>
      </c>
    </row>
    <row r="5060" customFormat="false" ht="15" hidden="false" customHeight="false" outlineLevel="0" collapsed="false">
      <c r="A5060" s="0" t="s">
        <v>5384</v>
      </c>
      <c r="B5060" s="0" t="s">
        <v>78</v>
      </c>
      <c r="C5060" s="0" t="str">
        <f aca="false">INDEX(Intent_Analysis!$B$5:$B$81,MATCH(B5060,Intent_Analysis!$A$5:$A$81,0))</f>
        <v>Cash, ATM &amp; deposits</v>
      </c>
      <c r="D5060" s="0" t="n">
        <f aca="false">INDEX(Intent_Analysis!$E$5:$E$81,MATCH(B5060,Intent_Analysis!$A$5:$A$81,0))</f>
        <v>2</v>
      </c>
    </row>
    <row r="5061" customFormat="false" ht="15" hidden="false" customHeight="false" outlineLevel="0" collapsed="false">
      <c r="A5061" s="0" t="s">
        <v>5385</v>
      </c>
      <c r="B5061" s="0" t="s">
        <v>78</v>
      </c>
      <c r="C5061" s="0" t="str">
        <f aca="false">INDEX(Intent_Analysis!$B$5:$B$81,MATCH(B5061,Intent_Analysis!$A$5:$A$81,0))</f>
        <v>Cash, ATM &amp; deposits</v>
      </c>
      <c r="D5061" s="0" t="n">
        <f aca="false">INDEX(Intent_Analysis!$E$5:$E$81,MATCH(B5061,Intent_Analysis!$A$5:$A$81,0))</f>
        <v>2</v>
      </c>
    </row>
    <row r="5062" customFormat="false" ht="15" hidden="false" customHeight="false" outlineLevel="0" collapsed="false">
      <c r="A5062" s="0" t="s">
        <v>5386</v>
      </c>
      <c r="B5062" s="0" t="s">
        <v>78</v>
      </c>
      <c r="C5062" s="0" t="str">
        <f aca="false">INDEX(Intent_Analysis!$B$5:$B$81,MATCH(B5062,Intent_Analysis!$A$5:$A$81,0))</f>
        <v>Cash, ATM &amp; deposits</v>
      </c>
      <c r="D5062" s="0" t="n">
        <f aca="false">INDEX(Intent_Analysis!$E$5:$E$81,MATCH(B5062,Intent_Analysis!$A$5:$A$81,0))</f>
        <v>2</v>
      </c>
    </row>
    <row r="5063" customFormat="false" ht="15" hidden="false" customHeight="false" outlineLevel="0" collapsed="false">
      <c r="A5063" s="0" t="s">
        <v>5387</v>
      </c>
      <c r="B5063" s="0" t="s">
        <v>78</v>
      </c>
      <c r="C5063" s="0" t="str">
        <f aca="false">INDEX(Intent_Analysis!$B$5:$B$81,MATCH(B5063,Intent_Analysis!$A$5:$A$81,0))</f>
        <v>Cash, ATM &amp; deposits</v>
      </c>
      <c r="D5063" s="0" t="n">
        <f aca="false">INDEX(Intent_Analysis!$E$5:$E$81,MATCH(B5063,Intent_Analysis!$A$5:$A$81,0))</f>
        <v>2</v>
      </c>
    </row>
    <row r="5064" customFormat="false" ht="15" hidden="false" customHeight="false" outlineLevel="0" collapsed="false">
      <c r="A5064" s="0" t="s">
        <v>5388</v>
      </c>
      <c r="B5064" s="0" t="s">
        <v>78</v>
      </c>
      <c r="C5064" s="0" t="str">
        <f aca="false">INDEX(Intent_Analysis!$B$5:$B$81,MATCH(B5064,Intent_Analysis!$A$5:$A$81,0))</f>
        <v>Cash, ATM &amp; deposits</v>
      </c>
      <c r="D5064" s="0" t="n">
        <f aca="false">INDEX(Intent_Analysis!$E$5:$E$81,MATCH(B5064,Intent_Analysis!$A$5:$A$81,0))</f>
        <v>2</v>
      </c>
    </row>
    <row r="5065" customFormat="false" ht="15" hidden="false" customHeight="false" outlineLevel="0" collapsed="false">
      <c r="A5065" s="0" t="s">
        <v>5389</v>
      </c>
      <c r="B5065" s="0" t="s">
        <v>78</v>
      </c>
      <c r="C5065" s="0" t="str">
        <f aca="false">INDEX(Intent_Analysis!$B$5:$B$81,MATCH(B5065,Intent_Analysis!$A$5:$A$81,0))</f>
        <v>Cash, ATM &amp; deposits</v>
      </c>
      <c r="D5065" s="0" t="n">
        <f aca="false">INDEX(Intent_Analysis!$E$5:$E$81,MATCH(B5065,Intent_Analysis!$A$5:$A$81,0))</f>
        <v>2</v>
      </c>
    </row>
    <row r="5066" customFormat="false" ht="15" hidden="false" customHeight="false" outlineLevel="0" collapsed="false">
      <c r="A5066" s="0" t="s">
        <v>5390</v>
      </c>
      <c r="B5066" s="0" t="s">
        <v>78</v>
      </c>
      <c r="C5066" s="0" t="str">
        <f aca="false">INDEX(Intent_Analysis!$B$5:$B$81,MATCH(B5066,Intent_Analysis!$A$5:$A$81,0))</f>
        <v>Cash, ATM &amp; deposits</v>
      </c>
      <c r="D5066" s="0" t="n">
        <f aca="false">INDEX(Intent_Analysis!$E$5:$E$81,MATCH(B5066,Intent_Analysis!$A$5:$A$81,0))</f>
        <v>2</v>
      </c>
    </row>
    <row r="5067" customFormat="false" ht="15" hidden="false" customHeight="false" outlineLevel="0" collapsed="false">
      <c r="A5067" s="0" t="s">
        <v>5391</v>
      </c>
      <c r="B5067" s="0" t="s">
        <v>78</v>
      </c>
      <c r="C5067" s="0" t="str">
        <f aca="false">INDEX(Intent_Analysis!$B$5:$B$81,MATCH(B5067,Intent_Analysis!$A$5:$A$81,0))</f>
        <v>Cash, ATM &amp; deposits</v>
      </c>
      <c r="D5067" s="0" t="n">
        <f aca="false">INDEX(Intent_Analysis!$E$5:$E$81,MATCH(B5067,Intent_Analysis!$A$5:$A$81,0))</f>
        <v>2</v>
      </c>
    </row>
    <row r="5068" customFormat="false" ht="15" hidden="false" customHeight="false" outlineLevel="0" collapsed="false">
      <c r="A5068" s="0" t="s">
        <v>5392</v>
      </c>
      <c r="B5068" s="0" t="s">
        <v>78</v>
      </c>
      <c r="C5068" s="0" t="str">
        <f aca="false">INDEX(Intent_Analysis!$B$5:$B$81,MATCH(B5068,Intent_Analysis!$A$5:$A$81,0))</f>
        <v>Cash, ATM &amp; deposits</v>
      </c>
      <c r="D5068" s="0" t="n">
        <f aca="false">INDEX(Intent_Analysis!$E$5:$E$81,MATCH(B5068,Intent_Analysis!$A$5:$A$81,0))</f>
        <v>2</v>
      </c>
    </row>
    <row r="5069" customFormat="false" ht="15" hidden="false" customHeight="false" outlineLevel="0" collapsed="false">
      <c r="A5069" s="0" t="s">
        <v>5393</v>
      </c>
      <c r="B5069" s="0" t="s">
        <v>78</v>
      </c>
      <c r="C5069" s="0" t="str">
        <f aca="false">INDEX(Intent_Analysis!$B$5:$B$81,MATCH(B5069,Intent_Analysis!$A$5:$A$81,0))</f>
        <v>Cash, ATM &amp; deposits</v>
      </c>
      <c r="D5069" s="0" t="n">
        <f aca="false">INDEX(Intent_Analysis!$E$5:$E$81,MATCH(B5069,Intent_Analysis!$A$5:$A$81,0))</f>
        <v>2</v>
      </c>
    </row>
    <row r="5070" customFormat="false" ht="15" hidden="false" customHeight="false" outlineLevel="0" collapsed="false">
      <c r="A5070" s="0" t="s">
        <v>5394</v>
      </c>
      <c r="B5070" s="0" t="s">
        <v>78</v>
      </c>
      <c r="C5070" s="0" t="str">
        <f aca="false">INDEX(Intent_Analysis!$B$5:$B$81,MATCH(B5070,Intent_Analysis!$A$5:$A$81,0))</f>
        <v>Cash, ATM &amp; deposits</v>
      </c>
      <c r="D5070" s="0" t="n">
        <f aca="false">INDEX(Intent_Analysis!$E$5:$E$81,MATCH(B5070,Intent_Analysis!$A$5:$A$81,0))</f>
        <v>2</v>
      </c>
    </row>
    <row r="5071" customFormat="false" ht="15" hidden="false" customHeight="false" outlineLevel="0" collapsed="false">
      <c r="A5071" s="0" t="s">
        <v>5395</v>
      </c>
      <c r="B5071" s="0" t="s">
        <v>78</v>
      </c>
      <c r="C5071" s="0" t="str">
        <f aca="false">INDEX(Intent_Analysis!$B$5:$B$81,MATCH(B5071,Intent_Analysis!$A$5:$A$81,0))</f>
        <v>Cash, ATM &amp; deposits</v>
      </c>
      <c r="D5071" s="0" t="n">
        <f aca="false">INDEX(Intent_Analysis!$E$5:$E$81,MATCH(B5071,Intent_Analysis!$A$5:$A$81,0))</f>
        <v>2</v>
      </c>
    </row>
    <row r="5072" customFormat="false" ht="15" hidden="false" customHeight="false" outlineLevel="0" collapsed="false">
      <c r="A5072" s="0" t="s">
        <v>5396</v>
      </c>
      <c r="B5072" s="0" t="s">
        <v>78</v>
      </c>
      <c r="C5072" s="0" t="str">
        <f aca="false">INDEX(Intent_Analysis!$B$5:$B$81,MATCH(B5072,Intent_Analysis!$A$5:$A$81,0))</f>
        <v>Cash, ATM &amp; deposits</v>
      </c>
      <c r="D5072" s="0" t="n">
        <f aca="false">INDEX(Intent_Analysis!$E$5:$E$81,MATCH(B5072,Intent_Analysis!$A$5:$A$81,0))</f>
        <v>2</v>
      </c>
    </row>
    <row r="5073" customFormat="false" ht="15" hidden="false" customHeight="false" outlineLevel="0" collapsed="false">
      <c r="A5073" s="0" t="s">
        <v>5397</v>
      </c>
      <c r="B5073" s="0" t="s">
        <v>78</v>
      </c>
      <c r="C5073" s="0" t="str">
        <f aca="false">INDEX(Intent_Analysis!$B$5:$B$81,MATCH(B5073,Intent_Analysis!$A$5:$A$81,0))</f>
        <v>Cash, ATM &amp; deposits</v>
      </c>
      <c r="D5073" s="0" t="n">
        <f aca="false">INDEX(Intent_Analysis!$E$5:$E$81,MATCH(B5073,Intent_Analysis!$A$5:$A$81,0))</f>
        <v>2</v>
      </c>
    </row>
    <row r="5074" customFormat="false" ht="15" hidden="false" customHeight="false" outlineLevel="0" collapsed="false">
      <c r="A5074" s="0" t="s">
        <v>5398</v>
      </c>
      <c r="B5074" s="0" t="s">
        <v>78</v>
      </c>
      <c r="C5074" s="0" t="str">
        <f aca="false">INDEX(Intent_Analysis!$B$5:$B$81,MATCH(B5074,Intent_Analysis!$A$5:$A$81,0))</f>
        <v>Cash, ATM &amp; deposits</v>
      </c>
      <c r="D5074" s="0" t="n">
        <f aca="false">INDEX(Intent_Analysis!$E$5:$E$81,MATCH(B5074,Intent_Analysis!$A$5:$A$81,0))</f>
        <v>2</v>
      </c>
    </row>
    <row r="5075" customFormat="false" ht="15" hidden="false" customHeight="false" outlineLevel="0" collapsed="false">
      <c r="A5075" s="0" t="s">
        <v>5399</v>
      </c>
      <c r="B5075" s="0" t="s">
        <v>78</v>
      </c>
      <c r="C5075" s="0" t="str">
        <f aca="false">INDEX(Intent_Analysis!$B$5:$B$81,MATCH(B5075,Intent_Analysis!$A$5:$A$81,0))</f>
        <v>Cash, ATM &amp; deposits</v>
      </c>
      <c r="D5075" s="0" t="n">
        <f aca="false">INDEX(Intent_Analysis!$E$5:$E$81,MATCH(B5075,Intent_Analysis!$A$5:$A$81,0))</f>
        <v>2</v>
      </c>
    </row>
    <row r="5076" customFormat="false" ht="15" hidden="false" customHeight="false" outlineLevel="0" collapsed="false">
      <c r="A5076" s="0" t="s">
        <v>5400</v>
      </c>
      <c r="B5076" s="0" t="s">
        <v>78</v>
      </c>
      <c r="C5076" s="0" t="str">
        <f aca="false">INDEX(Intent_Analysis!$B$5:$B$81,MATCH(B5076,Intent_Analysis!$A$5:$A$81,0))</f>
        <v>Cash, ATM &amp; deposits</v>
      </c>
      <c r="D5076" s="0" t="n">
        <f aca="false">INDEX(Intent_Analysis!$E$5:$E$81,MATCH(B5076,Intent_Analysis!$A$5:$A$81,0))</f>
        <v>2</v>
      </c>
    </row>
    <row r="5077" customFormat="false" ht="15" hidden="false" customHeight="false" outlineLevel="0" collapsed="false">
      <c r="A5077" s="0" t="s">
        <v>5401</v>
      </c>
      <c r="B5077" s="0" t="s">
        <v>78</v>
      </c>
      <c r="C5077" s="0" t="str">
        <f aca="false">INDEX(Intent_Analysis!$B$5:$B$81,MATCH(B5077,Intent_Analysis!$A$5:$A$81,0))</f>
        <v>Cash, ATM &amp; deposits</v>
      </c>
      <c r="D5077" s="0" t="n">
        <f aca="false">INDEX(Intent_Analysis!$E$5:$E$81,MATCH(B5077,Intent_Analysis!$A$5:$A$81,0))</f>
        <v>2</v>
      </c>
    </row>
    <row r="5078" customFormat="false" ht="15" hidden="false" customHeight="false" outlineLevel="0" collapsed="false">
      <c r="A5078" s="0" t="s">
        <v>5402</v>
      </c>
      <c r="B5078" s="0" t="s">
        <v>78</v>
      </c>
      <c r="C5078" s="0" t="str">
        <f aca="false">INDEX(Intent_Analysis!$B$5:$B$81,MATCH(B5078,Intent_Analysis!$A$5:$A$81,0))</f>
        <v>Cash, ATM &amp; deposits</v>
      </c>
      <c r="D5078" s="0" t="n">
        <f aca="false">INDEX(Intent_Analysis!$E$5:$E$81,MATCH(B5078,Intent_Analysis!$A$5:$A$81,0))</f>
        <v>2</v>
      </c>
    </row>
    <row r="5079" customFormat="false" ht="15" hidden="false" customHeight="false" outlineLevel="0" collapsed="false">
      <c r="A5079" s="0" t="s">
        <v>5403</v>
      </c>
      <c r="B5079" s="0" t="s">
        <v>78</v>
      </c>
      <c r="C5079" s="0" t="str">
        <f aca="false">INDEX(Intent_Analysis!$B$5:$B$81,MATCH(B5079,Intent_Analysis!$A$5:$A$81,0))</f>
        <v>Cash, ATM &amp; deposits</v>
      </c>
      <c r="D5079" s="0" t="n">
        <f aca="false">INDEX(Intent_Analysis!$E$5:$E$81,MATCH(B5079,Intent_Analysis!$A$5:$A$81,0))</f>
        <v>2</v>
      </c>
    </row>
    <row r="5080" customFormat="false" ht="15" hidden="false" customHeight="false" outlineLevel="0" collapsed="false">
      <c r="A5080" s="0" t="s">
        <v>5404</v>
      </c>
      <c r="B5080" s="0" t="s">
        <v>78</v>
      </c>
      <c r="C5080" s="0" t="str">
        <f aca="false">INDEX(Intent_Analysis!$B$5:$B$81,MATCH(B5080,Intent_Analysis!$A$5:$A$81,0))</f>
        <v>Cash, ATM &amp; deposits</v>
      </c>
      <c r="D5080" s="0" t="n">
        <f aca="false">INDEX(Intent_Analysis!$E$5:$E$81,MATCH(B5080,Intent_Analysis!$A$5:$A$81,0))</f>
        <v>2</v>
      </c>
    </row>
    <row r="5081" customFormat="false" ht="15" hidden="false" customHeight="false" outlineLevel="0" collapsed="false">
      <c r="A5081" s="0" t="s">
        <v>5405</v>
      </c>
      <c r="B5081" s="0" t="s">
        <v>78</v>
      </c>
      <c r="C5081" s="0" t="str">
        <f aca="false">INDEX(Intent_Analysis!$B$5:$B$81,MATCH(B5081,Intent_Analysis!$A$5:$A$81,0))</f>
        <v>Cash, ATM &amp; deposits</v>
      </c>
      <c r="D5081" s="0" t="n">
        <f aca="false">INDEX(Intent_Analysis!$E$5:$E$81,MATCH(B5081,Intent_Analysis!$A$5:$A$81,0))</f>
        <v>2</v>
      </c>
    </row>
    <row r="5082" customFormat="false" ht="15" hidden="false" customHeight="false" outlineLevel="0" collapsed="false">
      <c r="A5082" s="0" t="s">
        <v>5406</v>
      </c>
      <c r="B5082" s="0" t="s">
        <v>78</v>
      </c>
      <c r="C5082" s="0" t="str">
        <f aca="false">INDEX(Intent_Analysis!$B$5:$B$81,MATCH(B5082,Intent_Analysis!$A$5:$A$81,0))</f>
        <v>Cash, ATM &amp; deposits</v>
      </c>
      <c r="D5082" s="0" t="n">
        <f aca="false">INDEX(Intent_Analysis!$E$5:$E$81,MATCH(B5082,Intent_Analysis!$A$5:$A$81,0))</f>
        <v>2</v>
      </c>
    </row>
    <row r="5083" customFormat="false" ht="15" hidden="false" customHeight="false" outlineLevel="0" collapsed="false">
      <c r="A5083" s="0" t="s">
        <v>5407</v>
      </c>
      <c r="B5083" s="0" t="s">
        <v>78</v>
      </c>
      <c r="C5083" s="0" t="str">
        <f aca="false">INDEX(Intent_Analysis!$B$5:$B$81,MATCH(B5083,Intent_Analysis!$A$5:$A$81,0))</f>
        <v>Cash, ATM &amp; deposits</v>
      </c>
      <c r="D5083" s="0" t="n">
        <f aca="false">INDEX(Intent_Analysis!$E$5:$E$81,MATCH(B5083,Intent_Analysis!$A$5:$A$81,0))</f>
        <v>2</v>
      </c>
    </row>
    <row r="5084" customFormat="false" ht="15" hidden="false" customHeight="false" outlineLevel="0" collapsed="false">
      <c r="A5084" s="0" t="s">
        <v>5408</v>
      </c>
      <c r="B5084" s="0" t="s">
        <v>78</v>
      </c>
      <c r="C5084" s="0" t="str">
        <f aca="false">INDEX(Intent_Analysis!$B$5:$B$81,MATCH(B5084,Intent_Analysis!$A$5:$A$81,0))</f>
        <v>Cash, ATM &amp; deposits</v>
      </c>
      <c r="D5084" s="0" t="n">
        <f aca="false">INDEX(Intent_Analysis!$E$5:$E$81,MATCH(B5084,Intent_Analysis!$A$5:$A$81,0))</f>
        <v>2</v>
      </c>
    </row>
    <row r="5085" customFormat="false" ht="15" hidden="false" customHeight="false" outlineLevel="0" collapsed="false">
      <c r="A5085" s="0" t="s">
        <v>5409</v>
      </c>
      <c r="B5085" s="0" t="s">
        <v>78</v>
      </c>
      <c r="C5085" s="0" t="str">
        <f aca="false">INDEX(Intent_Analysis!$B$5:$B$81,MATCH(B5085,Intent_Analysis!$A$5:$A$81,0))</f>
        <v>Cash, ATM &amp; deposits</v>
      </c>
      <c r="D5085" s="0" t="n">
        <f aca="false">INDEX(Intent_Analysis!$E$5:$E$81,MATCH(B5085,Intent_Analysis!$A$5:$A$81,0))</f>
        <v>2</v>
      </c>
    </row>
    <row r="5086" customFormat="false" ht="15" hidden="false" customHeight="false" outlineLevel="0" collapsed="false">
      <c r="A5086" s="0" t="s">
        <v>5410</v>
      </c>
      <c r="B5086" s="0" t="s">
        <v>78</v>
      </c>
      <c r="C5086" s="0" t="str">
        <f aca="false">INDEX(Intent_Analysis!$B$5:$B$81,MATCH(B5086,Intent_Analysis!$A$5:$A$81,0))</f>
        <v>Cash, ATM &amp; deposits</v>
      </c>
      <c r="D5086" s="0" t="n">
        <f aca="false">INDEX(Intent_Analysis!$E$5:$E$81,MATCH(B5086,Intent_Analysis!$A$5:$A$81,0))</f>
        <v>2</v>
      </c>
    </row>
    <row r="5087" customFormat="false" ht="15" hidden="false" customHeight="false" outlineLevel="0" collapsed="false">
      <c r="A5087" s="0" t="s">
        <v>5411</v>
      </c>
      <c r="B5087" s="0" t="s">
        <v>78</v>
      </c>
      <c r="C5087" s="0" t="str">
        <f aca="false">INDEX(Intent_Analysis!$B$5:$B$81,MATCH(B5087,Intent_Analysis!$A$5:$A$81,0))</f>
        <v>Cash, ATM &amp; deposits</v>
      </c>
      <c r="D5087" s="0" t="n">
        <f aca="false">INDEX(Intent_Analysis!$E$5:$E$81,MATCH(B5087,Intent_Analysis!$A$5:$A$81,0))</f>
        <v>2</v>
      </c>
    </row>
    <row r="5088" customFormat="false" ht="15" hidden="false" customHeight="false" outlineLevel="0" collapsed="false">
      <c r="A5088" s="0" t="s">
        <v>5412</v>
      </c>
      <c r="B5088" s="0" t="s">
        <v>78</v>
      </c>
      <c r="C5088" s="0" t="str">
        <f aca="false">INDEX(Intent_Analysis!$B$5:$B$81,MATCH(B5088,Intent_Analysis!$A$5:$A$81,0))</f>
        <v>Cash, ATM &amp; deposits</v>
      </c>
      <c r="D5088" s="0" t="n">
        <f aca="false">INDEX(Intent_Analysis!$E$5:$E$81,MATCH(B5088,Intent_Analysis!$A$5:$A$81,0))</f>
        <v>2</v>
      </c>
    </row>
    <row r="5089" customFormat="false" ht="15" hidden="false" customHeight="false" outlineLevel="0" collapsed="false">
      <c r="A5089" s="0" t="s">
        <v>5413</v>
      </c>
      <c r="B5089" s="0" t="s">
        <v>78</v>
      </c>
      <c r="C5089" s="0" t="str">
        <f aca="false">INDEX(Intent_Analysis!$B$5:$B$81,MATCH(B5089,Intent_Analysis!$A$5:$A$81,0))</f>
        <v>Cash, ATM &amp; deposits</v>
      </c>
      <c r="D5089" s="0" t="n">
        <f aca="false">INDEX(Intent_Analysis!$E$5:$E$81,MATCH(B5089,Intent_Analysis!$A$5:$A$81,0))</f>
        <v>2</v>
      </c>
    </row>
    <row r="5090" customFormat="false" ht="15" hidden="false" customHeight="false" outlineLevel="0" collapsed="false">
      <c r="A5090" s="0" t="s">
        <v>5414</v>
      </c>
      <c r="B5090" s="0" t="s">
        <v>78</v>
      </c>
      <c r="C5090" s="0" t="str">
        <f aca="false">INDEX(Intent_Analysis!$B$5:$B$81,MATCH(B5090,Intent_Analysis!$A$5:$A$81,0))</f>
        <v>Cash, ATM &amp; deposits</v>
      </c>
      <c r="D5090" s="0" t="n">
        <f aca="false">INDEX(Intent_Analysis!$E$5:$E$81,MATCH(B5090,Intent_Analysis!$A$5:$A$81,0))</f>
        <v>2</v>
      </c>
    </row>
    <row r="5091" customFormat="false" ht="15" hidden="false" customHeight="false" outlineLevel="0" collapsed="false">
      <c r="A5091" s="0" t="s">
        <v>5415</v>
      </c>
      <c r="B5091" s="0" t="s">
        <v>78</v>
      </c>
      <c r="C5091" s="0" t="str">
        <f aca="false">INDEX(Intent_Analysis!$B$5:$B$81,MATCH(B5091,Intent_Analysis!$A$5:$A$81,0))</f>
        <v>Cash, ATM &amp; deposits</v>
      </c>
      <c r="D5091" s="0" t="n">
        <f aca="false">INDEX(Intent_Analysis!$E$5:$E$81,MATCH(B5091,Intent_Analysis!$A$5:$A$81,0))</f>
        <v>2</v>
      </c>
    </row>
    <row r="5092" customFormat="false" ht="15" hidden="false" customHeight="false" outlineLevel="0" collapsed="false">
      <c r="A5092" s="0" t="s">
        <v>5416</v>
      </c>
      <c r="B5092" s="0" t="s">
        <v>78</v>
      </c>
      <c r="C5092" s="0" t="str">
        <f aca="false">INDEX(Intent_Analysis!$B$5:$B$81,MATCH(B5092,Intent_Analysis!$A$5:$A$81,0))</f>
        <v>Cash, ATM &amp; deposits</v>
      </c>
      <c r="D5092" s="0" t="n">
        <f aca="false">INDEX(Intent_Analysis!$E$5:$E$81,MATCH(B5092,Intent_Analysis!$A$5:$A$81,0))</f>
        <v>2</v>
      </c>
    </row>
    <row r="5093" customFormat="false" ht="15" hidden="false" customHeight="false" outlineLevel="0" collapsed="false">
      <c r="A5093" s="0" t="s">
        <v>5417</v>
      </c>
      <c r="B5093" s="0" t="s">
        <v>78</v>
      </c>
      <c r="C5093" s="0" t="str">
        <f aca="false">INDEX(Intent_Analysis!$B$5:$B$81,MATCH(B5093,Intent_Analysis!$A$5:$A$81,0))</f>
        <v>Cash, ATM &amp; deposits</v>
      </c>
      <c r="D5093" s="0" t="n">
        <f aca="false">INDEX(Intent_Analysis!$E$5:$E$81,MATCH(B5093,Intent_Analysis!$A$5:$A$81,0))</f>
        <v>2</v>
      </c>
    </row>
    <row r="5094" customFormat="false" ht="15" hidden="false" customHeight="false" outlineLevel="0" collapsed="false">
      <c r="A5094" s="0" t="s">
        <v>5418</v>
      </c>
      <c r="B5094" s="0" t="s">
        <v>58</v>
      </c>
      <c r="C5094" s="0" t="str">
        <f aca="false">INDEX(Intent_Analysis!$B$5:$B$81,MATCH(B5094,Intent_Analysis!$A$5:$A$81,0))</f>
        <v>Card payments &amp; refunds</v>
      </c>
      <c r="D5094" s="0" t="n">
        <f aca="false">INDEX(Intent_Analysis!$E$5:$E$81,MATCH(B5094,Intent_Analysis!$A$5:$A$81,0))</f>
        <v>2</v>
      </c>
    </row>
    <row r="5095" customFormat="false" ht="15" hidden="false" customHeight="false" outlineLevel="0" collapsed="false">
      <c r="A5095" s="0" t="s">
        <v>5419</v>
      </c>
      <c r="B5095" s="0" t="s">
        <v>58</v>
      </c>
      <c r="C5095" s="0" t="str">
        <f aca="false">INDEX(Intent_Analysis!$B$5:$B$81,MATCH(B5095,Intent_Analysis!$A$5:$A$81,0))</f>
        <v>Card payments &amp; refunds</v>
      </c>
      <c r="D5095" s="0" t="n">
        <f aca="false">INDEX(Intent_Analysis!$E$5:$E$81,MATCH(B5095,Intent_Analysis!$A$5:$A$81,0))</f>
        <v>2</v>
      </c>
    </row>
    <row r="5096" customFormat="false" ht="15" hidden="false" customHeight="false" outlineLevel="0" collapsed="false">
      <c r="A5096" s="0" t="s">
        <v>5420</v>
      </c>
      <c r="B5096" s="0" t="s">
        <v>58</v>
      </c>
      <c r="C5096" s="0" t="str">
        <f aca="false">INDEX(Intent_Analysis!$B$5:$B$81,MATCH(B5096,Intent_Analysis!$A$5:$A$81,0))</f>
        <v>Card payments &amp; refunds</v>
      </c>
      <c r="D5096" s="0" t="n">
        <f aca="false">INDEX(Intent_Analysis!$E$5:$E$81,MATCH(B5096,Intent_Analysis!$A$5:$A$81,0))</f>
        <v>2</v>
      </c>
    </row>
    <row r="5097" customFormat="false" ht="15" hidden="false" customHeight="false" outlineLevel="0" collapsed="false">
      <c r="A5097" s="0" t="s">
        <v>5421</v>
      </c>
      <c r="B5097" s="0" t="s">
        <v>58</v>
      </c>
      <c r="C5097" s="0" t="str">
        <f aca="false">INDEX(Intent_Analysis!$B$5:$B$81,MATCH(B5097,Intent_Analysis!$A$5:$A$81,0))</f>
        <v>Card payments &amp; refunds</v>
      </c>
      <c r="D5097" s="0" t="n">
        <f aca="false">INDEX(Intent_Analysis!$E$5:$E$81,MATCH(B5097,Intent_Analysis!$A$5:$A$81,0))</f>
        <v>2</v>
      </c>
    </row>
    <row r="5098" customFormat="false" ht="15" hidden="false" customHeight="false" outlineLevel="0" collapsed="false">
      <c r="A5098" s="0" t="s">
        <v>5422</v>
      </c>
      <c r="B5098" s="0" t="s">
        <v>58</v>
      </c>
      <c r="C5098" s="0" t="str">
        <f aca="false">INDEX(Intent_Analysis!$B$5:$B$81,MATCH(B5098,Intent_Analysis!$A$5:$A$81,0))</f>
        <v>Card payments &amp; refunds</v>
      </c>
      <c r="D5098" s="0" t="n">
        <f aca="false">INDEX(Intent_Analysis!$E$5:$E$81,MATCH(B5098,Intent_Analysis!$A$5:$A$81,0))</f>
        <v>2</v>
      </c>
    </row>
    <row r="5099" customFormat="false" ht="15" hidden="false" customHeight="false" outlineLevel="0" collapsed="false">
      <c r="A5099" s="0" t="s">
        <v>5423</v>
      </c>
      <c r="B5099" s="0" t="s">
        <v>58</v>
      </c>
      <c r="C5099" s="0" t="str">
        <f aca="false">INDEX(Intent_Analysis!$B$5:$B$81,MATCH(B5099,Intent_Analysis!$A$5:$A$81,0))</f>
        <v>Card payments &amp; refunds</v>
      </c>
      <c r="D5099" s="0" t="n">
        <f aca="false">INDEX(Intent_Analysis!$E$5:$E$81,MATCH(B5099,Intent_Analysis!$A$5:$A$81,0))</f>
        <v>2</v>
      </c>
    </row>
    <row r="5100" customFormat="false" ht="15" hidden="false" customHeight="false" outlineLevel="0" collapsed="false">
      <c r="A5100" s="0" t="s">
        <v>5424</v>
      </c>
      <c r="B5100" s="0" t="s">
        <v>58</v>
      </c>
      <c r="C5100" s="0" t="str">
        <f aca="false">INDEX(Intent_Analysis!$B$5:$B$81,MATCH(B5100,Intent_Analysis!$A$5:$A$81,0))</f>
        <v>Card payments &amp; refunds</v>
      </c>
      <c r="D5100" s="0" t="n">
        <f aca="false">INDEX(Intent_Analysis!$E$5:$E$81,MATCH(B5100,Intent_Analysis!$A$5:$A$81,0))</f>
        <v>2</v>
      </c>
    </row>
    <row r="5101" customFormat="false" ht="15" hidden="false" customHeight="false" outlineLevel="0" collapsed="false">
      <c r="A5101" s="0" t="s">
        <v>5425</v>
      </c>
      <c r="B5101" s="0" t="s">
        <v>58</v>
      </c>
      <c r="C5101" s="0" t="str">
        <f aca="false">INDEX(Intent_Analysis!$B$5:$B$81,MATCH(B5101,Intent_Analysis!$A$5:$A$81,0))</f>
        <v>Card payments &amp; refunds</v>
      </c>
      <c r="D5101" s="0" t="n">
        <f aca="false">INDEX(Intent_Analysis!$E$5:$E$81,MATCH(B5101,Intent_Analysis!$A$5:$A$81,0))</f>
        <v>2</v>
      </c>
    </row>
    <row r="5102" customFormat="false" ht="15" hidden="false" customHeight="false" outlineLevel="0" collapsed="false">
      <c r="A5102" s="0" t="s">
        <v>5426</v>
      </c>
      <c r="B5102" s="0" t="s">
        <v>58</v>
      </c>
      <c r="C5102" s="0" t="str">
        <f aca="false">INDEX(Intent_Analysis!$B$5:$B$81,MATCH(B5102,Intent_Analysis!$A$5:$A$81,0))</f>
        <v>Card payments &amp; refunds</v>
      </c>
      <c r="D5102" s="0" t="n">
        <f aca="false">INDEX(Intent_Analysis!$E$5:$E$81,MATCH(B5102,Intent_Analysis!$A$5:$A$81,0))</f>
        <v>2</v>
      </c>
    </row>
    <row r="5103" customFormat="false" ht="15" hidden="false" customHeight="false" outlineLevel="0" collapsed="false">
      <c r="A5103" s="0" t="s">
        <v>5427</v>
      </c>
      <c r="B5103" s="0" t="s">
        <v>58</v>
      </c>
      <c r="C5103" s="0" t="str">
        <f aca="false">INDEX(Intent_Analysis!$B$5:$B$81,MATCH(B5103,Intent_Analysis!$A$5:$A$81,0))</f>
        <v>Card payments &amp; refunds</v>
      </c>
      <c r="D5103" s="0" t="n">
        <f aca="false">INDEX(Intent_Analysis!$E$5:$E$81,MATCH(B5103,Intent_Analysis!$A$5:$A$81,0))</f>
        <v>2</v>
      </c>
    </row>
    <row r="5104" customFormat="false" ht="15" hidden="false" customHeight="false" outlineLevel="0" collapsed="false">
      <c r="A5104" s="0" t="s">
        <v>5428</v>
      </c>
      <c r="B5104" s="0" t="s">
        <v>58</v>
      </c>
      <c r="C5104" s="0" t="str">
        <f aca="false">INDEX(Intent_Analysis!$B$5:$B$81,MATCH(B5104,Intent_Analysis!$A$5:$A$81,0))</f>
        <v>Card payments &amp; refunds</v>
      </c>
      <c r="D5104" s="0" t="n">
        <f aca="false">INDEX(Intent_Analysis!$E$5:$E$81,MATCH(B5104,Intent_Analysis!$A$5:$A$81,0))</f>
        <v>2</v>
      </c>
    </row>
    <row r="5105" customFormat="false" ht="15" hidden="false" customHeight="false" outlineLevel="0" collapsed="false">
      <c r="A5105" s="0" t="s">
        <v>5429</v>
      </c>
      <c r="B5105" s="0" t="s">
        <v>58</v>
      </c>
      <c r="C5105" s="0" t="str">
        <f aca="false">INDEX(Intent_Analysis!$B$5:$B$81,MATCH(B5105,Intent_Analysis!$A$5:$A$81,0))</f>
        <v>Card payments &amp; refunds</v>
      </c>
      <c r="D5105" s="0" t="n">
        <f aca="false">INDEX(Intent_Analysis!$E$5:$E$81,MATCH(B5105,Intent_Analysis!$A$5:$A$81,0))</f>
        <v>2</v>
      </c>
    </row>
    <row r="5106" customFormat="false" ht="15" hidden="false" customHeight="false" outlineLevel="0" collapsed="false">
      <c r="A5106" s="0" t="s">
        <v>5430</v>
      </c>
      <c r="B5106" s="0" t="s">
        <v>58</v>
      </c>
      <c r="C5106" s="0" t="str">
        <f aca="false">INDEX(Intent_Analysis!$B$5:$B$81,MATCH(B5106,Intent_Analysis!$A$5:$A$81,0))</f>
        <v>Card payments &amp; refunds</v>
      </c>
      <c r="D5106" s="0" t="n">
        <f aca="false">INDEX(Intent_Analysis!$E$5:$E$81,MATCH(B5106,Intent_Analysis!$A$5:$A$81,0))</f>
        <v>2</v>
      </c>
    </row>
    <row r="5107" customFormat="false" ht="15" hidden="false" customHeight="false" outlineLevel="0" collapsed="false">
      <c r="A5107" s="0" t="s">
        <v>5431</v>
      </c>
      <c r="B5107" s="0" t="s">
        <v>58</v>
      </c>
      <c r="C5107" s="0" t="str">
        <f aca="false">INDEX(Intent_Analysis!$B$5:$B$81,MATCH(B5107,Intent_Analysis!$A$5:$A$81,0))</f>
        <v>Card payments &amp; refunds</v>
      </c>
      <c r="D5107" s="0" t="n">
        <f aca="false">INDEX(Intent_Analysis!$E$5:$E$81,MATCH(B5107,Intent_Analysis!$A$5:$A$81,0))</f>
        <v>2</v>
      </c>
    </row>
    <row r="5108" customFormat="false" ht="15" hidden="false" customHeight="false" outlineLevel="0" collapsed="false">
      <c r="A5108" s="0" t="s">
        <v>5432</v>
      </c>
      <c r="B5108" s="0" t="s">
        <v>58</v>
      </c>
      <c r="C5108" s="0" t="str">
        <f aca="false">INDEX(Intent_Analysis!$B$5:$B$81,MATCH(B5108,Intent_Analysis!$A$5:$A$81,0))</f>
        <v>Card payments &amp; refunds</v>
      </c>
      <c r="D5108" s="0" t="n">
        <f aca="false">INDEX(Intent_Analysis!$E$5:$E$81,MATCH(B5108,Intent_Analysis!$A$5:$A$81,0))</f>
        <v>2</v>
      </c>
    </row>
    <row r="5109" customFormat="false" ht="15" hidden="false" customHeight="false" outlineLevel="0" collapsed="false">
      <c r="A5109" s="0" t="s">
        <v>5433</v>
      </c>
      <c r="B5109" s="0" t="s">
        <v>58</v>
      </c>
      <c r="C5109" s="0" t="str">
        <f aca="false">INDEX(Intent_Analysis!$B$5:$B$81,MATCH(B5109,Intent_Analysis!$A$5:$A$81,0))</f>
        <v>Card payments &amp; refunds</v>
      </c>
      <c r="D5109" s="0" t="n">
        <f aca="false">INDEX(Intent_Analysis!$E$5:$E$81,MATCH(B5109,Intent_Analysis!$A$5:$A$81,0))</f>
        <v>2</v>
      </c>
    </row>
    <row r="5110" customFormat="false" ht="15" hidden="false" customHeight="false" outlineLevel="0" collapsed="false">
      <c r="A5110" s="0" t="s">
        <v>5434</v>
      </c>
      <c r="B5110" s="0" t="s">
        <v>58</v>
      </c>
      <c r="C5110" s="0" t="str">
        <f aca="false">INDEX(Intent_Analysis!$B$5:$B$81,MATCH(B5110,Intent_Analysis!$A$5:$A$81,0))</f>
        <v>Card payments &amp; refunds</v>
      </c>
      <c r="D5110" s="0" t="n">
        <f aca="false">INDEX(Intent_Analysis!$E$5:$E$81,MATCH(B5110,Intent_Analysis!$A$5:$A$81,0))</f>
        <v>2</v>
      </c>
    </row>
    <row r="5111" customFormat="false" ht="15" hidden="false" customHeight="false" outlineLevel="0" collapsed="false">
      <c r="A5111" s="0" t="s">
        <v>5435</v>
      </c>
      <c r="B5111" s="0" t="s">
        <v>58</v>
      </c>
      <c r="C5111" s="0" t="str">
        <f aca="false">INDEX(Intent_Analysis!$B$5:$B$81,MATCH(B5111,Intent_Analysis!$A$5:$A$81,0))</f>
        <v>Card payments &amp; refunds</v>
      </c>
      <c r="D5111" s="0" t="n">
        <f aca="false">INDEX(Intent_Analysis!$E$5:$E$81,MATCH(B5111,Intent_Analysis!$A$5:$A$81,0))</f>
        <v>2</v>
      </c>
    </row>
    <row r="5112" customFormat="false" ht="15" hidden="false" customHeight="false" outlineLevel="0" collapsed="false">
      <c r="A5112" s="0" t="s">
        <v>5436</v>
      </c>
      <c r="B5112" s="0" t="s">
        <v>58</v>
      </c>
      <c r="C5112" s="0" t="str">
        <f aca="false">INDEX(Intent_Analysis!$B$5:$B$81,MATCH(B5112,Intent_Analysis!$A$5:$A$81,0))</f>
        <v>Card payments &amp; refunds</v>
      </c>
      <c r="D5112" s="0" t="n">
        <f aca="false">INDEX(Intent_Analysis!$E$5:$E$81,MATCH(B5112,Intent_Analysis!$A$5:$A$81,0))</f>
        <v>2</v>
      </c>
    </row>
    <row r="5113" customFormat="false" ht="15" hidden="false" customHeight="false" outlineLevel="0" collapsed="false">
      <c r="A5113" s="0" t="s">
        <v>5437</v>
      </c>
      <c r="B5113" s="0" t="s">
        <v>58</v>
      </c>
      <c r="C5113" s="0" t="str">
        <f aca="false">INDEX(Intent_Analysis!$B$5:$B$81,MATCH(B5113,Intent_Analysis!$A$5:$A$81,0))</f>
        <v>Card payments &amp; refunds</v>
      </c>
      <c r="D5113" s="0" t="n">
        <f aca="false">INDEX(Intent_Analysis!$E$5:$E$81,MATCH(B5113,Intent_Analysis!$A$5:$A$81,0))</f>
        <v>2</v>
      </c>
    </row>
    <row r="5114" customFormat="false" ht="15" hidden="false" customHeight="false" outlineLevel="0" collapsed="false">
      <c r="A5114" s="0" t="s">
        <v>5438</v>
      </c>
      <c r="B5114" s="0" t="s">
        <v>58</v>
      </c>
      <c r="C5114" s="0" t="str">
        <f aca="false">INDEX(Intent_Analysis!$B$5:$B$81,MATCH(B5114,Intent_Analysis!$A$5:$A$81,0))</f>
        <v>Card payments &amp; refunds</v>
      </c>
      <c r="D5114" s="0" t="n">
        <f aca="false">INDEX(Intent_Analysis!$E$5:$E$81,MATCH(B5114,Intent_Analysis!$A$5:$A$81,0))</f>
        <v>2</v>
      </c>
    </row>
    <row r="5115" customFormat="false" ht="15" hidden="false" customHeight="false" outlineLevel="0" collapsed="false">
      <c r="A5115" s="0" t="s">
        <v>5439</v>
      </c>
      <c r="B5115" s="0" t="s">
        <v>58</v>
      </c>
      <c r="C5115" s="0" t="str">
        <f aca="false">INDEX(Intent_Analysis!$B$5:$B$81,MATCH(B5115,Intent_Analysis!$A$5:$A$81,0))</f>
        <v>Card payments &amp; refunds</v>
      </c>
      <c r="D5115" s="0" t="n">
        <f aca="false">INDEX(Intent_Analysis!$E$5:$E$81,MATCH(B5115,Intent_Analysis!$A$5:$A$81,0))</f>
        <v>2</v>
      </c>
    </row>
    <row r="5116" customFormat="false" ht="15" hidden="false" customHeight="false" outlineLevel="0" collapsed="false">
      <c r="A5116" s="0" t="s">
        <v>5440</v>
      </c>
      <c r="B5116" s="0" t="s">
        <v>58</v>
      </c>
      <c r="C5116" s="0" t="str">
        <f aca="false">INDEX(Intent_Analysis!$B$5:$B$81,MATCH(B5116,Intent_Analysis!$A$5:$A$81,0))</f>
        <v>Card payments &amp; refunds</v>
      </c>
      <c r="D5116" s="0" t="n">
        <f aca="false">INDEX(Intent_Analysis!$E$5:$E$81,MATCH(B5116,Intent_Analysis!$A$5:$A$81,0))</f>
        <v>2</v>
      </c>
    </row>
    <row r="5117" customFormat="false" ht="15" hidden="false" customHeight="false" outlineLevel="0" collapsed="false">
      <c r="A5117" s="0" t="s">
        <v>5441</v>
      </c>
      <c r="B5117" s="0" t="s">
        <v>58</v>
      </c>
      <c r="C5117" s="0" t="str">
        <f aca="false">INDEX(Intent_Analysis!$B$5:$B$81,MATCH(B5117,Intent_Analysis!$A$5:$A$81,0))</f>
        <v>Card payments &amp; refunds</v>
      </c>
      <c r="D5117" s="0" t="n">
        <f aca="false">INDEX(Intent_Analysis!$E$5:$E$81,MATCH(B5117,Intent_Analysis!$A$5:$A$81,0))</f>
        <v>2</v>
      </c>
    </row>
    <row r="5118" customFormat="false" ht="15" hidden="false" customHeight="false" outlineLevel="0" collapsed="false">
      <c r="A5118" s="0" t="s">
        <v>5442</v>
      </c>
      <c r="B5118" s="0" t="s">
        <v>58</v>
      </c>
      <c r="C5118" s="0" t="str">
        <f aca="false">INDEX(Intent_Analysis!$B$5:$B$81,MATCH(B5118,Intent_Analysis!$A$5:$A$81,0))</f>
        <v>Card payments &amp; refunds</v>
      </c>
      <c r="D5118" s="0" t="n">
        <f aca="false">INDEX(Intent_Analysis!$E$5:$E$81,MATCH(B5118,Intent_Analysis!$A$5:$A$81,0))</f>
        <v>2</v>
      </c>
    </row>
    <row r="5119" customFormat="false" ht="15" hidden="false" customHeight="false" outlineLevel="0" collapsed="false">
      <c r="A5119" s="0" t="s">
        <v>5443</v>
      </c>
      <c r="B5119" s="0" t="s">
        <v>58</v>
      </c>
      <c r="C5119" s="0" t="str">
        <f aca="false">INDEX(Intent_Analysis!$B$5:$B$81,MATCH(B5119,Intent_Analysis!$A$5:$A$81,0))</f>
        <v>Card payments &amp; refunds</v>
      </c>
      <c r="D5119" s="0" t="n">
        <f aca="false">INDEX(Intent_Analysis!$E$5:$E$81,MATCH(B5119,Intent_Analysis!$A$5:$A$81,0))</f>
        <v>2</v>
      </c>
    </row>
    <row r="5120" customFormat="false" ht="15" hidden="false" customHeight="false" outlineLevel="0" collapsed="false">
      <c r="A5120" s="0" t="s">
        <v>5444</v>
      </c>
      <c r="B5120" s="0" t="s">
        <v>58</v>
      </c>
      <c r="C5120" s="0" t="str">
        <f aca="false">INDEX(Intent_Analysis!$B$5:$B$81,MATCH(B5120,Intent_Analysis!$A$5:$A$81,0))</f>
        <v>Card payments &amp; refunds</v>
      </c>
      <c r="D5120" s="0" t="n">
        <f aca="false">INDEX(Intent_Analysis!$E$5:$E$81,MATCH(B5120,Intent_Analysis!$A$5:$A$81,0))</f>
        <v>2</v>
      </c>
    </row>
    <row r="5121" customFormat="false" ht="15" hidden="false" customHeight="false" outlineLevel="0" collapsed="false">
      <c r="A5121" s="0" t="s">
        <v>5445</v>
      </c>
      <c r="B5121" s="0" t="s">
        <v>58</v>
      </c>
      <c r="C5121" s="0" t="str">
        <f aca="false">INDEX(Intent_Analysis!$B$5:$B$81,MATCH(B5121,Intent_Analysis!$A$5:$A$81,0))</f>
        <v>Card payments &amp; refunds</v>
      </c>
      <c r="D5121" s="0" t="n">
        <f aca="false">INDEX(Intent_Analysis!$E$5:$E$81,MATCH(B5121,Intent_Analysis!$A$5:$A$81,0))</f>
        <v>2</v>
      </c>
    </row>
    <row r="5122" customFormat="false" ht="15" hidden="false" customHeight="false" outlineLevel="0" collapsed="false">
      <c r="A5122" s="0" t="s">
        <v>5446</v>
      </c>
      <c r="B5122" s="0" t="s">
        <v>58</v>
      </c>
      <c r="C5122" s="0" t="str">
        <f aca="false">INDEX(Intent_Analysis!$B$5:$B$81,MATCH(B5122,Intent_Analysis!$A$5:$A$81,0))</f>
        <v>Card payments &amp; refunds</v>
      </c>
      <c r="D5122" s="0" t="n">
        <f aca="false">INDEX(Intent_Analysis!$E$5:$E$81,MATCH(B5122,Intent_Analysis!$A$5:$A$81,0))</f>
        <v>2</v>
      </c>
    </row>
    <row r="5123" customFormat="false" ht="15" hidden="false" customHeight="false" outlineLevel="0" collapsed="false">
      <c r="A5123" s="0" t="s">
        <v>5447</v>
      </c>
      <c r="B5123" s="0" t="s">
        <v>58</v>
      </c>
      <c r="C5123" s="0" t="str">
        <f aca="false">INDEX(Intent_Analysis!$B$5:$B$81,MATCH(B5123,Intent_Analysis!$A$5:$A$81,0))</f>
        <v>Card payments &amp; refunds</v>
      </c>
      <c r="D5123" s="0" t="n">
        <f aca="false">INDEX(Intent_Analysis!$E$5:$E$81,MATCH(B5123,Intent_Analysis!$A$5:$A$81,0))</f>
        <v>2</v>
      </c>
    </row>
    <row r="5124" customFormat="false" ht="15" hidden="false" customHeight="false" outlineLevel="0" collapsed="false">
      <c r="A5124" s="0" t="s">
        <v>5448</v>
      </c>
      <c r="B5124" s="0" t="s">
        <v>58</v>
      </c>
      <c r="C5124" s="0" t="str">
        <f aca="false">INDEX(Intent_Analysis!$B$5:$B$81,MATCH(B5124,Intent_Analysis!$A$5:$A$81,0))</f>
        <v>Card payments &amp; refunds</v>
      </c>
      <c r="D5124" s="0" t="n">
        <f aca="false">INDEX(Intent_Analysis!$E$5:$E$81,MATCH(B5124,Intent_Analysis!$A$5:$A$81,0))</f>
        <v>2</v>
      </c>
    </row>
    <row r="5125" customFormat="false" ht="15" hidden="false" customHeight="false" outlineLevel="0" collapsed="false">
      <c r="A5125" s="0" t="s">
        <v>5449</v>
      </c>
      <c r="B5125" s="0" t="s">
        <v>58</v>
      </c>
      <c r="C5125" s="0" t="str">
        <f aca="false">INDEX(Intent_Analysis!$B$5:$B$81,MATCH(B5125,Intent_Analysis!$A$5:$A$81,0))</f>
        <v>Card payments &amp; refunds</v>
      </c>
      <c r="D5125" s="0" t="n">
        <f aca="false">INDEX(Intent_Analysis!$E$5:$E$81,MATCH(B5125,Intent_Analysis!$A$5:$A$81,0))</f>
        <v>2</v>
      </c>
    </row>
    <row r="5126" customFormat="false" ht="15" hidden="false" customHeight="false" outlineLevel="0" collapsed="false">
      <c r="A5126" s="0" t="s">
        <v>5450</v>
      </c>
      <c r="B5126" s="0" t="s">
        <v>58</v>
      </c>
      <c r="C5126" s="0" t="str">
        <f aca="false">INDEX(Intent_Analysis!$B$5:$B$81,MATCH(B5126,Intent_Analysis!$A$5:$A$81,0))</f>
        <v>Card payments &amp; refunds</v>
      </c>
      <c r="D5126" s="0" t="n">
        <f aca="false">INDEX(Intent_Analysis!$E$5:$E$81,MATCH(B5126,Intent_Analysis!$A$5:$A$81,0))</f>
        <v>2</v>
      </c>
    </row>
    <row r="5127" customFormat="false" ht="15" hidden="false" customHeight="false" outlineLevel="0" collapsed="false">
      <c r="A5127" s="0" t="s">
        <v>5451</v>
      </c>
      <c r="B5127" s="0" t="s">
        <v>58</v>
      </c>
      <c r="C5127" s="0" t="str">
        <f aca="false">INDEX(Intent_Analysis!$B$5:$B$81,MATCH(B5127,Intent_Analysis!$A$5:$A$81,0))</f>
        <v>Card payments &amp; refunds</v>
      </c>
      <c r="D5127" s="0" t="n">
        <f aca="false">INDEX(Intent_Analysis!$E$5:$E$81,MATCH(B5127,Intent_Analysis!$A$5:$A$81,0))</f>
        <v>2</v>
      </c>
    </row>
    <row r="5128" customFormat="false" ht="15" hidden="false" customHeight="false" outlineLevel="0" collapsed="false">
      <c r="A5128" s="0" t="s">
        <v>5452</v>
      </c>
      <c r="B5128" s="0" t="s">
        <v>58</v>
      </c>
      <c r="C5128" s="0" t="str">
        <f aca="false">INDEX(Intent_Analysis!$B$5:$B$81,MATCH(B5128,Intent_Analysis!$A$5:$A$81,0))</f>
        <v>Card payments &amp; refunds</v>
      </c>
      <c r="D5128" s="0" t="n">
        <f aca="false">INDEX(Intent_Analysis!$E$5:$E$81,MATCH(B5128,Intent_Analysis!$A$5:$A$81,0))</f>
        <v>2</v>
      </c>
    </row>
    <row r="5129" customFormat="false" ht="15" hidden="false" customHeight="false" outlineLevel="0" collapsed="false">
      <c r="A5129" s="0" t="s">
        <v>5453</v>
      </c>
      <c r="B5129" s="0" t="s">
        <v>58</v>
      </c>
      <c r="C5129" s="0" t="str">
        <f aca="false">INDEX(Intent_Analysis!$B$5:$B$81,MATCH(B5129,Intent_Analysis!$A$5:$A$81,0))</f>
        <v>Card payments &amp; refunds</v>
      </c>
      <c r="D5129" s="0" t="n">
        <f aca="false">INDEX(Intent_Analysis!$E$5:$E$81,MATCH(B5129,Intent_Analysis!$A$5:$A$81,0))</f>
        <v>2</v>
      </c>
    </row>
    <row r="5130" customFormat="false" ht="15" hidden="false" customHeight="false" outlineLevel="0" collapsed="false">
      <c r="A5130" s="0" t="s">
        <v>5454</v>
      </c>
      <c r="B5130" s="0" t="s">
        <v>58</v>
      </c>
      <c r="C5130" s="0" t="str">
        <f aca="false">INDEX(Intent_Analysis!$B$5:$B$81,MATCH(B5130,Intent_Analysis!$A$5:$A$81,0))</f>
        <v>Card payments &amp; refunds</v>
      </c>
      <c r="D5130" s="0" t="n">
        <f aca="false">INDEX(Intent_Analysis!$E$5:$E$81,MATCH(B5130,Intent_Analysis!$A$5:$A$81,0))</f>
        <v>2</v>
      </c>
    </row>
    <row r="5131" customFormat="false" ht="15" hidden="false" customHeight="false" outlineLevel="0" collapsed="false">
      <c r="A5131" s="0" t="s">
        <v>5455</v>
      </c>
      <c r="B5131" s="0" t="s">
        <v>58</v>
      </c>
      <c r="C5131" s="0" t="str">
        <f aca="false">INDEX(Intent_Analysis!$B$5:$B$81,MATCH(B5131,Intent_Analysis!$A$5:$A$81,0))</f>
        <v>Card payments &amp; refunds</v>
      </c>
      <c r="D5131" s="0" t="n">
        <f aca="false">INDEX(Intent_Analysis!$E$5:$E$81,MATCH(B5131,Intent_Analysis!$A$5:$A$81,0))</f>
        <v>2</v>
      </c>
    </row>
    <row r="5132" customFormat="false" ht="15" hidden="false" customHeight="false" outlineLevel="0" collapsed="false">
      <c r="A5132" s="0" t="s">
        <v>5456</v>
      </c>
      <c r="B5132" s="0" t="s">
        <v>58</v>
      </c>
      <c r="C5132" s="0" t="str">
        <f aca="false">INDEX(Intent_Analysis!$B$5:$B$81,MATCH(B5132,Intent_Analysis!$A$5:$A$81,0))</f>
        <v>Card payments &amp; refunds</v>
      </c>
      <c r="D5132" s="0" t="n">
        <f aca="false">INDEX(Intent_Analysis!$E$5:$E$81,MATCH(B5132,Intent_Analysis!$A$5:$A$81,0))</f>
        <v>2</v>
      </c>
    </row>
    <row r="5133" customFormat="false" ht="15" hidden="false" customHeight="false" outlineLevel="0" collapsed="false">
      <c r="A5133" s="0" t="s">
        <v>5457</v>
      </c>
      <c r="B5133" s="0" t="s">
        <v>58</v>
      </c>
      <c r="C5133" s="0" t="str">
        <f aca="false">INDEX(Intent_Analysis!$B$5:$B$81,MATCH(B5133,Intent_Analysis!$A$5:$A$81,0))</f>
        <v>Card payments &amp; refunds</v>
      </c>
      <c r="D5133" s="0" t="n">
        <f aca="false">INDEX(Intent_Analysis!$E$5:$E$81,MATCH(B5133,Intent_Analysis!$A$5:$A$81,0))</f>
        <v>2</v>
      </c>
    </row>
    <row r="5134" customFormat="false" ht="15" hidden="false" customHeight="false" outlineLevel="0" collapsed="false">
      <c r="A5134" s="0" t="s">
        <v>5458</v>
      </c>
      <c r="B5134" s="0" t="s">
        <v>58</v>
      </c>
      <c r="C5134" s="0" t="str">
        <f aca="false">INDEX(Intent_Analysis!$B$5:$B$81,MATCH(B5134,Intent_Analysis!$A$5:$A$81,0))</f>
        <v>Card payments &amp; refunds</v>
      </c>
      <c r="D5134" s="0" t="n">
        <f aca="false">INDEX(Intent_Analysis!$E$5:$E$81,MATCH(B5134,Intent_Analysis!$A$5:$A$81,0))</f>
        <v>2</v>
      </c>
    </row>
    <row r="5135" customFormat="false" ht="15" hidden="false" customHeight="false" outlineLevel="0" collapsed="false">
      <c r="A5135" s="0" t="s">
        <v>5459</v>
      </c>
      <c r="B5135" s="0" t="s">
        <v>58</v>
      </c>
      <c r="C5135" s="0" t="str">
        <f aca="false">INDEX(Intent_Analysis!$B$5:$B$81,MATCH(B5135,Intent_Analysis!$A$5:$A$81,0))</f>
        <v>Card payments &amp; refunds</v>
      </c>
      <c r="D5135" s="0" t="n">
        <f aca="false">INDEX(Intent_Analysis!$E$5:$E$81,MATCH(B5135,Intent_Analysis!$A$5:$A$81,0))</f>
        <v>2</v>
      </c>
    </row>
    <row r="5136" customFormat="false" ht="15" hidden="false" customHeight="false" outlineLevel="0" collapsed="false">
      <c r="A5136" s="0" t="s">
        <v>5460</v>
      </c>
      <c r="B5136" s="0" t="s">
        <v>58</v>
      </c>
      <c r="C5136" s="0" t="str">
        <f aca="false">INDEX(Intent_Analysis!$B$5:$B$81,MATCH(B5136,Intent_Analysis!$A$5:$A$81,0))</f>
        <v>Card payments &amp; refunds</v>
      </c>
      <c r="D5136" s="0" t="n">
        <f aca="false">INDEX(Intent_Analysis!$E$5:$E$81,MATCH(B5136,Intent_Analysis!$A$5:$A$81,0))</f>
        <v>2</v>
      </c>
    </row>
    <row r="5137" customFormat="false" ht="15" hidden="false" customHeight="false" outlineLevel="0" collapsed="false">
      <c r="A5137" s="0" t="s">
        <v>5461</v>
      </c>
      <c r="B5137" s="0" t="s">
        <v>58</v>
      </c>
      <c r="C5137" s="0" t="str">
        <f aca="false">INDEX(Intent_Analysis!$B$5:$B$81,MATCH(B5137,Intent_Analysis!$A$5:$A$81,0))</f>
        <v>Card payments &amp; refunds</v>
      </c>
      <c r="D5137" s="0" t="n">
        <f aca="false">INDEX(Intent_Analysis!$E$5:$E$81,MATCH(B5137,Intent_Analysis!$A$5:$A$81,0))</f>
        <v>2</v>
      </c>
    </row>
    <row r="5138" customFormat="false" ht="15" hidden="false" customHeight="false" outlineLevel="0" collapsed="false">
      <c r="A5138" s="0" t="s">
        <v>5462</v>
      </c>
      <c r="B5138" s="0" t="s">
        <v>58</v>
      </c>
      <c r="C5138" s="0" t="str">
        <f aca="false">INDEX(Intent_Analysis!$B$5:$B$81,MATCH(B5138,Intent_Analysis!$A$5:$A$81,0))</f>
        <v>Card payments &amp; refunds</v>
      </c>
      <c r="D5138" s="0" t="n">
        <f aca="false">INDEX(Intent_Analysis!$E$5:$E$81,MATCH(B5138,Intent_Analysis!$A$5:$A$81,0))</f>
        <v>2</v>
      </c>
    </row>
    <row r="5139" customFormat="false" ht="15" hidden="false" customHeight="false" outlineLevel="0" collapsed="false">
      <c r="A5139" s="0" t="s">
        <v>5463</v>
      </c>
      <c r="B5139" s="0" t="s">
        <v>58</v>
      </c>
      <c r="C5139" s="0" t="str">
        <f aca="false">INDEX(Intent_Analysis!$B$5:$B$81,MATCH(B5139,Intent_Analysis!$A$5:$A$81,0))</f>
        <v>Card payments &amp; refunds</v>
      </c>
      <c r="D5139" s="0" t="n">
        <f aca="false">INDEX(Intent_Analysis!$E$5:$E$81,MATCH(B5139,Intent_Analysis!$A$5:$A$81,0))</f>
        <v>2</v>
      </c>
    </row>
    <row r="5140" customFormat="false" ht="15" hidden="false" customHeight="false" outlineLevel="0" collapsed="false">
      <c r="A5140" s="0" t="s">
        <v>5464</v>
      </c>
      <c r="B5140" s="0" t="s">
        <v>58</v>
      </c>
      <c r="C5140" s="0" t="str">
        <f aca="false">INDEX(Intent_Analysis!$B$5:$B$81,MATCH(B5140,Intent_Analysis!$A$5:$A$81,0))</f>
        <v>Card payments &amp; refunds</v>
      </c>
      <c r="D5140" s="0" t="n">
        <f aca="false">INDEX(Intent_Analysis!$E$5:$E$81,MATCH(B5140,Intent_Analysis!$A$5:$A$81,0))</f>
        <v>2</v>
      </c>
    </row>
    <row r="5141" customFormat="false" ht="15" hidden="false" customHeight="false" outlineLevel="0" collapsed="false">
      <c r="A5141" s="0" t="s">
        <v>5465</v>
      </c>
      <c r="B5141" s="0" t="s">
        <v>58</v>
      </c>
      <c r="C5141" s="0" t="str">
        <f aca="false">INDEX(Intent_Analysis!$B$5:$B$81,MATCH(B5141,Intent_Analysis!$A$5:$A$81,0))</f>
        <v>Card payments &amp; refunds</v>
      </c>
      <c r="D5141" s="0" t="n">
        <f aca="false">INDEX(Intent_Analysis!$E$5:$E$81,MATCH(B5141,Intent_Analysis!$A$5:$A$81,0))</f>
        <v>2</v>
      </c>
    </row>
    <row r="5142" customFormat="false" ht="15" hidden="false" customHeight="false" outlineLevel="0" collapsed="false">
      <c r="A5142" s="0" t="s">
        <v>5466</v>
      </c>
      <c r="B5142" s="0" t="s">
        <v>58</v>
      </c>
      <c r="C5142" s="0" t="str">
        <f aca="false">INDEX(Intent_Analysis!$B$5:$B$81,MATCH(B5142,Intent_Analysis!$A$5:$A$81,0))</f>
        <v>Card payments &amp; refunds</v>
      </c>
      <c r="D5142" s="0" t="n">
        <f aca="false">INDEX(Intent_Analysis!$E$5:$E$81,MATCH(B5142,Intent_Analysis!$A$5:$A$81,0))</f>
        <v>2</v>
      </c>
    </row>
    <row r="5143" customFormat="false" ht="15" hidden="false" customHeight="false" outlineLevel="0" collapsed="false">
      <c r="A5143" s="0" t="s">
        <v>5467</v>
      </c>
      <c r="B5143" s="0" t="s">
        <v>58</v>
      </c>
      <c r="C5143" s="0" t="str">
        <f aca="false">INDEX(Intent_Analysis!$B$5:$B$81,MATCH(B5143,Intent_Analysis!$A$5:$A$81,0))</f>
        <v>Card payments &amp; refunds</v>
      </c>
      <c r="D5143" s="0" t="n">
        <f aca="false">INDEX(Intent_Analysis!$E$5:$E$81,MATCH(B5143,Intent_Analysis!$A$5:$A$81,0))</f>
        <v>2</v>
      </c>
    </row>
    <row r="5144" customFormat="false" ht="15" hidden="false" customHeight="false" outlineLevel="0" collapsed="false">
      <c r="A5144" s="0" t="s">
        <v>5468</v>
      </c>
      <c r="B5144" s="0" t="s">
        <v>58</v>
      </c>
      <c r="C5144" s="0" t="str">
        <f aca="false">INDEX(Intent_Analysis!$B$5:$B$81,MATCH(B5144,Intent_Analysis!$A$5:$A$81,0))</f>
        <v>Card payments &amp; refunds</v>
      </c>
      <c r="D5144" s="0" t="n">
        <f aca="false">INDEX(Intent_Analysis!$E$5:$E$81,MATCH(B5144,Intent_Analysis!$A$5:$A$81,0))</f>
        <v>2</v>
      </c>
    </row>
    <row r="5145" customFormat="false" ht="15" hidden="false" customHeight="false" outlineLevel="0" collapsed="false">
      <c r="A5145" s="0" t="s">
        <v>5469</v>
      </c>
      <c r="B5145" s="0" t="s">
        <v>58</v>
      </c>
      <c r="C5145" s="0" t="str">
        <f aca="false">INDEX(Intent_Analysis!$B$5:$B$81,MATCH(B5145,Intent_Analysis!$A$5:$A$81,0))</f>
        <v>Card payments &amp; refunds</v>
      </c>
      <c r="D5145" s="0" t="n">
        <f aca="false">INDEX(Intent_Analysis!$E$5:$E$81,MATCH(B5145,Intent_Analysis!$A$5:$A$81,0))</f>
        <v>2</v>
      </c>
    </row>
    <row r="5146" customFormat="false" ht="15" hidden="false" customHeight="false" outlineLevel="0" collapsed="false">
      <c r="A5146" s="0" t="s">
        <v>5470</v>
      </c>
      <c r="B5146" s="0" t="s">
        <v>58</v>
      </c>
      <c r="C5146" s="0" t="str">
        <f aca="false">INDEX(Intent_Analysis!$B$5:$B$81,MATCH(B5146,Intent_Analysis!$A$5:$A$81,0))</f>
        <v>Card payments &amp; refunds</v>
      </c>
      <c r="D5146" s="0" t="n">
        <f aca="false">INDEX(Intent_Analysis!$E$5:$E$81,MATCH(B5146,Intent_Analysis!$A$5:$A$81,0))</f>
        <v>2</v>
      </c>
    </row>
    <row r="5147" customFormat="false" ht="15" hidden="false" customHeight="false" outlineLevel="0" collapsed="false">
      <c r="A5147" s="0" t="s">
        <v>5471</v>
      </c>
      <c r="B5147" s="0" t="s">
        <v>58</v>
      </c>
      <c r="C5147" s="0" t="str">
        <f aca="false">INDEX(Intent_Analysis!$B$5:$B$81,MATCH(B5147,Intent_Analysis!$A$5:$A$81,0))</f>
        <v>Card payments &amp; refunds</v>
      </c>
      <c r="D5147" s="0" t="n">
        <f aca="false">INDEX(Intent_Analysis!$E$5:$E$81,MATCH(B5147,Intent_Analysis!$A$5:$A$81,0))</f>
        <v>2</v>
      </c>
    </row>
    <row r="5148" customFormat="false" ht="15" hidden="false" customHeight="false" outlineLevel="0" collapsed="false">
      <c r="A5148" s="0" t="s">
        <v>5472</v>
      </c>
      <c r="B5148" s="0" t="s">
        <v>58</v>
      </c>
      <c r="C5148" s="0" t="str">
        <f aca="false">INDEX(Intent_Analysis!$B$5:$B$81,MATCH(B5148,Intent_Analysis!$A$5:$A$81,0))</f>
        <v>Card payments &amp; refunds</v>
      </c>
      <c r="D5148" s="0" t="n">
        <f aca="false">INDEX(Intent_Analysis!$E$5:$E$81,MATCH(B5148,Intent_Analysis!$A$5:$A$81,0))</f>
        <v>2</v>
      </c>
    </row>
    <row r="5149" customFormat="false" ht="15" hidden="false" customHeight="false" outlineLevel="0" collapsed="false">
      <c r="A5149" s="0" t="s">
        <v>5473</v>
      </c>
      <c r="B5149" s="0" t="s">
        <v>58</v>
      </c>
      <c r="C5149" s="0" t="str">
        <f aca="false">INDEX(Intent_Analysis!$B$5:$B$81,MATCH(B5149,Intent_Analysis!$A$5:$A$81,0))</f>
        <v>Card payments &amp; refunds</v>
      </c>
      <c r="D5149" s="0" t="n">
        <f aca="false">INDEX(Intent_Analysis!$E$5:$E$81,MATCH(B5149,Intent_Analysis!$A$5:$A$81,0))</f>
        <v>2</v>
      </c>
    </row>
    <row r="5150" customFormat="false" ht="15" hidden="false" customHeight="false" outlineLevel="0" collapsed="false">
      <c r="A5150" s="0" t="s">
        <v>5474</v>
      </c>
      <c r="B5150" s="0" t="s">
        <v>58</v>
      </c>
      <c r="C5150" s="0" t="str">
        <f aca="false">INDEX(Intent_Analysis!$B$5:$B$81,MATCH(B5150,Intent_Analysis!$A$5:$A$81,0))</f>
        <v>Card payments &amp; refunds</v>
      </c>
      <c r="D5150" s="0" t="n">
        <f aca="false">INDEX(Intent_Analysis!$E$5:$E$81,MATCH(B5150,Intent_Analysis!$A$5:$A$81,0))</f>
        <v>2</v>
      </c>
    </row>
    <row r="5151" customFormat="false" ht="15" hidden="false" customHeight="false" outlineLevel="0" collapsed="false">
      <c r="A5151" s="0" t="s">
        <v>5475</v>
      </c>
      <c r="B5151" s="0" t="s">
        <v>58</v>
      </c>
      <c r="C5151" s="0" t="str">
        <f aca="false">INDEX(Intent_Analysis!$B$5:$B$81,MATCH(B5151,Intent_Analysis!$A$5:$A$81,0))</f>
        <v>Card payments &amp; refunds</v>
      </c>
      <c r="D5151" s="0" t="n">
        <f aca="false">INDEX(Intent_Analysis!$E$5:$E$81,MATCH(B5151,Intent_Analysis!$A$5:$A$81,0))</f>
        <v>2</v>
      </c>
    </row>
    <row r="5152" customFormat="false" ht="15" hidden="false" customHeight="false" outlineLevel="0" collapsed="false">
      <c r="A5152" s="0" t="s">
        <v>5476</v>
      </c>
      <c r="B5152" s="0" t="s">
        <v>58</v>
      </c>
      <c r="C5152" s="0" t="str">
        <f aca="false">INDEX(Intent_Analysis!$B$5:$B$81,MATCH(B5152,Intent_Analysis!$A$5:$A$81,0))</f>
        <v>Card payments &amp; refunds</v>
      </c>
      <c r="D5152" s="0" t="n">
        <f aca="false">INDEX(Intent_Analysis!$E$5:$E$81,MATCH(B5152,Intent_Analysis!$A$5:$A$81,0))</f>
        <v>2</v>
      </c>
    </row>
    <row r="5153" customFormat="false" ht="15" hidden="false" customHeight="false" outlineLevel="0" collapsed="false">
      <c r="A5153" s="0" t="s">
        <v>5477</v>
      </c>
      <c r="B5153" s="0" t="s">
        <v>58</v>
      </c>
      <c r="C5153" s="0" t="str">
        <f aca="false">INDEX(Intent_Analysis!$B$5:$B$81,MATCH(B5153,Intent_Analysis!$A$5:$A$81,0))</f>
        <v>Card payments &amp; refunds</v>
      </c>
      <c r="D5153" s="0" t="n">
        <f aca="false">INDEX(Intent_Analysis!$E$5:$E$81,MATCH(B5153,Intent_Analysis!$A$5:$A$81,0))</f>
        <v>2</v>
      </c>
    </row>
    <row r="5154" customFormat="false" ht="15" hidden="false" customHeight="false" outlineLevel="0" collapsed="false">
      <c r="A5154" s="0" t="s">
        <v>5478</v>
      </c>
      <c r="B5154" s="0" t="s">
        <v>58</v>
      </c>
      <c r="C5154" s="0" t="str">
        <f aca="false">INDEX(Intent_Analysis!$B$5:$B$81,MATCH(B5154,Intent_Analysis!$A$5:$A$81,0))</f>
        <v>Card payments &amp; refunds</v>
      </c>
      <c r="D5154" s="0" t="n">
        <f aca="false">INDEX(Intent_Analysis!$E$5:$E$81,MATCH(B5154,Intent_Analysis!$A$5:$A$81,0))</f>
        <v>2</v>
      </c>
    </row>
    <row r="5155" customFormat="false" ht="15" hidden="false" customHeight="false" outlineLevel="0" collapsed="false">
      <c r="A5155" s="0" t="s">
        <v>5479</v>
      </c>
      <c r="B5155" s="0" t="s">
        <v>58</v>
      </c>
      <c r="C5155" s="0" t="str">
        <f aca="false">INDEX(Intent_Analysis!$B$5:$B$81,MATCH(B5155,Intent_Analysis!$A$5:$A$81,0))</f>
        <v>Card payments &amp; refunds</v>
      </c>
      <c r="D5155" s="0" t="n">
        <f aca="false">INDEX(Intent_Analysis!$E$5:$E$81,MATCH(B5155,Intent_Analysis!$A$5:$A$81,0))</f>
        <v>2</v>
      </c>
    </row>
    <row r="5156" customFormat="false" ht="15" hidden="false" customHeight="false" outlineLevel="0" collapsed="false">
      <c r="A5156" s="0" t="s">
        <v>5480</v>
      </c>
      <c r="B5156" s="0" t="s">
        <v>58</v>
      </c>
      <c r="C5156" s="0" t="str">
        <f aca="false">INDEX(Intent_Analysis!$B$5:$B$81,MATCH(B5156,Intent_Analysis!$A$5:$A$81,0))</f>
        <v>Card payments &amp; refunds</v>
      </c>
      <c r="D5156" s="0" t="n">
        <f aca="false">INDEX(Intent_Analysis!$E$5:$E$81,MATCH(B5156,Intent_Analysis!$A$5:$A$81,0))</f>
        <v>2</v>
      </c>
    </row>
    <row r="5157" customFormat="false" ht="15" hidden="false" customHeight="false" outlineLevel="0" collapsed="false">
      <c r="A5157" s="0" t="s">
        <v>5481</v>
      </c>
      <c r="B5157" s="0" t="s">
        <v>58</v>
      </c>
      <c r="C5157" s="0" t="str">
        <f aca="false">INDEX(Intent_Analysis!$B$5:$B$81,MATCH(B5157,Intent_Analysis!$A$5:$A$81,0))</f>
        <v>Card payments &amp; refunds</v>
      </c>
      <c r="D5157" s="0" t="n">
        <f aca="false">INDEX(Intent_Analysis!$E$5:$E$81,MATCH(B5157,Intent_Analysis!$A$5:$A$81,0))</f>
        <v>2</v>
      </c>
    </row>
    <row r="5158" customFormat="false" ht="15" hidden="false" customHeight="false" outlineLevel="0" collapsed="false">
      <c r="A5158" s="0" t="s">
        <v>5482</v>
      </c>
      <c r="B5158" s="0" t="s">
        <v>58</v>
      </c>
      <c r="C5158" s="0" t="str">
        <f aca="false">INDEX(Intent_Analysis!$B$5:$B$81,MATCH(B5158,Intent_Analysis!$A$5:$A$81,0))</f>
        <v>Card payments &amp; refunds</v>
      </c>
      <c r="D5158" s="0" t="n">
        <f aca="false">INDEX(Intent_Analysis!$E$5:$E$81,MATCH(B5158,Intent_Analysis!$A$5:$A$81,0))</f>
        <v>2</v>
      </c>
    </row>
    <row r="5159" customFormat="false" ht="15" hidden="false" customHeight="false" outlineLevel="0" collapsed="false">
      <c r="A5159" s="0" t="s">
        <v>5483</v>
      </c>
      <c r="B5159" s="0" t="s">
        <v>58</v>
      </c>
      <c r="C5159" s="0" t="str">
        <f aca="false">INDEX(Intent_Analysis!$B$5:$B$81,MATCH(B5159,Intent_Analysis!$A$5:$A$81,0))</f>
        <v>Card payments &amp; refunds</v>
      </c>
      <c r="D5159" s="0" t="n">
        <f aca="false">INDEX(Intent_Analysis!$E$5:$E$81,MATCH(B5159,Intent_Analysis!$A$5:$A$81,0))</f>
        <v>2</v>
      </c>
    </row>
    <row r="5160" customFormat="false" ht="15" hidden="false" customHeight="false" outlineLevel="0" collapsed="false">
      <c r="A5160" s="0" t="s">
        <v>5484</v>
      </c>
      <c r="B5160" s="0" t="s">
        <v>58</v>
      </c>
      <c r="C5160" s="0" t="str">
        <f aca="false">INDEX(Intent_Analysis!$B$5:$B$81,MATCH(B5160,Intent_Analysis!$A$5:$A$81,0))</f>
        <v>Card payments &amp; refunds</v>
      </c>
      <c r="D5160" s="0" t="n">
        <f aca="false">INDEX(Intent_Analysis!$E$5:$E$81,MATCH(B5160,Intent_Analysis!$A$5:$A$81,0))</f>
        <v>2</v>
      </c>
    </row>
    <row r="5161" customFormat="false" ht="15" hidden="false" customHeight="false" outlineLevel="0" collapsed="false">
      <c r="A5161" s="0" t="s">
        <v>5485</v>
      </c>
      <c r="B5161" s="0" t="s">
        <v>58</v>
      </c>
      <c r="C5161" s="0" t="str">
        <f aca="false">INDEX(Intent_Analysis!$B$5:$B$81,MATCH(B5161,Intent_Analysis!$A$5:$A$81,0))</f>
        <v>Card payments &amp; refunds</v>
      </c>
      <c r="D5161" s="0" t="n">
        <f aca="false">INDEX(Intent_Analysis!$E$5:$E$81,MATCH(B5161,Intent_Analysis!$A$5:$A$81,0))</f>
        <v>2</v>
      </c>
    </row>
    <row r="5162" customFormat="false" ht="15" hidden="false" customHeight="false" outlineLevel="0" collapsed="false">
      <c r="A5162" s="0" t="s">
        <v>5486</v>
      </c>
      <c r="B5162" s="0" t="s">
        <v>58</v>
      </c>
      <c r="C5162" s="0" t="str">
        <f aca="false">INDEX(Intent_Analysis!$B$5:$B$81,MATCH(B5162,Intent_Analysis!$A$5:$A$81,0))</f>
        <v>Card payments &amp; refunds</v>
      </c>
      <c r="D5162" s="0" t="n">
        <f aca="false">INDEX(Intent_Analysis!$E$5:$E$81,MATCH(B5162,Intent_Analysis!$A$5:$A$81,0))</f>
        <v>2</v>
      </c>
    </row>
    <row r="5163" customFormat="false" ht="15" hidden="false" customHeight="false" outlineLevel="0" collapsed="false">
      <c r="A5163" s="0" t="s">
        <v>5487</v>
      </c>
      <c r="B5163" s="0" t="s">
        <v>58</v>
      </c>
      <c r="C5163" s="0" t="str">
        <f aca="false">INDEX(Intent_Analysis!$B$5:$B$81,MATCH(B5163,Intent_Analysis!$A$5:$A$81,0))</f>
        <v>Card payments &amp; refunds</v>
      </c>
      <c r="D5163" s="0" t="n">
        <f aca="false">INDEX(Intent_Analysis!$E$5:$E$81,MATCH(B5163,Intent_Analysis!$A$5:$A$81,0))</f>
        <v>2</v>
      </c>
    </row>
    <row r="5164" customFormat="false" ht="15" hidden="false" customHeight="false" outlineLevel="0" collapsed="false">
      <c r="A5164" s="0" t="s">
        <v>5488</v>
      </c>
      <c r="B5164" s="0" t="s">
        <v>58</v>
      </c>
      <c r="C5164" s="0" t="str">
        <f aca="false">INDEX(Intent_Analysis!$B$5:$B$81,MATCH(B5164,Intent_Analysis!$A$5:$A$81,0))</f>
        <v>Card payments &amp; refunds</v>
      </c>
      <c r="D5164" s="0" t="n">
        <f aca="false">INDEX(Intent_Analysis!$E$5:$E$81,MATCH(B5164,Intent_Analysis!$A$5:$A$81,0))</f>
        <v>2</v>
      </c>
    </row>
    <row r="5165" customFormat="false" ht="15" hidden="false" customHeight="false" outlineLevel="0" collapsed="false">
      <c r="A5165" s="0" t="s">
        <v>5489</v>
      </c>
      <c r="B5165" s="0" t="s">
        <v>58</v>
      </c>
      <c r="C5165" s="0" t="str">
        <f aca="false">INDEX(Intent_Analysis!$B$5:$B$81,MATCH(B5165,Intent_Analysis!$A$5:$A$81,0))</f>
        <v>Card payments &amp; refunds</v>
      </c>
      <c r="D5165" s="0" t="n">
        <f aca="false">INDEX(Intent_Analysis!$E$5:$E$81,MATCH(B5165,Intent_Analysis!$A$5:$A$81,0))</f>
        <v>2</v>
      </c>
    </row>
    <row r="5166" customFormat="false" ht="15" hidden="false" customHeight="false" outlineLevel="0" collapsed="false">
      <c r="A5166" s="0" t="s">
        <v>5490</v>
      </c>
      <c r="B5166" s="0" t="s">
        <v>58</v>
      </c>
      <c r="C5166" s="0" t="str">
        <f aca="false">INDEX(Intent_Analysis!$B$5:$B$81,MATCH(B5166,Intent_Analysis!$A$5:$A$81,0))</f>
        <v>Card payments &amp; refunds</v>
      </c>
      <c r="D5166" s="0" t="n">
        <f aca="false">INDEX(Intent_Analysis!$E$5:$E$81,MATCH(B5166,Intent_Analysis!$A$5:$A$81,0))</f>
        <v>2</v>
      </c>
    </row>
    <row r="5167" customFormat="false" ht="15" hidden="false" customHeight="false" outlineLevel="0" collapsed="false">
      <c r="A5167" s="0" t="s">
        <v>5491</v>
      </c>
      <c r="B5167" s="0" t="s">
        <v>58</v>
      </c>
      <c r="C5167" s="0" t="str">
        <f aca="false">INDEX(Intent_Analysis!$B$5:$B$81,MATCH(B5167,Intent_Analysis!$A$5:$A$81,0))</f>
        <v>Card payments &amp; refunds</v>
      </c>
      <c r="D5167" s="0" t="n">
        <f aca="false">INDEX(Intent_Analysis!$E$5:$E$81,MATCH(B5167,Intent_Analysis!$A$5:$A$81,0))</f>
        <v>2</v>
      </c>
    </row>
    <row r="5168" customFormat="false" ht="15" hidden="false" customHeight="false" outlineLevel="0" collapsed="false">
      <c r="A5168" s="0" t="s">
        <v>5492</v>
      </c>
      <c r="B5168" s="0" t="s">
        <v>58</v>
      </c>
      <c r="C5168" s="0" t="str">
        <f aca="false">INDEX(Intent_Analysis!$B$5:$B$81,MATCH(B5168,Intent_Analysis!$A$5:$A$81,0))</f>
        <v>Card payments &amp; refunds</v>
      </c>
      <c r="D5168" s="0" t="n">
        <f aca="false">INDEX(Intent_Analysis!$E$5:$E$81,MATCH(B5168,Intent_Analysis!$A$5:$A$81,0))</f>
        <v>2</v>
      </c>
    </row>
    <row r="5169" customFormat="false" ht="15" hidden="false" customHeight="false" outlineLevel="0" collapsed="false">
      <c r="A5169" s="0" t="s">
        <v>5493</v>
      </c>
      <c r="B5169" s="0" t="s">
        <v>58</v>
      </c>
      <c r="C5169" s="0" t="str">
        <f aca="false">INDEX(Intent_Analysis!$B$5:$B$81,MATCH(B5169,Intent_Analysis!$A$5:$A$81,0))</f>
        <v>Card payments &amp; refunds</v>
      </c>
      <c r="D5169" s="0" t="n">
        <f aca="false">INDEX(Intent_Analysis!$E$5:$E$81,MATCH(B5169,Intent_Analysis!$A$5:$A$81,0))</f>
        <v>2</v>
      </c>
    </row>
    <row r="5170" customFormat="false" ht="15" hidden="false" customHeight="false" outlineLevel="0" collapsed="false">
      <c r="A5170" s="0" t="s">
        <v>5494</v>
      </c>
      <c r="B5170" s="0" t="s">
        <v>58</v>
      </c>
      <c r="C5170" s="0" t="str">
        <f aca="false">INDEX(Intent_Analysis!$B$5:$B$81,MATCH(B5170,Intent_Analysis!$A$5:$A$81,0))</f>
        <v>Card payments &amp; refunds</v>
      </c>
      <c r="D5170" s="0" t="n">
        <f aca="false">INDEX(Intent_Analysis!$E$5:$E$81,MATCH(B5170,Intent_Analysis!$A$5:$A$81,0))</f>
        <v>2</v>
      </c>
    </row>
    <row r="5171" customFormat="false" ht="15" hidden="false" customHeight="false" outlineLevel="0" collapsed="false">
      <c r="A5171" s="0" t="s">
        <v>5495</v>
      </c>
      <c r="B5171" s="0" t="s">
        <v>58</v>
      </c>
      <c r="C5171" s="0" t="str">
        <f aca="false">INDEX(Intent_Analysis!$B$5:$B$81,MATCH(B5171,Intent_Analysis!$A$5:$A$81,0))</f>
        <v>Card payments &amp; refunds</v>
      </c>
      <c r="D5171" s="0" t="n">
        <f aca="false">INDEX(Intent_Analysis!$E$5:$E$81,MATCH(B5171,Intent_Analysis!$A$5:$A$81,0))</f>
        <v>2</v>
      </c>
    </row>
    <row r="5172" customFormat="false" ht="15" hidden="false" customHeight="false" outlineLevel="0" collapsed="false">
      <c r="A5172" s="0" t="s">
        <v>5496</v>
      </c>
      <c r="B5172" s="0" t="s">
        <v>58</v>
      </c>
      <c r="C5172" s="0" t="str">
        <f aca="false">INDEX(Intent_Analysis!$B$5:$B$81,MATCH(B5172,Intent_Analysis!$A$5:$A$81,0))</f>
        <v>Card payments &amp; refunds</v>
      </c>
      <c r="D5172" s="0" t="n">
        <f aca="false">INDEX(Intent_Analysis!$E$5:$E$81,MATCH(B5172,Intent_Analysis!$A$5:$A$81,0))</f>
        <v>2</v>
      </c>
    </row>
    <row r="5173" customFormat="false" ht="15" hidden="false" customHeight="false" outlineLevel="0" collapsed="false">
      <c r="A5173" s="0" t="s">
        <v>5497</v>
      </c>
      <c r="B5173" s="0" t="s">
        <v>58</v>
      </c>
      <c r="C5173" s="0" t="str">
        <f aca="false">INDEX(Intent_Analysis!$B$5:$B$81,MATCH(B5173,Intent_Analysis!$A$5:$A$81,0))</f>
        <v>Card payments &amp; refunds</v>
      </c>
      <c r="D5173" s="0" t="n">
        <f aca="false">INDEX(Intent_Analysis!$E$5:$E$81,MATCH(B5173,Intent_Analysis!$A$5:$A$81,0))</f>
        <v>2</v>
      </c>
    </row>
    <row r="5174" customFormat="false" ht="15" hidden="false" customHeight="false" outlineLevel="0" collapsed="false">
      <c r="A5174" s="0" t="s">
        <v>5498</v>
      </c>
      <c r="B5174" s="0" t="s">
        <v>58</v>
      </c>
      <c r="C5174" s="0" t="str">
        <f aca="false">INDEX(Intent_Analysis!$B$5:$B$81,MATCH(B5174,Intent_Analysis!$A$5:$A$81,0))</f>
        <v>Card payments &amp; refunds</v>
      </c>
      <c r="D5174" s="0" t="n">
        <f aca="false">INDEX(Intent_Analysis!$E$5:$E$81,MATCH(B5174,Intent_Analysis!$A$5:$A$81,0))</f>
        <v>2</v>
      </c>
    </row>
    <row r="5175" customFormat="false" ht="15" hidden="false" customHeight="false" outlineLevel="0" collapsed="false">
      <c r="A5175" s="0" t="s">
        <v>5499</v>
      </c>
      <c r="B5175" s="0" t="s">
        <v>58</v>
      </c>
      <c r="C5175" s="0" t="str">
        <f aca="false">INDEX(Intent_Analysis!$B$5:$B$81,MATCH(B5175,Intent_Analysis!$A$5:$A$81,0))</f>
        <v>Card payments &amp; refunds</v>
      </c>
      <c r="D5175" s="0" t="n">
        <f aca="false">INDEX(Intent_Analysis!$E$5:$E$81,MATCH(B5175,Intent_Analysis!$A$5:$A$81,0))</f>
        <v>2</v>
      </c>
    </row>
    <row r="5176" customFormat="false" ht="15" hidden="false" customHeight="false" outlineLevel="0" collapsed="false">
      <c r="A5176" s="0" t="s">
        <v>5500</v>
      </c>
      <c r="B5176" s="0" t="s">
        <v>58</v>
      </c>
      <c r="C5176" s="0" t="str">
        <f aca="false">INDEX(Intent_Analysis!$B$5:$B$81,MATCH(B5176,Intent_Analysis!$A$5:$A$81,0))</f>
        <v>Card payments &amp; refunds</v>
      </c>
      <c r="D5176" s="0" t="n">
        <f aca="false">INDEX(Intent_Analysis!$E$5:$E$81,MATCH(B5176,Intent_Analysis!$A$5:$A$81,0))</f>
        <v>2</v>
      </c>
    </row>
    <row r="5177" customFormat="false" ht="15" hidden="false" customHeight="false" outlineLevel="0" collapsed="false">
      <c r="A5177" s="0" t="s">
        <v>5501</v>
      </c>
      <c r="B5177" s="0" t="s">
        <v>58</v>
      </c>
      <c r="C5177" s="0" t="str">
        <f aca="false">INDEX(Intent_Analysis!$B$5:$B$81,MATCH(B5177,Intent_Analysis!$A$5:$A$81,0))</f>
        <v>Card payments &amp; refunds</v>
      </c>
      <c r="D5177" s="0" t="n">
        <f aca="false">INDEX(Intent_Analysis!$E$5:$E$81,MATCH(B5177,Intent_Analysis!$A$5:$A$81,0))</f>
        <v>2</v>
      </c>
    </row>
    <row r="5178" customFormat="false" ht="15" hidden="false" customHeight="false" outlineLevel="0" collapsed="false">
      <c r="A5178" s="0" t="s">
        <v>5502</v>
      </c>
      <c r="B5178" s="0" t="s">
        <v>58</v>
      </c>
      <c r="C5178" s="0" t="str">
        <f aca="false">INDEX(Intent_Analysis!$B$5:$B$81,MATCH(B5178,Intent_Analysis!$A$5:$A$81,0))</f>
        <v>Card payments &amp; refunds</v>
      </c>
      <c r="D5178" s="0" t="n">
        <f aca="false">INDEX(Intent_Analysis!$E$5:$E$81,MATCH(B5178,Intent_Analysis!$A$5:$A$81,0))</f>
        <v>2</v>
      </c>
    </row>
    <row r="5179" customFormat="false" ht="15" hidden="false" customHeight="false" outlineLevel="0" collapsed="false">
      <c r="A5179" s="0" t="s">
        <v>5503</v>
      </c>
      <c r="B5179" s="0" t="s">
        <v>58</v>
      </c>
      <c r="C5179" s="0" t="str">
        <f aca="false">INDEX(Intent_Analysis!$B$5:$B$81,MATCH(B5179,Intent_Analysis!$A$5:$A$81,0))</f>
        <v>Card payments &amp; refunds</v>
      </c>
      <c r="D5179" s="0" t="n">
        <f aca="false">INDEX(Intent_Analysis!$E$5:$E$81,MATCH(B5179,Intent_Analysis!$A$5:$A$81,0))</f>
        <v>2</v>
      </c>
    </row>
    <row r="5180" customFormat="false" ht="15" hidden="false" customHeight="false" outlineLevel="0" collapsed="false">
      <c r="A5180" s="0" t="s">
        <v>5504</v>
      </c>
      <c r="B5180" s="0" t="s">
        <v>58</v>
      </c>
      <c r="C5180" s="0" t="str">
        <f aca="false">INDEX(Intent_Analysis!$B$5:$B$81,MATCH(B5180,Intent_Analysis!$A$5:$A$81,0))</f>
        <v>Card payments &amp; refunds</v>
      </c>
      <c r="D5180" s="0" t="n">
        <f aca="false">INDEX(Intent_Analysis!$E$5:$E$81,MATCH(B5180,Intent_Analysis!$A$5:$A$81,0))</f>
        <v>2</v>
      </c>
    </row>
    <row r="5181" customFormat="false" ht="15" hidden="false" customHeight="false" outlineLevel="0" collapsed="false">
      <c r="A5181" s="0" t="s">
        <v>5505</v>
      </c>
      <c r="B5181" s="0" t="s">
        <v>58</v>
      </c>
      <c r="C5181" s="0" t="str">
        <f aca="false">INDEX(Intent_Analysis!$B$5:$B$81,MATCH(B5181,Intent_Analysis!$A$5:$A$81,0))</f>
        <v>Card payments &amp; refunds</v>
      </c>
      <c r="D5181" s="0" t="n">
        <f aca="false">INDEX(Intent_Analysis!$E$5:$E$81,MATCH(B5181,Intent_Analysis!$A$5:$A$81,0))</f>
        <v>2</v>
      </c>
    </row>
    <row r="5182" customFormat="false" ht="15" hidden="false" customHeight="false" outlineLevel="0" collapsed="false">
      <c r="A5182" s="0" t="s">
        <v>5506</v>
      </c>
      <c r="B5182" s="0" t="s">
        <v>58</v>
      </c>
      <c r="C5182" s="0" t="str">
        <f aca="false">INDEX(Intent_Analysis!$B$5:$B$81,MATCH(B5182,Intent_Analysis!$A$5:$A$81,0))</f>
        <v>Card payments &amp; refunds</v>
      </c>
      <c r="D5182" s="0" t="n">
        <f aca="false">INDEX(Intent_Analysis!$E$5:$E$81,MATCH(B5182,Intent_Analysis!$A$5:$A$81,0))</f>
        <v>2</v>
      </c>
    </row>
    <row r="5183" customFormat="false" ht="15" hidden="false" customHeight="false" outlineLevel="0" collapsed="false">
      <c r="A5183" s="0" t="s">
        <v>5507</v>
      </c>
      <c r="B5183" s="0" t="s">
        <v>58</v>
      </c>
      <c r="C5183" s="0" t="str">
        <f aca="false">INDEX(Intent_Analysis!$B$5:$B$81,MATCH(B5183,Intent_Analysis!$A$5:$A$81,0))</f>
        <v>Card payments &amp; refunds</v>
      </c>
      <c r="D5183" s="0" t="n">
        <f aca="false">INDEX(Intent_Analysis!$E$5:$E$81,MATCH(B5183,Intent_Analysis!$A$5:$A$81,0))</f>
        <v>2</v>
      </c>
    </row>
    <row r="5184" customFormat="false" ht="15" hidden="false" customHeight="false" outlineLevel="0" collapsed="false">
      <c r="A5184" s="0" t="s">
        <v>5508</v>
      </c>
      <c r="B5184" s="0" t="s">
        <v>58</v>
      </c>
      <c r="C5184" s="0" t="str">
        <f aca="false">INDEX(Intent_Analysis!$B$5:$B$81,MATCH(B5184,Intent_Analysis!$A$5:$A$81,0))</f>
        <v>Card payments &amp; refunds</v>
      </c>
      <c r="D5184" s="0" t="n">
        <f aca="false">INDEX(Intent_Analysis!$E$5:$E$81,MATCH(B5184,Intent_Analysis!$A$5:$A$81,0))</f>
        <v>2</v>
      </c>
    </row>
    <row r="5185" customFormat="false" ht="15" hidden="false" customHeight="false" outlineLevel="0" collapsed="false">
      <c r="A5185" s="0" t="s">
        <v>5509</v>
      </c>
      <c r="B5185" s="0" t="s">
        <v>58</v>
      </c>
      <c r="C5185" s="0" t="str">
        <f aca="false">INDEX(Intent_Analysis!$B$5:$B$81,MATCH(B5185,Intent_Analysis!$A$5:$A$81,0))</f>
        <v>Card payments &amp; refunds</v>
      </c>
      <c r="D5185" s="0" t="n">
        <f aca="false">INDEX(Intent_Analysis!$E$5:$E$81,MATCH(B5185,Intent_Analysis!$A$5:$A$81,0))</f>
        <v>2</v>
      </c>
    </row>
    <row r="5186" customFormat="false" ht="15" hidden="false" customHeight="false" outlineLevel="0" collapsed="false">
      <c r="A5186" s="0" t="s">
        <v>5510</v>
      </c>
      <c r="B5186" s="0" t="s">
        <v>58</v>
      </c>
      <c r="C5186" s="0" t="str">
        <f aca="false">INDEX(Intent_Analysis!$B$5:$B$81,MATCH(B5186,Intent_Analysis!$A$5:$A$81,0))</f>
        <v>Card payments &amp; refunds</v>
      </c>
      <c r="D5186" s="0" t="n">
        <f aca="false">INDEX(Intent_Analysis!$E$5:$E$81,MATCH(B5186,Intent_Analysis!$A$5:$A$81,0))</f>
        <v>2</v>
      </c>
    </row>
    <row r="5187" customFormat="false" ht="15" hidden="false" customHeight="false" outlineLevel="0" collapsed="false">
      <c r="A5187" s="0" t="s">
        <v>5511</v>
      </c>
      <c r="B5187" s="0" t="s">
        <v>58</v>
      </c>
      <c r="C5187" s="0" t="str">
        <f aca="false">INDEX(Intent_Analysis!$B$5:$B$81,MATCH(B5187,Intent_Analysis!$A$5:$A$81,0))</f>
        <v>Card payments &amp; refunds</v>
      </c>
      <c r="D5187" s="0" t="n">
        <f aca="false">INDEX(Intent_Analysis!$E$5:$E$81,MATCH(B5187,Intent_Analysis!$A$5:$A$81,0))</f>
        <v>2</v>
      </c>
    </row>
    <row r="5188" customFormat="false" ht="15" hidden="false" customHeight="false" outlineLevel="0" collapsed="false">
      <c r="A5188" s="0" t="s">
        <v>5512</v>
      </c>
      <c r="B5188" s="0" t="s">
        <v>58</v>
      </c>
      <c r="C5188" s="0" t="str">
        <f aca="false">INDEX(Intent_Analysis!$B$5:$B$81,MATCH(B5188,Intent_Analysis!$A$5:$A$81,0))</f>
        <v>Card payments &amp; refunds</v>
      </c>
      <c r="D5188" s="0" t="n">
        <f aca="false">INDEX(Intent_Analysis!$E$5:$E$81,MATCH(B5188,Intent_Analysis!$A$5:$A$81,0))</f>
        <v>2</v>
      </c>
    </row>
    <row r="5189" customFormat="false" ht="15" hidden="false" customHeight="false" outlineLevel="0" collapsed="false">
      <c r="A5189" s="0" t="s">
        <v>5513</v>
      </c>
      <c r="B5189" s="0" t="s">
        <v>58</v>
      </c>
      <c r="C5189" s="0" t="str">
        <f aca="false">INDEX(Intent_Analysis!$B$5:$B$81,MATCH(B5189,Intent_Analysis!$A$5:$A$81,0))</f>
        <v>Card payments &amp; refunds</v>
      </c>
      <c r="D5189" s="0" t="n">
        <f aca="false">INDEX(Intent_Analysis!$E$5:$E$81,MATCH(B5189,Intent_Analysis!$A$5:$A$81,0))</f>
        <v>2</v>
      </c>
    </row>
    <row r="5190" customFormat="false" ht="15" hidden="false" customHeight="false" outlineLevel="0" collapsed="false">
      <c r="A5190" s="0" t="s">
        <v>5514</v>
      </c>
      <c r="B5190" s="0" t="s">
        <v>58</v>
      </c>
      <c r="C5190" s="0" t="str">
        <f aca="false">INDEX(Intent_Analysis!$B$5:$B$81,MATCH(B5190,Intent_Analysis!$A$5:$A$81,0))</f>
        <v>Card payments &amp; refunds</v>
      </c>
      <c r="D5190" s="0" t="n">
        <f aca="false">INDEX(Intent_Analysis!$E$5:$E$81,MATCH(B5190,Intent_Analysis!$A$5:$A$81,0))</f>
        <v>2</v>
      </c>
    </row>
    <row r="5191" customFormat="false" ht="15" hidden="false" customHeight="false" outlineLevel="0" collapsed="false">
      <c r="A5191" s="0" t="s">
        <v>5515</v>
      </c>
      <c r="B5191" s="0" t="s">
        <v>58</v>
      </c>
      <c r="C5191" s="0" t="str">
        <f aca="false">INDEX(Intent_Analysis!$B$5:$B$81,MATCH(B5191,Intent_Analysis!$A$5:$A$81,0))</f>
        <v>Card payments &amp; refunds</v>
      </c>
      <c r="D5191" s="0" t="n">
        <f aca="false">INDEX(Intent_Analysis!$E$5:$E$81,MATCH(B5191,Intent_Analysis!$A$5:$A$81,0))</f>
        <v>2</v>
      </c>
    </row>
    <row r="5192" customFormat="false" ht="15" hidden="false" customHeight="false" outlineLevel="0" collapsed="false">
      <c r="A5192" s="0" t="s">
        <v>5516</v>
      </c>
      <c r="B5192" s="0" t="s">
        <v>58</v>
      </c>
      <c r="C5192" s="0" t="str">
        <f aca="false">INDEX(Intent_Analysis!$B$5:$B$81,MATCH(B5192,Intent_Analysis!$A$5:$A$81,0))</f>
        <v>Card payments &amp; refunds</v>
      </c>
      <c r="D5192" s="0" t="n">
        <f aca="false">INDEX(Intent_Analysis!$E$5:$E$81,MATCH(B5192,Intent_Analysis!$A$5:$A$81,0))</f>
        <v>2</v>
      </c>
    </row>
    <row r="5193" customFormat="false" ht="15" hidden="false" customHeight="false" outlineLevel="0" collapsed="false">
      <c r="A5193" s="0" t="s">
        <v>5517</v>
      </c>
      <c r="B5193" s="0" t="s">
        <v>58</v>
      </c>
      <c r="C5193" s="0" t="str">
        <f aca="false">INDEX(Intent_Analysis!$B$5:$B$81,MATCH(B5193,Intent_Analysis!$A$5:$A$81,0))</f>
        <v>Card payments &amp; refunds</v>
      </c>
      <c r="D5193" s="0" t="n">
        <f aca="false">INDEX(Intent_Analysis!$E$5:$E$81,MATCH(B5193,Intent_Analysis!$A$5:$A$81,0))</f>
        <v>2</v>
      </c>
    </row>
    <row r="5194" customFormat="false" ht="15" hidden="false" customHeight="false" outlineLevel="0" collapsed="false">
      <c r="A5194" s="0" t="s">
        <v>5518</v>
      </c>
      <c r="B5194" s="0" t="s">
        <v>58</v>
      </c>
      <c r="C5194" s="0" t="str">
        <f aca="false">INDEX(Intent_Analysis!$B$5:$B$81,MATCH(B5194,Intent_Analysis!$A$5:$A$81,0))</f>
        <v>Card payments &amp; refunds</v>
      </c>
      <c r="D5194" s="0" t="n">
        <f aca="false">INDEX(Intent_Analysis!$E$5:$E$81,MATCH(B5194,Intent_Analysis!$A$5:$A$81,0))</f>
        <v>2</v>
      </c>
    </row>
    <row r="5195" customFormat="false" ht="15" hidden="false" customHeight="false" outlineLevel="0" collapsed="false">
      <c r="A5195" s="0" t="s">
        <v>5519</v>
      </c>
      <c r="B5195" s="0" t="s">
        <v>58</v>
      </c>
      <c r="C5195" s="0" t="str">
        <f aca="false">INDEX(Intent_Analysis!$B$5:$B$81,MATCH(B5195,Intent_Analysis!$A$5:$A$81,0))</f>
        <v>Card payments &amp; refunds</v>
      </c>
      <c r="D5195" s="0" t="n">
        <f aca="false">INDEX(Intent_Analysis!$E$5:$E$81,MATCH(B5195,Intent_Analysis!$A$5:$A$81,0))</f>
        <v>2</v>
      </c>
    </row>
    <row r="5196" customFormat="false" ht="15" hidden="false" customHeight="false" outlineLevel="0" collapsed="false">
      <c r="A5196" s="0" t="s">
        <v>5520</v>
      </c>
      <c r="B5196" s="0" t="s">
        <v>58</v>
      </c>
      <c r="C5196" s="0" t="str">
        <f aca="false">INDEX(Intent_Analysis!$B$5:$B$81,MATCH(B5196,Intent_Analysis!$A$5:$A$81,0))</f>
        <v>Card payments &amp; refunds</v>
      </c>
      <c r="D5196" s="0" t="n">
        <f aca="false">INDEX(Intent_Analysis!$E$5:$E$81,MATCH(B5196,Intent_Analysis!$A$5:$A$81,0))</f>
        <v>2</v>
      </c>
    </row>
    <row r="5197" customFormat="false" ht="15" hidden="false" customHeight="false" outlineLevel="0" collapsed="false">
      <c r="A5197" s="0" t="s">
        <v>5521</v>
      </c>
      <c r="B5197" s="0" t="s">
        <v>58</v>
      </c>
      <c r="C5197" s="0" t="str">
        <f aca="false">INDEX(Intent_Analysis!$B$5:$B$81,MATCH(B5197,Intent_Analysis!$A$5:$A$81,0))</f>
        <v>Card payments &amp; refunds</v>
      </c>
      <c r="D5197" s="0" t="n">
        <f aca="false">INDEX(Intent_Analysis!$E$5:$E$81,MATCH(B5197,Intent_Analysis!$A$5:$A$81,0))</f>
        <v>2</v>
      </c>
    </row>
    <row r="5198" customFormat="false" ht="15" hidden="false" customHeight="false" outlineLevel="0" collapsed="false">
      <c r="A5198" s="0" t="s">
        <v>5522</v>
      </c>
      <c r="B5198" s="0" t="s">
        <v>58</v>
      </c>
      <c r="C5198" s="0" t="str">
        <f aca="false">INDEX(Intent_Analysis!$B$5:$B$81,MATCH(B5198,Intent_Analysis!$A$5:$A$81,0))</f>
        <v>Card payments &amp; refunds</v>
      </c>
      <c r="D5198" s="0" t="n">
        <f aca="false">INDEX(Intent_Analysis!$E$5:$E$81,MATCH(B5198,Intent_Analysis!$A$5:$A$81,0))</f>
        <v>2</v>
      </c>
    </row>
    <row r="5199" customFormat="false" ht="15" hidden="false" customHeight="false" outlineLevel="0" collapsed="false">
      <c r="A5199" s="0" t="s">
        <v>5523</v>
      </c>
      <c r="B5199" s="0" t="s">
        <v>58</v>
      </c>
      <c r="C5199" s="0" t="str">
        <f aca="false">INDEX(Intent_Analysis!$B$5:$B$81,MATCH(B5199,Intent_Analysis!$A$5:$A$81,0))</f>
        <v>Card payments &amp; refunds</v>
      </c>
      <c r="D5199" s="0" t="n">
        <f aca="false">INDEX(Intent_Analysis!$E$5:$E$81,MATCH(B5199,Intent_Analysis!$A$5:$A$81,0))</f>
        <v>2</v>
      </c>
    </row>
    <row r="5200" customFormat="false" ht="15" hidden="false" customHeight="false" outlineLevel="0" collapsed="false">
      <c r="A5200" s="0" t="s">
        <v>5524</v>
      </c>
      <c r="B5200" s="0" t="s">
        <v>58</v>
      </c>
      <c r="C5200" s="0" t="str">
        <f aca="false">INDEX(Intent_Analysis!$B$5:$B$81,MATCH(B5200,Intent_Analysis!$A$5:$A$81,0))</f>
        <v>Card payments &amp; refunds</v>
      </c>
      <c r="D5200" s="0" t="n">
        <f aca="false">INDEX(Intent_Analysis!$E$5:$E$81,MATCH(B5200,Intent_Analysis!$A$5:$A$81,0))</f>
        <v>2</v>
      </c>
    </row>
    <row r="5201" customFormat="false" ht="15" hidden="false" customHeight="false" outlineLevel="0" collapsed="false">
      <c r="A5201" s="0" t="s">
        <v>5525</v>
      </c>
      <c r="B5201" s="0" t="s">
        <v>58</v>
      </c>
      <c r="C5201" s="0" t="str">
        <f aca="false">INDEX(Intent_Analysis!$B$5:$B$81,MATCH(B5201,Intent_Analysis!$A$5:$A$81,0))</f>
        <v>Card payments &amp; refunds</v>
      </c>
      <c r="D5201" s="0" t="n">
        <f aca="false">INDEX(Intent_Analysis!$E$5:$E$81,MATCH(B5201,Intent_Analysis!$A$5:$A$81,0))</f>
        <v>2</v>
      </c>
    </row>
    <row r="5202" customFormat="false" ht="15" hidden="false" customHeight="false" outlineLevel="0" collapsed="false">
      <c r="A5202" s="0" t="s">
        <v>5526</v>
      </c>
      <c r="B5202" s="0" t="s">
        <v>58</v>
      </c>
      <c r="C5202" s="0" t="str">
        <f aca="false">INDEX(Intent_Analysis!$B$5:$B$81,MATCH(B5202,Intent_Analysis!$A$5:$A$81,0))</f>
        <v>Card payments &amp; refunds</v>
      </c>
      <c r="D5202" s="0" t="n">
        <f aca="false">INDEX(Intent_Analysis!$E$5:$E$81,MATCH(B5202,Intent_Analysis!$A$5:$A$81,0))</f>
        <v>2</v>
      </c>
    </row>
    <row r="5203" customFormat="false" ht="15" hidden="false" customHeight="false" outlineLevel="0" collapsed="false">
      <c r="A5203" s="0" t="s">
        <v>5527</v>
      </c>
      <c r="B5203" s="0" t="s">
        <v>58</v>
      </c>
      <c r="C5203" s="0" t="str">
        <f aca="false">INDEX(Intent_Analysis!$B$5:$B$81,MATCH(B5203,Intent_Analysis!$A$5:$A$81,0))</f>
        <v>Card payments &amp; refunds</v>
      </c>
      <c r="D5203" s="0" t="n">
        <f aca="false">INDEX(Intent_Analysis!$E$5:$E$81,MATCH(B5203,Intent_Analysis!$A$5:$A$81,0))</f>
        <v>2</v>
      </c>
    </row>
    <row r="5204" customFormat="false" ht="15" hidden="false" customHeight="false" outlineLevel="0" collapsed="false">
      <c r="A5204" s="0" t="s">
        <v>5528</v>
      </c>
      <c r="B5204" s="0" t="s">
        <v>58</v>
      </c>
      <c r="C5204" s="0" t="str">
        <f aca="false">INDEX(Intent_Analysis!$B$5:$B$81,MATCH(B5204,Intent_Analysis!$A$5:$A$81,0))</f>
        <v>Card payments &amp; refunds</v>
      </c>
      <c r="D5204" s="0" t="n">
        <f aca="false">INDEX(Intent_Analysis!$E$5:$E$81,MATCH(B5204,Intent_Analysis!$A$5:$A$81,0))</f>
        <v>2</v>
      </c>
    </row>
    <row r="5205" customFormat="false" ht="15" hidden="false" customHeight="false" outlineLevel="0" collapsed="false">
      <c r="A5205" s="0" t="s">
        <v>5529</v>
      </c>
      <c r="B5205" s="0" t="s">
        <v>58</v>
      </c>
      <c r="C5205" s="0" t="str">
        <f aca="false">INDEX(Intent_Analysis!$B$5:$B$81,MATCH(B5205,Intent_Analysis!$A$5:$A$81,0))</f>
        <v>Card payments &amp; refunds</v>
      </c>
      <c r="D5205" s="0" t="n">
        <f aca="false">INDEX(Intent_Analysis!$E$5:$E$81,MATCH(B5205,Intent_Analysis!$A$5:$A$81,0))</f>
        <v>2</v>
      </c>
    </row>
    <row r="5206" customFormat="false" ht="15" hidden="false" customHeight="false" outlineLevel="0" collapsed="false">
      <c r="A5206" s="0" t="s">
        <v>5530</v>
      </c>
      <c r="B5206" s="0" t="s">
        <v>58</v>
      </c>
      <c r="C5206" s="0" t="str">
        <f aca="false">INDEX(Intent_Analysis!$B$5:$B$81,MATCH(B5206,Intent_Analysis!$A$5:$A$81,0))</f>
        <v>Card payments &amp; refunds</v>
      </c>
      <c r="D5206" s="0" t="n">
        <f aca="false">INDEX(Intent_Analysis!$E$5:$E$81,MATCH(B5206,Intent_Analysis!$A$5:$A$81,0))</f>
        <v>2</v>
      </c>
    </row>
    <row r="5207" customFormat="false" ht="15" hidden="false" customHeight="false" outlineLevel="0" collapsed="false">
      <c r="A5207" s="0" t="s">
        <v>5531</v>
      </c>
      <c r="B5207" s="0" t="s">
        <v>58</v>
      </c>
      <c r="C5207" s="0" t="str">
        <f aca="false">INDEX(Intent_Analysis!$B$5:$B$81,MATCH(B5207,Intent_Analysis!$A$5:$A$81,0))</f>
        <v>Card payments &amp; refunds</v>
      </c>
      <c r="D5207" s="0" t="n">
        <f aca="false">INDEX(Intent_Analysis!$E$5:$E$81,MATCH(B5207,Intent_Analysis!$A$5:$A$81,0))</f>
        <v>2</v>
      </c>
    </row>
    <row r="5208" customFormat="false" ht="15" hidden="false" customHeight="false" outlineLevel="0" collapsed="false">
      <c r="A5208" s="0" t="s">
        <v>5532</v>
      </c>
      <c r="B5208" s="0" t="s">
        <v>58</v>
      </c>
      <c r="C5208" s="0" t="str">
        <f aca="false">INDEX(Intent_Analysis!$B$5:$B$81,MATCH(B5208,Intent_Analysis!$A$5:$A$81,0))</f>
        <v>Card payments &amp; refunds</v>
      </c>
      <c r="D5208" s="0" t="n">
        <f aca="false">INDEX(Intent_Analysis!$E$5:$E$81,MATCH(B5208,Intent_Analysis!$A$5:$A$81,0))</f>
        <v>2</v>
      </c>
    </row>
    <row r="5209" customFormat="false" ht="15" hidden="false" customHeight="false" outlineLevel="0" collapsed="false">
      <c r="A5209" s="0" t="s">
        <v>5533</v>
      </c>
      <c r="B5209" s="0" t="s">
        <v>58</v>
      </c>
      <c r="C5209" s="0" t="str">
        <f aca="false">INDEX(Intent_Analysis!$B$5:$B$81,MATCH(B5209,Intent_Analysis!$A$5:$A$81,0))</f>
        <v>Card payments &amp; refunds</v>
      </c>
      <c r="D5209" s="0" t="n">
        <f aca="false">INDEX(Intent_Analysis!$E$5:$E$81,MATCH(B5209,Intent_Analysis!$A$5:$A$81,0))</f>
        <v>2</v>
      </c>
    </row>
    <row r="5210" customFormat="false" ht="15" hidden="false" customHeight="false" outlineLevel="0" collapsed="false">
      <c r="A5210" s="0" t="s">
        <v>5534</v>
      </c>
      <c r="B5210" s="0" t="s">
        <v>58</v>
      </c>
      <c r="C5210" s="0" t="str">
        <f aca="false">INDEX(Intent_Analysis!$B$5:$B$81,MATCH(B5210,Intent_Analysis!$A$5:$A$81,0))</f>
        <v>Card payments &amp; refunds</v>
      </c>
      <c r="D5210" s="0" t="n">
        <f aca="false">INDEX(Intent_Analysis!$E$5:$E$81,MATCH(B5210,Intent_Analysis!$A$5:$A$81,0))</f>
        <v>2</v>
      </c>
    </row>
    <row r="5211" customFormat="false" ht="15" hidden="false" customHeight="false" outlineLevel="0" collapsed="false">
      <c r="A5211" s="0" t="s">
        <v>5535</v>
      </c>
      <c r="B5211" s="0" t="s">
        <v>58</v>
      </c>
      <c r="C5211" s="0" t="str">
        <f aca="false">INDEX(Intent_Analysis!$B$5:$B$81,MATCH(B5211,Intent_Analysis!$A$5:$A$81,0))</f>
        <v>Card payments &amp; refunds</v>
      </c>
      <c r="D5211" s="0" t="n">
        <f aca="false">INDEX(Intent_Analysis!$E$5:$E$81,MATCH(B5211,Intent_Analysis!$A$5:$A$81,0))</f>
        <v>2</v>
      </c>
    </row>
    <row r="5212" customFormat="false" ht="15" hidden="false" customHeight="false" outlineLevel="0" collapsed="false">
      <c r="A5212" s="0" t="s">
        <v>5536</v>
      </c>
      <c r="B5212" s="0" t="s">
        <v>58</v>
      </c>
      <c r="C5212" s="0" t="str">
        <f aca="false">INDEX(Intent_Analysis!$B$5:$B$81,MATCH(B5212,Intent_Analysis!$A$5:$A$81,0))</f>
        <v>Card payments &amp; refunds</v>
      </c>
      <c r="D5212" s="0" t="n">
        <f aca="false">INDEX(Intent_Analysis!$E$5:$E$81,MATCH(B5212,Intent_Analysis!$A$5:$A$81,0))</f>
        <v>2</v>
      </c>
    </row>
    <row r="5213" customFormat="false" ht="15" hidden="false" customHeight="false" outlineLevel="0" collapsed="false">
      <c r="A5213" s="0" t="s">
        <v>5537</v>
      </c>
      <c r="B5213" s="0" t="s">
        <v>58</v>
      </c>
      <c r="C5213" s="0" t="str">
        <f aca="false">INDEX(Intent_Analysis!$B$5:$B$81,MATCH(B5213,Intent_Analysis!$A$5:$A$81,0))</f>
        <v>Card payments &amp; refunds</v>
      </c>
      <c r="D5213" s="0" t="n">
        <f aca="false">INDEX(Intent_Analysis!$E$5:$E$81,MATCH(B5213,Intent_Analysis!$A$5:$A$81,0))</f>
        <v>2</v>
      </c>
    </row>
    <row r="5214" customFormat="false" ht="15" hidden="false" customHeight="false" outlineLevel="0" collapsed="false">
      <c r="A5214" s="0" t="s">
        <v>5538</v>
      </c>
      <c r="B5214" s="0" t="s">
        <v>58</v>
      </c>
      <c r="C5214" s="0" t="str">
        <f aca="false">INDEX(Intent_Analysis!$B$5:$B$81,MATCH(B5214,Intent_Analysis!$A$5:$A$81,0))</f>
        <v>Card payments &amp; refunds</v>
      </c>
      <c r="D5214" s="0" t="n">
        <f aca="false">INDEX(Intent_Analysis!$E$5:$E$81,MATCH(B5214,Intent_Analysis!$A$5:$A$81,0))</f>
        <v>2</v>
      </c>
    </row>
    <row r="5215" customFormat="false" ht="15" hidden="false" customHeight="false" outlineLevel="0" collapsed="false">
      <c r="A5215" s="0" t="s">
        <v>5539</v>
      </c>
      <c r="B5215" s="0" t="s">
        <v>58</v>
      </c>
      <c r="C5215" s="0" t="str">
        <f aca="false">INDEX(Intent_Analysis!$B$5:$B$81,MATCH(B5215,Intent_Analysis!$A$5:$A$81,0))</f>
        <v>Card payments &amp; refunds</v>
      </c>
      <c r="D5215" s="0" t="n">
        <f aca="false">INDEX(Intent_Analysis!$E$5:$E$81,MATCH(B5215,Intent_Analysis!$A$5:$A$81,0))</f>
        <v>2</v>
      </c>
    </row>
    <row r="5216" customFormat="false" ht="15" hidden="false" customHeight="false" outlineLevel="0" collapsed="false">
      <c r="A5216" s="0" t="s">
        <v>5540</v>
      </c>
      <c r="B5216" s="0" t="s">
        <v>58</v>
      </c>
      <c r="C5216" s="0" t="str">
        <f aca="false">INDEX(Intent_Analysis!$B$5:$B$81,MATCH(B5216,Intent_Analysis!$A$5:$A$81,0))</f>
        <v>Card payments &amp; refunds</v>
      </c>
      <c r="D5216" s="0" t="n">
        <f aca="false">INDEX(Intent_Analysis!$E$5:$E$81,MATCH(B5216,Intent_Analysis!$A$5:$A$81,0))</f>
        <v>2</v>
      </c>
    </row>
    <row r="5217" customFormat="false" ht="15" hidden="false" customHeight="false" outlineLevel="0" collapsed="false">
      <c r="A5217" s="0" t="s">
        <v>5541</v>
      </c>
      <c r="B5217" s="0" t="s">
        <v>58</v>
      </c>
      <c r="C5217" s="0" t="str">
        <f aca="false">INDEX(Intent_Analysis!$B$5:$B$81,MATCH(B5217,Intent_Analysis!$A$5:$A$81,0))</f>
        <v>Card payments &amp; refunds</v>
      </c>
      <c r="D5217" s="0" t="n">
        <f aca="false">INDEX(Intent_Analysis!$E$5:$E$81,MATCH(B5217,Intent_Analysis!$A$5:$A$81,0))</f>
        <v>2</v>
      </c>
    </row>
    <row r="5218" customFormat="false" ht="15" hidden="false" customHeight="false" outlineLevel="0" collapsed="false">
      <c r="A5218" s="0" t="s">
        <v>5542</v>
      </c>
      <c r="B5218" s="0" t="s">
        <v>58</v>
      </c>
      <c r="C5218" s="0" t="str">
        <f aca="false">INDEX(Intent_Analysis!$B$5:$B$81,MATCH(B5218,Intent_Analysis!$A$5:$A$81,0))</f>
        <v>Card payments &amp; refunds</v>
      </c>
      <c r="D5218" s="0" t="n">
        <f aca="false">INDEX(Intent_Analysis!$E$5:$E$81,MATCH(B5218,Intent_Analysis!$A$5:$A$81,0))</f>
        <v>2</v>
      </c>
    </row>
    <row r="5219" customFormat="false" ht="15" hidden="false" customHeight="false" outlineLevel="0" collapsed="false">
      <c r="A5219" s="0" t="s">
        <v>5543</v>
      </c>
      <c r="B5219" s="0" t="s">
        <v>58</v>
      </c>
      <c r="C5219" s="0" t="str">
        <f aca="false">INDEX(Intent_Analysis!$B$5:$B$81,MATCH(B5219,Intent_Analysis!$A$5:$A$81,0))</f>
        <v>Card payments &amp; refunds</v>
      </c>
      <c r="D5219" s="0" t="n">
        <f aca="false">INDEX(Intent_Analysis!$E$5:$E$81,MATCH(B5219,Intent_Analysis!$A$5:$A$81,0))</f>
        <v>2</v>
      </c>
    </row>
    <row r="5220" customFormat="false" ht="15" hidden="false" customHeight="false" outlineLevel="0" collapsed="false">
      <c r="A5220" s="0" t="s">
        <v>5544</v>
      </c>
      <c r="B5220" s="0" t="s">
        <v>58</v>
      </c>
      <c r="C5220" s="0" t="str">
        <f aca="false">INDEX(Intent_Analysis!$B$5:$B$81,MATCH(B5220,Intent_Analysis!$A$5:$A$81,0))</f>
        <v>Card payments &amp; refunds</v>
      </c>
      <c r="D5220" s="0" t="n">
        <f aca="false">INDEX(Intent_Analysis!$E$5:$E$81,MATCH(B5220,Intent_Analysis!$A$5:$A$81,0))</f>
        <v>2</v>
      </c>
    </row>
    <row r="5221" customFormat="false" ht="15" hidden="false" customHeight="false" outlineLevel="0" collapsed="false">
      <c r="A5221" s="0" t="s">
        <v>5545</v>
      </c>
      <c r="B5221" s="0" t="s">
        <v>58</v>
      </c>
      <c r="C5221" s="0" t="str">
        <f aca="false">INDEX(Intent_Analysis!$B$5:$B$81,MATCH(B5221,Intent_Analysis!$A$5:$A$81,0))</f>
        <v>Card payments &amp; refunds</v>
      </c>
      <c r="D5221" s="0" t="n">
        <f aca="false">INDEX(Intent_Analysis!$E$5:$E$81,MATCH(B5221,Intent_Analysis!$A$5:$A$81,0))</f>
        <v>2</v>
      </c>
    </row>
    <row r="5222" customFormat="false" ht="15" hidden="false" customHeight="false" outlineLevel="0" collapsed="false">
      <c r="A5222" s="0" t="s">
        <v>5546</v>
      </c>
      <c r="B5222" s="0" t="s">
        <v>58</v>
      </c>
      <c r="C5222" s="0" t="str">
        <f aca="false">INDEX(Intent_Analysis!$B$5:$B$81,MATCH(B5222,Intent_Analysis!$A$5:$A$81,0))</f>
        <v>Card payments &amp; refunds</v>
      </c>
      <c r="D5222" s="0" t="n">
        <f aca="false">INDEX(Intent_Analysis!$E$5:$E$81,MATCH(B5222,Intent_Analysis!$A$5:$A$81,0))</f>
        <v>2</v>
      </c>
    </row>
    <row r="5223" customFormat="false" ht="15" hidden="false" customHeight="false" outlineLevel="0" collapsed="false">
      <c r="A5223" s="0" t="s">
        <v>5547</v>
      </c>
      <c r="B5223" s="0" t="s">
        <v>58</v>
      </c>
      <c r="C5223" s="0" t="str">
        <f aca="false">INDEX(Intent_Analysis!$B$5:$B$81,MATCH(B5223,Intent_Analysis!$A$5:$A$81,0))</f>
        <v>Card payments &amp; refunds</v>
      </c>
      <c r="D5223" s="0" t="n">
        <f aca="false">INDEX(Intent_Analysis!$E$5:$E$81,MATCH(B5223,Intent_Analysis!$A$5:$A$81,0))</f>
        <v>2</v>
      </c>
    </row>
    <row r="5224" customFormat="false" ht="15" hidden="false" customHeight="false" outlineLevel="0" collapsed="false">
      <c r="A5224" s="0" t="s">
        <v>5548</v>
      </c>
      <c r="B5224" s="0" t="s">
        <v>58</v>
      </c>
      <c r="C5224" s="0" t="str">
        <f aca="false">INDEX(Intent_Analysis!$B$5:$B$81,MATCH(B5224,Intent_Analysis!$A$5:$A$81,0))</f>
        <v>Card payments &amp; refunds</v>
      </c>
      <c r="D5224" s="0" t="n">
        <f aca="false">INDEX(Intent_Analysis!$E$5:$E$81,MATCH(B5224,Intent_Analysis!$A$5:$A$81,0))</f>
        <v>2</v>
      </c>
    </row>
    <row r="5225" customFormat="false" ht="15" hidden="false" customHeight="false" outlineLevel="0" collapsed="false">
      <c r="A5225" s="0" t="s">
        <v>5549</v>
      </c>
      <c r="B5225" s="0" t="s">
        <v>58</v>
      </c>
      <c r="C5225" s="0" t="str">
        <f aca="false">INDEX(Intent_Analysis!$B$5:$B$81,MATCH(B5225,Intent_Analysis!$A$5:$A$81,0))</f>
        <v>Card payments &amp; refunds</v>
      </c>
      <c r="D5225" s="0" t="n">
        <f aca="false">INDEX(Intent_Analysis!$E$5:$E$81,MATCH(B5225,Intent_Analysis!$A$5:$A$81,0))</f>
        <v>2</v>
      </c>
    </row>
    <row r="5226" customFormat="false" ht="15" hidden="false" customHeight="false" outlineLevel="0" collapsed="false">
      <c r="A5226" s="0" t="s">
        <v>5550</v>
      </c>
      <c r="B5226" s="0" t="s">
        <v>58</v>
      </c>
      <c r="C5226" s="0" t="str">
        <f aca="false">INDEX(Intent_Analysis!$B$5:$B$81,MATCH(B5226,Intent_Analysis!$A$5:$A$81,0))</f>
        <v>Card payments &amp; refunds</v>
      </c>
      <c r="D5226" s="0" t="n">
        <f aca="false">INDEX(Intent_Analysis!$E$5:$E$81,MATCH(B5226,Intent_Analysis!$A$5:$A$81,0))</f>
        <v>2</v>
      </c>
    </row>
    <row r="5227" customFormat="false" ht="15" hidden="false" customHeight="false" outlineLevel="0" collapsed="false">
      <c r="A5227" s="0" t="s">
        <v>5551</v>
      </c>
      <c r="B5227" s="0" t="s">
        <v>58</v>
      </c>
      <c r="C5227" s="0" t="str">
        <f aca="false">INDEX(Intent_Analysis!$B$5:$B$81,MATCH(B5227,Intent_Analysis!$A$5:$A$81,0))</f>
        <v>Card payments &amp; refunds</v>
      </c>
      <c r="D5227" s="0" t="n">
        <f aca="false">INDEX(Intent_Analysis!$E$5:$E$81,MATCH(B5227,Intent_Analysis!$A$5:$A$81,0))</f>
        <v>2</v>
      </c>
    </row>
    <row r="5228" customFormat="false" ht="15" hidden="false" customHeight="false" outlineLevel="0" collapsed="false">
      <c r="A5228" s="0" t="s">
        <v>5552</v>
      </c>
      <c r="B5228" s="0" t="s">
        <v>58</v>
      </c>
      <c r="C5228" s="0" t="str">
        <f aca="false">INDEX(Intent_Analysis!$B$5:$B$81,MATCH(B5228,Intent_Analysis!$A$5:$A$81,0))</f>
        <v>Card payments &amp; refunds</v>
      </c>
      <c r="D5228" s="0" t="n">
        <f aca="false">INDEX(Intent_Analysis!$E$5:$E$81,MATCH(B5228,Intent_Analysis!$A$5:$A$81,0))</f>
        <v>2</v>
      </c>
    </row>
    <row r="5229" customFormat="false" ht="15" hidden="false" customHeight="false" outlineLevel="0" collapsed="false">
      <c r="A5229" s="0" t="s">
        <v>5553</v>
      </c>
      <c r="B5229" s="0" t="s">
        <v>58</v>
      </c>
      <c r="C5229" s="0" t="str">
        <f aca="false">INDEX(Intent_Analysis!$B$5:$B$81,MATCH(B5229,Intent_Analysis!$A$5:$A$81,0))</f>
        <v>Card payments &amp; refunds</v>
      </c>
      <c r="D5229" s="0" t="n">
        <f aca="false">INDEX(Intent_Analysis!$E$5:$E$81,MATCH(B5229,Intent_Analysis!$A$5:$A$81,0))</f>
        <v>2</v>
      </c>
    </row>
    <row r="5230" customFormat="false" ht="15" hidden="false" customHeight="false" outlineLevel="0" collapsed="false">
      <c r="A5230" s="0" t="s">
        <v>5554</v>
      </c>
      <c r="B5230" s="0" t="s">
        <v>58</v>
      </c>
      <c r="C5230" s="0" t="str">
        <f aca="false">INDEX(Intent_Analysis!$B$5:$B$81,MATCH(B5230,Intent_Analysis!$A$5:$A$81,0))</f>
        <v>Card payments &amp; refunds</v>
      </c>
      <c r="D5230" s="0" t="n">
        <f aca="false">INDEX(Intent_Analysis!$E$5:$E$81,MATCH(B5230,Intent_Analysis!$A$5:$A$81,0))</f>
        <v>2</v>
      </c>
    </row>
    <row r="5231" customFormat="false" ht="15" hidden="false" customHeight="false" outlineLevel="0" collapsed="false">
      <c r="A5231" s="0" t="s">
        <v>5555</v>
      </c>
      <c r="B5231" s="0" t="s">
        <v>58</v>
      </c>
      <c r="C5231" s="0" t="str">
        <f aca="false">INDEX(Intent_Analysis!$B$5:$B$81,MATCH(B5231,Intent_Analysis!$A$5:$A$81,0))</f>
        <v>Card payments &amp; refunds</v>
      </c>
      <c r="D5231" s="0" t="n">
        <f aca="false">INDEX(Intent_Analysis!$E$5:$E$81,MATCH(B5231,Intent_Analysis!$A$5:$A$81,0))</f>
        <v>2</v>
      </c>
    </row>
    <row r="5232" customFormat="false" ht="15" hidden="false" customHeight="false" outlineLevel="0" collapsed="false">
      <c r="A5232" s="0" t="s">
        <v>5556</v>
      </c>
      <c r="B5232" s="0" t="s">
        <v>58</v>
      </c>
      <c r="C5232" s="0" t="str">
        <f aca="false">INDEX(Intent_Analysis!$B$5:$B$81,MATCH(B5232,Intent_Analysis!$A$5:$A$81,0))</f>
        <v>Card payments &amp; refunds</v>
      </c>
      <c r="D5232" s="0" t="n">
        <f aca="false">INDEX(Intent_Analysis!$E$5:$E$81,MATCH(B5232,Intent_Analysis!$A$5:$A$81,0))</f>
        <v>2</v>
      </c>
    </row>
    <row r="5233" customFormat="false" ht="15" hidden="false" customHeight="false" outlineLevel="0" collapsed="false">
      <c r="A5233" s="0" t="s">
        <v>5557</v>
      </c>
      <c r="B5233" s="0" t="s">
        <v>58</v>
      </c>
      <c r="C5233" s="0" t="str">
        <f aca="false">INDEX(Intent_Analysis!$B$5:$B$81,MATCH(B5233,Intent_Analysis!$A$5:$A$81,0))</f>
        <v>Card payments &amp; refunds</v>
      </c>
      <c r="D5233" s="0" t="n">
        <f aca="false">INDEX(Intent_Analysis!$E$5:$E$81,MATCH(B5233,Intent_Analysis!$A$5:$A$81,0))</f>
        <v>2</v>
      </c>
    </row>
    <row r="5234" customFormat="false" ht="15" hidden="false" customHeight="false" outlineLevel="0" collapsed="false">
      <c r="A5234" s="0" t="s">
        <v>5558</v>
      </c>
      <c r="B5234" s="0" t="s">
        <v>58</v>
      </c>
      <c r="C5234" s="0" t="str">
        <f aca="false">INDEX(Intent_Analysis!$B$5:$B$81,MATCH(B5234,Intent_Analysis!$A$5:$A$81,0))</f>
        <v>Card payments &amp; refunds</v>
      </c>
      <c r="D5234" s="0" t="n">
        <f aca="false">INDEX(Intent_Analysis!$E$5:$E$81,MATCH(B5234,Intent_Analysis!$A$5:$A$81,0))</f>
        <v>2</v>
      </c>
    </row>
    <row r="5235" customFormat="false" ht="15" hidden="false" customHeight="false" outlineLevel="0" collapsed="false">
      <c r="A5235" s="0" t="s">
        <v>5559</v>
      </c>
      <c r="B5235" s="0" t="s">
        <v>58</v>
      </c>
      <c r="C5235" s="0" t="str">
        <f aca="false">INDEX(Intent_Analysis!$B$5:$B$81,MATCH(B5235,Intent_Analysis!$A$5:$A$81,0))</f>
        <v>Card payments &amp; refunds</v>
      </c>
      <c r="D5235" s="0" t="n">
        <f aca="false">INDEX(Intent_Analysis!$E$5:$E$81,MATCH(B5235,Intent_Analysis!$A$5:$A$81,0))</f>
        <v>2</v>
      </c>
    </row>
    <row r="5236" customFormat="false" ht="15" hidden="false" customHeight="false" outlineLevel="0" collapsed="false">
      <c r="A5236" s="0" t="s">
        <v>5560</v>
      </c>
      <c r="B5236" s="0" t="s">
        <v>58</v>
      </c>
      <c r="C5236" s="0" t="str">
        <f aca="false">INDEX(Intent_Analysis!$B$5:$B$81,MATCH(B5236,Intent_Analysis!$A$5:$A$81,0))</f>
        <v>Card payments &amp; refunds</v>
      </c>
      <c r="D5236" s="0" t="n">
        <f aca="false">INDEX(Intent_Analysis!$E$5:$E$81,MATCH(B5236,Intent_Analysis!$A$5:$A$81,0))</f>
        <v>2</v>
      </c>
    </row>
    <row r="5237" customFormat="false" ht="15" hidden="false" customHeight="false" outlineLevel="0" collapsed="false">
      <c r="A5237" s="0" t="s">
        <v>5561</v>
      </c>
      <c r="B5237" s="0" t="s">
        <v>58</v>
      </c>
      <c r="C5237" s="0" t="str">
        <f aca="false">INDEX(Intent_Analysis!$B$5:$B$81,MATCH(B5237,Intent_Analysis!$A$5:$A$81,0))</f>
        <v>Card payments &amp; refunds</v>
      </c>
      <c r="D5237" s="0" t="n">
        <f aca="false">INDEX(Intent_Analysis!$E$5:$E$81,MATCH(B5237,Intent_Analysis!$A$5:$A$81,0))</f>
        <v>2</v>
      </c>
    </row>
    <row r="5238" customFormat="false" ht="15" hidden="false" customHeight="false" outlineLevel="0" collapsed="false">
      <c r="A5238" s="0" t="s">
        <v>5562</v>
      </c>
      <c r="B5238" s="0" t="s">
        <v>58</v>
      </c>
      <c r="C5238" s="0" t="str">
        <f aca="false">INDEX(Intent_Analysis!$B$5:$B$81,MATCH(B5238,Intent_Analysis!$A$5:$A$81,0))</f>
        <v>Card payments &amp; refunds</v>
      </c>
      <c r="D5238" s="0" t="n">
        <f aca="false">INDEX(Intent_Analysis!$E$5:$E$81,MATCH(B5238,Intent_Analysis!$A$5:$A$81,0))</f>
        <v>2</v>
      </c>
    </row>
    <row r="5239" customFormat="false" ht="15" hidden="false" customHeight="false" outlineLevel="0" collapsed="false">
      <c r="A5239" s="0" t="s">
        <v>5563</v>
      </c>
      <c r="B5239" s="0" t="s">
        <v>58</v>
      </c>
      <c r="C5239" s="0" t="str">
        <f aca="false">INDEX(Intent_Analysis!$B$5:$B$81,MATCH(B5239,Intent_Analysis!$A$5:$A$81,0))</f>
        <v>Card payments &amp; refunds</v>
      </c>
      <c r="D5239" s="0" t="n">
        <f aca="false">INDEX(Intent_Analysis!$E$5:$E$81,MATCH(B5239,Intent_Analysis!$A$5:$A$81,0))</f>
        <v>2</v>
      </c>
    </row>
    <row r="5240" customFormat="false" ht="15" hidden="false" customHeight="false" outlineLevel="0" collapsed="false">
      <c r="A5240" s="0" t="s">
        <v>5564</v>
      </c>
      <c r="B5240" s="0" t="s">
        <v>58</v>
      </c>
      <c r="C5240" s="0" t="str">
        <f aca="false">INDEX(Intent_Analysis!$B$5:$B$81,MATCH(B5240,Intent_Analysis!$A$5:$A$81,0))</f>
        <v>Card payments &amp; refunds</v>
      </c>
      <c r="D5240" s="0" t="n">
        <f aca="false">INDEX(Intent_Analysis!$E$5:$E$81,MATCH(B5240,Intent_Analysis!$A$5:$A$81,0))</f>
        <v>2</v>
      </c>
    </row>
    <row r="5241" customFormat="false" ht="15" hidden="false" customHeight="false" outlineLevel="0" collapsed="false">
      <c r="A5241" s="0" t="s">
        <v>5565</v>
      </c>
      <c r="B5241" s="0" t="s">
        <v>58</v>
      </c>
      <c r="C5241" s="0" t="str">
        <f aca="false">INDEX(Intent_Analysis!$B$5:$B$81,MATCH(B5241,Intent_Analysis!$A$5:$A$81,0))</f>
        <v>Card payments &amp; refunds</v>
      </c>
      <c r="D5241" s="0" t="n">
        <f aca="false">INDEX(Intent_Analysis!$E$5:$E$81,MATCH(B5241,Intent_Analysis!$A$5:$A$81,0))</f>
        <v>2</v>
      </c>
    </row>
    <row r="5242" customFormat="false" ht="15" hidden="false" customHeight="false" outlineLevel="0" collapsed="false">
      <c r="A5242" s="0" t="s">
        <v>5566</v>
      </c>
      <c r="B5242" s="0" t="s">
        <v>58</v>
      </c>
      <c r="C5242" s="0" t="str">
        <f aca="false">INDEX(Intent_Analysis!$B$5:$B$81,MATCH(B5242,Intent_Analysis!$A$5:$A$81,0))</f>
        <v>Card payments &amp; refunds</v>
      </c>
      <c r="D5242" s="0" t="n">
        <f aca="false">INDEX(Intent_Analysis!$E$5:$E$81,MATCH(B5242,Intent_Analysis!$A$5:$A$81,0))</f>
        <v>2</v>
      </c>
    </row>
    <row r="5243" customFormat="false" ht="15" hidden="false" customHeight="false" outlineLevel="0" collapsed="false">
      <c r="A5243" s="0" t="s">
        <v>5567</v>
      </c>
      <c r="B5243" s="0" t="s">
        <v>58</v>
      </c>
      <c r="C5243" s="0" t="str">
        <f aca="false">INDEX(Intent_Analysis!$B$5:$B$81,MATCH(B5243,Intent_Analysis!$A$5:$A$81,0))</f>
        <v>Card payments &amp; refunds</v>
      </c>
      <c r="D5243" s="0" t="n">
        <f aca="false">INDEX(Intent_Analysis!$E$5:$E$81,MATCH(B5243,Intent_Analysis!$A$5:$A$81,0))</f>
        <v>2</v>
      </c>
    </row>
    <row r="5244" customFormat="false" ht="15" hidden="false" customHeight="false" outlineLevel="0" collapsed="false">
      <c r="A5244" s="0" t="s">
        <v>5568</v>
      </c>
      <c r="B5244" s="0" t="s">
        <v>58</v>
      </c>
      <c r="C5244" s="0" t="str">
        <f aca="false">INDEX(Intent_Analysis!$B$5:$B$81,MATCH(B5244,Intent_Analysis!$A$5:$A$81,0))</f>
        <v>Card payments &amp; refunds</v>
      </c>
      <c r="D5244" s="0" t="n">
        <f aca="false">INDEX(Intent_Analysis!$E$5:$E$81,MATCH(B5244,Intent_Analysis!$A$5:$A$81,0))</f>
        <v>2</v>
      </c>
    </row>
    <row r="5245" customFormat="false" ht="15" hidden="false" customHeight="false" outlineLevel="0" collapsed="false">
      <c r="A5245" s="0" t="s">
        <v>5569</v>
      </c>
      <c r="B5245" s="0" t="s">
        <v>58</v>
      </c>
      <c r="C5245" s="0" t="str">
        <f aca="false">INDEX(Intent_Analysis!$B$5:$B$81,MATCH(B5245,Intent_Analysis!$A$5:$A$81,0))</f>
        <v>Card payments &amp; refunds</v>
      </c>
      <c r="D5245" s="0" t="n">
        <f aca="false">INDEX(Intent_Analysis!$E$5:$E$81,MATCH(B5245,Intent_Analysis!$A$5:$A$81,0))</f>
        <v>2</v>
      </c>
    </row>
    <row r="5246" customFormat="false" ht="15" hidden="false" customHeight="false" outlineLevel="0" collapsed="false">
      <c r="A5246" s="0" t="s">
        <v>5570</v>
      </c>
      <c r="B5246" s="0" t="s">
        <v>58</v>
      </c>
      <c r="C5246" s="0" t="str">
        <f aca="false">INDEX(Intent_Analysis!$B$5:$B$81,MATCH(B5246,Intent_Analysis!$A$5:$A$81,0))</f>
        <v>Card payments &amp; refunds</v>
      </c>
      <c r="D5246" s="0" t="n">
        <f aca="false">INDEX(Intent_Analysis!$E$5:$E$81,MATCH(B5246,Intent_Analysis!$A$5:$A$81,0))</f>
        <v>2</v>
      </c>
    </row>
    <row r="5247" customFormat="false" ht="15" hidden="false" customHeight="false" outlineLevel="0" collapsed="false">
      <c r="A5247" s="0" t="s">
        <v>5571</v>
      </c>
      <c r="B5247" s="0" t="s">
        <v>58</v>
      </c>
      <c r="C5247" s="0" t="str">
        <f aca="false">INDEX(Intent_Analysis!$B$5:$B$81,MATCH(B5247,Intent_Analysis!$A$5:$A$81,0))</f>
        <v>Card payments &amp; refunds</v>
      </c>
      <c r="D5247" s="0" t="n">
        <f aca="false">INDEX(Intent_Analysis!$E$5:$E$81,MATCH(B5247,Intent_Analysis!$A$5:$A$81,0))</f>
        <v>2</v>
      </c>
    </row>
    <row r="5248" customFormat="false" ht="15" hidden="false" customHeight="false" outlineLevel="0" collapsed="false">
      <c r="A5248" s="0" t="s">
        <v>5572</v>
      </c>
      <c r="B5248" s="0" t="s">
        <v>58</v>
      </c>
      <c r="C5248" s="0" t="str">
        <f aca="false">INDEX(Intent_Analysis!$B$5:$B$81,MATCH(B5248,Intent_Analysis!$A$5:$A$81,0))</f>
        <v>Card payments &amp; refunds</v>
      </c>
      <c r="D5248" s="0" t="n">
        <f aca="false">INDEX(Intent_Analysis!$E$5:$E$81,MATCH(B5248,Intent_Analysis!$A$5:$A$81,0))</f>
        <v>2</v>
      </c>
    </row>
    <row r="5249" customFormat="false" ht="15" hidden="false" customHeight="false" outlineLevel="0" collapsed="false">
      <c r="A5249" s="0" t="s">
        <v>5573</v>
      </c>
      <c r="B5249" s="0" t="s">
        <v>58</v>
      </c>
      <c r="C5249" s="0" t="str">
        <f aca="false">INDEX(Intent_Analysis!$B$5:$B$81,MATCH(B5249,Intent_Analysis!$A$5:$A$81,0))</f>
        <v>Card payments &amp; refunds</v>
      </c>
      <c r="D5249" s="0" t="n">
        <f aca="false">INDEX(Intent_Analysis!$E$5:$E$81,MATCH(B5249,Intent_Analysis!$A$5:$A$81,0))</f>
        <v>2</v>
      </c>
    </row>
    <row r="5250" customFormat="false" ht="15" hidden="false" customHeight="false" outlineLevel="0" collapsed="false">
      <c r="A5250" s="0" t="s">
        <v>5574</v>
      </c>
      <c r="B5250" s="0" t="s">
        <v>58</v>
      </c>
      <c r="C5250" s="0" t="str">
        <f aca="false">INDEX(Intent_Analysis!$B$5:$B$81,MATCH(B5250,Intent_Analysis!$A$5:$A$81,0))</f>
        <v>Card payments &amp; refunds</v>
      </c>
      <c r="D5250" s="0" t="n">
        <f aca="false">INDEX(Intent_Analysis!$E$5:$E$81,MATCH(B5250,Intent_Analysis!$A$5:$A$81,0))</f>
        <v>2</v>
      </c>
    </row>
    <row r="5251" customFormat="false" ht="15" hidden="false" customHeight="false" outlineLevel="0" collapsed="false">
      <c r="A5251" s="0" t="s">
        <v>5575</v>
      </c>
      <c r="B5251" s="0" t="s">
        <v>58</v>
      </c>
      <c r="C5251" s="0" t="str">
        <f aca="false">INDEX(Intent_Analysis!$B$5:$B$81,MATCH(B5251,Intent_Analysis!$A$5:$A$81,0))</f>
        <v>Card payments &amp; refunds</v>
      </c>
      <c r="D5251" s="0" t="n">
        <f aca="false">INDEX(Intent_Analysis!$E$5:$E$81,MATCH(B5251,Intent_Analysis!$A$5:$A$81,0))</f>
        <v>2</v>
      </c>
    </row>
    <row r="5252" customFormat="false" ht="15" hidden="false" customHeight="false" outlineLevel="0" collapsed="false">
      <c r="A5252" s="0" t="s">
        <v>5576</v>
      </c>
      <c r="B5252" s="0" t="s">
        <v>58</v>
      </c>
      <c r="C5252" s="0" t="str">
        <f aca="false">INDEX(Intent_Analysis!$B$5:$B$81,MATCH(B5252,Intent_Analysis!$A$5:$A$81,0))</f>
        <v>Card payments &amp; refunds</v>
      </c>
      <c r="D5252" s="0" t="n">
        <f aca="false">INDEX(Intent_Analysis!$E$5:$E$81,MATCH(B5252,Intent_Analysis!$A$5:$A$81,0))</f>
        <v>2</v>
      </c>
    </row>
    <row r="5253" customFormat="false" ht="15" hidden="false" customHeight="false" outlineLevel="0" collapsed="false">
      <c r="A5253" s="0" t="s">
        <v>5577</v>
      </c>
      <c r="B5253" s="0" t="s">
        <v>99</v>
      </c>
      <c r="C5253" s="0" t="str">
        <f aca="false">INDEX(Intent_Analysis!$B$5:$B$81,MATCH(B5253,Intent_Analysis!$A$5:$A$81,0))</f>
        <v>Fraud &amp; security</v>
      </c>
      <c r="D5253" s="0" t="n">
        <f aca="false">INDEX(Intent_Analysis!$E$5:$E$81,MATCH(B5253,Intent_Analysis!$A$5:$A$81,0))</f>
        <v>3</v>
      </c>
    </row>
    <row r="5254" customFormat="false" ht="15" hidden="false" customHeight="false" outlineLevel="0" collapsed="false">
      <c r="A5254" s="0" t="s">
        <v>5578</v>
      </c>
      <c r="B5254" s="0" t="s">
        <v>99</v>
      </c>
      <c r="C5254" s="0" t="str">
        <f aca="false">INDEX(Intent_Analysis!$B$5:$B$81,MATCH(B5254,Intent_Analysis!$A$5:$A$81,0))</f>
        <v>Fraud &amp; security</v>
      </c>
      <c r="D5254" s="0" t="n">
        <f aca="false">INDEX(Intent_Analysis!$E$5:$E$81,MATCH(B5254,Intent_Analysis!$A$5:$A$81,0))</f>
        <v>3</v>
      </c>
    </row>
    <row r="5255" customFormat="false" ht="15" hidden="false" customHeight="false" outlineLevel="0" collapsed="false">
      <c r="A5255" s="0" t="s">
        <v>5579</v>
      </c>
      <c r="B5255" s="0" t="s">
        <v>99</v>
      </c>
      <c r="C5255" s="0" t="str">
        <f aca="false">INDEX(Intent_Analysis!$B$5:$B$81,MATCH(B5255,Intent_Analysis!$A$5:$A$81,0))</f>
        <v>Fraud &amp; security</v>
      </c>
      <c r="D5255" s="0" t="n">
        <f aca="false">INDEX(Intent_Analysis!$E$5:$E$81,MATCH(B5255,Intent_Analysis!$A$5:$A$81,0))</f>
        <v>3</v>
      </c>
    </row>
    <row r="5256" customFormat="false" ht="15" hidden="false" customHeight="false" outlineLevel="0" collapsed="false">
      <c r="A5256" s="0" t="s">
        <v>5580</v>
      </c>
      <c r="B5256" s="0" t="s">
        <v>99</v>
      </c>
      <c r="C5256" s="0" t="str">
        <f aca="false">INDEX(Intent_Analysis!$B$5:$B$81,MATCH(B5256,Intent_Analysis!$A$5:$A$81,0))</f>
        <v>Fraud &amp; security</v>
      </c>
      <c r="D5256" s="0" t="n">
        <f aca="false">INDEX(Intent_Analysis!$E$5:$E$81,MATCH(B5256,Intent_Analysis!$A$5:$A$81,0))</f>
        <v>3</v>
      </c>
    </row>
    <row r="5257" customFormat="false" ht="15" hidden="false" customHeight="false" outlineLevel="0" collapsed="false">
      <c r="A5257" s="0" t="s">
        <v>5581</v>
      </c>
      <c r="B5257" s="0" t="s">
        <v>99</v>
      </c>
      <c r="C5257" s="0" t="str">
        <f aca="false">INDEX(Intent_Analysis!$B$5:$B$81,MATCH(B5257,Intent_Analysis!$A$5:$A$81,0))</f>
        <v>Fraud &amp; security</v>
      </c>
      <c r="D5257" s="0" t="n">
        <f aca="false">INDEX(Intent_Analysis!$E$5:$E$81,MATCH(B5257,Intent_Analysis!$A$5:$A$81,0))</f>
        <v>3</v>
      </c>
    </row>
    <row r="5258" customFormat="false" ht="15" hidden="false" customHeight="false" outlineLevel="0" collapsed="false">
      <c r="A5258" s="0" t="s">
        <v>5582</v>
      </c>
      <c r="B5258" s="0" t="s">
        <v>99</v>
      </c>
      <c r="C5258" s="0" t="str">
        <f aca="false">INDEX(Intent_Analysis!$B$5:$B$81,MATCH(B5258,Intent_Analysis!$A$5:$A$81,0))</f>
        <v>Fraud &amp; security</v>
      </c>
      <c r="D5258" s="0" t="n">
        <f aca="false">INDEX(Intent_Analysis!$E$5:$E$81,MATCH(B5258,Intent_Analysis!$A$5:$A$81,0))</f>
        <v>3</v>
      </c>
    </row>
    <row r="5259" customFormat="false" ht="15" hidden="false" customHeight="false" outlineLevel="0" collapsed="false">
      <c r="A5259" s="0" t="s">
        <v>5583</v>
      </c>
      <c r="B5259" s="0" t="s">
        <v>99</v>
      </c>
      <c r="C5259" s="0" t="str">
        <f aca="false">INDEX(Intent_Analysis!$B$5:$B$81,MATCH(B5259,Intent_Analysis!$A$5:$A$81,0))</f>
        <v>Fraud &amp; security</v>
      </c>
      <c r="D5259" s="0" t="n">
        <f aca="false">INDEX(Intent_Analysis!$E$5:$E$81,MATCH(B5259,Intent_Analysis!$A$5:$A$81,0))</f>
        <v>3</v>
      </c>
    </row>
    <row r="5260" customFormat="false" ht="15" hidden="false" customHeight="false" outlineLevel="0" collapsed="false">
      <c r="A5260" s="0" t="s">
        <v>5584</v>
      </c>
      <c r="B5260" s="0" t="s">
        <v>99</v>
      </c>
      <c r="C5260" s="0" t="str">
        <f aca="false">INDEX(Intent_Analysis!$B$5:$B$81,MATCH(B5260,Intent_Analysis!$A$5:$A$81,0))</f>
        <v>Fraud &amp; security</v>
      </c>
      <c r="D5260" s="0" t="n">
        <f aca="false">INDEX(Intent_Analysis!$E$5:$E$81,MATCH(B5260,Intent_Analysis!$A$5:$A$81,0))</f>
        <v>3</v>
      </c>
    </row>
    <row r="5261" customFormat="false" ht="15" hidden="false" customHeight="false" outlineLevel="0" collapsed="false">
      <c r="A5261" s="0" t="s">
        <v>5585</v>
      </c>
      <c r="B5261" s="0" t="s">
        <v>99</v>
      </c>
      <c r="C5261" s="0" t="str">
        <f aca="false">INDEX(Intent_Analysis!$B$5:$B$81,MATCH(B5261,Intent_Analysis!$A$5:$A$81,0))</f>
        <v>Fraud &amp; security</v>
      </c>
      <c r="D5261" s="0" t="n">
        <f aca="false">INDEX(Intent_Analysis!$E$5:$E$81,MATCH(B5261,Intent_Analysis!$A$5:$A$81,0))</f>
        <v>3</v>
      </c>
    </row>
    <row r="5262" customFormat="false" ht="15" hidden="false" customHeight="false" outlineLevel="0" collapsed="false">
      <c r="A5262" s="0" t="s">
        <v>5586</v>
      </c>
      <c r="B5262" s="0" t="s">
        <v>99</v>
      </c>
      <c r="C5262" s="0" t="str">
        <f aca="false">INDEX(Intent_Analysis!$B$5:$B$81,MATCH(B5262,Intent_Analysis!$A$5:$A$81,0))</f>
        <v>Fraud &amp; security</v>
      </c>
      <c r="D5262" s="0" t="n">
        <f aca="false">INDEX(Intent_Analysis!$E$5:$E$81,MATCH(B5262,Intent_Analysis!$A$5:$A$81,0))</f>
        <v>3</v>
      </c>
    </row>
    <row r="5263" customFormat="false" ht="15" hidden="false" customHeight="false" outlineLevel="0" collapsed="false">
      <c r="A5263" s="0" t="s">
        <v>5587</v>
      </c>
      <c r="B5263" s="0" t="s">
        <v>99</v>
      </c>
      <c r="C5263" s="0" t="str">
        <f aca="false">INDEX(Intent_Analysis!$B$5:$B$81,MATCH(B5263,Intent_Analysis!$A$5:$A$81,0))</f>
        <v>Fraud &amp; security</v>
      </c>
      <c r="D5263" s="0" t="n">
        <f aca="false">INDEX(Intent_Analysis!$E$5:$E$81,MATCH(B5263,Intent_Analysis!$A$5:$A$81,0))</f>
        <v>3</v>
      </c>
    </row>
    <row r="5264" customFormat="false" ht="15" hidden="false" customHeight="false" outlineLevel="0" collapsed="false">
      <c r="A5264" s="0" t="s">
        <v>5588</v>
      </c>
      <c r="B5264" s="0" t="s">
        <v>99</v>
      </c>
      <c r="C5264" s="0" t="str">
        <f aca="false">INDEX(Intent_Analysis!$B$5:$B$81,MATCH(B5264,Intent_Analysis!$A$5:$A$81,0))</f>
        <v>Fraud &amp; security</v>
      </c>
      <c r="D5264" s="0" t="n">
        <f aca="false">INDEX(Intent_Analysis!$E$5:$E$81,MATCH(B5264,Intent_Analysis!$A$5:$A$81,0))</f>
        <v>3</v>
      </c>
    </row>
    <row r="5265" customFormat="false" ht="15" hidden="false" customHeight="false" outlineLevel="0" collapsed="false">
      <c r="A5265" s="0" t="s">
        <v>5589</v>
      </c>
      <c r="B5265" s="0" t="s">
        <v>99</v>
      </c>
      <c r="C5265" s="0" t="str">
        <f aca="false">INDEX(Intent_Analysis!$B$5:$B$81,MATCH(B5265,Intent_Analysis!$A$5:$A$81,0))</f>
        <v>Fraud &amp; security</v>
      </c>
      <c r="D5265" s="0" t="n">
        <f aca="false">INDEX(Intent_Analysis!$E$5:$E$81,MATCH(B5265,Intent_Analysis!$A$5:$A$81,0))</f>
        <v>3</v>
      </c>
    </row>
    <row r="5266" customFormat="false" ht="15" hidden="false" customHeight="false" outlineLevel="0" collapsed="false">
      <c r="A5266" s="0" t="s">
        <v>5590</v>
      </c>
      <c r="B5266" s="0" t="s">
        <v>99</v>
      </c>
      <c r="C5266" s="0" t="str">
        <f aca="false">INDEX(Intent_Analysis!$B$5:$B$81,MATCH(B5266,Intent_Analysis!$A$5:$A$81,0))</f>
        <v>Fraud &amp; security</v>
      </c>
      <c r="D5266" s="0" t="n">
        <f aca="false">INDEX(Intent_Analysis!$E$5:$E$81,MATCH(B5266,Intent_Analysis!$A$5:$A$81,0))</f>
        <v>3</v>
      </c>
    </row>
    <row r="5267" customFormat="false" ht="15" hidden="false" customHeight="false" outlineLevel="0" collapsed="false">
      <c r="A5267" s="0" t="s">
        <v>5591</v>
      </c>
      <c r="B5267" s="0" t="s">
        <v>99</v>
      </c>
      <c r="C5267" s="0" t="str">
        <f aca="false">INDEX(Intent_Analysis!$B$5:$B$81,MATCH(B5267,Intent_Analysis!$A$5:$A$81,0))</f>
        <v>Fraud &amp; security</v>
      </c>
      <c r="D5267" s="0" t="n">
        <f aca="false">INDEX(Intent_Analysis!$E$5:$E$81,MATCH(B5267,Intent_Analysis!$A$5:$A$81,0))</f>
        <v>3</v>
      </c>
    </row>
    <row r="5268" customFormat="false" ht="15" hidden="false" customHeight="false" outlineLevel="0" collapsed="false">
      <c r="A5268" s="0" t="s">
        <v>5592</v>
      </c>
      <c r="B5268" s="0" t="s">
        <v>99</v>
      </c>
      <c r="C5268" s="0" t="str">
        <f aca="false">INDEX(Intent_Analysis!$B$5:$B$81,MATCH(B5268,Intent_Analysis!$A$5:$A$81,0))</f>
        <v>Fraud &amp; security</v>
      </c>
      <c r="D5268" s="0" t="n">
        <f aca="false">INDEX(Intent_Analysis!$E$5:$E$81,MATCH(B5268,Intent_Analysis!$A$5:$A$81,0))</f>
        <v>3</v>
      </c>
    </row>
    <row r="5269" customFormat="false" ht="15" hidden="false" customHeight="false" outlineLevel="0" collapsed="false">
      <c r="A5269" s="0" t="s">
        <v>5593</v>
      </c>
      <c r="B5269" s="0" t="s">
        <v>99</v>
      </c>
      <c r="C5269" s="0" t="str">
        <f aca="false">INDEX(Intent_Analysis!$B$5:$B$81,MATCH(B5269,Intent_Analysis!$A$5:$A$81,0))</f>
        <v>Fraud &amp; security</v>
      </c>
      <c r="D5269" s="0" t="n">
        <f aca="false">INDEX(Intent_Analysis!$E$5:$E$81,MATCH(B5269,Intent_Analysis!$A$5:$A$81,0))</f>
        <v>3</v>
      </c>
    </row>
    <row r="5270" customFormat="false" ht="15" hidden="false" customHeight="false" outlineLevel="0" collapsed="false">
      <c r="A5270" s="0" t="s">
        <v>5594</v>
      </c>
      <c r="B5270" s="0" t="s">
        <v>99</v>
      </c>
      <c r="C5270" s="0" t="str">
        <f aca="false">INDEX(Intent_Analysis!$B$5:$B$81,MATCH(B5270,Intent_Analysis!$A$5:$A$81,0))</f>
        <v>Fraud &amp; security</v>
      </c>
      <c r="D5270" s="0" t="n">
        <f aca="false">INDEX(Intent_Analysis!$E$5:$E$81,MATCH(B5270,Intent_Analysis!$A$5:$A$81,0))</f>
        <v>3</v>
      </c>
    </row>
    <row r="5271" customFormat="false" ht="15" hidden="false" customHeight="false" outlineLevel="0" collapsed="false">
      <c r="A5271" s="0" t="s">
        <v>5595</v>
      </c>
      <c r="B5271" s="0" t="s">
        <v>99</v>
      </c>
      <c r="C5271" s="0" t="str">
        <f aca="false">INDEX(Intent_Analysis!$B$5:$B$81,MATCH(B5271,Intent_Analysis!$A$5:$A$81,0))</f>
        <v>Fraud &amp; security</v>
      </c>
      <c r="D5271" s="0" t="n">
        <f aca="false">INDEX(Intent_Analysis!$E$5:$E$81,MATCH(B5271,Intent_Analysis!$A$5:$A$81,0))</f>
        <v>3</v>
      </c>
    </row>
    <row r="5272" customFormat="false" ht="15" hidden="false" customHeight="false" outlineLevel="0" collapsed="false">
      <c r="A5272" s="0" t="s">
        <v>5596</v>
      </c>
      <c r="B5272" s="0" t="s">
        <v>99</v>
      </c>
      <c r="C5272" s="0" t="str">
        <f aca="false">INDEX(Intent_Analysis!$B$5:$B$81,MATCH(B5272,Intent_Analysis!$A$5:$A$81,0))</f>
        <v>Fraud &amp; security</v>
      </c>
      <c r="D5272" s="0" t="n">
        <f aca="false">INDEX(Intent_Analysis!$E$5:$E$81,MATCH(B5272,Intent_Analysis!$A$5:$A$81,0))</f>
        <v>3</v>
      </c>
    </row>
    <row r="5273" customFormat="false" ht="15" hidden="false" customHeight="false" outlineLevel="0" collapsed="false">
      <c r="A5273" s="0" t="s">
        <v>5597</v>
      </c>
      <c r="B5273" s="0" t="s">
        <v>99</v>
      </c>
      <c r="C5273" s="0" t="str">
        <f aca="false">INDEX(Intent_Analysis!$B$5:$B$81,MATCH(B5273,Intent_Analysis!$A$5:$A$81,0))</f>
        <v>Fraud &amp; security</v>
      </c>
      <c r="D5273" s="0" t="n">
        <f aca="false">INDEX(Intent_Analysis!$E$5:$E$81,MATCH(B5273,Intent_Analysis!$A$5:$A$81,0))</f>
        <v>3</v>
      </c>
    </row>
    <row r="5274" customFormat="false" ht="15" hidden="false" customHeight="false" outlineLevel="0" collapsed="false">
      <c r="A5274" s="0" t="s">
        <v>5598</v>
      </c>
      <c r="B5274" s="0" t="s">
        <v>99</v>
      </c>
      <c r="C5274" s="0" t="str">
        <f aca="false">INDEX(Intent_Analysis!$B$5:$B$81,MATCH(B5274,Intent_Analysis!$A$5:$A$81,0))</f>
        <v>Fraud &amp; security</v>
      </c>
      <c r="D5274" s="0" t="n">
        <f aca="false">INDEX(Intent_Analysis!$E$5:$E$81,MATCH(B5274,Intent_Analysis!$A$5:$A$81,0))</f>
        <v>3</v>
      </c>
    </row>
    <row r="5275" customFormat="false" ht="15" hidden="false" customHeight="false" outlineLevel="0" collapsed="false">
      <c r="A5275" s="0" t="s">
        <v>5599</v>
      </c>
      <c r="B5275" s="0" t="s">
        <v>99</v>
      </c>
      <c r="C5275" s="0" t="str">
        <f aca="false">INDEX(Intent_Analysis!$B$5:$B$81,MATCH(B5275,Intent_Analysis!$A$5:$A$81,0))</f>
        <v>Fraud &amp; security</v>
      </c>
      <c r="D5275" s="0" t="n">
        <f aca="false">INDEX(Intent_Analysis!$E$5:$E$81,MATCH(B5275,Intent_Analysis!$A$5:$A$81,0))</f>
        <v>3</v>
      </c>
    </row>
    <row r="5276" customFormat="false" ht="15" hidden="false" customHeight="false" outlineLevel="0" collapsed="false">
      <c r="A5276" s="0" t="s">
        <v>5600</v>
      </c>
      <c r="B5276" s="0" t="s">
        <v>99</v>
      </c>
      <c r="C5276" s="0" t="str">
        <f aca="false">INDEX(Intent_Analysis!$B$5:$B$81,MATCH(B5276,Intent_Analysis!$A$5:$A$81,0))</f>
        <v>Fraud &amp; security</v>
      </c>
      <c r="D5276" s="0" t="n">
        <f aca="false">INDEX(Intent_Analysis!$E$5:$E$81,MATCH(B5276,Intent_Analysis!$A$5:$A$81,0))</f>
        <v>3</v>
      </c>
    </row>
    <row r="5277" customFormat="false" ht="15" hidden="false" customHeight="false" outlineLevel="0" collapsed="false">
      <c r="A5277" s="0" t="s">
        <v>5601</v>
      </c>
      <c r="B5277" s="0" t="s">
        <v>99</v>
      </c>
      <c r="C5277" s="0" t="str">
        <f aca="false">INDEX(Intent_Analysis!$B$5:$B$81,MATCH(B5277,Intent_Analysis!$A$5:$A$81,0))</f>
        <v>Fraud &amp; security</v>
      </c>
      <c r="D5277" s="0" t="n">
        <f aca="false">INDEX(Intent_Analysis!$E$5:$E$81,MATCH(B5277,Intent_Analysis!$A$5:$A$81,0))</f>
        <v>3</v>
      </c>
    </row>
    <row r="5278" customFormat="false" ht="15" hidden="false" customHeight="false" outlineLevel="0" collapsed="false">
      <c r="A5278" s="0" t="s">
        <v>5602</v>
      </c>
      <c r="B5278" s="0" t="s">
        <v>99</v>
      </c>
      <c r="C5278" s="0" t="str">
        <f aca="false">INDEX(Intent_Analysis!$B$5:$B$81,MATCH(B5278,Intent_Analysis!$A$5:$A$81,0))</f>
        <v>Fraud &amp; security</v>
      </c>
      <c r="D5278" s="0" t="n">
        <f aca="false">INDEX(Intent_Analysis!$E$5:$E$81,MATCH(B5278,Intent_Analysis!$A$5:$A$81,0))</f>
        <v>3</v>
      </c>
    </row>
    <row r="5279" customFormat="false" ht="15" hidden="false" customHeight="false" outlineLevel="0" collapsed="false">
      <c r="A5279" s="0" t="s">
        <v>5603</v>
      </c>
      <c r="B5279" s="0" t="s">
        <v>99</v>
      </c>
      <c r="C5279" s="0" t="str">
        <f aca="false">INDEX(Intent_Analysis!$B$5:$B$81,MATCH(B5279,Intent_Analysis!$A$5:$A$81,0))</f>
        <v>Fraud &amp; security</v>
      </c>
      <c r="D5279" s="0" t="n">
        <f aca="false">INDEX(Intent_Analysis!$E$5:$E$81,MATCH(B5279,Intent_Analysis!$A$5:$A$81,0))</f>
        <v>3</v>
      </c>
    </row>
    <row r="5280" customFormat="false" ht="15" hidden="false" customHeight="false" outlineLevel="0" collapsed="false">
      <c r="A5280" s="0" t="s">
        <v>5604</v>
      </c>
      <c r="B5280" s="0" t="s">
        <v>99</v>
      </c>
      <c r="C5280" s="0" t="str">
        <f aca="false">INDEX(Intent_Analysis!$B$5:$B$81,MATCH(B5280,Intent_Analysis!$A$5:$A$81,0))</f>
        <v>Fraud &amp; security</v>
      </c>
      <c r="D5280" s="0" t="n">
        <f aca="false">INDEX(Intent_Analysis!$E$5:$E$81,MATCH(B5280,Intent_Analysis!$A$5:$A$81,0))</f>
        <v>3</v>
      </c>
    </row>
    <row r="5281" customFormat="false" ht="15" hidden="false" customHeight="false" outlineLevel="0" collapsed="false">
      <c r="A5281" s="0" t="s">
        <v>5605</v>
      </c>
      <c r="B5281" s="0" t="s">
        <v>99</v>
      </c>
      <c r="C5281" s="0" t="str">
        <f aca="false">INDEX(Intent_Analysis!$B$5:$B$81,MATCH(B5281,Intent_Analysis!$A$5:$A$81,0))</f>
        <v>Fraud &amp; security</v>
      </c>
      <c r="D5281" s="0" t="n">
        <f aca="false">INDEX(Intent_Analysis!$E$5:$E$81,MATCH(B5281,Intent_Analysis!$A$5:$A$81,0))</f>
        <v>3</v>
      </c>
    </row>
    <row r="5282" customFormat="false" ht="15" hidden="false" customHeight="false" outlineLevel="0" collapsed="false">
      <c r="A5282" s="0" t="s">
        <v>5606</v>
      </c>
      <c r="B5282" s="0" t="s">
        <v>99</v>
      </c>
      <c r="C5282" s="0" t="str">
        <f aca="false">INDEX(Intent_Analysis!$B$5:$B$81,MATCH(B5282,Intent_Analysis!$A$5:$A$81,0))</f>
        <v>Fraud &amp; security</v>
      </c>
      <c r="D5282" s="0" t="n">
        <f aca="false">INDEX(Intent_Analysis!$E$5:$E$81,MATCH(B5282,Intent_Analysis!$A$5:$A$81,0))</f>
        <v>3</v>
      </c>
    </row>
    <row r="5283" customFormat="false" ht="15" hidden="false" customHeight="false" outlineLevel="0" collapsed="false">
      <c r="A5283" s="0" t="s">
        <v>5607</v>
      </c>
      <c r="B5283" s="0" t="s">
        <v>99</v>
      </c>
      <c r="C5283" s="0" t="str">
        <f aca="false">INDEX(Intent_Analysis!$B$5:$B$81,MATCH(B5283,Intent_Analysis!$A$5:$A$81,0))</f>
        <v>Fraud &amp; security</v>
      </c>
      <c r="D5283" s="0" t="n">
        <f aca="false">INDEX(Intent_Analysis!$E$5:$E$81,MATCH(B5283,Intent_Analysis!$A$5:$A$81,0))</f>
        <v>3</v>
      </c>
    </row>
    <row r="5284" customFormat="false" ht="15" hidden="false" customHeight="false" outlineLevel="0" collapsed="false">
      <c r="A5284" s="0" t="s">
        <v>5608</v>
      </c>
      <c r="B5284" s="0" t="s">
        <v>99</v>
      </c>
      <c r="C5284" s="0" t="str">
        <f aca="false">INDEX(Intent_Analysis!$B$5:$B$81,MATCH(B5284,Intent_Analysis!$A$5:$A$81,0))</f>
        <v>Fraud &amp; security</v>
      </c>
      <c r="D5284" s="0" t="n">
        <f aca="false">INDEX(Intent_Analysis!$E$5:$E$81,MATCH(B5284,Intent_Analysis!$A$5:$A$81,0))</f>
        <v>3</v>
      </c>
    </row>
    <row r="5285" customFormat="false" ht="15" hidden="false" customHeight="false" outlineLevel="0" collapsed="false">
      <c r="A5285" s="0" t="s">
        <v>5609</v>
      </c>
      <c r="B5285" s="0" t="s">
        <v>99</v>
      </c>
      <c r="C5285" s="0" t="str">
        <f aca="false">INDEX(Intent_Analysis!$B$5:$B$81,MATCH(B5285,Intent_Analysis!$A$5:$A$81,0))</f>
        <v>Fraud &amp; security</v>
      </c>
      <c r="D5285" s="0" t="n">
        <f aca="false">INDEX(Intent_Analysis!$E$5:$E$81,MATCH(B5285,Intent_Analysis!$A$5:$A$81,0))</f>
        <v>3</v>
      </c>
    </row>
    <row r="5286" customFormat="false" ht="15" hidden="false" customHeight="false" outlineLevel="0" collapsed="false">
      <c r="A5286" s="0" t="s">
        <v>5610</v>
      </c>
      <c r="B5286" s="0" t="s">
        <v>99</v>
      </c>
      <c r="C5286" s="0" t="str">
        <f aca="false">INDEX(Intent_Analysis!$B$5:$B$81,MATCH(B5286,Intent_Analysis!$A$5:$A$81,0))</f>
        <v>Fraud &amp; security</v>
      </c>
      <c r="D5286" s="0" t="n">
        <f aca="false">INDEX(Intent_Analysis!$E$5:$E$81,MATCH(B5286,Intent_Analysis!$A$5:$A$81,0))</f>
        <v>3</v>
      </c>
    </row>
    <row r="5287" customFormat="false" ht="15" hidden="false" customHeight="false" outlineLevel="0" collapsed="false">
      <c r="A5287" s="0" t="s">
        <v>5611</v>
      </c>
      <c r="B5287" s="0" t="s">
        <v>99</v>
      </c>
      <c r="C5287" s="0" t="str">
        <f aca="false">INDEX(Intent_Analysis!$B$5:$B$81,MATCH(B5287,Intent_Analysis!$A$5:$A$81,0))</f>
        <v>Fraud &amp; security</v>
      </c>
      <c r="D5287" s="0" t="n">
        <f aca="false">INDEX(Intent_Analysis!$E$5:$E$81,MATCH(B5287,Intent_Analysis!$A$5:$A$81,0))</f>
        <v>3</v>
      </c>
    </row>
    <row r="5288" customFormat="false" ht="15" hidden="false" customHeight="false" outlineLevel="0" collapsed="false">
      <c r="A5288" s="0" t="s">
        <v>5612</v>
      </c>
      <c r="B5288" s="0" t="s">
        <v>99</v>
      </c>
      <c r="C5288" s="0" t="str">
        <f aca="false">INDEX(Intent_Analysis!$B$5:$B$81,MATCH(B5288,Intent_Analysis!$A$5:$A$81,0))</f>
        <v>Fraud &amp; security</v>
      </c>
      <c r="D5288" s="0" t="n">
        <f aca="false">INDEX(Intent_Analysis!$E$5:$E$81,MATCH(B5288,Intent_Analysis!$A$5:$A$81,0))</f>
        <v>3</v>
      </c>
    </row>
    <row r="5289" customFormat="false" ht="15" hidden="false" customHeight="false" outlineLevel="0" collapsed="false">
      <c r="A5289" s="0" t="s">
        <v>5613</v>
      </c>
      <c r="B5289" s="0" t="s">
        <v>99</v>
      </c>
      <c r="C5289" s="0" t="str">
        <f aca="false">INDEX(Intent_Analysis!$B$5:$B$81,MATCH(B5289,Intent_Analysis!$A$5:$A$81,0))</f>
        <v>Fraud &amp; security</v>
      </c>
      <c r="D5289" s="0" t="n">
        <f aca="false">INDEX(Intent_Analysis!$E$5:$E$81,MATCH(B5289,Intent_Analysis!$A$5:$A$81,0))</f>
        <v>3</v>
      </c>
    </row>
    <row r="5290" customFormat="false" ht="15" hidden="false" customHeight="false" outlineLevel="0" collapsed="false">
      <c r="A5290" s="0" t="s">
        <v>5614</v>
      </c>
      <c r="B5290" s="0" t="s">
        <v>99</v>
      </c>
      <c r="C5290" s="0" t="str">
        <f aca="false">INDEX(Intent_Analysis!$B$5:$B$81,MATCH(B5290,Intent_Analysis!$A$5:$A$81,0))</f>
        <v>Fraud &amp; security</v>
      </c>
      <c r="D5290" s="0" t="n">
        <f aca="false">INDEX(Intent_Analysis!$E$5:$E$81,MATCH(B5290,Intent_Analysis!$A$5:$A$81,0))</f>
        <v>3</v>
      </c>
    </row>
    <row r="5291" customFormat="false" ht="15" hidden="false" customHeight="false" outlineLevel="0" collapsed="false">
      <c r="A5291" s="0" t="s">
        <v>5615</v>
      </c>
      <c r="B5291" s="0" t="s">
        <v>99</v>
      </c>
      <c r="C5291" s="0" t="str">
        <f aca="false">INDEX(Intent_Analysis!$B$5:$B$81,MATCH(B5291,Intent_Analysis!$A$5:$A$81,0))</f>
        <v>Fraud &amp; security</v>
      </c>
      <c r="D5291" s="0" t="n">
        <f aca="false">INDEX(Intent_Analysis!$E$5:$E$81,MATCH(B5291,Intent_Analysis!$A$5:$A$81,0))</f>
        <v>3</v>
      </c>
    </row>
    <row r="5292" customFormat="false" ht="15" hidden="false" customHeight="false" outlineLevel="0" collapsed="false">
      <c r="A5292" s="0" t="s">
        <v>5616</v>
      </c>
      <c r="B5292" s="0" t="s">
        <v>99</v>
      </c>
      <c r="C5292" s="0" t="str">
        <f aca="false">INDEX(Intent_Analysis!$B$5:$B$81,MATCH(B5292,Intent_Analysis!$A$5:$A$81,0))</f>
        <v>Fraud &amp; security</v>
      </c>
      <c r="D5292" s="0" t="n">
        <f aca="false">INDEX(Intent_Analysis!$E$5:$E$81,MATCH(B5292,Intent_Analysis!$A$5:$A$81,0))</f>
        <v>3</v>
      </c>
    </row>
    <row r="5293" customFormat="false" ht="15" hidden="false" customHeight="false" outlineLevel="0" collapsed="false">
      <c r="A5293" s="0" t="s">
        <v>5617</v>
      </c>
      <c r="B5293" s="0" t="s">
        <v>99</v>
      </c>
      <c r="C5293" s="0" t="str">
        <f aca="false">INDEX(Intent_Analysis!$B$5:$B$81,MATCH(B5293,Intent_Analysis!$A$5:$A$81,0))</f>
        <v>Fraud &amp; security</v>
      </c>
      <c r="D5293" s="0" t="n">
        <f aca="false">INDEX(Intent_Analysis!$E$5:$E$81,MATCH(B5293,Intent_Analysis!$A$5:$A$81,0))</f>
        <v>3</v>
      </c>
    </row>
    <row r="5294" customFormat="false" ht="15" hidden="false" customHeight="false" outlineLevel="0" collapsed="false">
      <c r="A5294" s="0" t="s">
        <v>5618</v>
      </c>
      <c r="B5294" s="0" t="s">
        <v>99</v>
      </c>
      <c r="C5294" s="0" t="str">
        <f aca="false">INDEX(Intent_Analysis!$B$5:$B$81,MATCH(B5294,Intent_Analysis!$A$5:$A$81,0))</f>
        <v>Fraud &amp; security</v>
      </c>
      <c r="D5294" s="0" t="n">
        <f aca="false">INDEX(Intent_Analysis!$E$5:$E$81,MATCH(B5294,Intent_Analysis!$A$5:$A$81,0))</f>
        <v>3</v>
      </c>
    </row>
    <row r="5295" customFormat="false" ht="15" hidden="false" customHeight="false" outlineLevel="0" collapsed="false">
      <c r="A5295" s="0" t="s">
        <v>5619</v>
      </c>
      <c r="B5295" s="0" t="s">
        <v>99</v>
      </c>
      <c r="C5295" s="0" t="str">
        <f aca="false">INDEX(Intent_Analysis!$B$5:$B$81,MATCH(B5295,Intent_Analysis!$A$5:$A$81,0))</f>
        <v>Fraud &amp; security</v>
      </c>
      <c r="D5295" s="0" t="n">
        <f aca="false">INDEX(Intent_Analysis!$E$5:$E$81,MATCH(B5295,Intent_Analysis!$A$5:$A$81,0))</f>
        <v>3</v>
      </c>
    </row>
    <row r="5296" customFormat="false" ht="15" hidden="false" customHeight="false" outlineLevel="0" collapsed="false">
      <c r="A5296" s="0" t="s">
        <v>5620</v>
      </c>
      <c r="B5296" s="0" t="s">
        <v>99</v>
      </c>
      <c r="C5296" s="0" t="str">
        <f aca="false">INDEX(Intent_Analysis!$B$5:$B$81,MATCH(B5296,Intent_Analysis!$A$5:$A$81,0))</f>
        <v>Fraud &amp; security</v>
      </c>
      <c r="D5296" s="0" t="n">
        <f aca="false">INDEX(Intent_Analysis!$E$5:$E$81,MATCH(B5296,Intent_Analysis!$A$5:$A$81,0))</f>
        <v>3</v>
      </c>
    </row>
    <row r="5297" customFormat="false" ht="15" hidden="false" customHeight="false" outlineLevel="0" collapsed="false">
      <c r="A5297" s="0" t="s">
        <v>5621</v>
      </c>
      <c r="B5297" s="0" t="s">
        <v>99</v>
      </c>
      <c r="C5297" s="0" t="str">
        <f aca="false">INDEX(Intent_Analysis!$B$5:$B$81,MATCH(B5297,Intent_Analysis!$A$5:$A$81,0))</f>
        <v>Fraud &amp; security</v>
      </c>
      <c r="D5297" s="0" t="n">
        <f aca="false">INDEX(Intent_Analysis!$E$5:$E$81,MATCH(B5297,Intent_Analysis!$A$5:$A$81,0))</f>
        <v>3</v>
      </c>
    </row>
    <row r="5298" customFormat="false" ht="15" hidden="false" customHeight="false" outlineLevel="0" collapsed="false">
      <c r="A5298" s="0" t="s">
        <v>5622</v>
      </c>
      <c r="B5298" s="0" t="s">
        <v>99</v>
      </c>
      <c r="C5298" s="0" t="str">
        <f aca="false">INDEX(Intent_Analysis!$B$5:$B$81,MATCH(B5298,Intent_Analysis!$A$5:$A$81,0))</f>
        <v>Fraud &amp; security</v>
      </c>
      <c r="D5298" s="0" t="n">
        <f aca="false">INDEX(Intent_Analysis!$E$5:$E$81,MATCH(B5298,Intent_Analysis!$A$5:$A$81,0))</f>
        <v>3</v>
      </c>
    </row>
    <row r="5299" customFormat="false" ht="15" hidden="false" customHeight="false" outlineLevel="0" collapsed="false">
      <c r="A5299" s="0" t="s">
        <v>5623</v>
      </c>
      <c r="B5299" s="0" t="s">
        <v>99</v>
      </c>
      <c r="C5299" s="0" t="str">
        <f aca="false">INDEX(Intent_Analysis!$B$5:$B$81,MATCH(B5299,Intent_Analysis!$A$5:$A$81,0))</f>
        <v>Fraud &amp; security</v>
      </c>
      <c r="D5299" s="0" t="n">
        <f aca="false">INDEX(Intent_Analysis!$E$5:$E$81,MATCH(B5299,Intent_Analysis!$A$5:$A$81,0))</f>
        <v>3</v>
      </c>
    </row>
    <row r="5300" customFormat="false" ht="15" hidden="false" customHeight="false" outlineLevel="0" collapsed="false">
      <c r="A5300" s="0" t="s">
        <v>5624</v>
      </c>
      <c r="B5300" s="0" t="s">
        <v>99</v>
      </c>
      <c r="C5300" s="0" t="str">
        <f aca="false">INDEX(Intent_Analysis!$B$5:$B$81,MATCH(B5300,Intent_Analysis!$A$5:$A$81,0))</f>
        <v>Fraud &amp; security</v>
      </c>
      <c r="D5300" s="0" t="n">
        <f aca="false">INDEX(Intent_Analysis!$E$5:$E$81,MATCH(B5300,Intent_Analysis!$A$5:$A$81,0))</f>
        <v>3</v>
      </c>
    </row>
    <row r="5301" customFormat="false" ht="15" hidden="false" customHeight="false" outlineLevel="0" collapsed="false">
      <c r="A5301" s="0" t="s">
        <v>5625</v>
      </c>
      <c r="B5301" s="0" t="s">
        <v>99</v>
      </c>
      <c r="C5301" s="0" t="str">
        <f aca="false">INDEX(Intent_Analysis!$B$5:$B$81,MATCH(B5301,Intent_Analysis!$A$5:$A$81,0))</f>
        <v>Fraud &amp; security</v>
      </c>
      <c r="D5301" s="0" t="n">
        <f aca="false">INDEX(Intent_Analysis!$E$5:$E$81,MATCH(B5301,Intent_Analysis!$A$5:$A$81,0))</f>
        <v>3</v>
      </c>
    </row>
    <row r="5302" customFormat="false" ht="15" hidden="false" customHeight="false" outlineLevel="0" collapsed="false">
      <c r="A5302" s="0" t="s">
        <v>5626</v>
      </c>
      <c r="B5302" s="0" t="s">
        <v>99</v>
      </c>
      <c r="C5302" s="0" t="str">
        <f aca="false">INDEX(Intent_Analysis!$B$5:$B$81,MATCH(B5302,Intent_Analysis!$A$5:$A$81,0))</f>
        <v>Fraud &amp; security</v>
      </c>
      <c r="D5302" s="0" t="n">
        <f aca="false">INDEX(Intent_Analysis!$E$5:$E$81,MATCH(B5302,Intent_Analysis!$A$5:$A$81,0))</f>
        <v>3</v>
      </c>
    </row>
    <row r="5303" customFormat="false" ht="15" hidden="false" customHeight="false" outlineLevel="0" collapsed="false">
      <c r="A5303" s="0" t="s">
        <v>5627</v>
      </c>
      <c r="B5303" s="0" t="s">
        <v>99</v>
      </c>
      <c r="C5303" s="0" t="str">
        <f aca="false">INDEX(Intent_Analysis!$B$5:$B$81,MATCH(B5303,Intent_Analysis!$A$5:$A$81,0))</f>
        <v>Fraud &amp; security</v>
      </c>
      <c r="D5303" s="0" t="n">
        <f aca="false">INDEX(Intent_Analysis!$E$5:$E$81,MATCH(B5303,Intent_Analysis!$A$5:$A$81,0))</f>
        <v>3</v>
      </c>
    </row>
    <row r="5304" customFormat="false" ht="15" hidden="false" customHeight="false" outlineLevel="0" collapsed="false">
      <c r="A5304" s="0" t="s">
        <v>5628</v>
      </c>
      <c r="B5304" s="0" t="s">
        <v>99</v>
      </c>
      <c r="C5304" s="0" t="str">
        <f aca="false">INDEX(Intent_Analysis!$B$5:$B$81,MATCH(B5304,Intent_Analysis!$A$5:$A$81,0))</f>
        <v>Fraud &amp; security</v>
      </c>
      <c r="D5304" s="0" t="n">
        <f aca="false">INDEX(Intent_Analysis!$E$5:$E$81,MATCH(B5304,Intent_Analysis!$A$5:$A$81,0))</f>
        <v>3</v>
      </c>
    </row>
    <row r="5305" customFormat="false" ht="15" hidden="false" customHeight="false" outlineLevel="0" collapsed="false">
      <c r="A5305" s="0" t="s">
        <v>5629</v>
      </c>
      <c r="B5305" s="0" t="s">
        <v>99</v>
      </c>
      <c r="C5305" s="0" t="str">
        <f aca="false">INDEX(Intent_Analysis!$B$5:$B$81,MATCH(B5305,Intent_Analysis!$A$5:$A$81,0))</f>
        <v>Fraud &amp; security</v>
      </c>
      <c r="D5305" s="0" t="n">
        <f aca="false">INDEX(Intent_Analysis!$E$5:$E$81,MATCH(B5305,Intent_Analysis!$A$5:$A$81,0))</f>
        <v>3</v>
      </c>
    </row>
    <row r="5306" customFormat="false" ht="15" hidden="false" customHeight="false" outlineLevel="0" collapsed="false">
      <c r="A5306" s="0" t="s">
        <v>5630</v>
      </c>
      <c r="B5306" s="0" t="s">
        <v>99</v>
      </c>
      <c r="C5306" s="0" t="str">
        <f aca="false">INDEX(Intent_Analysis!$B$5:$B$81,MATCH(B5306,Intent_Analysis!$A$5:$A$81,0))</f>
        <v>Fraud &amp; security</v>
      </c>
      <c r="D5306" s="0" t="n">
        <f aca="false">INDEX(Intent_Analysis!$E$5:$E$81,MATCH(B5306,Intent_Analysis!$A$5:$A$81,0))</f>
        <v>3</v>
      </c>
    </row>
    <row r="5307" customFormat="false" ht="15" hidden="false" customHeight="false" outlineLevel="0" collapsed="false">
      <c r="A5307" s="0" t="s">
        <v>5631</v>
      </c>
      <c r="B5307" s="0" t="s">
        <v>99</v>
      </c>
      <c r="C5307" s="0" t="str">
        <f aca="false">INDEX(Intent_Analysis!$B$5:$B$81,MATCH(B5307,Intent_Analysis!$A$5:$A$81,0))</f>
        <v>Fraud &amp; security</v>
      </c>
      <c r="D5307" s="0" t="n">
        <f aca="false">INDEX(Intent_Analysis!$E$5:$E$81,MATCH(B5307,Intent_Analysis!$A$5:$A$81,0))</f>
        <v>3</v>
      </c>
    </row>
    <row r="5308" customFormat="false" ht="15" hidden="false" customHeight="false" outlineLevel="0" collapsed="false">
      <c r="A5308" s="0" t="s">
        <v>5632</v>
      </c>
      <c r="B5308" s="0" t="s">
        <v>99</v>
      </c>
      <c r="C5308" s="0" t="str">
        <f aca="false">INDEX(Intent_Analysis!$B$5:$B$81,MATCH(B5308,Intent_Analysis!$A$5:$A$81,0))</f>
        <v>Fraud &amp; security</v>
      </c>
      <c r="D5308" s="0" t="n">
        <f aca="false">INDEX(Intent_Analysis!$E$5:$E$81,MATCH(B5308,Intent_Analysis!$A$5:$A$81,0))</f>
        <v>3</v>
      </c>
    </row>
    <row r="5309" customFormat="false" ht="15" hidden="false" customHeight="false" outlineLevel="0" collapsed="false">
      <c r="A5309" s="0" t="s">
        <v>5633</v>
      </c>
      <c r="B5309" s="0" t="s">
        <v>99</v>
      </c>
      <c r="C5309" s="0" t="str">
        <f aca="false">INDEX(Intent_Analysis!$B$5:$B$81,MATCH(B5309,Intent_Analysis!$A$5:$A$81,0))</f>
        <v>Fraud &amp; security</v>
      </c>
      <c r="D5309" s="0" t="n">
        <f aca="false">INDEX(Intent_Analysis!$E$5:$E$81,MATCH(B5309,Intent_Analysis!$A$5:$A$81,0))</f>
        <v>3</v>
      </c>
    </row>
    <row r="5310" customFormat="false" ht="15" hidden="false" customHeight="false" outlineLevel="0" collapsed="false">
      <c r="A5310" s="0" t="s">
        <v>5634</v>
      </c>
      <c r="B5310" s="0" t="s">
        <v>99</v>
      </c>
      <c r="C5310" s="0" t="str">
        <f aca="false">INDEX(Intent_Analysis!$B$5:$B$81,MATCH(B5310,Intent_Analysis!$A$5:$A$81,0))</f>
        <v>Fraud &amp; security</v>
      </c>
      <c r="D5310" s="0" t="n">
        <f aca="false">INDEX(Intent_Analysis!$E$5:$E$81,MATCH(B5310,Intent_Analysis!$A$5:$A$81,0))</f>
        <v>3</v>
      </c>
    </row>
    <row r="5311" customFormat="false" ht="15" hidden="false" customHeight="false" outlineLevel="0" collapsed="false">
      <c r="A5311" s="0" t="s">
        <v>5635</v>
      </c>
      <c r="B5311" s="0" t="s">
        <v>99</v>
      </c>
      <c r="C5311" s="0" t="str">
        <f aca="false">INDEX(Intent_Analysis!$B$5:$B$81,MATCH(B5311,Intent_Analysis!$A$5:$A$81,0))</f>
        <v>Fraud &amp; security</v>
      </c>
      <c r="D5311" s="0" t="n">
        <f aca="false">INDEX(Intent_Analysis!$E$5:$E$81,MATCH(B5311,Intent_Analysis!$A$5:$A$81,0))</f>
        <v>3</v>
      </c>
    </row>
    <row r="5312" customFormat="false" ht="15" hidden="false" customHeight="false" outlineLevel="0" collapsed="false">
      <c r="A5312" s="0" t="s">
        <v>5636</v>
      </c>
      <c r="B5312" s="0" t="s">
        <v>99</v>
      </c>
      <c r="C5312" s="0" t="str">
        <f aca="false">INDEX(Intent_Analysis!$B$5:$B$81,MATCH(B5312,Intent_Analysis!$A$5:$A$81,0))</f>
        <v>Fraud &amp; security</v>
      </c>
      <c r="D5312" s="0" t="n">
        <f aca="false">INDEX(Intent_Analysis!$E$5:$E$81,MATCH(B5312,Intent_Analysis!$A$5:$A$81,0))</f>
        <v>3</v>
      </c>
    </row>
    <row r="5313" customFormat="false" ht="15" hidden="false" customHeight="false" outlineLevel="0" collapsed="false">
      <c r="A5313" s="0" t="s">
        <v>5637</v>
      </c>
      <c r="B5313" s="0" t="s">
        <v>99</v>
      </c>
      <c r="C5313" s="0" t="str">
        <f aca="false">INDEX(Intent_Analysis!$B$5:$B$81,MATCH(B5313,Intent_Analysis!$A$5:$A$81,0))</f>
        <v>Fraud &amp; security</v>
      </c>
      <c r="D5313" s="0" t="n">
        <f aca="false">INDEX(Intent_Analysis!$E$5:$E$81,MATCH(B5313,Intent_Analysis!$A$5:$A$81,0))</f>
        <v>3</v>
      </c>
    </row>
    <row r="5314" customFormat="false" ht="15" hidden="false" customHeight="false" outlineLevel="0" collapsed="false">
      <c r="A5314" s="0" t="s">
        <v>5638</v>
      </c>
      <c r="B5314" s="0" t="s">
        <v>99</v>
      </c>
      <c r="C5314" s="0" t="str">
        <f aca="false">INDEX(Intent_Analysis!$B$5:$B$81,MATCH(B5314,Intent_Analysis!$A$5:$A$81,0))</f>
        <v>Fraud &amp; security</v>
      </c>
      <c r="D5314" s="0" t="n">
        <f aca="false">INDEX(Intent_Analysis!$E$5:$E$81,MATCH(B5314,Intent_Analysis!$A$5:$A$81,0))</f>
        <v>3</v>
      </c>
    </row>
    <row r="5315" customFormat="false" ht="15" hidden="false" customHeight="false" outlineLevel="0" collapsed="false">
      <c r="A5315" s="0" t="s">
        <v>5639</v>
      </c>
      <c r="B5315" s="0" t="s">
        <v>99</v>
      </c>
      <c r="C5315" s="0" t="str">
        <f aca="false">INDEX(Intent_Analysis!$B$5:$B$81,MATCH(B5315,Intent_Analysis!$A$5:$A$81,0))</f>
        <v>Fraud &amp; security</v>
      </c>
      <c r="D5315" s="0" t="n">
        <f aca="false">INDEX(Intent_Analysis!$E$5:$E$81,MATCH(B5315,Intent_Analysis!$A$5:$A$81,0))</f>
        <v>3</v>
      </c>
    </row>
    <row r="5316" customFormat="false" ht="15" hidden="false" customHeight="false" outlineLevel="0" collapsed="false">
      <c r="A5316" s="0" t="s">
        <v>5640</v>
      </c>
      <c r="B5316" s="0" t="s">
        <v>99</v>
      </c>
      <c r="C5316" s="0" t="str">
        <f aca="false">INDEX(Intent_Analysis!$B$5:$B$81,MATCH(B5316,Intent_Analysis!$A$5:$A$81,0))</f>
        <v>Fraud &amp; security</v>
      </c>
      <c r="D5316" s="0" t="n">
        <f aca="false">INDEX(Intent_Analysis!$E$5:$E$81,MATCH(B5316,Intent_Analysis!$A$5:$A$81,0))</f>
        <v>3</v>
      </c>
    </row>
    <row r="5317" customFormat="false" ht="15" hidden="false" customHeight="false" outlineLevel="0" collapsed="false">
      <c r="A5317" s="0" t="s">
        <v>5641</v>
      </c>
      <c r="B5317" s="0" t="s">
        <v>99</v>
      </c>
      <c r="C5317" s="0" t="str">
        <f aca="false">INDEX(Intent_Analysis!$B$5:$B$81,MATCH(B5317,Intent_Analysis!$A$5:$A$81,0))</f>
        <v>Fraud &amp; security</v>
      </c>
      <c r="D5317" s="0" t="n">
        <f aca="false">INDEX(Intent_Analysis!$E$5:$E$81,MATCH(B5317,Intent_Analysis!$A$5:$A$81,0))</f>
        <v>3</v>
      </c>
    </row>
    <row r="5318" customFormat="false" ht="15" hidden="false" customHeight="false" outlineLevel="0" collapsed="false">
      <c r="A5318" s="0" t="s">
        <v>5642</v>
      </c>
      <c r="B5318" s="0" t="s">
        <v>99</v>
      </c>
      <c r="C5318" s="0" t="str">
        <f aca="false">INDEX(Intent_Analysis!$B$5:$B$81,MATCH(B5318,Intent_Analysis!$A$5:$A$81,0))</f>
        <v>Fraud &amp; security</v>
      </c>
      <c r="D5318" s="0" t="n">
        <f aca="false">INDEX(Intent_Analysis!$E$5:$E$81,MATCH(B5318,Intent_Analysis!$A$5:$A$81,0))</f>
        <v>3</v>
      </c>
    </row>
    <row r="5319" customFormat="false" ht="15" hidden="false" customHeight="false" outlineLevel="0" collapsed="false">
      <c r="A5319" s="0" t="s">
        <v>5643</v>
      </c>
      <c r="B5319" s="0" t="s">
        <v>99</v>
      </c>
      <c r="C5319" s="0" t="str">
        <f aca="false">INDEX(Intent_Analysis!$B$5:$B$81,MATCH(B5319,Intent_Analysis!$A$5:$A$81,0))</f>
        <v>Fraud &amp; security</v>
      </c>
      <c r="D5319" s="0" t="n">
        <f aca="false">INDEX(Intent_Analysis!$E$5:$E$81,MATCH(B5319,Intent_Analysis!$A$5:$A$81,0))</f>
        <v>3</v>
      </c>
    </row>
    <row r="5320" customFormat="false" ht="15" hidden="false" customHeight="false" outlineLevel="0" collapsed="false">
      <c r="A5320" s="0" t="s">
        <v>5644</v>
      </c>
      <c r="B5320" s="0" t="s">
        <v>99</v>
      </c>
      <c r="C5320" s="0" t="str">
        <f aca="false">INDEX(Intent_Analysis!$B$5:$B$81,MATCH(B5320,Intent_Analysis!$A$5:$A$81,0))</f>
        <v>Fraud &amp; security</v>
      </c>
      <c r="D5320" s="0" t="n">
        <f aca="false">INDEX(Intent_Analysis!$E$5:$E$81,MATCH(B5320,Intent_Analysis!$A$5:$A$81,0))</f>
        <v>3</v>
      </c>
    </row>
    <row r="5321" customFormat="false" ht="15" hidden="false" customHeight="false" outlineLevel="0" collapsed="false">
      <c r="A5321" s="0" t="s">
        <v>5645</v>
      </c>
      <c r="B5321" s="0" t="s">
        <v>99</v>
      </c>
      <c r="C5321" s="0" t="str">
        <f aca="false">INDEX(Intent_Analysis!$B$5:$B$81,MATCH(B5321,Intent_Analysis!$A$5:$A$81,0))</f>
        <v>Fraud &amp; security</v>
      </c>
      <c r="D5321" s="0" t="n">
        <f aca="false">INDEX(Intent_Analysis!$E$5:$E$81,MATCH(B5321,Intent_Analysis!$A$5:$A$81,0))</f>
        <v>3</v>
      </c>
    </row>
    <row r="5322" customFormat="false" ht="15" hidden="false" customHeight="false" outlineLevel="0" collapsed="false">
      <c r="A5322" s="0" t="s">
        <v>5646</v>
      </c>
      <c r="B5322" s="0" t="s">
        <v>99</v>
      </c>
      <c r="C5322" s="0" t="str">
        <f aca="false">INDEX(Intent_Analysis!$B$5:$B$81,MATCH(B5322,Intent_Analysis!$A$5:$A$81,0))</f>
        <v>Fraud &amp; security</v>
      </c>
      <c r="D5322" s="0" t="n">
        <f aca="false">INDEX(Intent_Analysis!$E$5:$E$81,MATCH(B5322,Intent_Analysis!$A$5:$A$81,0))</f>
        <v>3</v>
      </c>
    </row>
    <row r="5323" customFormat="false" ht="15" hidden="false" customHeight="false" outlineLevel="0" collapsed="false">
      <c r="A5323" s="0" t="s">
        <v>5647</v>
      </c>
      <c r="B5323" s="0" t="s">
        <v>99</v>
      </c>
      <c r="C5323" s="0" t="str">
        <f aca="false">INDEX(Intent_Analysis!$B$5:$B$81,MATCH(B5323,Intent_Analysis!$A$5:$A$81,0))</f>
        <v>Fraud &amp; security</v>
      </c>
      <c r="D5323" s="0" t="n">
        <f aca="false">INDEX(Intent_Analysis!$E$5:$E$81,MATCH(B5323,Intent_Analysis!$A$5:$A$81,0))</f>
        <v>3</v>
      </c>
    </row>
    <row r="5324" customFormat="false" ht="15" hidden="false" customHeight="false" outlineLevel="0" collapsed="false">
      <c r="A5324" s="0" t="s">
        <v>5648</v>
      </c>
      <c r="B5324" s="0" t="s">
        <v>99</v>
      </c>
      <c r="C5324" s="0" t="str">
        <f aca="false">INDEX(Intent_Analysis!$B$5:$B$81,MATCH(B5324,Intent_Analysis!$A$5:$A$81,0))</f>
        <v>Fraud &amp; security</v>
      </c>
      <c r="D5324" s="0" t="n">
        <f aca="false">INDEX(Intent_Analysis!$E$5:$E$81,MATCH(B5324,Intent_Analysis!$A$5:$A$81,0))</f>
        <v>3</v>
      </c>
    </row>
    <row r="5325" customFormat="false" ht="15" hidden="false" customHeight="false" outlineLevel="0" collapsed="false">
      <c r="A5325" s="0" t="s">
        <v>5649</v>
      </c>
      <c r="B5325" s="0" t="s">
        <v>99</v>
      </c>
      <c r="C5325" s="0" t="str">
        <f aca="false">INDEX(Intent_Analysis!$B$5:$B$81,MATCH(B5325,Intent_Analysis!$A$5:$A$81,0))</f>
        <v>Fraud &amp; security</v>
      </c>
      <c r="D5325" s="0" t="n">
        <f aca="false">INDEX(Intent_Analysis!$E$5:$E$81,MATCH(B5325,Intent_Analysis!$A$5:$A$81,0))</f>
        <v>3</v>
      </c>
    </row>
    <row r="5326" customFormat="false" ht="15" hidden="false" customHeight="false" outlineLevel="0" collapsed="false">
      <c r="A5326" s="0" t="s">
        <v>5650</v>
      </c>
      <c r="B5326" s="0" t="s">
        <v>99</v>
      </c>
      <c r="C5326" s="0" t="str">
        <f aca="false">INDEX(Intent_Analysis!$B$5:$B$81,MATCH(B5326,Intent_Analysis!$A$5:$A$81,0))</f>
        <v>Fraud &amp; security</v>
      </c>
      <c r="D5326" s="0" t="n">
        <f aca="false">INDEX(Intent_Analysis!$E$5:$E$81,MATCH(B5326,Intent_Analysis!$A$5:$A$81,0))</f>
        <v>3</v>
      </c>
    </row>
    <row r="5327" customFormat="false" ht="15" hidden="false" customHeight="false" outlineLevel="0" collapsed="false">
      <c r="A5327" s="0" t="s">
        <v>5651</v>
      </c>
      <c r="B5327" s="0" t="s">
        <v>99</v>
      </c>
      <c r="C5327" s="0" t="str">
        <f aca="false">INDEX(Intent_Analysis!$B$5:$B$81,MATCH(B5327,Intent_Analysis!$A$5:$A$81,0))</f>
        <v>Fraud &amp; security</v>
      </c>
      <c r="D5327" s="0" t="n">
        <f aca="false">INDEX(Intent_Analysis!$E$5:$E$81,MATCH(B5327,Intent_Analysis!$A$5:$A$81,0))</f>
        <v>3</v>
      </c>
    </row>
    <row r="5328" customFormat="false" ht="15" hidden="false" customHeight="false" outlineLevel="0" collapsed="false">
      <c r="A5328" s="0" t="s">
        <v>5652</v>
      </c>
      <c r="B5328" s="0" t="s">
        <v>99</v>
      </c>
      <c r="C5328" s="0" t="str">
        <f aca="false">INDEX(Intent_Analysis!$B$5:$B$81,MATCH(B5328,Intent_Analysis!$A$5:$A$81,0))</f>
        <v>Fraud &amp; security</v>
      </c>
      <c r="D5328" s="0" t="n">
        <f aca="false">INDEX(Intent_Analysis!$E$5:$E$81,MATCH(B5328,Intent_Analysis!$A$5:$A$81,0))</f>
        <v>3</v>
      </c>
    </row>
    <row r="5329" customFormat="false" ht="15" hidden="false" customHeight="false" outlineLevel="0" collapsed="false">
      <c r="A5329" s="0" t="s">
        <v>5653</v>
      </c>
      <c r="B5329" s="0" t="s">
        <v>99</v>
      </c>
      <c r="C5329" s="0" t="str">
        <f aca="false">INDEX(Intent_Analysis!$B$5:$B$81,MATCH(B5329,Intent_Analysis!$A$5:$A$81,0))</f>
        <v>Fraud &amp; security</v>
      </c>
      <c r="D5329" s="0" t="n">
        <f aca="false">INDEX(Intent_Analysis!$E$5:$E$81,MATCH(B5329,Intent_Analysis!$A$5:$A$81,0))</f>
        <v>3</v>
      </c>
    </row>
    <row r="5330" customFormat="false" ht="15" hidden="false" customHeight="false" outlineLevel="0" collapsed="false">
      <c r="A5330" s="0" t="s">
        <v>5654</v>
      </c>
      <c r="B5330" s="0" t="s">
        <v>99</v>
      </c>
      <c r="C5330" s="0" t="str">
        <f aca="false">INDEX(Intent_Analysis!$B$5:$B$81,MATCH(B5330,Intent_Analysis!$A$5:$A$81,0))</f>
        <v>Fraud &amp; security</v>
      </c>
      <c r="D5330" s="0" t="n">
        <f aca="false">INDEX(Intent_Analysis!$E$5:$E$81,MATCH(B5330,Intent_Analysis!$A$5:$A$81,0))</f>
        <v>3</v>
      </c>
    </row>
    <row r="5331" customFormat="false" ht="15" hidden="false" customHeight="false" outlineLevel="0" collapsed="false">
      <c r="A5331" s="0" t="s">
        <v>5655</v>
      </c>
      <c r="B5331" s="0" t="s">
        <v>99</v>
      </c>
      <c r="C5331" s="0" t="str">
        <f aca="false">INDEX(Intent_Analysis!$B$5:$B$81,MATCH(B5331,Intent_Analysis!$A$5:$A$81,0))</f>
        <v>Fraud &amp; security</v>
      </c>
      <c r="D5331" s="0" t="n">
        <f aca="false">INDEX(Intent_Analysis!$E$5:$E$81,MATCH(B5331,Intent_Analysis!$A$5:$A$81,0))</f>
        <v>3</v>
      </c>
    </row>
    <row r="5332" customFormat="false" ht="15" hidden="false" customHeight="false" outlineLevel="0" collapsed="false">
      <c r="A5332" s="0" t="s">
        <v>5656</v>
      </c>
      <c r="B5332" s="0" t="s">
        <v>99</v>
      </c>
      <c r="C5332" s="0" t="str">
        <f aca="false">INDEX(Intent_Analysis!$B$5:$B$81,MATCH(B5332,Intent_Analysis!$A$5:$A$81,0))</f>
        <v>Fraud &amp; security</v>
      </c>
      <c r="D5332" s="0" t="n">
        <f aca="false">INDEX(Intent_Analysis!$E$5:$E$81,MATCH(B5332,Intent_Analysis!$A$5:$A$81,0))</f>
        <v>3</v>
      </c>
    </row>
    <row r="5333" customFormat="false" ht="15" hidden="false" customHeight="false" outlineLevel="0" collapsed="false">
      <c r="A5333" s="0" t="s">
        <v>5657</v>
      </c>
      <c r="B5333" s="0" t="s">
        <v>99</v>
      </c>
      <c r="C5333" s="0" t="str">
        <f aca="false">INDEX(Intent_Analysis!$B$5:$B$81,MATCH(B5333,Intent_Analysis!$A$5:$A$81,0))</f>
        <v>Fraud &amp; security</v>
      </c>
      <c r="D5333" s="0" t="n">
        <f aca="false">INDEX(Intent_Analysis!$E$5:$E$81,MATCH(B5333,Intent_Analysis!$A$5:$A$81,0))</f>
        <v>3</v>
      </c>
    </row>
    <row r="5334" customFormat="false" ht="15" hidden="false" customHeight="false" outlineLevel="0" collapsed="false">
      <c r="A5334" s="0" t="s">
        <v>5658</v>
      </c>
      <c r="B5334" s="0" t="s">
        <v>99</v>
      </c>
      <c r="C5334" s="0" t="str">
        <f aca="false">INDEX(Intent_Analysis!$B$5:$B$81,MATCH(B5334,Intent_Analysis!$A$5:$A$81,0))</f>
        <v>Fraud &amp; security</v>
      </c>
      <c r="D5334" s="0" t="n">
        <f aca="false">INDEX(Intent_Analysis!$E$5:$E$81,MATCH(B5334,Intent_Analysis!$A$5:$A$81,0))</f>
        <v>3</v>
      </c>
    </row>
    <row r="5335" customFormat="false" ht="15" hidden="false" customHeight="false" outlineLevel="0" collapsed="false">
      <c r="A5335" s="0" t="s">
        <v>5659</v>
      </c>
      <c r="B5335" s="0" t="s">
        <v>99</v>
      </c>
      <c r="C5335" s="0" t="str">
        <f aca="false">INDEX(Intent_Analysis!$B$5:$B$81,MATCH(B5335,Intent_Analysis!$A$5:$A$81,0))</f>
        <v>Fraud &amp; security</v>
      </c>
      <c r="D5335" s="0" t="n">
        <f aca="false">INDEX(Intent_Analysis!$E$5:$E$81,MATCH(B5335,Intent_Analysis!$A$5:$A$81,0))</f>
        <v>3</v>
      </c>
    </row>
    <row r="5336" customFormat="false" ht="15" hidden="false" customHeight="false" outlineLevel="0" collapsed="false">
      <c r="A5336" s="0" t="s">
        <v>5660</v>
      </c>
      <c r="B5336" s="0" t="s">
        <v>99</v>
      </c>
      <c r="C5336" s="0" t="str">
        <f aca="false">INDEX(Intent_Analysis!$B$5:$B$81,MATCH(B5336,Intent_Analysis!$A$5:$A$81,0))</f>
        <v>Fraud &amp; security</v>
      </c>
      <c r="D5336" s="0" t="n">
        <f aca="false">INDEX(Intent_Analysis!$E$5:$E$81,MATCH(B5336,Intent_Analysis!$A$5:$A$81,0))</f>
        <v>3</v>
      </c>
    </row>
    <row r="5337" customFormat="false" ht="15" hidden="false" customHeight="false" outlineLevel="0" collapsed="false">
      <c r="A5337" s="0" t="s">
        <v>5661</v>
      </c>
      <c r="B5337" s="0" t="s">
        <v>99</v>
      </c>
      <c r="C5337" s="0" t="str">
        <f aca="false">INDEX(Intent_Analysis!$B$5:$B$81,MATCH(B5337,Intent_Analysis!$A$5:$A$81,0))</f>
        <v>Fraud &amp; security</v>
      </c>
      <c r="D5337" s="0" t="n">
        <f aca="false">INDEX(Intent_Analysis!$E$5:$E$81,MATCH(B5337,Intent_Analysis!$A$5:$A$81,0))</f>
        <v>3</v>
      </c>
    </row>
    <row r="5338" customFormat="false" ht="15" hidden="false" customHeight="false" outlineLevel="0" collapsed="false">
      <c r="A5338" s="0" t="s">
        <v>5662</v>
      </c>
      <c r="B5338" s="0" t="s">
        <v>99</v>
      </c>
      <c r="C5338" s="0" t="str">
        <f aca="false">INDEX(Intent_Analysis!$B$5:$B$81,MATCH(B5338,Intent_Analysis!$A$5:$A$81,0))</f>
        <v>Fraud &amp; security</v>
      </c>
      <c r="D5338" s="0" t="n">
        <f aca="false">INDEX(Intent_Analysis!$E$5:$E$81,MATCH(B5338,Intent_Analysis!$A$5:$A$81,0))</f>
        <v>3</v>
      </c>
    </row>
    <row r="5339" customFormat="false" ht="15" hidden="false" customHeight="false" outlineLevel="0" collapsed="false">
      <c r="A5339" s="0" t="s">
        <v>5663</v>
      </c>
      <c r="B5339" s="0" t="s">
        <v>99</v>
      </c>
      <c r="C5339" s="0" t="str">
        <f aca="false">INDEX(Intent_Analysis!$B$5:$B$81,MATCH(B5339,Intent_Analysis!$A$5:$A$81,0))</f>
        <v>Fraud &amp; security</v>
      </c>
      <c r="D5339" s="0" t="n">
        <f aca="false">INDEX(Intent_Analysis!$E$5:$E$81,MATCH(B5339,Intent_Analysis!$A$5:$A$81,0))</f>
        <v>3</v>
      </c>
    </row>
    <row r="5340" customFormat="false" ht="15" hidden="false" customHeight="false" outlineLevel="0" collapsed="false">
      <c r="A5340" s="0" t="s">
        <v>5664</v>
      </c>
      <c r="B5340" s="0" t="s">
        <v>99</v>
      </c>
      <c r="C5340" s="0" t="str">
        <f aca="false">INDEX(Intent_Analysis!$B$5:$B$81,MATCH(B5340,Intent_Analysis!$A$5:$A$81,0))</f>
        <v>Fraud &amp; security</v>
      </c>
      <c r="D5340" s="0" t="n">
        <f aca="false">INDEX(Intent_Analysis!$E$5:$E$81,MATCH(B5340,Intent_Analysis!$A$5:$A$81,0))</f>
        <v>3</v>
      </c>
    </row>
    <row r="5341" customFormat="false" ht="15" hidden="false" customHeight="false" outlineLevel="0" collapsed="false">
      <c r="A5341" s="0" t="s">
        <v>5665</v>
      </c>
      <c r="B5341" s="0" t="s">
        <v>99</v>
      </c>
      <c r="C5341" s="0" t="str">
        <f aca="false">INDEX(Intent_Analysis!$B$5:$B$81,MATCH(B5341,Intent_Analysis!$A$5:$A$81,0))</f>
        <v>Fraud &amp; security</v>
      </c>
      <c r="D5341" s="0" t="n">
        <f aca="false">INDEX(Intent_Analysis!$E$5:$E$81,MATCH(B5341,Intent_Analysis!$A$5:$A$81,0))</f>
        <v>3</v>
      </c>
    </row>
    <row r="5342" customFormat="false" ht="15" hidden="false" customHeight="false" outlineLevel="0" collapsed="false">
      <c r="A5342" s="0" t="s">
        <v>5666</v>
      </c>
      <c r="B5342" s="0" t="s">
        <v>99</v>
      </c>
      <c r="C5342" s="0" t="str">
        <f aca="false">INDEX(Intent_Analysis!$B$5:$B$81,MATCH(B5342,Intent_Analysis!$A$5:$A$81,0))</f>
        <v>Fraud &amp; security</v>
      </c>
      <c r="D5342" s="0" t="n">
        <f aca="false">INDEX(Intent_Analysis!$E$5:$E$81,MATCH(B5342,Intent_Analysis!$A$5:$A$81,0))</f>
        <v>3</v>
      </c>
    </row>
    <row r="5343" customFormat="false" ht="15" hidden="false" customHeight="false" outlineLevel="0" collapsed="false">
      <c r="A5343" s="0" t="s">
        <v>5667</v>
      </c>
      <c r="B5343" s="0" t="s">
        <v>99</v>
      </c>
      <c r="C5343" s="0" t="str">
        <f aca="false">INDEX(Intent_Analysis!$B$5:$B$81,MATCH(B5343,Intent_Analysis!$A$5:$A$81,0))</f>
        <v>Fraud &amp; security</v>
      </c>
      <c r="D5343" s="0" t="n">
        <f aca="false">INDEX(Intent_Analysis!$E$5:$E$81,MATCH(B5343,Intent_Analysis!$A$5:$A$81,0))</f>
        <v>3</v>
      </c>
    </row>
    <row r="5344" customFormat="false" ht="15" hidden="false" customHeight="false" outlineLevel="0" collapsed="false">
      <c r="A5344" s="0" t="s">
        <v>5668</v>
      </c>
      <c r="B5344" s="0" t="s">
        <v>99</v>
      </c>
      <c r="C5344" s="0" t="str">
        <f aca="false">INDEX(Intent_Analysis!$B$5:$B$81,MATCH(B5344,Intent_Analysis!$A$5:$A$81,0))</f>
        <v>Fraud &amp; security</v>
      </c>
      <c r="D5344" s="0" t="n">
        <f aca="false">INDEX(Intent_Analysis!$E$5:$E$81,MATCH(B5344,Intent_Analysis!$A$5:$A$81,0))</f>
        <v>3</v>
      </c>
    </row>
    <row r="5345" customFormat="false" ht="15" hidden="false" customHeight="false" outlineLevel="0" collapsed="false">
      <c r="A5345" s="0" t="s">
        <v>5669</v>
      </c>
      <c r="B5345" s="0" t="s">
        <v>99</v>
      </c>
      <c r="C5345" s="0" t="str">
        <f aca="false">INDEX(Intent_Analysis!$B$5:$B$81,MATCH(B5345,Intent_Analysis!$A$5:$A$81,0))</f>
        <v>Fraud &amp; security</v>
      </c>
      <c r="D5345" s="0" t="n">
        <f aca="false">INDEX(Intent_Analysis!$E$5:$E$81,MATCH(B5345,Intent_Analysis!$A$5:$A$81,0))</f>
        <v>3</v>
      </c>
    </row>
    <row r="5346" customFormat="false" ht="15" hidden="false" customHeight="false" outlineLevel="0" collapsed="false">
      <c r="A5346" s="0" t="s">
        <v>5670</v>
      </c>
      <c r="B5346" s="0" t="s">
        <v>99</v>
      </c>
      <c r="C5346" s="0" t="str">
        <f aca="false">INDEX(Intent_Analysis!$B$5:$B$81,MATCH(B5346,Intent_Analysis!$A$5:$A$81,0))</f>
        <v>Fraud &amp; security</v>
      </c>
      <c r="D5346" s="0" t="n">
        <f aca="false">INDEX(Intent_Analysis!$E$5:$E$81,MATCH(B5346,Intent_Analysis!$A$5:$A$81,0))</f>
        <v>3</v>
      </c>
    </row>
    <row r="5347" customFormat="false" ht="15" hidden="false" customHeight="false" outlineLevel="0" collapsed="false">
      <c r="A5347" s="0" t="s">
        <v>5671</v>
      </c>
      <c r="B5347" s="0" t="s">
        <v>99</v>
      </c>
      <c r="C5347" s="0" t="str">
        <f aca="false">INDEX(Intent_Analysis!$B$5:$B$81,MATCH(B5347,Intent_Analysis!$A$5:$A$81,0))</f>
        <v>Fraud &amp; security</v>
      </c>
      <c r="D5347" s="0" t="n">
        <f aca="false">INDEX(Intent_Analysis!$E$5:$E$81,MATCH(B5347,Intent_Analysis!$A$5:$A$81,0))</f>
        <v>3</v>
      </c>
    </row>
    <row r="5348" customFormat="false" ht="15" hidden="false" customHeight="false" outlineLevel="0" collapsed="false">
      <c r="A5348" s="0" t="s">
        <v>5672</v>
      </c>
      <c r="B5348" s="0" t="s">
        <v>99</v>
      </c>
      <c r="C5348" s="0" t="str">
        <f aca="false">INDEX(Intent_Analysis!$B$5:$B$81,MATCH(B5348,Intent_Analysis!$A$5:$A$81,0))</f>
        <v>Fraud &amp; security</v>
      </c>
      <c r="D5348" s="0" t="n">
        <f aca="false">INDEX(Intent_Analysis!$E$5:$E$81,MATCH(B5348,Intent_Analysis!$A$5:$A$81,0))</f>
        <v>3</v>
      </c>
    </row>
    <row r="5349" customFormat="false" ht="15" hidden="false" customHeight="false" outlineLevel="0" collapsed="false">
      <c r="A5349" s="0" t="s">
        <v>5673</v>
      </c>
      <c r="B5349" s="0" t="s">
        <v>99</v>
      </c>
      <c r="C5349" s="0" t="str">
        <f aca="false">INDEX(Intent_Analysis!$B$5:$B$81,MATCH(B5349,Intent_Analysis!$A$5:$A$81,0))</f>
        <v>Fraud &amp; security</v>
      </c>
      <c r="D5349" s="0" t="n">
        <f aca="false">INDEX(Intent_Analysis!$E$5:$E$81,MATCH(B5349,Intent_Analysis!$A$5:$A$81,0))</f>
        <v>3</v>
      </c>
    </row>
    <row r="5350" customFormat="false" ht="15" hidden="false" customHeight="false" outlineLevel="0" collapsed="false">
      <c r="A5350" s="0" t="s">
        <v>5674</v>
      </c>
      <c r="B5350" s="0" t="s">
        <v>99</v>
      </c>
      <c r="C5350" s="0" t="str">
        <f aca="false">INDEX(Intent_Analysis!$B$5:$B$81,MATCH(B5350,Intent_Analysis!$A$5:$A$81,0))</f>
        <v>Fraud &amp; security</v>
      </c>
      <c r="D5350" s="0" t="n">
        <f aca="false">INDEX(Intent_Analysis!$E$5:$E$81,MATCH(B5350,Intent_Analysis!$A$5:$A$81,0))</f>
        <v>3</v>
      </c>
    </row>
    <row r="5351" customFormat="false" ht="15" hidden="false" customHeight="false" outlineLevel="0" collapsed="false">
      <c r="A5351" s="0" t="s">
        <v>5675</v>
      </c>
      <c r="B5351" s="0" t="s">
        <v>99</v>
      </c>
      <c r="C5351" s="0" t="str">
        <f aca="false">INDEX(Intent_Analysis!$B$5:$B$81,MATCH(B5351,Intent_Analysis!$A$5:$A$81,0))</f>
        <v>Fraud &amp; security</v>
      </c>
      <c r="D5351" s="0" t="n">
        <f aca="false">INDEX(Intent_Analysis!$E$5:$E$81,MATCH(B5351,Intent_Analysis!$A$5:$A$81,0))</f>
        <v>3</v>
      </c>
    </row>
    <row r="5352" customFormat="false" ht="15" hidden="false" customHeight="false" outlineLevel="0" collapsed="false">
      <c r="A5352" s="0" t="s">
        <v>5676</v>
      </c>
      <c r="B5352" s="0" t="s">
        <v>99</v>
      </c>
      <c r="C5352" s="0" t="str">
        <f aca="false">INDEX(Intent_Analysis!$B$5:$B$81,MATCH(B5352,Intent_Analysis!$A$5:$A$81,0))</f>
        <v>Fraud &amp; security</v>
      </c>
      <c r="D5352" s="0" t="n">
        <f aca="false">INDEX(Intent_Analysis!$E$5:$E$81,MATCH(B5352,Intent_Analysis!$A$5:$A$81,0))</f>
        <v>3</v>
      </c>
    </row>
    <row r="5353" customFormat="false" ht="15" hidden="false" customHeight="false" outlineLevel="0" collapsed="false">
      <c r="A5353" s="0" t="s">
        <v>5677</v>
      </c>
      <c r="B5353" s="0" t="s">
        <v>99</v>
      </c>
      <c r="C5353" s="0" t="str">
        <f aca="false">INDEX(Intent_Analysis!$B$5:$B$81,MATCH(B5353,Intent_Analysis!$A$5:$A$81,0))</f>
        <v>Fraud &amp; security</v>
      </c>
      <c r="D5353" s="0" t="n">
        <f aca="false">INDEX(Intent_Analysis!$E$5:$E$81,MATCH(B5353,Intent_Analysis!$A$5:$A$81,0))</f>
        <v>3</v>
      </c>
    </row>
    <row r="5354" customFormat="false" ht="15" hidden="false" customHeight="false" outlineLevel="0" collapsed="false">
      <c r="A5354" s="0" t="s">
        <v>5678</v>
      </c>
      <c r="B5354" s="0" t="s">
        <v>99</v>
      </c>
      <c r="C5354" s="0" t="str">
        <f aca="false">INDEX(Intent_Analysis!$B$5:$B$81,MATCH(B5354,Intent_Analysis!$A$5:$A$81,0))</f>
        <v>Fraud &amp; security</v>
      </c>
      <c r="D5354" s="0" t="n">
        <f aca="false">INDEX(Intent_Analysis!$E$5:$E$81,MATCH(B5354,Intent_Analysis!$A$5:$A$81,0))</f>
        <v>3</v>
      </c>
    </row>
    <row r="5355" customFormat="false" ht="15" hidden="false" customHeight="false" outlineLevel="0" collapsed="false">
      <c r="A5355" s="0" t="s">
        <v>5679</v>
      </c>
      <c r="B5355" s="0" t="s">
        <v>99</v>
      </c>
      <c r="C5355" s="0" t="str">
        <f aca="false">INDEX(Intent_Analysis!$B$5:$B$81,MATCH(B5355,Intent_Analysis!$A$5:$A$81,0))</f>
        <v>Fraud &amp; security</v>
      </c>
      <c r="D5355" s="0" t="n">
        <f aca="false">INDEX(Intent_Analysis!$E$5:$E$81,MATCH(B5355,Intent_Analysis!$A$5:$A$81,0))</f>
        <v>3</v>
      </c>
    </row>
    <row r="5356" customFormat="false" ht="15" hidden="false" customHeight="false" outlineLevel="0" collapsed="false">
      <c r="A5356" s="0" t="s">
        <v>5680</v>
      </c>
      <c r="B5356" s="0" t="s">
        <v>99</v>
      </c>
      <c r="C5356" s="0" t="str">
        <f aca="false">INDEX(Intent_Analysis!$B$5:$B$81,MATCH(B5356,Intent_Analysis!$A$5:$A$81,0))</f>
        <v>Fraud &amp; security</v>
      </c>
      <c r="D5356" s="0" t="n">
        <f aca="false">INDEX(Intent_Analysis!$E$5:$E$81,MATCH(B5356,Intent_Analysis!$A$5:$A$81,0))</f>
        <v>3</v>
      </c>
    </row>
    <row r="5357" customFormat="false" ht="15" hidden="false" customHeight="false" outlineLevel="0" collapsed="false">
      <c r="A5357" s="0" t="s">
        <v>5681</v>
      </c>
      <c r="B5357" s="0" t="s">
        <v>99</v>
      </c>
      <c r="C5357" s="0" t="str">
        <f aca="false">INDEX(Intent_Analysis!$B$5:$B$81,MATCH(B5357,Intent_Analysis!$A$5:$A$81,0))</f>
        <v>Fraud &amp; security</v>
      </c>
      <c r="D5357" s="0" t="n">
        <f aca="false">INDEX(Intent_Analysis!$E$5:$E$81,MATCH(B5357,Intent_Analysis!$A$5:$A$81,0))</f>
        <v>3</v>
      </c>
    </row>
    <row r="5358" customFormat="false" ht="15" hidden="false" customHeight="false" outlineLevel="0" collapsed="false">
      <c r="A5358" s="0" t="s">
        <v>5682</v>
      </c>
      <c r="B5358" s="0" t="s">
        <v>99</v>
      </c>
      <c r="C5358" s="0" t="str">
        <f aca="false">INDEX(Intent_Analysis!$B$5:$B$81,MATCH(B5358,Intent_Analysis!$A$5:$A$81,0))</f>
        <v>Fraud &amp; security</v>
      </c>
      <c r="D5358" s="0" t="n">
        <f aca="false">INDEX(Intent_Analysis!$E$5:$E$81,MATCH(B5358,Intent_Analysis!$A$5:$A$81,0))</f>
        <v>3</v>
      </c>
    </row>
    <row r="5359" customFormat="false" ht="15" hidden="false" customHeight="false" outlineLevel="0" collapsed="false">
      <c r="A5359" s="0" t="s">
        <v>5683</v>
      </c>
      <c r="B5359" s="0" t="s">
        <v>99</v>
      </c>
      <c r="C5359" s="0" t="str">
        <f aca="false">INDEX(Intent_Analysis!$B$5:$B$81,MATCH(B5359,Intent_Analysis!$A$5:$A$81,0))</f>
        <v>Fraud &amp; security</v>
      </c>
      <c r="D5359" s="0" t="n">
        <f aca="false">INDEX(Intent_Analysis!$E$5:$E$81,MATCH(B5359,Intent_Analysis!$A$5:$A$81,0))</f>
        <v>3</v>
      </c>
    </row>
    <row r="5360" customFormat="false" ht="15" hidden="false" customHeight="false" outlineLevel="0" collapsed="false">
      <c r="A5360" s="0" t="s">
        <v>5684</v>
      </c>
      <c r="B5360" s="0" t="s">
        <v>99</v>
      </c>
      <c r="C5360" s="0" t="str">
        <f aca="false">INDEX(Intent_Analysis!$B$5:$B$81,MATCH(B5360,Intent_Analysis!$A$5:$A$81,0))</f>
        <v>Fraud &amp; security</v>
      </c>
      <c r="D5360" s="0" t="n">
        <f aca="false">INDEX(Intent_Analysis!$E$5:$E$81,MATCH(B5360,Intent_Analysis!$A$5:$A$81,0))</f>
        <v>3</v>
      </c>
    </row>
    <row r="5361" customFormat="false" ht="15" hidden="false" customHeight="false" outlineLevel="0" collapsed="false">
      <c r="A5361" s="0" t="s">
        <v>5685</v>
      </c>
      <c r="B5361" s="0" t="s">
        <v>99</v>
      </c>
      <c r="C5361" s="0" t="str">
        <f aca="false">INDEX(Intent_Analysis!$B$5:$B$81,MATCH(B5361,Intent_Analysis!$A$5:$A$81,0))</f>
        <v>Fraud &amp; security</v>
      </c>
      <c r="D5361" s="0" t="n">
        <f aca="false">INDEX(Intent_Analysis!$E$5:$E$81,MATCH(B5361,Intent_Analysis!$A$5:$A$81,0))</f>
        <v>3</v>
      </c>
    </row>
    <row r="5362" customFormat="false" ht="15" hidden="false" customHeight="false" outlineLevel="0" collapsed="false">
      <c r="A5362" s="0" t="s">
        <v>5686</v>
      </c>
      <c r="B5362" s="0" t="s">
        <v>99</v>
      </c>
      <c r="C5362" s="0" t="str">
        <f aca="false">INDEX(Intent_Analysis!$B$5:$B$81,MATCH(B5362,Intent_Analysis!$A$5:$A$81,0))</f>
        <v>Fraud &amp; security</v>
      </c>
      <c r="D5362" s="0" t="n">
        <f aca="false">INDEX(Intent_Analysis!$E$5:$E$81,MATCH(B5362,Intent_Analysis!$A$5:$A$81,0))</f>
        <v>3</v>
      </c>
    </row>
    <row r="5363" customFormat="false" ht="15" hidden="false" customHeight="false" outlineLevel="0" collapsed="false">
      <c r="A5363" s="0" t="s">
        <v>5687</v>
      </c>
      <c r="B5363" s="0" t="s">
        <v>99</v>
      </c>
      <c r="C5363" s="0" t="str">
        <f aca="false">INDEX(Intent_Analysis!$B$5:$B$81,MATCH(B5363,Intent_Analysis!$A$5:$A$81,0))</f>
        <v>Fraud &amp; security</v>
      </c>
      <c r="D5363" s="0" t="n">
        <f aca="false">INDEX(Intent_Analysis!$E$5:$E$81,MATCH(B5363,Intent_Analysis!$A$5:$A$81,0))</f>
        <v>3</v>
      </c>
    </row>
    <row r="5364" customFormat="false" ht="15" hidden="false" customHeight="false" outlineLevel="0" collapsed="false">
      <c r="A5364" s="0" t="s">
        <v>5688</v>
      </c>
      <c r="B5364" s="0" t="s">
        <v>99</v>
      </c>
      <c r="C5364" s="0" t="str">
        <f aca="false">INDEX(Intent_Analysis!$B$5:$B$81,MATCH(B5364,Intent_Analysis!$A$5:$A$81,0))</f>
        <v>Fraud &amp; security</v>
      </c>
      <c r="D5364" s="0" t="n">
        <f aca="false">INDEX(Intent_Analysis!$E$5:$E$81,MATCH(B5364,Intent_Analysis!$A$5:$A$81,0))</f>
        <v>3</v>
      </c>
    </row>
    <row r="5365" customFormat="false" ht="15" hidden="false" customHeight="false" outlineLevel="0" collapsed="false">
      <c r="A5365" s="0" t="s">
        <v>5689</v>
      </c>
      <c r="B5365" s="0" t="s">
        <v>99</v>
      </c>
      <c r="C5365" s="0" t="str">
        <f aca="false">INDEX(Intent_Analysis!$B$5:$B$81,MATCH(B5365,Intent_Analysis!$A$5:$A$81,0))</f>
        <v>Fraud &amp; security</v>
      </c>
      <c r="D5365" s="0" t="n">
        <f aca="false">INDEX(Intent_Analysis!$E$5:$E$81,MATCH(B5365,Intent_Analysis!$A$5:$A$81,0))</f>
        <v>3</v>
      </c>
    </row>
    <row r="5366" customFormat="false" ht="15" hidden="false" customHeight="false" outlineLevel="0" collapsed="false">
      <c r="A5366" s="0" t="s">
        <v>5690</v>
      </c>
      <c r="B5366" s="0" t="s">
        <v>99</v>
      </c>
      <c r="C5366" s="0" t="str">
        <f aca="false">INDEX(Intent_Analysis!$B$5:$B$81,MATCH(B5366,Intent_Analysis!$A$5:$A$81,0))</f>
        <v>Fraud &amp; security</v>
      </c>
      <c r="D5366" s="0" t="n">
        <f aca="false">INDEX(Intent_Analysis!$E$5:$E$81,MATCH(B5366,Intent_Analysis!$A$5:$A$81,0))</f>
        <v>3</v>
      </c>
    </row>
    <row r="5367" customFormat="false" ht="15" hidden="false" customHeight="false" outlineLevel="0" collapsed="false">
      <c r="A5367" s="0" t="s">
        <v>5691</v>
      </c>
      <c r="B5367" s="0" t="s">
        <v>99</v>
      </c>
      <c r="C5367" s="0" t="str">
        <f aca="false">INDEX(Intent_Analysis!$B$5:$B$81,MATCH(B5367,Intent_Analysis!$A$5:$A$81,0))</f>
        <v>Fraud &amp; security</v>
      </c>
      <c r="D5367" s="0" t="n">
        <f aca="false">INDEX(Intent_Analysis!$E$5:$E$81,MATCH(B5367,Intent_Analysis!$A$5:$A$81,0))</f>
        <v>3</v>
      </c>
    </row>
    <row r="5368" customFormat="false" ht="15" hidden="false" customHeight="false" outlineLevel="0" collapsed="false">
      <c r="A5368" s="0" t="s">
        <v>5692</v>
      </c>
      <c r="B5368" s="0" t="s">
        <v>99</v>
      </c>
      <c r="C5368" s="0" t="str">
        <f aca="false">INDEX(Intent_Analysis!$B$5:$B$81,MATCH(B5368,Intent_Analysis!$A$5:$A$81,0))</f>
        <v>Fraud &amp; security</v>
      </c>
      <c r="D5368" s="0" t="n">
        <f aca="false">INDEX(Intent_Analysis!$E$5:$E$81,MATCH(B5368,Intent_Analysis!$A$5:$A$81,0))</f>
        <v>3</v>
      </c>
    </row>
    <row r="5369" customFormat="false" ht="15" hidden="false" customHeight="false" outlineLevel="0" collapsed="false">
      <c r="A5369" s="0" t="s">
        <v>5693</v>
      </c>
      <c r="B5369" s="0" t="s">
        <v>99</v>
      </c>
      <c r="C5369" s="0" t="str">
        <f aca="false">INDEX(Intent_Analysis!$B$5:$B$81,MATCH(B5369,Intent_Analysis!$A$5:$A$81,0))</f>
        <v>Fraud &amp; security</v>
      </c>
      <c r="D5369" s="0" t="n">
        <f aca="false">INDEX(Intent_Analysis!$E$5:$E$81,MATCH(B5369,Intent_Analysis!$A$5:$A$81,0))</f>
        <v>3</v>
      </c>
    </row>
    <row r="5370" customFormat="false" ht="15" hidden="false" customHeight="false" outlineLevel="0" collapsed="false">
      <c r="A5370" s="0" t="s">
        <v>5694</v>
      </c>
      <c r="B5370" s="0" t="s">
        <v>99</v>
      </c>
      <c r="C5370" s="0" t="str">
        <f aca="false">INDEX(Intent_Analysis!$B$5:$B$81,MATCH(B5370,Intent_Analysis!$A$5:$A$81,0))</f>
        <v>Fraud &amp; security</v>
      </c>
      <c r="D5370" s="0" t="n">
        <f aca="false">INDEX(Intent_Analysis!$E$5:$E$81,MATCH(B5370,Intent_Analysis!$A$5:$A$81,0))</f>
        <v>3</v>
      </c>
    </row>
    <row r="5371" customFormat="false" ht="15" hidden="false" customHeight="false" outlineLevel="0" collapsed="false">
      <c r="A5371" s="0" t="s">
        <v>5695</v>
      </c>
      <c r="B5371" s="0" t="s">
        <v>99</v>
      </c>
      <c r="C5371" s="0" t="str">
        <f aca="false">INDEX(Intent_Analysis!$B$5:$B$81,MATCH(B5371,Intent_Analysis!$A$5:$A$81,0))</f>
        <v>Fraud &amp; security</v>
      </c>
      <c r="D5371" s="0" t="n">
        <f aca="false">INDEX(Intent_Analysis!$E$5:$E$81,MATCH(B5371,Intent_Analysis!$A$5:$A$81,0))</f>
        <v>3</v>
      </c>
    </row>
    <row r="5372" customFormat="false" ht="15" hidden="false" customHeight="false" outlineLevel="0" collapsed="false">
      <c r="A5372" s="0" t="s">
        <v>5696</v>
      </c>
      <c r="B5372" s="0" t="s">
        <v>99</v>
      </c>
      <c r="C5372" s="0" t="str">
        <f aca="false">INDEX(Intent_Analysis!$B$5:$B$81,MATCH(B5372,Intent_Analysis!$A$5:$A$81,0))</f>
        <v>Fraud &amp; security</v>
      </c>
      <c r="D5372" s="0" t="n">
        <f aca="false">INDEX(Intent_Analysis!$E$5:$E$81,MATCH(B5372,Intent_Analysis!$A$5:$A$81,0))</f>
        <v>3</v>
      </c>
    </row>
    <row r="5373" customFormat="false" ht="15" hidden="false" customHeight="false" outlineLevel="0" collapsed="false">
      <c r="A5373" s="0" t="s">
        <v>5697</v>
      </c>
      <c r="B5373" s="0" t="s">
        <v>99</v>
      </c>
      <c r="C5373" s="0" t="str">
        <f aca="false">INDEX(Intent_Analysis!$B$5:$B$81,MATCH(B5373,Intent_Analysis!$A$5:$A$81,0))</f>
        <v>Fraud &amp; security</v>
      </c>
      <c r="D5373" s="0" t="n">
        <f aca="false">INDEX(Intent_Analysis!$E$5:$E$81,MATCH(B5373,Intent_Analysis!$A$5:$A$81,0))</f>
        <v>3</v>
      </c>
    </row>
    <row r="5374" customFormat="false" ht="15" hidden="false" customHeight="false" outlineLevel="0" collapsed="false">
      <c r="A5374" s="0" t="s">
        <v>5698</v>
      </c>
      <c r="B5374" s="0" t="s">
        <v>55</v>
      </c>
      <c r="C5374" s="0" t="str">
        <f aca="false">INDEX(Intent_Analysis!$B$5:$B$81,MATCH(B5374,Intent_Analysis!$A$5:$A$81,0))</f>
        <v>Card payments &amp; refunds</v>
      </c>
      <c r="D5374" s="0" t="n">
        <f aca="false">INDEX(Intent_Analysis!$E$5:$E$81,MATCH(B5374,Intent_Analysis!$A$5:$A$81,0))</f>
        <v>3</v>
      </c>
    </row>
    <row r="5375" customFormat="false" ht="15" hidden="false" customHeight="false" outlineLevel="0" collapsed="false">
      <c r="A5375" s="0" t="s">
        <v>5699</v>
      </c>
      <c r="B5375" s="0" t="s">
        <v>55</v>
      </c>
      <c r="C5375" s="0" t="str">
        <f aca="false">INDEX(Intent_Analysis!$B$5:$B$81,MATCH(B5375,Intent_Analysis!$A$5:$A$81,0))</f>
        <v>Card payments &amp; refunds</v>
      </c>
      <c r="D5375" s="0" t="n">
        <f aca="false">INDEX(Intent_Analysis!$E$5:$E$81,MATCH(B5375,Intent_Analysis!$A$5:$A$81,0))</f>
        <v>3</v>
      </c>
    </row>
    <row r="5376" customFormat="false" ht="15" hidden="false" customHeight="false" outlineLevel="0" collapsed="false">
      <c r="A5376" s="0" t="s">
        <v>5700</v>
      </c>
      <c r="B5376" s="0" t="s">
        <v>55</v>
      </c>
      <c r="C5376" s="0" t="str">
        <f aca="false">INDEX(Intent_Analysis!$B$5:$B$81,MATCH(B5376,Intent_Analysis!$A$5:$A$81,0))</f>
        <v>Card payments &amp; refunds</v>
      </c>
      <c r="D5376" s="0" t="n">
        <f aca="false">INDEX(Intent_Analysis!$E$5:$E$81,MATCH(B5376,Intent_Analysis!$A$5:$A$81,0))</f>
        <v>3</v>
      </c>
    </row>
    <row r="5377" customFormat="false" ht="15" hidden="false" customHeight="false" outlineLevel="0" collapsed="false">
      <c r="A5377" s="0" t="s">
        <v>5701</v>
      </c>
      <c r="B5377" s="0" t="s">
        <v>55</v>
      </c>
      <c r="C5377" s="0" t="str">
        <f aca="false">INDEX(Intent_Analysis!$B$5:$B$81,MATCH(B5377,Intent_Analysis!$A$5:$A$81,0))</f>
        <v>Card payments &amp; refunds</v>
      </c>
      <c r="D5377" s="0" t="n">
        <f aca="false">INDEX(Intent_Analysis!$E$5:$E$81,MATCH(B5377,Intent_Analysis!$A$5:$A$81,0))</f>
        <v>3</v>
      </c>
    </row>
    <row r="5378" customFormat="false" ht="15" hidden="false" customHeight="false" outlineLevel="0" collapsed="false">
      <c r="A5378" s="0" t="s">
        <v>5702</v>
      </c>
      <c r="B5378" s="0" t="s">
        <v>55</v>
      </c>
      <c r="C5378" s="0" t="str">
        <f aca="false">INDEX(Intent_Analysis!$B$5:$B$81,MATCH(B5378,Intent_Analysis!$A$5:$A$81,0))</f>
        <v>Card payments &amp; refunds</v>
      </c>
      <c r="D5378" s="0" t="n">
        <f aca="false">INDEX(Intent_Analysis!$E$5:$E$81,MATCH(B5378,Intent_Analysis!$A$5:$A$81,0))</f>
        <v>3</v>
      </c>
    </row>
    <row r="5379" customFormat="false" ht="15" hidden="false" customHeight="false" outlineLevel="0" collapsed="false">
      <c r="A5379" s="0" t="s">
        <v>5703</v>
      </c>
      <c r="B5379" s="0" t="s">
        <v>55</v>
      </c>
      <c r="C5379" s="0" t="str">
        <f aca="false">INDEX(Intent_Analysis!$B$5:$B$81,MATCH(B5379,Intent_Analysis!$A$5:$A$81,0))</f>
        <v>Card payments &amp; refunds</v>
      </c>
      <c r="D5379" s="0" t="n">
        <f aca="false">INDEX(Intent_Analysis!$E$5:$E$81,MATCH(B5379,Intent_Analysis!$A$5:$A$81,0))</f>
        <v>3</v>
      </c>
    </row>
    <row r="5380" customFormat="false" ht="15" hidden="false" customHeight="false" outlineLevel="0" collapsed="false">
      <c r="A5380" s="0" t="s">
        <v>5704</v>
      </c>
      <c r="B5380" s="0" t="s">
        <v>55</v>
      </c>
      <c r="C5380" s="0" t="str">
        <f aca="false">INDEX(Intent_Analysis!$B$5:$B$81,MATCH(B5380,Intent_Analysis!$A$5:$A$81,0))</f>
        <v>Card payments &amp; refunds</v>
      </c>
      <c r="D5380" s="0" t="n">
        <f aca="false">INDEX(Intent_Analysis!$E$5:$E$81,MATCH(B5380,Intent_Analysis!$A$5:$A$81,0))</f>
        <v>3</v>
      </c>
    </row>
    <row r="5381" customFormat="false" ht="15" hidden="false" customHeight="false" outlineLevel="0" collapsed="false">
      <c r="A5381" s="0" t="s">
        <v>5705</v>
      </c>
      <c r="B5381" s="0" t="s">
        <v>55</v>
      </c>
      <c r="C5381" s="0" t="str">
        <f aca="false">INDEX(Intent_Analysis!$B$5:$B$81,MATCH(B5381,Intent_Analysis!$A$5:$A$81,0))</f>
        <v>Card payments &amp; refunds</v>
      </c>
      <c r="D5381" s="0" t="n">
        <f aca="false">INDEX(Intent_Analysis!$E$5:$E$81,MATCH(B5381,Intent_Analysis!$A$5:$A$81,0))</f>
        <v>3</v>
      </c>
    </row>
    <row r="5382" customFormat="false" ht="15" hidden="false" customHeight="false" outlineLevel="0" collapsed="false">
      <c r="A5382" s="0" t="s">
        <v>5706</v>
      </c>
      <c r="B5382" s="0" t="s">
        <v>55</v>
      </c>
      <c r="C5382" s="0" t="str">
        <f aca="false">INDEX(Intent_Analysis!$B$5:$B$81,MATCH(B5382,Intent_Analysis!$A$5:$A$81,0))</f>
        <v>Card payments &amp; refunds</v>
      </c>
      <c r="D5382" s="0" t="n">
        <f aca="false">INDEX(Intent_Analysis!$E$5:$E$81,MATCH(B5382,Intent_Analysis!$A$5:$A$81,0))</f>
        <v>3</v>
      </c>
    </row>
    <row r="5383" customFormat="false" ht="15" hidden="false" customHeight="false" outlineLevel="0" collapsed="false">
      <c r="A5383" s="0" t="s">
        <v>5707</v>
      </c>
      <c r="B5383" s="0" t="s">
        <v>55</v>
      </c>
      <c r="C5383" s="0" t="str">
        <f aca="false">INDEX(Intent_Analysis!$B$5:$B$81,MATCH(B5383,Intent_Analysis!$A$5:$A$81,0))</f>
        <v>Card payments &amp; refunds</v>
      </c>
      <c r="D5383" s="0" t="n">
        <f aca="false">INDEX(Intent_Analysis!$E$5:$E$81,MATCH(B5383,Intent_Analysis!$A$5:$A$81,0))</f>
        <v>3</v>
      </c>
    </row>
    <row r="5384" customFormat="false" ht="15" hidden="false" customHeight="false" outlineLevel="0" collapsed="false">
      <c r="A5384" s="0" t="s">
        <v>5708</v>
      </c>
      <c r="B5384" s="0" t="s">
        <v>55</v>
      </c>
      <c r="C5384" s="0" t="str">
        <f aca="false">INDEX(Intent_Analysis!$B$5:$B$81,MATCH(B5384,Intent_Analysis!$A$5:$A$81,0))</f>
        <v>Card payments &amp; refunds</v>
      </c>
      <c r="D5384" s="0" t="n">
        <f aca="false">INDEX(Intent_Analysis!$E$5:$E$81,MATCH(B5384,Intent_Analysis!$A$5:$A$81,0))</f>
        <v>3</v>
      </c>
    </row>
    <row r="5385" customFormat="false" ht="15" hidden="false" customHeight="false" outlineLevel="0" collapsed="false">
      <c r="A5385" s="0" t="s">
        <v>5709</v>
      </c>
      <c r="B5385" s="0" t="s">
        <v>55</v>
      </c>
      <c r="C5385" s="0" t="str">
        <f aca="false">INDEX(Intent_Analysis!$B$5:$B$81,MATCH(B5385,Intent_Analysis!$A$5:$A$81,0))</f>
        <v>Card payments &amp; refunds</v>
      </c>
      <c r="D5385" s="0" t="n">
        <f aca="false">INDEX(Intent_Analysis!$E$5:$E$81,MATCH(B5385,Intent_Analysis!$A$5:$A$81,0))</f>
        <v>3</v>
      </c>
    </row>
    <row r="5386" customFormat="false" ht="15" hidden="false" customHeight="false" outlineLevel="0" collapsed="false">
      <c r="A5386" s="0" t="s">
        <v>5710</v>
      </c>
      <c r="B5386" s="0" t="s">
        <v>55</v>
      </c>
      <c r="C5386" s="0" t="str">
        <f aca="false">INDEX(Intent_Analysis!$B$5:$B$81,MATCH(B5386,Intent_Analysis!$A$5:$A$81,0))</f>
        <v>Card payments &amp; refunds</v>
      </c>
      <c r="D5386" s="0" t="n">
        <f aca="false">INDEX(Intent_Analysis!$E$5:$E$81,MATCH(B5386,Intent_Analysis!$A$5:$A$81,0))</f>
        <v>3</v>
      </c>
    </row>
    <row r="5387" customFormat="false" ht="15" hidden="false" customHeight="false" outlineLevel="0" collapsed="false">
      <c r="A5387" s="0" t="s">
        <v>5711</v>
      </c>
      <c r="B5387" s="0" t="s">
        <v>55</v>
      </c>
      <c r="C5387" s="0" t="str">
        <f aca="false">INDEX(Intent_Analysis!$B$5:$B$81,MATCH(B5387,Intent_Analysis!$A$5:$A$81,0))</f>
        <v>Card payments &amp; refunds</v>
      </c>
      <c r="D5387" s="0" t="n">
        <f aca="false">INDEX(Intent_Analysis!$E$5:$E$81,MATCH(B5387,Intent_Analysis!$A$5:$A$81,0))</f>
        <v>3</v>
      </c>
    </row>
    <row r="5388" customFormat="false" ht="15" hidden="false" customHeight="false" outlineLevel="0" collapsed="false">
      <c r="A5388" s="0" t="s">
        <v>5712</v>
      </c>
      <c r="B5388" s="0" t="s">
        <v>55</v>
      </c>
      <c r="C5388" s="0" t="str">
        <f aca="false">INDEX(Intent_Analysis!$B$5:$B$81,MATCH(B5388,Intent_Analysis!$A$5:$A$81,0))</f>
        <v>Card payments &amp; refunds</v>
      </c>
      <c r="D5388" s="0" t="n">
        <f aca="false">INDEX(Intent_Analysis!$E$5:$E$81,MATCH(B5388,Intent_Analysis!$A$5:$A$81,0))</f>
        <v>3</v>
      </c>
    </row>
    <row r="5389" customFormat="false" ht="15" hidden="false" customHeight="false" outlineLevel="0" collapsed="false">
      <c r="A5389" s="0" t="s">
        <v>5713</v>
      </c>
      <c r="B5389" s="0" t="s">
        <v>55</v>
      </c>
      <c r="C5389" s="0" t="str">
        <f aca="false">INDEX(Intent_Analysis!$B$5:$B$81,MATCH(B5389,Intent_Analysis!$A$5:$A$81,0))</f>
        <v>Card payments &amp; refunds</v>
      </c>
      <c r="D5389" s="0" t="n">
        <f aca="false">INDEX(Intent_Analysis!$E$5:$E$81,MATCH(B5389,Intent_Analysis!$A$5:$A$81,0))</f>
        <v>3</v>
      </c>
    </row>
    <row r="5390" customFormat="false" ht="15" hidden="false" customHeight="false" outlineLevel="0" collapsed="false">
      <c r="A5390" s="0" t="s">
        <v>5714</v>
      </c>
      <c r="B5390" s="0" t="s">
        <v>55</v>
      </c>
      <c r="C5390" s="0" t="str">
        <f aca="false">INDEX(Intent_Analysis!$B$5:$B$81,MATCH(B5390,Intent_Analysis!$A$5:$A$81,0))</f>
        <v>Card payments &amp; refunds</v>
      </c>
      <c r="D5390" s="0" t="n">
        <f aca="false">INDEX(Intent_Analysis!$E$5:$E$81,MATCH(B5390,Intent_Analysis!$A$5:$A$81,0))</f>
        <v>3</v>
      </c>
    </row>
    <row r="5391" customFormat="false" ht="15" hidden="false" customHeight="false" outlineLevel="0" collapsed="false">
      <c r="A5391" s="0" t="s">
        <v>5715</v>
      </c>
      <c r="B5391" s="0" t="s">
        <v>55</v>
      </c>
      <c r="C5391" s="0" t="str">
        <f aca="false">INDEX(Intent_Analysis!$B$5:$B$81,MATCH(B5391,Intent_Analysis!$A$5:$A$81,0))</f>
        <v>Card payments &amp; refunds</v>
      </c>
      <c r="D5391" s="0" t="n">
        <f aca="false">INDEX(Intent_Analysis!$E$5:$E$81,MATCH(B5391,Intent_Analysis!$A$5:$A$81,0))</f>
        <v>3</v>
      </c>
    </row>
    <row r="5392" customFormat="false" ht="15" hidden="false" customHeight="false" outlineLevel="0" collapsed="false">
      <c r="A5392" s="0" t="s">
        <v>5716</v>
      </c>
      <c r="B5392" s="0" t="s">
        <v>55</v>
      </c>
      <c r="C5392" s="0" t="str">
        <f aca="false">INDEX(Intent_Analysis!$B$5:$B$81,MATCH(B5392,Intent_Analysis!$A$5:$A$81,0))</f>
        <v>Card payments &amp; refunds</v>
      </c>
      <c r="D5392" s="0" t="n">
        <f aca="false">INDEX(Intent_Analysis!$E$5:$E$81,MATCH(B5392,Intent_Analysis!$A$5:$A$81,0))</f>
        <v>3</v>
      </c>
    </row>
    <row r="5393" customFormat="false" ht="15" hidden="false" customHeight="false" outlineLevel="0" collapsed="false">
      <c r="A5393" s="0" t="s">
        <v>5717</v>
      </c>
      <c r="B5393" s="0" t="s">
        <v>55</v>
      </c>
      <c r="C5393" s="0" t="str">
        <f aca="false">INDEX(Intent_Analysis!$B$5:$B$81,MATCH(B5393,Intent_Analysis!$A$5:$A$81,0))</f>
        <v>Card payments &amp; refunds</v>
      </c>
      <c r="D5393" s="0" t="n">
        <f aca="false">INDEX(Intent_Analysis!$E$5:$E$81,MATCH(B5393,Intent_Analysis!$A$5:$A$81,0))</f>
        <v>3</v>
      </c>
    </row>
    <row r="5394" customFormat="false" ht="15" hidden="false" customHeight="false" outlineLevel="0" collapsed="false">
      <c r="A5394" s="0" t="s">
        <v>5718</v>
      </c>
      <c r="B5394" s="0" t="s">
        <v>55</v>
      </c>
      <c r="C5394" s="0" t="str">
        <f aca="false">INDEX(Intent_Analysis!$B$5:$B$81,MATCH(B5394,Intent_Analysis!$A$5:$A$81,0))</f>
        <v>Card payments &amp; refunds</v>
      </c>
      <c r="D5394" s="0" t="n">
        <f aca="false">INDEX(Intent_Analysis!$E$5:$E$81,MATCH(B5394,Intent_Analysis!$A$5:$A$81,0))</f>
        <v>3</v>
      </c>
    </row>
    <row r="5395" customFormat="false" ht="15" hidden="false" customHeight="false" outlineLevel="0" collapsed="false">
      <c r="A5395" s="0" t="s">
        <v>5719</v>
      </c>
      <c r="B5395" s="0" t="s">
        <v>55</v>
      </c>
      <c r="C5395" s="0" t="str">
        <f aca="false">INDEX(Intent_Analysis!$B$5:$B$81,MATCH(B5395,Intent_Analysis!$A$5:$A$81,0))</f>
        <v>Card payments &amp; refunds</v>
      </c>
      <c r="D5395" s="0" t="n">
        <f aca="false">INDEX(Intent_Analysis!$E$5:$E$81,MATCH(B5395,Intent_Analysis!$A$5:$A$81,0))</f>
        <v>3</v>
      </c>
    </row>
    <row r="5396" customFormat="false" ht="15" hidden="false" customHeight="false" outlineLevel="0" collapsed="false">
      <c r="A5396" s="0" t="s">
        <v>5720</v>
      </c>
      <c r="B5396" s="0" t="s">
        <v>55</v>
      </c>
      <c r="C5396" s="0" t="str">
        <f aca="false">INDEX(Intent_Analysis!$B$5:$B$81,MATCH(B5396,Intent_Analysis!$A$5:$A$81,0))</f>
        <v>Card payments &amp; refunds</v>
      </c>
      <c r="D5396" s="0" t="n">
        <f aca="false">INDEX(Intent_Analysis!$E$5:$E$81,MATCH(B5396,Intent_Analysis!$A$5:$A$81,0))</f>
        <v>3</v>
      </c>
    </row>
    <row r="5397" customFormat="false" ht="15" hidden="false" customHeight="false" outlineLevel="0" collapsed="false">
      <c r="A5397" s="0" t="s">
        <v>5721</v>
      </c>
      <c r="B5397" s="0" t="s">
        <v>55</v>
      </c>
      <c r="C5397" s="0" t="str">
        <f aca="false">INDEX(Intent_Analysis!$B$5:$B$81,MATCH(B5397,Intent_Analysis!$A$5:$A$81,0))</f>
        <v>Card payments &amp; refunds</v>
      </c>
      <c r="D5397" s="0" t="n">
        <f aca="false">INDEX(Intent_Analysis!$E$5:$E$81,MATCH(B5397,Intent_Analysis!$A$5:$A$81,0))</f>
        <v>3</v>
      </c>
    </row>
    <row r="5398" customFormat="false" ht="15" hidden="false" customHeight="false" outlineLevel="0" collapsed="false">
      <c r="A5398" s="0" t="s">
        <v>5722</v>
      </c>
      <c r="B5398" s="0" t="s">
        <v>55</v>
      </c>
      <c r="C5398" s="0" t="str">
        <f aca="false">INDEX(Intent_Analysis!$B$5:$B$81,MATCH(B5398,Intent_Analysis!$A$5:$A$81,0))</f>
        <v>Card payments &amp; refunds</v>
      </c>
      <c r="D5398" s="0" t="n">
        <f aca="false">INDEX(Intent_Analysis!$E$5:$E$81,MATCH(B5398,Intent_Analysis!$A$5:$A$81,0))</f>
        <v>3</v>
      </c>
    </row>
    <row r="5399" customFormat="false" ht="15" hidden="false" customHeight="false" outlineLevel="0" collapsed="false">
      <c r="A5399" s="0" t="s">
        <v>5723</v>
      </c>
      <c r="B5399" s="0" t="s">
        <v>55</v>
      </c>
      <c r="C5399" s="0" t="str">
        <f aca="false">INDEX(Intent_Analysis!$B$5:$B$81,MATCH(B5399,Intent_Analysis!$A$5:$A$81,0))</f>
        <v>Card payments &amp; refunds</v>
      </c>
      <c r="D5399" s="0" t="n">
        <f aca="false">INDEX(Intent_Analysis!$E$5:$E$81,MATCH(B5399,Intent_Analysis!$A$5:$A$81,0))</f>
        <v>3</v>
      </c>
    </row>
    <row r="5400" customFormat="false" ht="15" hidden="false" customHeight="false" outlineLevel="0" collapsed="false">
      <c r="A5400" s="0" t="s">
        <v>5724</v>
      </c>
      <c r="B5400" s="0" t="s">
        <v>55</v>
      </c>
      <c r="C5400" s="0" t="str">
        <f aca="false">INDEX(Intent_Analysis!$B$5:$B$81,MATCH(B5400,Intent_Analysis!$A$5:$A$81,0))</f>
        <v>Card payments &amp; refunds</v>
      </c>
      <c r="D5400" s="0" t="n">
        <f aca="false">INDEX(Intent_Analysis!$E$5:$E$81,MATCH(B5400,Intent_Analysis!$A$5:$A$81,0))</f>
        <v>3</v>
      </c>
    </row>
    <row r="5401" customFormat="false" ht="15" hidden="false" customHeight="false" outlineLevel="0" collapsed="false">
      <c r="A5401" s="0" t="s">
        <v>5725</v>
      </c>
      <c r="B5401" s="0" t="s">
        <v>55</v>
      </c>
      <c r="C5401" s="0" t="str">
        <f aca="false">INDEX(Intent_Analysis!$B$5:$B$81,MATCH(B5401,Intent_Analysis!$A$5:$A$81,0))</f>
        <v>Card payments &amp; refunds</v>
      </c>
      <c r="D5401" s="0" t="n">
        <f aca="false">INDEX(Intent_Analysis!$E$5:$E$81,MATCH(B5401,Intent_Analysis!$A$5:$A$81,0))</f>
        <v>3</v>
      </c>
    </row>
    <row r="5402" customFormat="false" ht="15" hidden="false" customHeight="false" outlineLevel="0" collapsed="false">
      <c r="A5402" s="0" t="s">
        <v>5726</v>
      </c>
      <c r="B5402" s="0" t="s">
        <v>55</v>
      </c>
      <c r="C5402" s="0" t="str">
        <f aca="false">INDEX(Intent_Analysis!$B$5:$B$81,MATCH(B5402,Intent_Analysis!$A$5:$A$81,0))</f>
        <v>Card payments &amp; refunds</v>
      </c>
      <c r="D5402" s="0" t="n">
        <f aca="false">INDEX(Intent_Analysis!$E$5:$E$81,MATCH(B5402,Intent_Analysis!$A$5:$A$81,0))</f>
        <v>3</v>
      </c>
    </row>
    <row r="5403" customFormat="false" ht="15" hidden="false" customHeight="false" outlineLevel="0" collapsed="false">
      <c r="A5403" s="0" t="s">
        <v>5727</v>
      </c>
      <c r="B5403" s="0" t="s">
        <v>55</v>
      </c>
      <c r="C5403" s="0" t="str">
        <f aca="false">INDEX(Intent_Analysis!$B$5:$B$81,MATCH(B5403,Intent_Analysis!$A$5:$A$81,0))</f>
        <v>Card payments &amp; refunds</v>
      </c>
      <c r="D5403" s="0" t="n">
        <f aca="false">INDEX(Intent_Analysis!$E$5:$E$81,MATCH(B5403,Intent_Analysis!$A$5:$A$81,0))</f>
        <v>3</v>
      </c>
    </row>
    <row r="5404" customFormat="false" ht="15" hidden="false" customHeight="false" outlineLevel="0" collapsed="false">
      <c r="A5404" s="0" t="s">
        <v>5728</v>
      </c>
      <c r="B5404" s="0" t="s">
        <v>55</v>
      </c>
      <c r="C5404" s="0" t="str">
        <f aca="false">INDEX(Intent_Analysis!$B$5:$B$81,MATCH(B5404,Intent_Analysis!$A$5:$A$81,0))</f>
        <v>Card payments &amp; refunds</v>
      </c>
      <c r="D5404" s="0" t="n">
        <f aca="false">INDEX(Intent_Analysis!$E$5:$E$81,MATCH(B5404,Intent_Analysis!$A$5:$A$81,0))</f>
        <v>3</v>
      </c>
    </row>
    <row r="5405" customFormat="false" ht="15" hidden="false" customHeight="false" outlineLevel="0" collapsed="false">
      <c r="A5405" s="0" t="s">
        <v>5729</v>
      </c>
      <c r="B5405" s="0" t="s">
        <v>55</v>
      </c>
      <c r="C5405" s="0" t="str">
        <f aca="false">INDEX(Intent_Analysis!$B$5:$B$81,MATCH(B5405,Intent_Analysis!$A$5:$A$81,0))</f>
        <v>Card payments &amp; refunds</v>
      </c>
      <c r="D5405" s="0" t="n">
        <f aca="false">INDEX(Intent_Analysis!$E$5:$E$81,MATCH(B5405,Intent_Analysis!$A$5:$A$81,0))</f>
        <v>3</v>
      </c>
    </row>
    <row r="5406" customFormat="false" ht="15" hidden="false" customHeight="false" outlineLevel="0" collapsed="false">
      <c r="A5406" s="0" t="s">
        <v>5730</v>
      </c>
      <c r="B5406" s="0" t="s">
        <v>55</v>
      </c>
      <c r="C5406" s="0" t="str">
        <f aca="false">INDEX(Intent_Analysis!$B$5:$B$81,MATCH(B5406,Intent_Analysis!$A$5:$A$81,0))</f>
        <v>Card payments &amp; refunds</v>
      </c>
      <c r="D5406" s="0" t="n">
        <f aca="false">INDEX(Intent_Analysis!$E$5:$E$81,MATCH(B5406,Intent_Analysis!$A$5:$A$81,0))</f>
        <v>3</v>
      </c>
    </row>
    <row r="5407" customFormat="false" ht="15" hidden="false" customHeight="false" outlineLevel="0" collapsed="false">
      <c r="A5407" s="0" t="s">
        <v>5731</v>
      </c>
      <c r="B5407" s="0" t="s">
        <v>55</v>
      </c>
      <c r="C5407" s="0" t="str">
        <f aca="false">INDEX(Intent_Analysis!$B$5:$B$81,MATCH(B5407,Intent_Analysis!$A$5:$A$81,0))</f>
        <v>Card payments &amp; refunds</v>
      </c>
      <c r="D5407" s="0" t="n">
        <f aca="false">INDEX(Intent_Analysis!$E$5:$E$81,MATCH(B5407,Intent_Analysis!$A$5:$A$81,0))</f>
        <v>3</v>
      </c>
    </row>
    <row r="5408" customFormat="false" ht="15" hidden="false" customHeight="false" outlineLevel="0" collapsed="false">
      <c r="A5408" s="0" t="s">
        <v>5732</v>
      </c>
      <c r="B5408" s="0" t="s">
        <v>55</v>
      </c>
      <c r="C5408" s="0" t="str">
        <f aca="false">INDEX(Intent_Analysis!$B$5:$B$81,MATCH(B5408,Intent_Analysis!$A$5:$A$81,0))</f>
        <v>Card payments &amp; refunds</v>
      </c>
      <c r="D5408" s="0" t="n">
        <f aca="false">INDEX(Intent_Analysis!$E$5:$E$81,MATCH(B5408,Intent_Analysis!$A$5:$A$81,0))</f>
        <v>3</v>
      </c>
    </row>
    <row r="5409" customFormat="false" ht="15" hidden="false" customHeight="false" outlineLevel="0" collapsed="false">
      <c r="A5409" s="0" t="s">
        <v>5733</v>
      </c>
      <c r="B5409" s="0" t="s">
        <v>55</v>
      </c>
      <c r="C5409" s="0" t="str">
        <f aca="false">INDEX(Intent_Analysis!$B$5:$B$81,MATCH(B5409,Intent_Analysis!$A$5:$A$81,0))</f>
        <v>Card payments &amp; refunds</v>
      </c>
      <c r="D5409" s="0" t="n">
        <f aca="false">INDEX(Intent_Analysis!$E$5:$E$81,MATCH(B5409,Intent_Analysis!$A$5:$A$81,0))</f>
        <v>3</v>
      </c>
    </row>
    <row r="5410" customFormat="false" ht="15" hidden="false" customHeight="false" outlineLevel="0" collapsed="false">
      <c r="A5410" s="0" t="s">
        <v>5734</v>
      </c>
      <c r="B5410" s="0" t="s">
        <v>55</v>
      </c>
      <c r="C5410" s="0" t="str">
        <f aca="false">INDEX(Intent_Analysis!$B$5:$B$81,MATCH(B5410,Intent_Analysis!$A$5:$A$81,0))</f>
        <v>Card payments &amp; refunds</v>
      </c>
      <c r="D5410" s="0" t="n">
        <f aca="false">INDEX(Intent_Analysis!$E$5:$E$81,MATCH(B5410,Intent_Analysis!$A$5:$A$81,0))</f>
        <v>3</v>
      </c>
    </row>
    <row r="5411" customFormat="false" ht="15" hidden="false" customHeight="false" outlineLevel="0" collapsed="false">
      <c r="A5411" s="0" t="s">
        <v>5735</v>
      </c>
      <c r="B5411" s="0" t="s">
        <v>55</v>
      </c>
      <c r="C5411" s="0" t="str">
        <f aca="false">INDEX(Intent_Analysis!$B$5:$B$81,MATCH(B5411,Intent_Analysis!$A$5:$A$81,0))</f>
        <v>Card payments &amp; refunds</v>
      </c>
      <c r="D5411" s="0" t="n">
        <f aca="false">INDEX(Intent_Analysis!$E$5:$E$81,MATCH(B5411,Intent_Analysis!$A$5:$A$81,0))</f>
        <v>3</v>
      </c>
    </row>
    <row r="5412" customFormat="false" ht="15" hidden="false" customHeight="false" outlineLevel="0" collapsed="false">
      <c r="A5412" s="0" t="s">
        <v>5736</v>
      </c>
      <c r="B5412" s="0" t="s">
        <v>55</v>
      </c>
      <c r="C5412" s="0" t="str">
        <f aca="false">INDEX(Intent_Analysis!$B$5:$B$81,MATCH(B5412,Intent_Analysis!$A$5:$A$81,0))</f>
        <v>Card payments &amp; refunds</v>
      </c>
      <c r="D5412" s="0" t="n">
        <f aca="false">INDEX(Intent_Analysis!$E$5:$E$81,MATCH(B5412,Intent_Analysis!$A$5:$A$81,0))</f>
        <v>3</v>
      </c>
    </row>
    <row r="5413" customFormat="false" ht="15" hidden="false" customHeight="false" outlineLevel="0" collapsed="false">
      <c r="A5413" s="0" t="s">
        <v>5737</v>
      </c>
      <c r="B5413" s="0" t="s">
        <v>55</v>
      </c>
      <c r="C5413" s="0" t="str">
        <f aca="false">INDEX(Intent_Analysis!$B$5:$B$81,MATCH(B5413,Intent_Analysis!$A$5:$A$81,0))</f>
        <v>Card payments &amp; refunds</v>
      </c>
      <c r="D5413" s="0" t="n">
        <f aca="false">INDEX(Intent_Analysis!$E$5:$E$81,MATCH(B5413,Intent_Analysis!$A$5:$A$81,0))</f>
        <v>3</v>
      </c>
    </row>
    <row r="5414" customFormat="false" ht="15" hidden="false" customHeight="false" outlineLevel="0" collapsed="false">
      <c r="A5414" s="0" t="s">
        <v>5738</v>
      </c>
      <c r="B5414" s="0" t="s">
        <v>55</v>
      </c>
      <c r="C5414" s="0" t="str">
        <f aca="false">INDEX(Intent_Analysis!$B$5:$B$81,MATCH(B5414,Intent_Analysis!$A$5:$A$81,0))</f>
        <v>Card payments &amp; refunds</v>
      </c>
      <c r="D5414" s="0" t="n">
        <f aca="false">INDEX(Intent_Analysis!$E$5:$E$81,MATCH(B5414,Intent_Analysis!$A$5:$A$81,0))</f>
        <v>3</v>
      </c>
    </row>
    <row r="5415" customFormat="false" ht="15" hidden="false" customHeight="false" outlineLevel="0" collapsed="false">
      <c r="A5415" s="0" t="s">
        <v>5739</v>
      </c>
      <c r="B5415" s="0" t="s">
        <v>55</v>
      </c>
      <c r="C5415" s="0" t="str">
        <f aca="false">INDEX(Intent_Analysis!$B$5:$B$81,MATCH(B5415,Intent_Analysis!$A$5:$A$81,0))</f>
        <v>Card payments &amp; refunds</v>
      </c>
      <c r="D5415" s="0" t="n">
        <f aca="false">INDEX(Intent_Analysis!$E$5:$E$81,MATCH(B5415,Intent_Analysis!$A$5:$A$81,0))</f>
        <v>3</v>
      </c>
    </row>
    <row r="5416" customFormat="false" ht="15" hidden="false" customHeight="false" outlineLevel="0" collapsed="false">
      <c r="A5416" s="0" t="s">
        <v>5740</v>
      </c>
      <c r="B5416" s="0" t="s">
        <v>55</v>
      </c>
      <c r="C5416" s="0" t="str">
        <f aca="false">INDEX(Intent_Analysis!$B$5:$B$81,MATCH(B5416,Intent_Analysis!$A$5:$A$81,0))</f>
        <v>Card payments &amp; refunds</v>
      </c>
      <c r="D5416" s="0" t="n">
        <f aca="false">INDEX(Intent_Analysis!$E$5:$E$81,MATCH(B5416,Intent_Analysis!$A$5:$A$81,0))</f>
        <v>3</v>
      </c>
    </row>
    <row r="5417" customFormat="false" ht="15" hidden="false" customHeight="false" outlineLevel="0" collapsed="false">
      <c r="A5417" s="0" t="s">
        <v>5741</v>
      </c>
      <c r="B5417" s="0" t="s">
        <v>55</v>
      </c>
      <c r="C5417" s="0" t="str">
        <f aca="false">INDEX(Intent_Analysis!$B$5:$B$81,MATCH(B5417,Intent_Analysis!$A$5:$A$81,0))</f>
        <v>Card payments &amp; refunds</v>
      </c>
      <c r="D5417" s="0" t="n">
        <f aca="false">INDEX(Intent_Analysis!$E$5:$E$81,MATCH(B5417,Intent_Analysis!$A$5:$A$81,0))</f>
        <v>3</v>
      </c>
    </row>
    <row r="5418" customFormat="false" ht="15" hidden="false" customHeight="false" outlineLevel="0" collapsed="false">
      <c r="A5418" s="0" t="s">
        <v>5742</v>
      </c>
      <c r="B5418" s="0" t="s">
        <v>55</v>
      </c>
      <c r="C5418" s="0" t="str">
        <f aca="false">INDEX(Intent_Analysis!$B$5:$B$81,MATCH(B5418,Intent_Analysis!$A$5:$A$81,0))</f>
        <v>Card payments &amp; refunds</v>
      </c>
      <c r="D5418" s="0" t="n">
        <f aca="false">INDEX(Intent_Analysis!$E$5:$E$81,MATCH(B5418,Intent_Analysis!$A$5:$A$81,0))</f>
        <v>3</v>
      </c>
    </row>
    <row r="5419" customFormat="false" ht="15" hidden="false" customHeight="false" outlineLevel="0" collapsed="false">
      <c r="A5419" s="0" t="s">
        <v>5743</v>
      </c>
      <c r="B5419" s="0" t="s">
        <v>55</v>
      </c>
      <c r="C5419" s="0" t="str">
        <f aca="false">INDEX(Intent_Analysis!$B$5:$B$81,MATCH(B5419,Intent_Analysis!$A$5:$A$81,0))</f>
        <v>Card payments &amp; refunds</v>
      </c>
      <c r="D5419" s="0" t="n">
        <f aca="false">INDEX(Intent_Analysis!$E$5:$E$81,MATCH(B5419,Intent_Analysis!$A$5:$A$81,0))</f>
        <v>3</v>
      </c>
    </row>
    <row r="5420" customFormat="false" ht="15" hidden="false" customHeight="false" outlineLevel="0" collapsed="false">
      <c r="A5420" s="0" t="s">
        <v>5744</v>
      </c>
      <c r="B5420" s="0" t="s">
        <v>55</v>
      </c>
      <c r="C5420" s="0" t="str">
        <f aca="false">INDEX(Intent_Analysis!$B$5:$B$81,MATCH(B5420,Intent_Analysis!$A$5:$A$81,0))</f>
        <v>Card payments &amp; refunds</v>
      </c>
      <c r="D5420" s="0" t="n">
        <f aca="false">INDEX(Intent_Analysis!$E$5:$E$81,MATCH(B5420,Intent_Analysis!$A$5:$A$81,0))</f>
        <v>3</v>
      </c>
    </row>
    <row r="5421" customFormat="false" ht="15" hidden="false" customHeight="false" outlineLevel="0" collapsed="false">
      <c r="A5421" s="0" t="s">
        <v>5745</v>
      </c>
      <c r="B5421" s="0" t="s">
        <v>55</v>
      </c>
      <c r="C5421" s="0" t="str">
        <f aca="false">INDEX(Intent_Analysis!$B$5:$B$81,MATCH(B5421,Intent_Analysis!$A$5:$A$81,0))</f>
        <v>Card payments &amp; refunds</v>
      </c>
      <c r="D5421" s="0" t="n">
        <f aca="false">INDEX(Intent_Analysis!$E$5:$E$81,MATCH(B5421,Intent_Analysis!$A$5:$A$81,0))</f>
        <v>3</v>
      </c>
    </row>
    <row r="5422" customFormat="false" ht="15" hidden="false" customHeight="false" outlineLevel="0" collapsed="false">
      <c r="A5422" s="0" t="s">
        <v>5746</v>
      </c>
      <c r="B5422" s="0" t="s">
        <v>55</v>
      </c>
      <c r="C5422" s="0" t="str">
        <f aca="false">INDEX(Intent_Analysis!$B$5:$B$81,MATCH(B5422,Intent_Analysis!$A$5:$A$81,0))</f>
        <v>Card payments &amp; refunds</v>
      </c>
      <c r="D5422" s="0" t="n">
        <f aca="false">INDEX(Intent_Analysis!$E$5:$E$81,MATCH(B5422,Intent_Analysis!$A$5:$A$81,0))</f>
        <v>3</v>
      </c>
    </row>
    <row r="5423" customFormat="false" ht="15" hidden="false" customHeight="false" outlineLevel="0" collapsed="false">
      <c r="A5423" s="0" t="s">
        <v>5747</v>
      </c>
      <c r="B5423" s="0" t="s">
        <v>55</v>
      </c>
      <c r="C5423" s="0" t="str">
        <f aca="false">INDEX(Intent_Analysis!$B$5:$B$81,MATCH(B5423,Intent_Analysis!$A$5:$A$81,0))</f>
        <v>Card payments &amp; refunds</v>
      </c>
      <c r="D5423" s="0" t="n">
        <f aca="false">INDEX(Intent_Analysis!$E$5:$E$81,MATCH(B5423,Intent_Analysis!$A$5:$A$81,0))</f>
        <v>3</v>
      </c>
    </row>
    <row r="5424" customFormat="false" ht="15" hidden="false" customHeight="false" outlineLevel="0" collapsed="false">
      <c r="A5424" s="0" t="s">
        <v>5748</v>
      </c>
      <c r="B5424" s="0" t="s">
        <v>55</v>
      </c>
      <c r="C5424" s="0" t="str">
        <f aca="false">INDEX(Intent_Analysis!$B$5:$B$81,MATCH(B5424,Intent_Analysis!$A$5:$A$81,0))</f>
        <v>Card payments &amp; refunds</v>
      </c>
      <c r="D5424" s="0" t="n">
        <f aca="false">INDEX(Intent_Analysis!$E$5:$E$81,MATCH(B5424,Intent_Analysis!$A$5:$A$81,0))</f>
        <v>3</v>
      </c>
    </row>
    <row r="5425" customFormat="false" ht="15" hidden="false" customHeight="false" outlineLevel="0" collapsed="false">
      <c r="A5425" s="0" t="s">
        <v>5749</v>
      </c>
      <c r="B5425" s="0" t="s">
        <v>55</v>
      </c>
      <c r="C5425" s="0" t="str">
        <f aca="false">INDEX(Intent_Analysis!$B$5:$B$81,MATCH(B5425,Intent_Analysis!$A$5:$A$81,0))</f>
        <v>Card payments &amp; refunds</v>
      </c>
      <c r="D5425" s="0" t="n">
        <f aca="false">INDEX(Intent_Analysis!$E$5:$E$81,MATCH(B5425,Intent_Analysis!$A$5:$A$81,0))</f>
        <v>3</v>
      </c>
    </row>
    <row r="5426" customFormat="false" ht="15" hidden="false" customHeight="false" outlineLevel="0" collapsed="false">
      <c r="A5426" s="0" t="s">
        <v>5750</v>
      </c>
      <c r="B5426" s="0" t="s">
        <v>55</v>
      </c>
      <c r="C5426" s="0" t="str">
        <f aca="false">INDEX(Intent_Analysis!$B$5:$B$81,MATCH(B5426,Intent_Analysis!$A$5:$A$81,0))</f>
        <v>Card payments &amp; refunds</v>
      </c>
      <c r="D5426" s="0" t="n">
        <f aca="false">INDEX(Intent_Analysis!$E$5:$E$81,MATCH(B5426,Intent_Analysis!$A$5:$A$81,0))</f>
        <v>3</v>
      </c>
    </row>
    <row r="5427" customFormat="false" ht="15" hidden="false" customHeight="false" outlineLevel="0" collapsed="false">
      <c r="A5427" s="0" t="s">
        <v>5751</v>
      </c>
      <c r="B5427" s="0" t="s">
        <v>55</v>
      </c>
      <c r="C5427" s="0" t="str">
        <f aca="false">INDEX(Intent_Analysis!$B$5:$B$81,MATCH(B5427,Intent_Analysis!$A$5:$A$81,0))</f>
        <v>Card payments &amp; refunds</v>
      </c>
      <c r="D5427" s="0" t="n">
        <f aca="false">INDEX(Intent_Analysis!$E$5:$E$81,MATCH(B5427,Intent_Analysis!$A$5:$A$81,0))</f>
        <v>3</v>
      </c>
    </row>
    <row r="5428" customFormat="false" ht="15" hidden="false" customHeight="false" outlineLevel="0" collapsed="false">
      <c r="A5428" s="0" t="s">
        <v>5752</v>
      </c>
      <c r="B5428" s="0" t="s">
        <v>55</v>
      </c>
      <c r="C5428" s="0" t="str">
        <f aca="false">INDEX(Intent_Analysis!$B$5:$B$81,MATCH(B5428,Intent_Analysis!$A$5:$A$81,0))</f>
        <v>Card payments &amp; refunds</v>
      </c>
      <c r="D5428" s="0" t="n">
        <f aca="false">INDEX(Intent_Analysis!$E$5:$E$81,MATCH(B5428,Intent_Analysis!$A$5:$A$81,0))</f>
        <v>3</v>
      </c>
    </row>
    <row r="5429" customFormat="false" ht="15" hidden="false" customHeight="false" outlineLevel="0" collapsed="false">
      <c r="A5429" s="0" t="s">
        <v>5753</v>
      </c>
      <c r="B5429" s="0" t="s">
        <v>55</v>
      </c>
      <c r="C5429" s="0" t="str">
        <f aca="false">INDEX(Intent_Analysis!$B$5:$B$81,MATCH(B5429,Intent_Analysis!$A$5:$A$81,0))</f>
        <v>Card payments &amp; refunds</v>
      </c>
      <c r="D5429" s="0" t="n">
        <f aca="false">INDEX(Intent_Analysis!$E$5:$E$81,MATCH(B5429,Intent_Analysis!$A$5:$A$81,0))</f>
        <v>3</v>
      </c>
    </row>
    <row r="5430" customFormat="false" ht="15" hidden="false" customHeight="false" outlineLevel="0" collapsed="false">
      <c r="A5430" s="0" t="s">
        <v>5754</v>
      </c>
      <c r="B5430" s="0" t="s">
        <v>55</v>
      </c>
      <c r="C5430" s="0" t="str">
        <f aca="false">INDEX(Intent_Analysis!$B$5:$B$81,MATCH(B5430,Intent_Analysis!$A$5:$A$81,0))</f>
        <v>Card payments &amp; refunds</v>
      </c>
      <c r="D5430" s="0" t="n">
        <f aca="false">INDEX(Intent_Analysis!$E$5:$E$81,MATCH(B5430,Intent_Analysis!$A$5:$A$81,0))</f>
        <v>3</v>
      </c>
    </row>
    <row r="5431" customFormat="false" ht="15" hidden="false" customHeight="false" outlineLevel="0" collapsed="false">
      <c r="A5431" s="0" t="s">
        <v>5755</v>
      </c>
      <c r="B5431" s="0" t="s">
        <v>55</v>
      </c>
      <c r="C5431" s="0" t="str">
        <f aca="false">INDEX(Intent_Analysis!$B$5:$B$81,MATCH(B5431,Intent_Analysis!$A$5:$A$81,0))</f>
        <v>Card payments &amp; refunds</v>
      </c>
      <c r="D5431" s="0" t="n">
        <f aca="false">INDEX(Intent_Analysis!$E$5:$E$81,MATCH(B5431,Intent_Analysis!$A$5:$A$81,0))</f>
        <v>3</v>
      </c>
    </row>
    <row r="5432" customFormat="false" ht="15" hidden="false" customHeight="false" outlineLevel="0" collapsed="false">
      <c r="A5432" s="0" t="s">
        <v>5756</v>
      </c>
      <c r="B5432" s="0" t="s">
        <v>55</v>
      </c>
      <c r="C5432" s="0" t="str">
        <f aca="false">INDEX(Intent_Analysis!$B$5:$B$81,MATCH(B5432,Intent_Analysis!$A$5:$A$81,0))</f>
        <v>Card payments &amp; refunds</v>
      </c>
      <c r="D5432" s="0" t="n">
        <f aca="false">INDEX(Intent_Analysis!$E$5:$E$81,MATCH(B5432,Intent_Analysis!$A$5:$A$81,0))</f>
        <v>3</v>
      </c>
    </row>
    <row r="5433" customFormat="false" ht="15" hidden="false" customHeight="false" outlineLevel="0" collapsed="false">
      <c r="A5433" s="0" t="s">
        <v>5757</v>
      </c>
      <c r="B5433" s="0" t="s">
        <v>55</v>
      </c>
      <c r="C5433" s="0" t="str">
        <f aca="false">INDEX(Intent_Analysis!$B$5:$B$81,MATCH(B5433,Intent_Analysis!$A$5:$A$81,0))</f>
        <v>Card payments &amp; refunds</v>
      </c>
      <c r="D5433" s="0" t="n">
        <f aca="false">INDEX(Intent_Analysis!$E$5:$E$81,MATCH(B5433,Intent_Analysis!$A$5:$A$81,0))</f>
        <v>3</v>
      </c>
    </row>
    <row r="5434" customFormat="false" ht="15" hidden="false" customHeight="false" outlineLevel="0" collapsed="false">
      <c r="A5434" s="0" t="s">
        <v>5758</v>
      </c>
      <c r="B5434" s="0" t="s">
        <v>55</v>
      </c>
      <c r="C5434" s="0" t="str">
        <f aca="false">INDEX(Intent_Analysis!$B$5:$B$81,MATCH(B5434,Intent_Analysis!$A$5:$A$81,0))</f>
        <v>Card payments &amp; refunds</v>
      </c>
      <c r="D5434" s="0" t="n">
        <f aca="false">INDEX(Intent_Analysis!$E$5:$E$81,MATCH(B5434,Intent_Analysis!$A$5:$A$81,0))</f>
        <v>3</v>
      </c>
    </row>
    <row r="5435" customFormat="false" ht="15" hidden="false" customHeight="false" outlineLevel="0" collapsed="false">
      <c r="A5435" s="0" t="s">
        <v>5759</v>
      </c>
      <c r="B5435" s="0" t="s">
        <v>55</v>
      </c>
      <c r="C5435" s="0" t="str">
        <f aca="false">INDEX(Intent_Analysis!$B$5:$B$81,MATCH(B5435,Intent_Analysis!$A$5:$A$81,0))</f>
        <v>Card payments &amp; refunds</v>
      </c>
      <c r="D5435" s="0" t="n">
        <f aca="false">INDEX(Intent_Analysis!$E$5:$E$81,MATCH(B5435,Intent_Analysis!$A$5:$A$81,0))</f>
        <v>3</v>
      </c>
    </row>
    <row r="5436" customFormat="false" ht="15" hidden="false" customHeight="false" outlineLevel="0" collapsed="false">
      <c r="A5436" s="0" t="s">
        <v>5760</v>
      </c>
      <c r="B5436" s="0" t="s">
        <v>55</v>
      </c>
      <c r="C5436" s="0" t="str">
        <f aca="false">INDEX(Intent_Analysis!$B$5:$B$81,MATCH(B5436,Intent_Analysis!$A$5:$A$81,0))</f>
        <v>Card payments &amp; refunds</v>
      </c>
      <c r="D5436" s="0" t="n">
        <f aca="false">INDEX(Intent_Analysis!$E$5:$E$81,MATCH(B5436,Intent_Analysis!$A$5:$A$81,0))</f>
        <v>3</v>
      </c>
    </row>
    <row r="5437" customFormat="false" ht="15" hidden="false" customHeight="false" outlineLevel="0" collapsed="false">
      <c r="A5437" s="0" t="s">
        <v>5761</v>
      </c>
      <c r="B5437" s="0" t="s">
        <v>55</v>
      </c>
      <c r="C5437" s="0" t="str">
        <f aca="false">INDEX(Intent_Analysis!$B$5:$B$81,MATCH(B5437,Intent_Analysis!$A$5:$A$81,0))</f>
        <v>Card payments &amp; refunds</v>
      </c>
      <c r="D5437" s="0" t="n">
        <f aca="false">INDEX(Intent_Analysis!$E$5:$E$81,MATCH(B5437,Intent_Analysis!$A$5:$A$81,0))</f>
        <v>3</v>
      </c>
    </row>
    <row r="5438" customFormat="false" ht="15" hidden="false" customHeight="false" outlineLevel="0" collapsed="false">
      <c r="A5438" s="0" t="s">
        <v>5762</v>
      </c>
      <c r="B5438" s="0" t="s">
        <v>55</v>
      </c>
      <c r="C5438" s="0" t="str">
        <f aca="false">INDEX(Intent_Analysis!$B$5:$B$81,MATCH(B5438,Intent_Analysis!$A$5:$A$81,0))</f>
        <v>Card payments &amp; refunds</v>
      </c>
      <c r="D5438" s="0" t="n">
        <f aca="false">INDEX(Intent_Analysis!$E$5:$E$81,MATCH(B5438,Intent_Analysis!$A$5:$A$81,0))</f>
        <v>3</v>
      </c>
    </row>
    <row r="5439" customFormat="false" ht="15" hidden="false" customHeight="false" outlineLevel="0" collapsed="false">
      <c r="A5439" s="0" t="s">
        <v>5763</v>
      </c>
      <c r="B5439" s="0" t="s">
        <v>55</v>
      </c>
      <c r="C5439" s="0" t="str">
        <f aca="false">INDEX(Intent_Analysis!$B$5:$B$81,MATCH(B5439,Intent_Analysis!$A$5:$A$81,0))</f>
        <v>Card payments &amp; refunds</v>
      </c>
      <c r="D5439" s="0" t="n">
        <f aca="false">INDEX(Intent_Analysis!$E$5:$E$81,MATCH(B5439,Intent_Analysis!$A$5:$A$81,0))</f>
        <v>3</v>
      </c>
    </row>
    <row r="5440" customFormat="false" ht="15" hidden="false" customHeight="false" outlineLevel="0" collapsed="false">
      <c r="A5440" s="0" t="s">
        <v>5764</v>
      </c>
      <c r="B5440" s="0" t="s">
        <v>55</v>
      </c>
      <c r="C5440" s="0" t="str">
        <f aca="false">INDEX(Intent_Analysis!$B$5:$B$81,MATCH(B5440,Intent_Analysis!$A$5:$A$81,0))</f>
        <v>Card payments &amp; refunds</v>
      </c>
      <c r="D5440" s="0" t="n">
        <f aca="false">INDEX(Intent_Analysis!$E$5:$E$81,MATCH(B5440,Intent_Analysis!$A$5:$A$81,0))</f>
        <v>3</v>
      </c>
    </row>
    <row r="5441" customFormat="false" ht="15" hidden="false" customHeight="false" outlineLevel="0" collapsed="false">
      <c r="A5441" s="0" t="s">
        <v>5765</v>
      </c>
      <c r="B5441" s="0" t="s">
        <v>55</v>
      </c>
      <c r="C5441" s="0" t="str">
        <f aca="false">INDEX(Intent_Analysis!$B$5:$B$81,MATCH(B5441,Intent_Analysis!$A$5:$A$81,0))</f>
        <v>Card payments &amp; refunds</v>
      </c>
      <c r="D5441" s="0" t="n">
        <f aca="false">INDEX(Intent_Analysis!$E$5:$E$81,MATCH(B5441,Intent_Analysis!$A$5:$A$81,0))</f>
        <v>3</v>
      </c>
    </row>
    <row r="5442" customFormat="false" ht="15" hidden="false" customHeight="false" outlineLevel="0" collapsed="false">
      <c r="A5442" s="0" t="s">
        <v>5766</v>
      </c>
      <c r="B5442" s="0" t="s">
        <v>55</v>
      </c>
      <c r="C5442" s="0" t="str">
        <f aca="false">INDEX(Intent_Analysis!$B$5:$B$81,MATCH(B5442,Intent_Analysis!$A$5:$A$81,0))</f>
        <v>Card payments &amp; refunds</v>
      </c>
      <c r="D5442" s="0" t="n">
        <f aca="false">INDEX(Intent_Analysis!$E$5:$E$81,MATCH(B5442,Intent_Analysis!$A$5:$A$81,0))</f>
        <v>3</v>
      </c>
    </row>
    <row r="5443" customFormat="false" ht="15" hidden="false" customHeight="false" outlineLevel="0" collapsed="false">
      <c r="A5443" s="0" t="s">
        <v>5767</v>
      </c>
      <c r="B5443" s="0" t="s">
        <v>55</v>
      </c>
      <c r="C5443" s="0" t="str">
        <f aca="false">INDEX(Intent_Analysis!$B$5:$B$81,MATCH(B5443,Intent_Analysis!$A$5:$A$81,0))</f>
        <v>Card payments &amp; refunds</v>
      </c>
      <c r="D5443" s="0" t="n">
        <f aca="false">INDEX(Intent_Analysis!$E$5:$E$81,MATCH(B5443,Intent_Analysis!$A$5:$A$81,0))</f>
        <v>3</v>
      </c>
    </row>
    <row r="5444" customFormat="false" ht="15" hidden="false" customHeight="false" outlineLevel="0" collapsed="false">
      <c r="A5444" s="0" t="s">
        <v>5768</v>
      </c>
      <c r="B5444" s="0" t="s">
        <v>55</v>
      </c>
      <c r="C5444" s="0" t="str">
        <f aca="false">INDEX(Intent_Analysis!$B$5:$B$81,MATCH(B5444,Intent_Analysis!$A$5:$A$81,0))</f>
        <v>Card payments &amp; refunds</v>
      </c>
      <c r="D5444" s="0" t="n">
        <f aca="false">INDEX(Intent_Analysis!$E$5:$E$81,MATCH(B5444,Intent_Analysis!$A$5:$A$81,0))</f>
        <v>3</v>
      </c>
    </row>
    <row r="5445" customFormat="false" ht="15" hidden="false" customHeight="false" outlineLevel="0" collapsed="false">
      <c r="A5445" s="0" t="s">
        <v>5769</v>
      </c>
      <c r="B5445" s="0" t="s">
        <v>55</v>
      </c>
      <c r="C5445" s="0" t="str">
        <f aca="false">INDEX(Intent_Analysis!$B$5:$B$81,MATCH(B5445,Intent_Analysis!$A$5:$A$81,0))</f>
        <v>Card payments &amp; refunds</v>
      </c>
      <c r="D5445" s="0" t="n">
        <f aca="false">INDEX(Intent_Analysis!$E$5:$E$81,MATCH(B5445,Intent_Analysis!$A$5:$A$81,0))</f>
        <v>3</v>
      </c>
    </row>
    <row r="5446" customFormat="false" ht="15" hidden="false" customHeight="false" outlineLevel="0" collapsed="false">
      <c r="A5446" s="0" t="s">
        <v>5770</v>
      </c>
      <c r="B5446" s="0" t="s">
        <v>55</v>
      </c>
      <c r="C5446" s="0" t="str">
        <f aca="false">INDEX(Intent_Analysis!$B$5:$B$81,MATCH(B5446,Intent_Analysis!$A$5:$A$81,0))</f>
        <v>Card payments &amp; refunds</v>
      </c>
      <c r="D5446" s="0" t="n">
        <f aca="false">INDEX(Intent_Analysis!$E$5:$E$81,MATCH(B5446,Intent_Analysis!$A$5:$A$81,0))</f>
        <v>3</v>
      </c>
    </row>
    <row r="5447" customFormat="false" ht="15" hidden="false" customHeight="false" outlineLevel="0" collapsed="false">
      <c r="A5447" s="0" t="s">
        <v>5771</v>
      </c>
      <c r="B5447" s="0" t="s">
        <v>55</v>
      </c>
      <c r="C5447" s="0" t="str">
        <f aca="false">INDEX(Intent_Analysis!$B$5:$B$81,MATCH(B5447,Intent_Analysis!$A$5:$A$81,0))</f>
        <v>Card payments &amp; refunds</v>
      </c>
      <c r="D5447" s="0" t="n">
        <f aca="false">INDEX(Intent_Analysis!$E$5:$E$81,MATCH(B5447,Intent_Analysis!$A$5:$A$81,0))</f>
        <v>3</v>
      </c>
    </row>
    <row r="5448" customFormat="false" ht="15" hidden="false" customHeight="false" outlineLevel="0" collapsed="false">
      <c r="A5448" s="0" t="s">
        <v>5772</v>
      </c>
      <c r="B5448" s="0" t="s">
        <v>55</v>
      </c>
      <c r="C5448" s="0" t="str">
        <f aca="false">INDEX(Intent_Analysis!$B$5:$B$81,MATCH(B5448,Intent_Analysis!$A$5:$A$81,0))</f>
        <v>Card payments &amp; refunds</v>
      </c>
      <c r="D5448" s="0" t="n">
        <f aca="false">INDEX(Intent_Analysis!$E$5:$E$81,MATCH(B5448,Intent_Analysis!$A$5:$A$81,0))</f>
        <v>3</v>
      </c>
    </row>
    <row r="5449" customFormat="false" ht="15" hidden="false" customHeight="false" outlineLevel="0" collapsed="false">
      <c r="A5449" s="0" t="s">
        <v>5773</v>
      </c>
      <c r="B5449" s="0" t="s">
        <v>55</v>
      </c>
      <c r="C5449" s="0" t="str">
        <f aca="false">INDEX(Intent_Analysis!$B$5:$B$81,MATCH(B5449,Intent_Analysis!$A$5:$A$81,0))</f>
        <v>Card payments &amp; refunds</v>
      </c>
      <c r="D5449" s="0" t="n">
        <f aca="false">INDEX(Intent_Analysis!$E$5:$E$81,MATCH(B5449,Intent_Analysis!$A$5:$A$81,0))</f>
        <v>3</v>
      </c>
    </row>
    <row r="5450" customFormat="false" ht="15" hidden="false" customHeight="false" outlineLevel="0" collapsed="false">
      <c r="A5450" s="0" t="s">
        <v>5774</v>
      </c>
      <c r="B5450" s="0" t="s">
        <v>55</v>
      </c>
      <c r="C5450" s="0" t="str">
        <f aca="false">INDEX(Intent_Analysis!$B$5:$B$81,MATCH(B5450,Intent_Analysis!$A$5:$A$81,0))</f>
        <v>Card payments &amp; refunds</v>
      </c>
      <c r="D5450" s="0" t="n">
        <f aca="false">INDEX(Intent_Analysis!$E$5:$E$81,MATCH(B5450,Intent_Analysis!$A$5:$A$81,0))</f>
        <v>3</v>
      </c>
    </row>
    <row r="5451" customFormat="false" ht="15" hidden="false" customHeight="false" outlineLevel="0" collapsed="false">
      <c r="A5451" s="0" t="s">
        <v>5775</v>
      </c>
      <c r="B5451" s="0" t="s">
        <v>55</v>
      </c>
      <c r="C5451" s="0" t="str">
        <f aca="false">INDEX(Intent_Analysis!$B$5:$B$81,MATCH(B5451,Intent_Analysis!$A$5:$A$81,0))</f>
        <v>Card payments &amp; refunds</v>
      </c>
      <c r="D5451" s="0" t="n">
        <f aca="false">INDEX(Intent_Analysis!$E$5:$E$81,MATCH(B5451,Intent_Analysis!$A$5:$A$81,0))</f>
        <v>3</v>
      </c>
    </row>
    <row r="5452" customFormat="false" ht="15" hidden="false" customHeight="false" outlineLevel="0" collapsed="false">
      <c r="A5452" s="0" t="s">
        <v>5776</v>
      </c>
      <c r="B5452" s="0" t="s">
        <v>55</v>
      </c>
      <c r="C5452" s="0" t="str">
        <f aca="false">INDEX(Intent_Analysis!$B$5:$B$81,MATCH(B5452,Intent_Analysis!$A$5:$A$81,0))</f>
        <v>Card payments &amp; refunds</v>
      </c>
      <c r="D5452" s="0" t="n">
        <f aca="false">INDEX(Intent_Analysis!$E$5:$E$81,MATCH(B5452,Intent_Analysis!$A$5:$A$81,0))</f>
        <v>3</v>
      </c>
    </row>
    <row r="5453" customFormat="false" ht="15" hidden="false" customHeight="false" outlineLevel="0" collapsed="false">
      <c r="A5453" s="0" t="s">
        <v>5777</v>
      </c>
      <c r="B5453" s="0" t="s">
        <v>55</v>
      </c>
      <c r="C5453" s="0" t="str">
        <f aca="false">INDEX(Intent_Analysis!$B$5:$B$81,MATCH(B5453,Intent_Analysis!$A$5:$A$81,0))</f>
        <v>Card payments &amp; refunds</v>
      </c>
      <c r="D5453" s="0" t="n">
        <f aca="false">INDEX(Intent_Analysis!$E$5:$E$81,MATCH(B5453,Intent_Analysis!$A$5:$A$81,0))</f>
        <v>3</v>
      </c>
    </row>
    <row r="5454" customFormat="false" ht="15" hidden="false" customHeight="false" outlineLevel="0" collapsed="false">
      <c r="A5454" s="0" t="s">
        <v>5778</v>
      </c>
      <c r="B5454" s="0" t="s">
        <v>55</v>
      </c>
      <c r="C5454" s="0" t="str">
        <f aca="false">INDEX(Intent_Analysis!$B$5:$B$81,MATCH(B5454,Intent_Analysis!$A$5:$A$81,0))</f>
        <v>Card payments &amp; refunds</v>
      </c>
      <c r="D5454" s="0" t="n">
        <f aca="false">INDEX(Intent_Analysis!$E$5:$E$81,MATCH(B5454,Intent_Analysis!$A$5:$A$81,0))</f>
        <v>3</v>
      </c>
    </row>
    <row r="5455" customFormat="false" ht="15" hidden="false" customHeight="false" outlineLevel="0" collapsed="false">
      <c r="A5455" s="0" t="s">
        <v>5779</v>
      </c>
      <c r="B5455" s="0" t="s">
        <v>55</v>
      </c>
      <c r="C5455" s="0" t="str">
        <f aca="false">INDEX(Intent_Analysis!$B$5:$B$81,MATCH(B5455,Intent_Analysis!$A$5:$A$81,0))</f>
        <v>Card payments &amp; refunds</v>
      </c>
      <c r="D5455" s="0" t="n">
        <f aca="false">INDEX(Intent_Analysis!$E$5:$E$81,MATCH(B5455,Intent_Analysis!$A$5:$A$81,0))</f>
        <v>3</v>
      </c>
    </row>
    <row r="5456" customFormat="false" ht="15" hidden="false" customHeight="false" outlineLevel="0" collapsed="false">
      <c r="A5456" s="0" t="s">
        <v>5780</v>
      </c>
      <c r="B5456" s="0" t="s">
        <v>55</v>
      </c>
      <c r="C5456" s="0" t="str">
        <f aca="false">INDEX(Intent_Analysis!$B$5:$B$81,MATCH(B5456,Intent_Analysis!$A$5:$A$81,0))</f>
        <v>Card payments &amp; refunds</v>
      </c>
      <c r="D5456" s="0" t="n">
        <f aca="false">INDEX(Intent_Analysis!$E$5:$E$81,MATCH(B5456,Intent_Analysis!$A$5:$A$81,0))</f>
        <v>3</v>
      </c>
    </row>
    <row r="5457" customFormat="false" ht="15" hidden="false" customHeight="false" outlineLevel="0" collapsed="false">
      <c r="A5457" s="0" t="s">
        <v>5781</v>
      </c>
      <c r="B5457" s="0" t="s">
        <v>55</v>
      </c>
      <c r="C5457" s="0" t="str">
        <f aca="false">INDEX(Intent_Analysis!$B$5:$B$81,MATCH(B5457,Intent_Analysis!$A$5:$A$81,0))</f>
        <v>Card payments &amp; refunds</v>
      </c>
      <c r="D5457" s="0" t="n">
        <f aca="false">INDEX(Intent_Analysis!$E$5:$E$81,MATCH(B5457,Intent_Analysis!$A$5:$A$81,0))</f>
        <v>3</v>
      </c>
    </row>
    <row r="5458" customFormat="false" ht="15" hidden="false" customHeight="false" outlineLevel="0" collapsed="false">
      <c r="A5458" s="0" t="s">
        <v>5782</v>
      </c>
      <c r="B5458" s="0" t="s">
        <v>55</v>
      </c>
      <c r="C5458" s="0" t="str">
        <f aca="false">INDEX(Intent_Analysis!$B$5:$B$81,MATCH(B5458,Intent_Analysis!$A$5:$A$81,0))</f>
        <v>Card payments &amp; refunds</v>
      </c>
      <c r="D5458" s="0" t="n">
        <f aca="false">INDEX(Intent_Analysis!$E$5:$E$81,MATCH(B5458,Intent_Analysis!$A$5:$A$81,0))</f>
        <v>3</v>
      </c>
    </row>
    <row r="5459" customFormat="false" ht="15" hidden="false" customHeight="false" outlineLevel="0" collapsed="false">
      <c r="A5459" s="0" t="s">
        <v>5783</v>
      </c>
      <c r="B5459" s="0" t="s">
        <v>55</v>
      </c>
      <c r="C5459" s="0" t="str">
        <f aca="false">INDEX(Intent_Analysis!$B$5:$B$81,MATCH(B5459,Intent_Analysis!$A$5:$A$81,0))</f>
        <v>Card payments &amp; refunds</v>
      </c>
      <c r="D5459" s="0" t="n">
        <f aca="false">INDEX(Intent_Analysis!$E$5:$E$81,MATCH(B5459,Intent_Analysis!$A$5:$A$81,0))</f>
        <v>3</v>
      </c>
    </row>
    <row r="5460" customFormat="false" ht="15" hidden="false" customHeight="false" outlineLevel="0" collapsed="false">
      <c r="A5460" s="0" t="s">
        <v>5784</v>
      </c>
      <c r="B5460" s="0" t="s">
        <v>55</v>
      </c>
      <c r="C5460" s="0" t="str">
        <f aca="false">INDEX(Intent_Analysis!$B$5:$B$81,MATCH(B5460,Intent_Analysis!$A$5:$A$81,0))</f>
        <v>Card payments &amp; refunds</v>
      </c>
      <c r="D5460" s="0" t="n">
        <f aca="false">INDEX(Intent_Analysis!$E$5:$E$81,MATCH(B5460,Intent_Analysis!$A$5:$A$81,0))</f>
        <v>3</v>
      </c>
    </row>
    <row r="5461" customFormat="false" ht="15" hidden="false" customHeight="false" outlineLevel="0" collapsed="false">
      <c r="A5461" s="0" t="s">
        <v>5785</v>
      </c>
      <c r="B5461" s="0" t="s">
        <v>55</v>
      </c>
      <c r="C5461" s="0" t="str">
        <f aca="false">INDEX(Intent_Analysis!$B$5:$B$81,MATCH(B5461,Intent_Analysis!$A$5:$A$81,0))</f>
        <v>Card payments &amp; refunds</v>
      </c>
      <c r="D5461" s="0" t="n">
        <f aca="false">INDEX(Intent_Analysis!$E$5:$E$81,MATCH(B5461,Intent_Analysis!$A$5:$A$81,0))</f>
        <v>3</v>
      </c>
    </row>
    <row r="5462" customFormat="false" ht="15" hidden="false" customHeight="false" outlineLevel="0" collapsed="false">
      <c r="A5462" s="0" t="s">
        <v>5786</v>
      </c>
      <c r="B5462" s="0" t="s">
        <v>55</v>
      </c>
      <c r="C5462" s="0" t="str">
        <f aca="false">INDEX(Intent_Analysis!$B$5:$B$81,MATCH(B5462,Intent_Analysis!$A$5:$A$81,0))</f>
        <v>Card payments &amp; refunds</v>
      </c>
      <c r="D5462" s="0" t="n">
        <f aca="false">INDEX(Intent_Analysis!$E$5:$E$81,MATCH(B5462,Intent_Analysis!$A$5:$A$81,0))</f>
        <v>3</v>
      </c>
    </row>
    <row r="5463" customFormat="false" ht="15" hidden="false" customHeight="false" outlineLevel="0" collapsed="false">
      <c r="A5463" s="0" t="s">
        <v>5787</v>
      </c>
      <c r="B5463" s="0" t="s">
        <v>55</v>
      </c>
      <c r="C5463" s="0" t="str">
        <f aca="false">INDEX(Intent_Analysis!$B$5:$B$81,MATCH(B5463,Intent_Analysis!$A$5:$A$81,0))</f>
        <v>Card payments &amp; refunds</v>
      </c>
      <c r="D5463" s="0" t="n">
        <f aca="false">INDEX(Intent_Analysis!$E$5:$E$81,MATCH(B5463,Intent_Analysis!$A$5:$A$81,0))</f>
        <v>3</v>
      </c>
    </row>
    <row r="5464" customFormat="false" ht="15" hidden="false" customHeight="false" outlineLevel="0" collapsed="false">
      <c r="A5464" s="0" t="s">
        <v>5788</v>
      </c>
      <c r="B5464" s="0" t="s">
        <v>55</v>
      </c>
      <c r="C5464" s="0" t="str">
        <f aca="false">INDEX(Intent_Analysis!$B$5:$B$81,MATCH(B5464,Intent_Analysis!$A$5:$A$81,0))</f>
        <v>Card payments &amp; refunds</v>
      </c>
      <c r="D5464" s="0" t="n">
        <f aca="false">INDEX(Intent_Analysis!$E$5:$E$81,MATCH(B5464,Intent_Analysis!$A$5:$A$81,0))</f>
        <v>3</v>
      </c>
    </row>
    <row r="5465" customFormat="false" ht="15" hidden="false" customHeight="false" outlineLevel="0" collapsed="false">
      <c r="A5465" s="0" t="s">
        <v>5789</v>
      </c>
      <c r="B5465" s="0" t="s">
        <v>55</v>
      </c>
      <c r="C5465" s="0" t="str">
        <f aca="false">INDEX(Intent_Analysis!$B$5:$B$81,MATCH(B5465,Intent_Analysis!$A$5:$A$81,0))</f>
        <v>Card payments &amp; refunds</v>
      </c>
      <c r="D5465" s="0" t="n">
        <f aca="false">INDEX(Intent_Analysis!$E$5:$E$81,MATCH(B5465,Intent_Analysis!$A$5:$A$81,0))</f>
        <v>3</v>
      </c>
    </row>
    <row r="5466" customFormat="false" ht="15" hidden="false" customHeight="false" outlineLevel="0" collapsed="false">
      <c r="A5466" s="0" t="s">
        <v>5790</v>
      </c>
      <c r="B5466" s="0" t="s">
        <v>55</v>
      </c>
      <c r="C5466" s="0" t="str">
        <f aca="false">INDEX(Intent_Analysis!$B$5:$B$81,MATCH(B5466,Intent_Analysis!$A$5:$A$81,0))</f>
        <v>Card payments &amp; refunds</v>
      </c>
      <c r="D5466" s="0" t="n">
        <f aca="false">INDEX(Intent_Analysis!$E$5:$E$81,MATCH(B5466,Intent_Analysis!$A$5:$A$81,0))</f>
        <v>3</v>
      </c>
    </row>
    <row r="5467" customFormat="false" ht="15" hidden="false" customHeight="false" outlineLevel="0" collapsed="false">
      <c r="A5467" s="0" t="s">
        <v>5791</v>
      </c>
      <c r="B5467" s="0" t="s">
        <v>55</v>
      </c>
      <c r="C5467" s="0" t="str">
        <f aca="false">INDEX(Intent_Analysis!$B$5:$B$81,MATCH(B5467,Intent_Analysis!$A$5:$A$81,0))</f>
        <v>Card payments &amp; refunds</v>
      </c>
      <c r="D5467" s="0" t="n">
        <f aca="false">INDEX(Intent_Analysis!$E$5:$E$81,MATCH(B5467,Intent_Analysis!$A$5:$A$81,0))</f>
        <v>3</v>
      </c>
    </row>
    <row r="5468" customFormat="false" ht="15" hidden="false" customHeight="false" outlineLevel="0" collapsed="false">
      <c r="A5468" s="0" t="s">
        <v>5792</v>
      </c>
      <c r="B5468" s="0" t="s">
        <v>55</v>
      </c>
      <c r="C5468" s="0" t="str">
        <f aca="false">INDEX(Intent_Analysis!$B$5:$B$81,MATCH(B5468,Intent_Analysis!$A$5:$A$81,0))</f>
        <v>Card payments &amp; refunds</v>
      </c>
      <c r="D5468" s="0" t="n">
        <f aca="false">INDEX(Intent_Analysis!$E$5:$E$81,MATCH(B5468,Intent_Analysis!$A$5:$A$81,0))</f>
        <v>3</v>
      </c>
    </row>
    <row r="5469" customFormat="false" ht="15" hidden="false" customHeight="false" outlineLevel="0" collapsed="false">
      <c r="A5469" s="0" t="s">
        <v>5793</v>
      </c>
      <c r="B5469" s="0" t="s">
        <v>55</v>
      </c>
      <c r="C5469" s="0" t="str">
        <f aca="false">INDEX(Intent_Analysis!$B$5:$B$81,MATCH(B5469,Intent_Analysis!$A$5:$A$81,0))</f>
        <v>Card payments &amp; refunds</v>
      </c>
      <c r="D5469" s="0" t="n">
        <f aca="false">INDEX(Intent_Analysis!$E$5:$E$81,MATCH(B5469,Intent_Analysis!$A$5:$A$81,0))</f>
        <v>3</v>
      </c>
    </row>
    <row r="5470" customFormat="false" ht="15" hidden="false" customHeight="false" outlineLevel="0" collapsed="false">
      <c r="A5470" s="0" t="s">
        <v>5794</v>
      </c>
      <c r="B5470" s="0" t="s">
        <v>55</v>
      </c>
      <c r="C5470" s="0" t="str">
        <f aca="false">INDEX(Intent_Analysis!$B$5:$B$81,MATCH(B5470,Intent_Analysis!$A$5:$A$81,0))</f>
        <v>Card payments &amp; refunds</v>
      </c>
      <c r="D5470" s="0" t="n">
        <f aca="false">INDEX(Intent_Analysis!$E$5:$E$81,MATCH(B5470,Intent_Analysis!$A$5:$A$81,0))</f>
        <v>3</v>
      </c>
    </row>
    <row r="5471" customFormat="false" ht="15" hidden="false" customHeight="false" outlineLevel="0" collapsed="false">
      <c r="A5471" s="0" t="s">
        <v>5795</v>
      </c>
      <c r="B5471" s="0" t="s">
        <v>55</v>
      </c>
      <c r="C5471" s="0" t="str">
        <f aca="false">INDEX(Intent_Analysis!$B$5:$B$81,MATCH(B5471,Intent_Analysis!$A$5:$A$81,0))</f>
        <v>Card payments &amp; refunds</v>
      </c>
      <c r="D5471" s="0" t="n">
        <f aca="false">INDEX(Intent_Analysis!$E$5:$E$81,MATCH(B5471,Intent_Analysis!$A$5:$A$81,0))</f>
        <v>3</v>
      </c>
    </row>
    <row r="5472" customFormat="false" ht="15" hidden="false" customHeight="false" outlineLevel="0" collapsed="false">
      <c r="A5472" s="0" t="s">
        <v>5796</v>
      </c>
      <c r="B5472" s="0" t="s">
        <v>55</v>
      </c>
      <c r="C5472" s="0" t="str">
        <f aca="false">INDEX(Intent_Analysis!$B$5:$B$81,MATCH(B5472,Intent_Analysis!$A$5:$A$81,0))</f>
        <v>Card payments &amp; refunds</v>
      </c>
      <c r="D5472" s="0" t="n">
        <f aca="false">INDEX(Intent_Analysis!$E$5:$E$81,MATCH(B5472,Intent_Analysis!$A$5:$A$81,0))</f>
        <v>3</v>
      </c>
    </row>
    <row r="5473" customFormat="false" ht="15" hidden="false" customHeight="false" outlineLevel="0" collapsed="false">
      <c r="A5473" s="0" t="s">
        <v>5797</v>
      </c>
      <c r="B5473" s="0" t="s">
        <v>55</v>
      </c>
      <c r="C5473" s="0" t="str">
        <f aca="false">INDEX(Intent_Analysis!$B$5:$B$81,MATCH(B5473,Intent_Analysis!$A$5:$A$81,0))</f>
        <v>Card payments &amp; refunds</v>
      </c>
      <c r="D5473" s="0" t="n">
        <f aca="false">INDEX(Intent_Analysis!$E$5:$E$81,MATCH(B5473,Intent_Analysis!$A$5:$A$81,0))</f>
        <v>3</v>
      </c>
    </row>
    <row r="5474" customFormat="false" ht="15" hidden="false" customHeight="false" outlineLevel="0" collapsed="false">
      <c r="A5474" s="0" t="s">
        <v>5798</v>
      </c>
      <c r="B5474" s="0" t="s">
        <v>55</v>
      </c>
      <c r="C5474" s="0" t="str">
        <f aca="false">INDEX(Intent_Analysis!$B$5:$B$81,MATCH(B5474,Intent_Analysis!$A$5:$A$81,0))</f>
        <v>Card payments &amp; refunds</v>
      </c>
      <c r="D5474" s="0" t="n">
        <f aca="false">INDEX(Intent_Analysis!$E$5:$E$81,MATCH(B5474,Intent_Analysis!$A$5:$A$81,0))</f>
        <v>3</v>
      </c>
    </row>
    <row r="5475" customFormat="false" ht="15" hidden="false" customHeight="false" outlineLevel="0" collapsed="false">
      <c r="A5475" s="0" t="s">
        <v>5799</v>
      </c>
      <c r="B5475" s="0" t="s">
        <v>55</v>
      </c>
      <c r="C5475" s="0" t="str">
        <f aca="false">INDEX(Intent_Analysis!$B$5:$B$81,MATCH(B5475,Intent_Analysis!$A$5:$A$81,0))</f>
        <v>Card payments &amp; refunds</v>
      </c>
      <c r="D5475" s="0" t="n">
        <f aca="false">INDEX(Intent_Analysis!$E$5:$E$81,MATCH(B5475,Intent_Analysis!$A$5:$A$81,0))</f>
        <v>3</v>
      </c>
    </row>
    <row r="5476" customFormat="false" ht="15" hidden="false" customHeight="false" outlineLevel="0" collapsed="false">
      <c r="A5476" s="0" t="s">
        <v>5800</v>
      </c>
      <c r="B5476" s="0" t="s">
        <v>55</v>
      </c>
      <c r="C5476" s="0" t="str">
        <f aca="false">INDEX(Intent_Analysis!$B$5:$B$81,MATCH(B5476,Intent_Analysis!$A$5:$A$81,0))</f>
        <v>Card payments &amp; refunds</v>
      </c>
      <c r="D5476" s="0" t="n">
        <f aca="false">INDEX(Intent_Analysis!$E$5:$E$81,MATCH(B5476,Intent_Analysis!$A$5:$A$81,0))</f>
        <v>3</v>
      </c>
    </row>
    <row r="5477" customFormat="false" ht="15" hidden="false" customHeight="false" outlineLevel="0" collapsed="false">
      <c r="A5477" s="0" t="s">
        <v>5801</v>
      </c>
      <c r="B5477" s="0" t="s">
        <v>55</v>
      </c>
      <c r="C5477" s="0" t="str">
        <f aca="false">INDEX(Intent_Analysis!$B$5:$B$81,MATCH(B5477,Intent_Analysis!$A$5:$A$81,0))</f>
        <v>Card payments &amp; refunds</v>
      </c>
      <c r="D5477" s="0" t="n">
        <f aca="false">INDEX(Intent_Analysis!$E$5:$E$81,MATCH(B5477,Intent_Analysis!$A$5:$A$81,0))</f>
        <v>3</v>
      </c>
    </row>
    <row r="5478" customFormat="false" ht="15" hidden="false" customHeight="false" outlineLevel="0" collapsed="false">
      <c r="A5478" s="0" t="s">
        <v>5802</v>
      </c>
      <c r="B5478" s="0" t="s">
        <v>55</v>
      </c>
      <c r="C5478" s="0" t="str">
        <f aca="false">INDEX(Intent_Analysis!$B$5:$B$81,MATCH(B5478,Intent_Analysis!$A$5:$A$81,0))</f>
        <v>Card payments &amp; refunds</v>
      </c>
      <c r="D5478" s="0" t="n">
        <f aca="false">INDEX(Intent_Analysis!$E$5:$E$81,MATCH(B5478,Intent_Analysis!$A$5:$A$81,0))</f>
        <v>3</v>
      </c>
    </row>
    <row r="5479" customFormat="false" ht="15" hidden="false" customHeight="false" outlineLevel="0" collapsed="false">
      <c r="A5479" s="0" t="s">
        <v>5803</v>
      </c>
      <c r="B5479" s="0" t="s">
        <v>55</v>
      </c>
      <c r="C5479" s="0" t="str">
        <f aca="false">INDEX(Intent_Analysis!$B$5:$B$81,MATCH(B5479,Intent_Analysis!$A$5:$A$81,0))</f>
        <v>Card payments &amp; refunds</v>
      </c>
      <c r="D5479" s="0" t="n">
        <f aca="false">INDEX(Intent_Analysis!$E$5:$E$81,MATCH(B5479,Intent_Analysis!$A$5:$A$81,0))</f>
        <v>3</v>
      </c>
    </row>
    <row r="5480" customFormat="false" ht="15" hidden="false" customHeight="false" outlineLevel="0" collapsed="false">
      <c r="A5480" s="0" t="s">
        <v>5804</v>
      </c>
      <c r="B5480" s="0" t="s">
        <v>55</v>
      </c>
      <c r="C5480" s="0" t="str">
        <f aca="false">INDEX(Intent_Analysis!$B$5:$B$81,MATCH(B5480,Intent_Analysis!$A$5:$A$81,0))</f>
        <v>Card payments &amp; refunds</v>
      </c>
      <c r="D5480" s="0" t="n">
        <f aca="false">INDEX(Intent_Analysis!$E$5:$E$81,MATCH(B5480,Intent_Analysis!$A$5:$A$81,0))</f>
        <v>3</v>
      </c>
    </row>
    <row r="5481" customFormat="false" ht="15" hidden="false" customHeight="false" outlineLevel="0" collapsed="false">
      <c r="A5481" s="0" t="s">
        <v>5805</v>
      </c>
      <c r="B5481" s="0" t="s">
        <v>55</v>
      </c>
      <c r="C5481" s="0" t="str">
        <f aca="false">INDEX(Intent_Analysis!$B$5:$B$81,MATCH(B5481,Intent_Analysis!$A$5:$A$81,0))</f>
        <v>Card payments &amp; refunds</v>
      </c>
      <c r="D5481" s="0" t="n">
        <f aca="false">INDEX(Intent_Analysis!$E$5:$E$81,MATCH(B5481,Intent_Analysis!$A$5:$A$81,0))</f>
        <v>3</v>
      </c>
    </row>
    <row r="5482" customFormat="false" ht="15" hidden="false" customHeight="false" outlineLevel="0" collapsed="false">
      <c r="A5482" s="0" t="s">
        <v>5806</v>
      </c>
      <c r="B5482" s="0" t="s">
        <v>55</v>
      </c>
      <c r="C5482" s="0" t="str">
        <f aca="false">INDEX(Intent_Analysis!$B$5:$B$81,MATCH(B5482,Intent_Analysis!$A$5:$A$81,0))</f>
        <v>Card payments &amp; refunds</v>
      </c>
      <c r="D5482" s="0" t="n">
        <f aca="false">INDEX(Intent_Analysis!$E$5:$E$81,MATCH(B5482,Intent_Analysis!$A$5:$A$81,0))</f>
        <v>3</v>
      </c>
    </row>
    <row r="5483" customFormat="false" ht="15" hidden="false" customHeight="false" outlineLevel="0" collapsed="false">
      <c r="A5483" s="0" t="s">
        <v>5807</v>
      </c>
      <c r="B5483" s="0" t="s">
        <v>55</v>
      </c>
      <c r="C5483" s="0" t="str">
        <f aca="false">INDEX(Intent_Analysis!$B$5:$B$81,MATCH(B5483,Intent_Analysis!$A$5:$A$81,0))</f>
        <v>Card payments &amp; refunds</v>
      </c>
      <c r="D5483" s="0" t="n">
        <f aca="false">INDEX(Intent_Analysis!$E$5:$E$81,MATCH(B5483,Intent_Analysis!$A$5:$A$81,0))</f>
        <v>3</v>
      </c>
    </row>
    <row r="5484" customFormat="false" ht="15" hidden="false" customHeight="false" outlineLevel="0" collapsed="false">
      <c r="A5484" s="0" t="s">
        <v>5808</v>
      </c>
      <c r="B5484" s="0" t="s">
        <v>55</v>
      </c>
      <c r="C5484" s="0" t="str">
        <f aca="false">INDEX(Intent_Analysis!$B$5:$B$81,MATCH(B5484,Intent_Analysis!$A$5:$A$81,0))</f>
        <v>Card payments &amp; refunds</v>
      </c>
      <c r="D5484" s="0" t="n">
        <f aca="false">INDEX(Intent_Analysis!$E$5:$E$81,MATCH(B5484,Intent_Analysis!$A$5:$A$81,0))</f>
        <v>3</v>
      </c>
    </row>
    <row r="5485" customFormat="false" ht="15" hidden="false" customHeight="false" outlineLevel="0" collapsed="false">
      <c r="A5485" s="0" t="s">
        <v>5809</v>
      </c>
      <c r="B5485" s="0" t="s">
        <v>55</v>
      </c>
      <c r="C5485" s="0" t="str">
        <f aca="false">INDEX(Intent_Analysis!$B$5:$B$81,MATCH(B5485,Intent_Analysis!$A$5:$A$81,0))</f>
        <v>Card payments &amp; refunds</v>
      </c>
      <c r="D5485" s="0" t="n">
        <f aca="false">INDEX(Intent_Analysis!$E$5:$E$81,MATCH(B5485,Intent_Analysis!$A$5:$A$81,0))</f>
        <v>3</v>
      </c>
    </row>
    <row r="5486" customFormat="false" ht="15" hidden="false" customHeight="false" outlineLevel="0" collapsed="false">
      <c r="A5486" s="0" t="s">
        <v>5810</v>
      </c>
      <c r="B5486" s="0" t="s">
        <v>55</v>
      </c>
      <c r="C5486" s="0" t="str">
        <f aca="false">INDEX(Intent_Analysis!$B$5:$B$81,MATCH(B5486,Intent_Analysis!$A$5:$A$81,0))</f>
        <v>Card payments &amp; refunds</v>
      </c>
      <c r="D5486" s="0" t="n">
        <f aca="false">INDEX(Intent_Analysis!$E$5:$E$81,MATCH(B5486,Intent_Analysis!$A$5:$A$81,0))</f>
        <v>3</v>
      </c>
    </row>
    <row r="5487" customFormat="false" ht="15" hidden="false" customHeight="false" outlineLevel="0" collapsed="false">
      <c r="A5487" s="0" t="s">
        <v>5811</v>
      </c>
      <c r="B5487" s="0" t="s">
        <v>55</v>
      </c>
      <c r="C5487" s="0" t="str">
        <f aca="false">INDEX(Intent_Analysis!$B$5:$B$81,MATCH(B5487,Intent_Analysis!$A$5:$A$81,0))</f>
        <v>Card payments &amp; refunds</v>
      </c>
      <c r="D5487" s="0" t="n">
        <f aca="false">INDEX(Intent_Analysis!$E$5:$E$81,MATCH(B5487,Intent_Analysis!$A$5:$A$81,0))</f>
        <v>3</v>
      </c>
    </row>
    <row r="5488" customFormat="false" ht="15" hidden="false" customHeight="false" outlineLevel="0" collapsed="false">
      <c r="A5488" s="0" t="s">
        <v>5812</v>
      </c>
      <c r="B5488" s="0" t="s">
        <v>55</v>
      </c>
      <c r="C5488" s="0" t="str">
        <f aca="false">INDEX(Intent_Analysis!$B$5:$B$81,MATCH(B5488,Intent_Analysis!$A$5:$A$81,0))</f>
        <v>Card payments &amp; refunds</v>
      </c>
      <c r="D5488" s="0" t="n">
        <f aca="false">INDEX(Intent_Analysis!$E$5:$E$81,MATCH(B5488,Intent_Analysis!$A$5:$A$81,0))</f>
        <v>3</v>
      </c>
    </row>
    <row r="5489" customFormat="false" ht="15" hidden="false" customHeight="false" outlineLevel="0" collapsed="false">
      <c r="A5489" s="0" t="s">
        <v>5813</v>
      </c>
      <c r="B5489" s="0" t="s">
        <v>55</v>
      </c>
      <c r="C5489" s="0" t="str">
        <f aca="false">INDEX(Intent_Analysis!$B$5:$B$81,MATCH(B5489,Intent_Analysis!$A$5:$A$81,0))</f>
        <v>Card payments &amp; refunds</v>
      </c>
      <c r="D5489" s="0" t="n">
        <f aca="false">INDEX(Intent_Analysis!$E$5:$E$81,MATCH(B5489,Intent_Analysis!$A$5:$A$81,0))</f>
        <v>3</v>
      </c>
    </row>
    <row r="5490" customFormat="false" ht="15" hidden="false" customHeight="false" outlineLevel="0" collapsed="false">
      <c r="A5490" s="0" t="s">
        <v>5814</v>
      </c>
      <c r="B5490" s="0" t="s">
        <v>55</v>
      </c>
      <c r="C5490" s="0" t="str">
        <f aca="false">INDEX(Intent_Analysis!$B$5:$B$81,MATCH(B5490,Intent_Analysis!$A$5:$A$81,0))</f>
        <v>Card payments &amp; refunds</v>
      </c>
      <c r="D5490" s="0" t="n">
        <f aca="false">INDEX(Intent_Analysis!$E$5:$E$81,MATCH(B5490,Intent_Analysis!$A$5:$A$81,0))</f>
        <v>3</v>
      </c>
    </row>
    <row r="5491" customFormat="false" ht="15" hidden="false" customHeight="false" outlineLevel="0" collapsed="false">
      <c r="A5491" s="0" t="s">
        <v>5815</v>
      </c>
      <c r="B5491" s="0" t="s">
        <v>55</v>
      </c>
      <c r="C5491" s="0" t="str">
        <f aca="false">INDEX(Intent_Analysis!$B$5:$B$81,MATCH(B5491,Intent_Analysis!$A$5:$A$81,0))</f>
        <v>Card payments &amp; refunds</v>
      </c>
      <c r="D5491" s="0" t="n">
        <f aca="false">INDEX(Intent_Analysis!$E$5:$E$81,MATCH(B5491,Intent_Analysis!$A$5:$A$81,0))</f>
        <v>3</v>
      </c>
    </row>
    <row r="5492" customFormat="false" ht="15" hidden="false" customHeight="false" outlineLevel="0" collapsed="false">
      <c r="A5492" s="0" t="s">
        <v>5816</v>
      </c>
      <c r="B5492" s="0" t="s">
        <v>55</v>
      </c>
      <c r="C5492" s="0" t="str">
        <f aca="false">INDEX(Intent_Analysis!$B$5:$B$81,MATCH(B5492,Intent_Analysis!$A$5:$A$81,0))</f>
        <v>Card payments &amp; refunds</v>
      </c>
      <c r="D5492" s="0" t="n">
        <f aca="false">INDEX(Intent_Analysis!$E$5:$E$81,MATCH(B5492,Intent_Analysis!$A$5:$A$81,0))</f>
        <v>3</v>
      </c>
    </row>
    <row r="5493" customFormat="false" ht="15" hidden="false" customHeight="false" outlineLevel="0" collapsed="false">
      <c r="A5493" s="0" t="s">
        <v>5817</v>
      </c>
      <c r="B5493" s="0" t="s">
        <v>55</v>
      </c>
      <c r="C5493" s="0" t="str">
        <f aca="false">INDEX(Intent_Analysis!$B$5:$B$81,MATCH(B5493,Intent_Analysis!$A$5:$A$81,0))</f>
        <v>Card payments &amp; refunds</v>
      </c>
      <c r="D5493" s="0" t="n">
        <f aca="false">INDEX(Intent_Analysis!$E$5:$E$81,MATCH(B5493,Intent_Analysis!$A$5:$A$81,0))</f>
        <v>3</v>
      </c>
    </row>
    <row r="5494" customFormat="false" ht="15" hidden="false" customHeight="false" outlineLevel="0" collapsed="false">
      <c r="A5494" s="0" t="s">
        <v>5818</v>
      </c>
      <c r="B5494" s="0" t="s">
        <v>55</v>
      </c>
      <c r="C5494" s="0" t="str">
        <f aca="false">INDEX(Intent_Analysis!$B$5:$B$81,MATCH(B5494,Intent_Analysis!$A$5:$A$81,0))</f>
        <v>Card payments &amp; refunds</v>
      </c>
      <c r="D5494" s="0" t="n">
        <f aca="false">INDEX(Intent_Analysis!$E$5:$E$81,MATCH(B5494,Intent_Analysis!$A$5:$A$81,0))</f>
        <v>3</v>
      </c>
    </row>
    <row r="5495" customFormat="false" ht="15" hidden="false" customHeight="false" outlineLevel="0" collapsed="false">
      <c r="A5495" s="0" t="s">
        <v>5819</v>
      </c>
      <c r="B5495" s="0" t="s">
        <v>55</v>
      </c>
      <c r="C5495" s="0" t="str">
        <f aca="false">INDEX(Intent_Analysis!$B$5:$B$81,MATCH(B5495,Intent_Analysis!$A$5:$A$81,0))</f>
        <v>Card payments &amp; refunds</v>
      </c>
      <c r="D5495" s="0" t="n">
        <f aca="false">INDEX(Intent_Analysis!$E$5:$E$81,MATCH(B5495,Intent_Analysis!$A$5:$A$81,0))</f>
        <v>3</v>
      </c>
    </row>
    <row r="5496" customFormat="false" ht="15" hidden="false" customHeight="false" outlineLevel="0" collapsed="false">
      <c r="A5496" s="0" t="s">
        <v>5820</v>
      </c>
      <c r="B5496" s="0" t="s">
        <v>55</v>
      </c>
      <c r="C5496" s="0" t="str">
        <f aca="false">INDEX(Intent_Analysis!$B$5:$B$81,MATCH(B5496,Intent_Analysis!$A$5:$A$81,0))</f>
        <v>Card payments &amp; refunds</v>
      </c>
      <c r="D5496" s="0" t="n">
        <f aca="false">INDEX(Intent_Analysis!$E$5:$E$81,MATCH(B5496,Intent_Analysis!$A$5:$A$81,0))</f>
        <v>3</v>
      </c>
    </row>
    <row r="5497" customFormat="false" ht="15" hidden="false" customHeight="false" outlineLevel="0" collapsed="false">
      <c r="A5497" s="0" t="s">
        <v>5821</v>
      </c>
      <c r="B5497" s="0" t="s">
        <v>55</v>
      </c>
      <c r="C5497" s="0" t="str">
        <f aca="false">INDEX(Intent_Analysis!$B$5:$B$81,MATCH(B5497,Intent_Analysis!$A$5:$A$81,0))</f>
        <v>Card payments &amp; refunds</v>
      </c>
      <c r="D5497" s="0" t="n">
        <f aca="false">INDEX(Intent_Analysis!$E$5:$E$81,MATCH(B5497,Intent_Analysis!$A$5:$A$81,0))</f>
        <v>3</v>
      </c>
    </row>
    <row r="5498" customFormat="false" ht="15" hidden="false" customHeight="false" outlineLevel="0" collapsed="false">
      <c r="A5498" s="0" t="s">
        <v>5822</v>
      </c>
      <c r="B5498" s="0" t="s">
        <v>55</v>
      </c>
      <c r="C5498" s="0" t="str">
        <f aca="false">INDEX(Intent_Analysis!$B$5:$B$81,MATCH(B5498,Intent_Analysis!$A$5:$A$81,0))</f>
        <v>Card payments &amp; refunds</v>
      </c>
      <c r="D5498" s="0" t="n">
        <f aca="false">INDEX(Intent_Analysis!$E$5:$E$81,MATCH(B5498,Intent_Analysis!$A$5:$A$81,0))</f>
        <v>3</v>
      </c>
    </row>
    <row r="5499" customFormat="false" ht="15" hidden="false" customHeight="false" outlineLevel="0" collapsed="false">
      <c r="A5499" s="0" t="s">
        <v>5823</v>
      </c>
      <c r="B5499" s="0" t="s">
        <v>55</v>
      </c>
      <c r="C5499" s="0" t="str">
        <f aca="false">INDEX(Intent_Analysis!$B$5:$B$81,MATCH(B5499,Intent_Analysis!$A$5:$A$81,0))</f>
        <v>Card payments &amp; refunds</v>
      </c>
      <c r="D5499" s="0" t="n">
        <f aca="false">INDEX(Intent_Analysis!$E$5:$E$81,MATCH(B5499,Intent_Analysis!$A$5:$A$81,0))</f>
        <v>3</v>
      </c>
    </row>
    <row r="5500" customFormat="false" ht="15" hidden="false" customHeight="false" outlineLevel="0" collapsed="false">
      <c r="A5500" s="0" t="s">
        <v>5824</v>
      </c>
      <c r="B5500" s="0" t="s">
        <v>55</v>
      </c>
      <c r="C5500" s="0" t="str">
        <f aca="false">INDEX(Intent_Analysis!$B$5:$B$81,MATCH(B5500,Intent_Analysis!$A$5:$A$81,0))</f>
        <v>Card payments &amp; refunds</v>
      </c>
      <c r="D5500" s="0" t="n">
        <f aca="false">INDEX(Intent_Analysis!$E$5:$E$81,MATCH(B5500,Intent_Analysis!$A$5:$A$81,0))</f>
        <v>3</v>
      </c>
    </row>
    <row r="5501" customFormat="false" ht="15" hidden="false" customHeight="false" outlineLevel="0" collapsed="false">
      <c r="A5501" s="0" t="s">
        <v>5825</v>
      </c>
      <c r="B5501" s="0" t="s">
        <v>55</v>
      </c>
      <c r="C5501" s="0" t="str">
        <f aca="false">INDEX(Intent_Analysis!$B$5:$B$81,MATCH(B5501,Intent_Analysis!$A$5:$A$81,0))</f>
        <v>Card payments &amp; refunds</v>
      </c>
      <c r="D5501" s="0" t="n">
        <f aca="false">INDEX(Intent_Analysis!$E$5:$E$81,MATCH(B5501,Intent_Analysis!$A$5:$A$81,0))</f>
        <v>3</v>
      </c>
    </row>
    <row r="5502" customFormat="false" ht="15" hidden="false" customHeight="false" outlineLevel="0" collapsed="false">
      <c r="A5502" s="0" t="s">
        <v>5826</v>
      </c>
      <c r="B5502" s="0" t="s">
        <v>55</v>
      </c>
      <c r="C5502" s="0" t="str">
        <f aca="false">INDEX(Intent_Analysis!$B$5:$B$81,MATCH(B5502,Intent_Analysis!$A$5:$A$81,0))</f>
        <v>Card payments &amp; refunds</v>
      </c>
      <c r="D5502" s="0" t="n">
        <f aca="false">INDEX(Intent_Analysis!$E$5:$E$81,MATCH(B5502,Intent_Analysis!$A$5:$A$81,0))</f>
        <v>3</v>
      </c>
    </row>
    <row r="5503" customFormat="false" ht="15" hidden="false" customHeight="false" outlineLevel="0" collapsed="false">
      <c r="A5503" s="0" t="s">
        <v>5827</v>
      </c>
      <c r="B5503" s="0" t="s">
        <v>55</v>
      </c>
      <c r="C5503" s="0" t="str">
        <f aca="false">INDEX(Intent_Analysis!$B$5:$B$81,MATCH(B5503,Intent_Analysis!$A$5:$A$81,0))</f>
        <v>Card payments &amp; refunds</v>
      </c>
      <c r="D5503" s="0" t="n">
        <f aca="false">INDEX(Intent_Analysis!$E$5:$E$81,MATCH(B5503,Intent_Analysis!$A$5:$A$81,0))</f>
        <v>3</v>
      </c>
    </row>
    <row r="5504" customFormat="false" ht="15" hidden="false" customHeight="false" outlineLevel="0" collapsed="false">
      <c r="A5504" s="0" t="s">
        <v>5828</v>
      </c>
      <c r="B5504" s="0" t="s">
        <v>55</v>
      </c>
      <c r="C5504" s="0" t="str">
        <f aca="false">INDEX(Intent_Analysis!$B$5:$B$81,MATCH(B5504,Intent_Analysis!$A$5:$A$81,0))</f>
        <v>Card payments &amp; refunds</v>
      </c>
      <c r="D5504" s="0" t="n">
        <f aca="false">INDEX(Intent_Analysis!$E$5:$E$81,MATCH(B5504,Intent_Analysis!$A$5:$A$81,0))</f>
        <v>3</v>
      </c>
    </row>
    <row r="5505" customFormat="false" ht="15" hidden="false" customHeight="false" outlineLevel="0" collapsed="false">
      <c r="A5505" s="0" t="s">
        <v>5829</v>
      </c>
      <c r="B5505" s="0" t="s">
        <v>55</v>
      </c>
      <c r="C5505" s="0" t="str">
        <f aca="false">INDEX(Intent_Analysis!$B$5:$B$81,MATCH(B5505,Intent_Analysis!$A$5:$A$81,0))</f>
        <v>Card payments &amp; refunds</v>
      </c>
      <c r="D5505" s="0" t="n">
        <f aca="false">INDEX(Intent_Analysis!$E$5:$E$81,MATCH(B5505,Intent_Analysis!$A$5:$A$81,0))</f>
        <v>3</v>
      </c>
    </row>
    <row r="5506" customFormat="false" ht="15" hidden="false" customHeight="false" outlineLevel="0" collapsed="false">
      <c r="A5506" s="0" t="s">
        <v>5830</v>
      </c>
      <c r="B5506" s="0" t="s">
        <v>55</v>
      </c>
      <c r="C5506" s="0" t="str">
        <f aca="false">INDEX(Intent_Analysis!$B$5:$B$81,MATCH(B5506,Intent_Analysis!$A$5:$A$81,0))</f>
        <v>Card payments &amp; refunds</v>
      </c>
      <c r="D5506" s="0" t="n">
        <f aca="false">INDEX(Intent_Analysis!$E$5:$E$81,MATCH(B5506,Intent_Analysis!$A$5:$A$81,0))</f>
        <v>3</v>
      </c>
    </row>
    <row r="5507" customFormat="false" ht="15" hidden="false" customHeight="false" outlineLevel="0" collapsed="false">
      <c r="A5507" s="0" t="s">
        <v>5831</v>
      </c>
      <c r="B5507" s="0" t="s">
        <v>55</v>
      </c>
      <c r="C5507" s="0" t="str">
        <f aca="false">INDEX(Intent_Analysis!$B$5:$B$81,MATCH(B5507,Intent_Analysis!$A$5:$A$81,0))</f>
        <v>Card payments &amp; refunds</v>
      </c>
      <c r="D5507" s="0" t="n">
        <f aca="false">INDEX(Intent_Analysis!$E$5:$E$81,MATCH(B5507,Intent_Analysis!$A$5:$A$81,0))</f>
        <v>3</v>
      </c>
    </row>
    <row r="5508" customFormat="false" ht="15" hidden="false" customHeight="false" outlineLevel="0" collapsed="false">
      <c r="A5508" s="0" t="s">
        <v>5832</v>
      </c>
      <c r="B5508" s="0" t="s">
        <v>55</v>
      </c>
      <c r="C5508" s="0" t="str">
        <f aca="false">INDEX(Intent_Analysis!$B$5:$B$81,MATCH(B5508,Intent_Analysis!$A$5:$A$81,0))</f>
        <v>Card payments &amp; refunds</v>
      </c>
      <c r="D5508" s="0" t="n">
        <f aca="false">INDEX(Intent_Analysis!$E$5:$E$81,MATCH(B5508,Intent_Analysis!$A$5:$A$81,0))</f>
        <v>3</v>
      </c>
    </row>
    <row r="5509" customFormat="false" ht="15" hidden="false" customHeight="false" outlineLevel="0" collapsed="false">
      <c r="A5509" s="0" t="s">
        <v>5833</v>
      </c>
      <c r="B5509" s="0" t="s">
        <v>55</v>
      </c>
      <c r="C5509" s="0" t="str">
        <f aca="false">INDEX(Intent_Analysis!$B$5:$B$81,MATCH(B5509,Intent_Analysis!$A$5:$A$81,0))</f>
        <v>Card payments &amp; refunds</v>
      </c>
      <c r="D5509" s="0" t="n">
        <f aca="false">INDEX(Intent_Analysis!$E$5:$E$81,MATCH(B5509,Intent_Analysis!$A$5:$A$81,0))</f>
        <v>3</v>
      </c>
    </row>
    <row r="5510" customFormat="false" ht="15" hidden="false" customHeight="false" outlineLevel="0" collapsed="false">
      <c r="A5510" s="0" t="s">
        <v>5834</v>
      </c>
      <c r="B5510" s="0" t="s">
        <v>55</v>
      </c>
      <c r="C5510" s="0" t="str">
        <f aca="false">INDEX(Intent_Analysis!$B$5:$B$81,MATCH(B5510,Intent_Analysis!$A$5:$A$81,0))</f>
        <v>Card payments &amp; refunds</v>
      </c>
      <c r="D5510" s="0" t="n">
        <f aca="false">INDEX(Intent_Analysis!$E$5:$E$81,MATCH(B5510,Intent_Analysis!$A$5:$A$81,0))</f>
        <v>3</v>
      </c>
    </row>
    <row r="5511" customFormat="false" ht="15" hidden="false" customHeight="false" outlineLevel="0" collapsed="false">
      <c r="A5511" s="0" t="s">
        <v>5835</v>
      </c>
      <c r="B5511" s="0" t="s">
        <v>55</v>
      </c>
      <c r="C5511" s="0" t="str">
        <f aca="false">INDEX(Intent_Analysis!$B$5:$B$81,MATCH(B5511,Intent_Analysis!$A$5:$A$81,0))</f>
        <v>Card payments &amp; refunds</v>
      </c>
      <c r="D5511" s="0" t="n">
        <f aca="false">INDEX(Intent_Analysis!$E$5:$E$81,MATCH(B5511,Intent_Analysis!$A$5:$A$81,0))</f>
        <v>3</v>
      </c>
    </row>
    <row r="5512" customFormat="false" ht="15" hidden="false" customHeight="false" outlineLevel="0" collapsed="false">
      <c r="A5512" s="0" t="s">
        <v>5836</v>
      </c>
      <c r="B5512" s="0" t="s">
        <v>55</v>
      </c>
      <c r="C5512" s="0" t="str">
        <f aca="false">INDEX(Intent_Analysis!$B$5:$B$81,MATCH(B5512,Intent_Analysis!$A$5:$A$81,0))</f>
        <v>Card payments &amp; refunds</v>
      </c>
      <c r="D5512" s="0" t="n">
        <f aca="false">INDEX(Intent_Analysis!$E$5:$E$81,MATCH(B5512,Intent_Analysis!$A$5:$A$81,0))</f>
        <v>3</v>
      </c>
    </row>
    <row r="5513" customFormat="false" ht="15" hidden="false" customHeight="false" outlineLevel="0" collapsed="false">
      <c r="A5513" s="0" t="s">
        <v>5837</v>
      </c>
      <c r="B5513" s="0" t="s">
        <v>55</v>
      </c>
      <c r="C5513" s="0" t="str">
        <f aca="false">INDEX(Intent_Analysis!$B$5:$B$81,MATCH(B5513,Intent_Analysis!$A$5:$A$81,0))</f>
        <v>Card payments &amp; refunds</v>
      </c>
      <c r="D5513" s="0" t="n">
        <f aca="false">INDEX(Intent_Analysis!$E$5:$E$81,MATCH(B5513,Intent_Analysis!$A$5:$A$81,0))</f>
        <v>3</v>
      </c>
    </row>
    <row r="5514" customFormat="false" ht="15" hidden="false" customHeight="false" outlineLevel="0" collapsed="false">
      <c r="A5514" s="0" t="s">
        <v>5838</v>
      </c>
      <c r="B5514" s="0" t="s">
        <v>55</v>
      </c>
      <c r="C5514" s="0" t="str">
        <f aca="false">INDEX(Intent_Analysis!$B$5:$B$81,MATCH(B5514,Intent_Analysis!$A$5:$A$81,0))</f>
        <v>Card payments &amp; refunds</v>
      </c>
      <c r="D5514" s="0" t="n">
        <f aca="false">INDEX(Intent_Analysis!$E$5:$E$81,MATCH(B5514,Intent_Analysis!$A$5:$A$81,0))</f>
        <v>3</v>
      </c>
    </row>
    <row r="5515" customFormat="false" ht="15" hidden="false" customHeight="false" outlineLevel="0" collapsed="false">
      <c r="A5515" s="0" t="s">
        <v>5839</v>
      </c>
      <c r="B5515" s="0" t="s">
        <v>55</v>
      </c>
      <c r="C5515" s="0" t="str">
        <f aca="false">INDEX(Intent_Analysis!$B$5:$B$81,MATCH(B5515,Intent_Analysis!$A$5:$A$81,0))</f>
        <v>Card payments &amp; refunds</v>
      </c>
      <c r="D5515" s="0" t="n">
        <f aca="false">INDEX(Intent_Analysis!$E$5:$E$81,MATCH(B5515,Intent_Analysis!$A$5:$A$81,0))</f>
        <v>3</v>
      </c>
    </row>
    <row r="5516" customFormat="false" ht="15" hidden="false" customHeight="false" outlineLevel="0" collapsed="false">
      <c r="A5516" s="0" t="s">
        <v>5840</v>
      </c>
      <c r="B5516" s="0" t="s">
        <v>55</v>
      </c>
      <c r="C5516" s="0" t="str">
        <f aca="false">INDEX(Intent_Analysis!$B$5:$B$81,MATCH(B5516,Intent_Analysis!$A$5:$A$81,0))</f>
        <v>Card payments &amp; refunds</v>
      </c>
      <c r="D5516" s="0" t="n">
        <f aca="false">INDEX(Intent_Analysis!$E$5:$E$81,MATCH(B5516,Intent_Analysis!$A$5:$A$81,0))</f>
        <v>3</v>
      </c>
    </row>
    <row r="5517" customFormat="false" ht="15" hidden="false" customHeight="false" outlineLevel="0" collapsed="false">
      <c r="A5517" s="0" t="s">
        <v>5841</v>
      </c>
      <c r="B5517" s="0" t="s">
        <v>55</v>
      </c>
      <c r="C5517" s="0" t="str">
        <f aca="false">INDEX(Intent_Analysis!$B$5:$B$81,MATCH(B5517,Intent_Analysis!$A$5:$A$81,0))</f>
        <v>Card payments &amp; refunds</v>
      </c>
      <c r="D5517" s="0" t="n">
        <f aca="false">INDEX(Intent_Analysis!$E$5:$E$81,MATCH(B5517,Intent_Analysis!$A$5:$A$81,0))</f>
        <v>3</v>
      </c>
    </row>
    <row r="5518" customFormat="false" ht="15" hidden="false" customHeight="false" outlineLevel="0" collapsed="false">
      <c r="A5518" s="0" t="s">
        <v>5842</v>
      </c>
      <c r="B5518" s="0" t="s">
        <v>55</v>
      </c>
      <c r="C5518" s="0" t="str">
        <f aca="false">INDEX(Intent_Analysis!$B$5:$B$81,MATCH(B5518,Intent_Analysis!$A$5:$A$81,0))</f>
        <v>Card payments &amp; refunds</v>
      </c>
      <c r="D5518" s="0" t="n">
        <f aca="false">INDEX(Intent_Analysis!$E$5:$E$81,MATCH(B5518,Intent_Analysis!$A$5:$A$81,0))</f>
        <v>3</v>
      </c>
    </row>
    <row r="5519" customFormat="false" ht="15" hidden="false" customHeight="false" outlineLevel="0" collapsed="false">
      <c r="A5519" s="0" t="s">
        <v>5843</v>
      </c>
      <c r="B5519" s="0" t="s">
        <v>55</v>
      </c>
      <c r="C5519" s="0" t="str">
        <f aca="false">INDEX(Intent_Analysis!$B$5:$B$81,MATCH(B5519,Intent_Analysis!$A$5:$A$81,0))</f>
        <v>Card payments &amp; refunds</v>
      </c>
      <c r="D5519" s="0" t="n">
        <f aca="false">INDEX(Intent_Analysis!$E$5:$E$81,MATCH(B5519,Intent_Analysis!$A$5:$A$81,0))</f>
        <v>3</v>
      </c>
    </row>
    <row r="5520" customFormat="false" ht="15" hidden="false" customHeight="false" outlineLevel="0" collapsed="false">
      <c r="A5520" s="0" t="s">
        <v>5844</v>
      </c>
      <c r="B5520" s="0" t="s">
        <v>55</v>
      </c>
      <c r="C5520" s="0" t="str">
        <f aca="false">INDEX(Intent_Analysis!$B$5:$B$81,MATCH(B5520,Intent_Analysis!$A$5:$A$81,0))</f>
        <v>Card payments &amp; refunds</v>
      </c>
      <c r="D5520" s="0" t="n">
        <f aca="false">INDEX(Intent_Analysis!$E$5:$E$81,MATCH(B5520,Intent_Analysis!$A$5:$A$81,0))</f>
        <v>3</v>
      </c>
    </row>
    <row r="5521" customFormat="false" ht="15" hidden="false" customHeight="false" outlineLevel="0" collapsed="false">
      <c r="A5521" s="0" t="s">
        <v>5845</v>
      </c>
      <c r="B5521" s="0" t="s">
        <v>55</v>
      </c>
      <c r="C5521" s="0" t="str">
        <f aca="false">INDEX(Intent_Analysis!$B$5:$B$81,MATCH(B5521,Intent_Analysis!$A$5:$A$81,0))</f>
        <v>Card payments &amp; refunds</v>
      </c>
      <c r="D5521" s="0" t="n">
        <f aca="false">INDEX(Intent_Analysis!$E$5:$E$81,MATCH(B5521,Intent_Analysis!$A$5:$A$81,0))</f>
        <v>3</v>
      </c>
    </row>
    <row r="5522" customFormat="false" ht="15" hidden="false" customHeight="false" outlineLevel="0" collapsed="false">
      <c r="A5522" s="0" t="s">
        <v>5846</v>
      </c>
      <c r="B5522" s="0" t="s">
        <v>55</v>
      </c>
      <c r="C5522" s="0" t="str">
        <f aca="false">INDEX(Intent_Analysis!$B$5:$B$81,MATCH(B5522,Intent_Analysis!$A$5:$A$81,0))</f>
        <v>Card payments &amp; refunds</v>
      </c>
      <c r="D5522" s="0" t="n">
        <f aca="false">INDEX(Intent_Analysis!$E$5:$E$81,MATCH(B5522,Intent_Analysis!$A$5:$A$81,0))</f>
        <v>3</v>
      </c>
    </row>
    <row r="5523" customFormat="false" ht="15" hidden="false" customHeight="false" outlineLevel="0" collapsed="false">
      <c r="A5523" s="0" t="s">
        <v>5847</v>
      </c>
      <c r="B5523" s="0" t="s">
        <v>55</v>
      </c>
      <c r="C5523" s="0" t="str">
        <f aca="false">INDEX(Intent_Analysis!$B$5:$B$81,MATCH(B5523,Intent_Analysis!$A$5:$A$81,0))</f>
        <v>Card payments &amp; refunds</v>
      </c>
      <c r="D5523" s="0" t="n">
        <f aca="false">INDEX(Intent_Analysis!$E$5:$E$81,MATCH(B5523,Intent_Analysis!$A$5:$A$81,0))</f>
        <v>3</v>
      </c>
    </row>
    <row r="5524" customFormat="false" ht="15" hidden="false" customHeight="false" outlineLevel="0" collapsed="false">
      <c r="A5524" s="0" t="s">
        <v>5848</v>
      </c>
      <c r="B5524" s="0" t="s">
        <v>55</v>
      </c>
      <c r="C5524" s="0" t="str">
        <f aca="false">INDEX(Intent_Analysis!$B$5:$B$81,MATCH(B5524,Intent_Analysis!$A$5:$A$81,0))</f>
        <v>Card payments &amp; refunds</v>
      </c>
      <c r="D5524" s="0" t="n">
        <f aca="false">INDEX(Intent_Analysis!$E$5:$E$81,MATCH(B5524,Intent_Analysis!$A$5:$A$81,0))</f>
        <v>3</v>
      </c>
    </row>
    <row r="5525" customFormat="false" ht="15" hidden="false" customHeight="false" outlineLevel="0" collapsed="false">
      <c r="A5525" s="0" t="s">
        <v>5849</v>
      </c>
      <c r="B5525" s="0" t="s">
        <v>55</v>
      </c>
      <c r="C5525" s="0" t="str">
        <f aca="false">INDEX(Intent_Analysis!$B$5:$B$81,MATCH(B5525,Intent_Analysis!$A$5:$A$81,0))</f>
        <v>Card payments &amp; refunds</v>
      </c>
      <c r="D5525" s="0" t="n">
        <f aca="false">INDEX(Intent_Analysis!$E$5:$E$81,MATCH(B5525,Intent_Analysis!$A$5:$A$81,0))</f>
        <v>3</v>
      </c>
    </row>
    <row r="5526" customFormat="false" ht="15" hidden="false" customHeight="false" outlineLevel="0" collapsed="false">
      <c r="A5526" s="0" t="s">
        <v>5850</v>
      </c>
      <c r="B5526" s="0" t="s">
        <v>55</v>
      </c>
      <c r="C5526" s="0" t="str">
        <f aca="false">INDEX(Intent_Analysis!$B$5:$B$81,MATCH(B5526,Intent_Analysis!$A$5:$A$81,0))</f>
        <v>Card payments &amp; refunds</v>
      </c>
      <c r="D5526" s="0" t="n">
        <f aca="false">INDEX(Intent_Analysis!$E$5:$E$81,MATCH(B5526,Intent_Analysis!$A$5:$A$81,0))</f>
        <v>3</v>
      </c>
    </row>
    <row r="5527" customFormat="false" ht="15" hidden="false" customHeight="false" outlineLevel="0" collapsed="false">
      <c r="A5527" s="0" t="s">
        <v>5851</v>
      </c>
      <c r="B5527" s="0" t="s">
        <v>55</v>
      </c>
      <c r="C5527" s="0" t="str">
        <f aca="false">INDEX(Intent_Analysis!$B$5:$B$81,MATCH(B5527,Intent_Analysis!$A$5:$A$81,0))</f>
        <v>Card payments &amp; refunds</v>
      </c>
      <c r="D5527" s="0" t="n">
        <f aca="false">INDEX(Intent_Analysis!$E$5:$E$81,MATCH(B5527,Intent_Analysis!$A$5:$A$81,0))</f>
        <v>3</v>
      </c>
    </row>
    <row r="5528" customFormat="false" ht="15" hidden="false" customHeight="false" outlineLevel="0" collapsed="false">
      <c r="A5528" s="0" t="s">
        <v>5852</v>
      </c>
      <c r="B5528" s="0" t="s">
        <v>55</v>
      </c>
      <c r="C5528" s="0" t="str">
        <f aca="false">INDEX(Intent_Analysis!$B$5:$B$81,MATCH(B5528,Intent_Analysis!$A$5:$A$81,0))</f>
        <v>Card payments &amp; refunds</v>
      </c>
      <c r="D5528" s="0" t="n">
        <f aca="false">INDEX(Intent_Analysis!$E$5:$E$81,MATCH(B5528,Intent_Analysis!$A$5:$A$81,0))</f>
        <v>3</v>
      </c>
    </row>
    <row r="5529" customFormat="false" ht="15" hidden="false" customHeight="false" outlineLevel="0" collapsed="false">
      <c r="A5529" s="0" t="s">
        <v>5853</v>
      </c>
      <c r="B5529" s="0" t="s">
        <v>55</v>
      </c>
      <c r="C5529" s="0" t="str">
        <f aca="false">INDEX(Intent_Analysis!$B$5:$B$81,MATCH(B5529,Intent_Analysis!$A$5:$A$81,0))</f>
        <v>Card payments &amp; refunds</v>
      </c>
      <c r="D5529" s="0" t="n">
        <f aca="false">INDEX(Intent_Analysis!$E$5:$E$81,MATCH(B5529,Intent_Analysis!$A$5:$A$81,0))</f>
        <v>3</v>
      </c>
    </row>
    <row r="5530" customFormat="false" ht="15" hidden="false" customHeight="false" outlineLevel="0" collapsed="false">
      <c r="A5530" s="0" t="s">
        <v>5854</v>
      </c>
      <c r="B5530" s="0" t="s">
        <v>55</v>
      </c>
      <c r="C5530" s="0" t="str">
        <f aca="false">INDEX(Intent_Analysis!$B$5:$B$81,MATCH(B5530,Intent_Analysis!$A$5:$A$81,0))</f>
        <v>Card payments &amp; refunds</v>
      </c>
      <c r="D5530" s="0" t="n">
        <f aca="false">INDEX(Intent_Analysis!$E$5:$E$81,MATCH(B5530,Intent_Analysis!$A$5:$A$81,0))</f>
        <v>3</v>
      </c>
    </row>
    <row r="5531" customFormat="false" ht="15" hidden="false" customHeight="false" outlineLevel="0" collapsed="false">
      <c r="A5531" s="0" t="s">
        <v>5855</v>
      </c>
      <c r="B5531" s="0" t="s">
        <v>55</v>
      </c>
      <c r="C5531" s="0" t="str">
        <f aca="false">INDEX(Intent_Analysis!$B$5:$B$81,MATCH(B5531,Intent_Analysis!$A$5:$A$81,0))</f>
        <v>Card payments &amp; refunds</v>
      </c>
      <c r="D5531" s="0" t="n">
        <f aca="false">INDEX(Intent_Analysis!$E$5:$E$81,MATCH(B5531,Intent_Analysis!$A$5:$A$81,0))</f>
        <v>3</v>
      </c>
    </row>
    <row r="5532" customFormat="false" ht="15" hidden="false" customHeight="false" outlineLevel="0" collapsed="false">
      <c r="A5532" s="0" t="s">
        <v>5856</v>
      </c>
      <c r="B5532" s="0" t="s">
        <v>55</v>
      </c>
      <c r="C5532" s="0" t="str">
        <f aca="false">INDEX(Intent_Analysis!$B$5:$B$81,MATCH(B5532,Intent_Analysis!$A$5:$A$81,0))</f>
        <v>Card payments &amp; refunds</v>
      </c>
      <c r="D5532" s="0" t="n">
        <f aca="false">INDEX(Intent_Analysis!$E$5:$E$81,MATCH(B5532,Intent_Analysis!$A$5:$A$81,0))</f>
        <v>3</v>
      </c>
    </row>
    <row r="5533" customFormat="false" ht="15" hidden="false" customHeight="false" outlineLevel="0" collapsed="false">
      <c r="A5533" s="0" t="s">
        <v>5857</v>
      </c>
      <c r="B5533" s="0" t="s">
        <v>55</v>
      </c>
      <c r="C5533" s="0" t="str">
        <f aca="false">INDEX(Intent_Analysis!$B$5:$B$81,MATCH(B5533,Intent_Analysis!$A$5:$A$81,0))</f>
        <v>Card payments &amp; refunds</v>
      </c>
      <c r="D5533" s="0" t="n">
        <f aca="false">INDEX(Intent_Analysis!$E$5:$E$81,MATCH(B5533,Intent_Analysis!$A$5:$A$81,0))</f>
        <v>3</v>
      </c>
    </row>
    <row r="5534" customFormat="false" ht="15" hidden="false" customHeight="false" outlineLevel="0" collapsed="false">
      <c r="A5534" s="0" t="s">
        <v>5858</v>
      </c>
      <c r="B5534" s="0" t="s">
        <v>55</v>
      </c>
      <c r="C5534" s="0" t="str">
        <f aca="false">INDEX(Intent_Analysis!$B$5:$B$81,MATCH(B5534,Intent_Analysis!$A$5:$A$81,0))</f>
        <v>Card payments &amp; refunds</v>
      </c>
      <c r="D5534" s="0" t="n">
        <f aca="false">INDEX(Intent_Analysis!$E$5:$E$81,MATCH(B5534,Intent_Analysis!$A$5:$A$81,0))</f>
        <v>3</v>
      </c>
    </row>
    <row r="5535" customFormat="false" ht="15" hidden="false" customHeight="false" outlineLevel="0" collapsed="false">
      <c r="A5535" s="0" t="s">
        <v>5859</v>
      </c>
      <c r="B5535" s="0" t="s">
        <v>55</v>
      </c>
      <c r="C5535" s="0" t="str">
        <f aca="false">INDEX(Intent_Analysis!$B$5:$B$81,MATCH(B5535,Intent_Analysis!$A$5:$A$81,0))</f>
        <v>Card payments &amp; refunds</v>
      </c>
      <c r="D5535" s="0" t="n">
        <f aca="false">INDEX(Intent_Analysis!$E$5:$E$81,MATCH(B5535,Intent_Analysis!$A$5:$A$81,0))</f>
        <v>3</v>
      </c>
    </row>
    <row r="5536" customFormat="false" ht="15" hidden="false" customHeight="false" outlineLevel="0" collapsed="false">
      <c r="A5536" s="0" t="s">
        <v>5860</v>
      </c>
      <c r="B5536" s="0" t="s">
        <v>55</v>
      </c>
      <c r="C5536" s="0" t="str">
        <f aca="false">INDEX(Intent_Analysis!$B$5:$B$81,MATCH(B5536,Intent_Analysis!$A$5:$A$81,0))</f>
        <v>Card payments &amp; refunds</v>
      </c>
      <c r="D5536" s="0" t="n">
        <f aca="false">INDEX(Intent_Analysis!$E$5:$E$81,MATCH(B5536,Intent_Analysis!$A$5:$A$81,0))</f>
        <v>3</v>
      </c>
    </row>
    <row r="5537" customFormat="false" ht="15" hidden="false" customHeight="false" outlineLevel="0" collapsed="false">
      <c r="A5537" s="0" t="s">
        <v>5861</v>
      </c>
      <c r="B5537" s="0" t="s">
        <v>55</v>
      </c>
      <c r="C5537" s="0" t="str">
        <f aca="false">INDEX(Intent_Analysis!$B$5:$B$81,MATCH(B5537,Intent_Analysis!$A$5:$A$81,0))</f>
        <v>Card payments &amp; refunds</v>
      </c>
      <c r="D5537" s="0" t="n">
        <f aca="false">INDEX(Intent_Analysis!$E$5:$E$81,MATCH(B5537,Intent_Analysis!$A$5:$A$81,0))</f>
        <v>3</v>
      </c>
    </row>
    <row r="5538" customFormat="false" ht="15" hidden="false" customHeight="false" outlineLevel="0" collapsed="false">
      <c r="A5538" s="0" t="s">
        <v>5862</v>
      </c>
      <c r="B5538" s="0" t="s">
        <v>55</v>
      </c>
      <c r="C5538" s="0" t="str">
        <f aca="false">INDEX(Intent_Analysis!$B$5:$B$81,MATCH(B5538,Intent_Analysis!$A$5:$A$81,0))</f>
        <v>Card payments &amp; refunds</v>
      </c>
      <c r="D5538" s="0" t="n">
        <f aca="false">INDEX(Intent_Analysis!$E$5:$E$81,MATCH(B5538,Intent_Analysis!$A$5:$A$81,0))</f>
        <v>3</v>
      </c>
    </row>
    <row r="5539" customFormat="false" ht="15" hidden="false" customHeight="false" outlineLevel="0" collapsed="false">
      <c r="A5539" s="0" t="s">
        <v>5863</v>
      </c>
      <c r="B5539" s="0" t="s">
        <v>55</v>
      </c>
      <c r="C5539" s="0" t="str">
        <f aca="false">INDEX(Intent_Analysis!$B$5:$B$81,MATCH(B5539,Intent_Analysis!$A$5:$A$81,0))</f>
        <v>Card payments &amp; refunds</v>
      </c>
      <c r="D5539" s="0" t="n">
        <f aca="false">INDEX(Intent_Analysis!$E$5:$E$81,MATCH(B5539,Intent_Analysis!$A$5:$A$81,0))</f>
        <v>3</v>
      </c>
    </row>
    <row r="5540" customFormat="false" ht="15" hidden="false" customHeight="false" outlineLevel="0" collapsed="false">
      <c r="A5540" s="0" t="s">
        <v>5864</v>
      </c>
      <c r="B5540" s="0" t="s">
        <v>55</v>
      </c>
      <c r="C5540" s="0" t="str">
        <f aca="false">INDEX(Intent_Analysis!$B$5:$B$81,MATCH(B5540,Intent_Analysis!$A$5:$A$81,0))</f>
        <v>Card payments &amp; refunds</v>
      </c>
      <c r="D5540" s="0" t="n">
        <f aca="false">INDEX(Intent_Analysis!$E$5:$E$81,MATCH(B5540,Intent_Analysis!$A$5:$A$81,0))</f>
        <v>3</v>
      </c>
    </row>
    <row r="5541" customFormat="false" ht="15" hidden="false" customHeight="false" outlineLevel="0" collapsed="false">
      <c r="A5541" s="0" t="s">
        <v>5865</v>
      </c>
      <c r="B5541" s="0" t="s">
        <v>55</v>
      </c>
      <c r="C5541" s="0" t="str">
        <f aca="false">INDEX(Intent_Analysis!$B$5:$B$81,MATCH(B5541,Intent_Analysis!$A$5:$A$81,0))</f>
        <v>Card payments &amp; refunds</v>
      </c>
      <c r="D5541" s="0" t="n">
        <f aca="false">INDEX(Intent_Analysis!$E$5:$E$81,MATCH(B5541,Intent_Analysis!$A$5:$A$81,0))</f>
        <v>3</v>
      </c>
    </row>
    <row r="5542" customFormat="false" ht="15" hidden="false" customHeight="false" outlineLevel="0" collapsed="false">
      <c r="A5542" s="0" t="s">
        <v>5866</v>
      </c>
      <c r="B5542" s="0" t="s">
        <v>55</v>
      </c>
      <c r="C5542" s="0" t="str">
        <f aca="false">INDEX(Intent_Analysis!$B$5:$B$81,MATCH(B5542,Intent_Analysis!$A$5:$A$81,0))</f>
        <v>Card payments &amp; refunds</v>
      </c>
      <c r="D5542" s="0" t="n">
        <f aca="false">INDEX(Intent_Analysis!$E$5:$E$81,MATCH(B5542,Intent_Analysis!$A$5:$A$81,0))</f>
        <v>3</v>
      </c>
    </row>
    <row r="5543" customFormat="false" ht="15" hidden="false" customHeight="false" outlineLevel="0" collapsed="false">
      <c r="A5543" s="0" t="s">
        <v>5867</v>
      </c>
      <c r="B5543" s="0" t="s">
        <v>118</v>
      </c>
      <c r="C5543" s="0" t="str">
        <f aca="false">INDEX(Intent_Analysis!$B$5:$B$81,MATCH(B5543,Intent_Analysis!$A$5:$A$81,0))</f>
        <v>Transfers</v>
      </c>
      <c r="D5543" s="0" t="n">
        <f aca="false">INDEX(Intent_Analysis!$E$5:$E$81,MATCH(B5543,Intent_Analysis!$A$5:$A$81,0))</f>
        <v>2</v>
      </c>
    </row>
    <row r="5544" customFormat="false" ht="15" hidden="false" customHeight="false" outlineLevel="0" collapsed="false">
      <c r="A5544" s="0" t="s">
        <v>5868</v>
      </c>
      <c r="B5544" s="0" t="s">
        <v>118</v>
      </c>
      <c r="C5544" s="0" t="str">
        <f aca="false">INDEX(Intent_Analysis!$B$5:$B$81,MATCH(B5544,Intent_Analysis!$A$5:$A$81,0))</f>
        <v>Transfers</v>
      </c>
      <c r="D5544" s="0" t="n">
        <f aca="false">INDEX(Intent_Analysis!$E$5:$E$81,MATCH(B5544,Intent_Analysis!$A$5:$A$81,0))</f>
        <v>2</v>
      </c>
    </row>
    <row r="5545" customFormat="false" ht="15" hidden="false" customHeight="false" outlineLevel="0" collapsed="false">
      <c r="A5545" s="0" t="s">
        <v>5869</v>
      </c>
      <c r="B5545" s="0" t="s">
        <v>118</v>
      </c>
      <c r="C5545" s="0" t="str">
        <f aca="false">INDEX(Intent_Analysis!$B$5:$B$81,MATCH(B5545,Intent_Analysis!$A$5:$A$81,0))</f>
        <v>Transfers</v>
      </c>
      <c r="D5545" s="0" t="n">
        <f aca="false">INDEX(Intent_Analysis!$E$5:$E$81,MATCH(B5545,Intent_Analysis!$A$5:$A$81,0))</f>
        <v>2</v>
      </c>
    </row>
    <row r="5546" customFormat="false" ht="15" hidden="false" customHeight="false" outlineLevel="0" collapsed="false">
      <c r="A5546" s="0" t="s">
        <v>5870</v>
      </c>
      <c r="B5546" s="0" t="s">
        <v>118</v>
      </c>
      <c r="C5546" s="0" t="str">
        <f aca="false">INDEX(Intent_Analysis!$B$5:$B$81,MATCH(B5546,Intent_Analysis!$A$5:$A$81,0))</f>
        <v>Transfers</v>
      </c>
      <c r="D5546" s="0" t="n">
        <f aca="false">INDEX(Intent_Analysis!$E$5:$E$81,MATCH(B5546,Intent_Analysis!$A$5:$A$81,0))</f>
        <v>2</v>
      </c>
    </row>
    <row r="5547" customFormat="false" ht="15" hidden="false" customHeight="false" outlineLevel="0" collapsed="false">
      <c r="A5547" s="0" t="s">
        <v>5871</v>
      </c>
      <c r="B5547" s="0" t="s">
        <v>118</v>
      </c>
      <c r="C5547" s="0" t="str">
        <f aca="false">INDEX(Intent_Analysis!$B$5:$B$81,MATCH(B5547,Intent_Analysis!$A$5:$A$81,0))</f>
        <v>Transfers</v>
      </c>
      <c r="D5547" s="0" t="n">
        <f aca="false">INDEX(Intent_Analysis!$E$5:$E$81,MATCH(B5547,Intent_Analysis!$A$5:$A$81,0))</f>
        <v>2</v>
      </c>
    </row>
    <row r="5548" customFormat="false" ht="15" hidden="false" customHeight="false" outlineLevel="0" collapsed="false">
      <c r="A5548" s="0" t="s">
        <v>5872</v>
      </c>
      <c r="B5548" s="0" t="s">
        <v>118</v>
      </c>
      <c r="C5548" s="0" t="str">
        <f aca="false">INDEX(Intent_Analysis!$B$5:$B$81,MATCH(B5548,Intent_Analysis!$A$5:$A$81,0))</f>
        <v>Transfers</v>
      </c>
      <c r="D5548" s="0" t="n">
        <f aca="false">INDEX(Intent_Analysis!$E$5:$E$81,MATCH(B5548,Intent_Analysis!$A$5:$A$81,0))</f>
        <v>2</v>
      </c>
    </row>
    <row r="5549" customFormat="false" ht="15" hidden="false" customHeight="false" outlineLevel="0" collapsed="false">
      <c r="A5549" s="0" t="s">
        <v>5873</v>
      </c>
      <c r="B5549" s="0" t="s">
        <v>118</v>
      </c>
      <c r="C5549" s="0" t="str">
        <f aca="false">INDEX(Intent_Analysis!$B$5:$B$81,MATCH(B5549,Intent_Analysis!$A$5:$A$81,0))</f>
        <v>Transfers</v>
      </c>
      <c r="D5549" s="0" t="n">
        <f aca="false">INDEX(Intent_Analysis!$E$5:$E$81,MATCH(B5549,Intent_Analysis!$A$5:$A$81,0))</f>
        <v>2</v>
      </c>
    </row>
    <row r="5550" customFormat="false" ht="15" hidden="false" customHeight="false" outlineLevel="0" collapsed="false">
      <c r="A5550" s="0" t="s">
        <v>5874</v>
      </c>
      <c r="B5550" s="0" t="s">
        <v>118</v>
      </c>
      <c r="C5550" s="0" t="str">
        <f aca="false">INDEX(Intent_Analysis!$B$5:$B$81,MATCH(B5550,Intent_Analysis!$A$5:$A$81,0))</f>
        <v>Transfers</v>
      </c>
      <c r="D5550" s="0" t="n">
        <f aca="false">INDEX(Intent_Analysis!$E$5:$E$81,MATCH(B5550,Intent_Analysis!$A$5:$A$81,0))</f>
        <v>2</v>
      </c>
    </row>
    <row r="5551" customFormat="false" ht="15" hidden="false" customHeight="false" outlineLevel="0" collapsed="false">
      <c r="A5551" s="0" t="s">
        <v>5875</v>
      </c>
      <c r="B5551" s="0" t="s">
        <v>118</v>
      </c>
      <c r="C5551" s="0" t="str">
        <f aca="false">INDEX(Intent_Analysis!$B$5:$B$81,MATCH(B5551,Intent_Analysis!$A$5:$A$81,0))</f>
        <v>Transfers</v>
      </c>
      <c r="D5551" s="0" t="n">
        <f aca="false">INDEX(Intent_Analysis!$E$5:$E$81,MATCH(B5551,Intent_Analysis!$A$5:$A$81,0))</f>
        <v>2</v>
      </c>
    </row>
    <row r="5552" customFormat="false" ht="15" hidden="false" customHeight="false" outlineLevel="0" collapsed="false">
      <c r="A5552" s="0" t="s">
        <v>5876</v>
      </c>
      <c r="B5552" s="0" t="s">
        <v>118</v>
      </c>
      <c r="C5552" s="0" t="str">
        <f aca="false">INDEX(Intent_Analysis!$B$5:$B$81,MATCH(B5552,Intent_Analysis!$A$5:$A$81,0))</f>
        <v>Transfers</v>
      </c>
      <c r="D5552" s="0" t="n">
        <f aca="false">INDEX(Intent_Analysis!$E$5:$E$81,MATCH(B5552,Intent_Analysis!$A$5:$A$81,0))</f>
        <v>2</v>
      </c>
    </row>
    <row r="5553" customFormat="false" ht="15" hidden="false" customHeight="false" outlineLevel="0" collapsed="false">
      <c r="A5553" s="0" t="s">
        <v>5877</v>
      </c>
      <c r="B5553" s="0" t="s">
        <v>118</v>
      </c>
      <c r="C5553" s="0" t="str">
        <f aca="false">INDEX(Intent_Analysis!$B$5:$B$81,MATCH(B5553,Intent_Analysis!$A$5:$A$81,0))</f>
        <v>Transfers</v>
      </c>
      <c r="D5553" s="0" t="n">
        <f aca="false">INDEX(Intent_Analysis!$E$5:$E$81,MATCH(B5553,Intent_Analysis!$A$5:$A$81,0))</f>
        <v>2</v>
      </c>
    </row>
    <row r="5554" customFormat="false" ht="15" hidden="false" customHeight="false" outlineLevel="0" collapsed="false">
      <c r="A5554" s="0" t="s">
        <v>5878</v>
      </c>
      <c r="B5554" s="0" t="s">
        <v>118</v>
      </c>
      <c r="C5554" s="0" t="str">
        <f aca="false">INDEX(Intent_Analysis!$B$5:$B$81,MATCH(B5554,Intent_Analysis!$A$5:$A$81,0))</f>
        <v>Transfers</v>
      </c>
      <c r="D5554" s="0" t="n">
        <f aca="false">INDEX(Intent_Analysis!$E$5:$E$81,MATCH(B5554,Intent_Analysis!$A$5:$A$81,0))</f>
        <v>2</v>
      </c>
    </row>
    <row r="5555" customFormat="false" ht="15" hidden="false" customHeight="false" outlineLevel="0" collapsed="false">
      <c r="A5555" s="0" t="s">
        <v>5879</v>
      </c>
      <c r="B5555" s="0" t="s">
        <v>118</v>
      </c>
      <c r="C5555" s="0" t="str">
        <f aca="false">INDEX(Intent_Analysis!$B$5:$B$81,MATCH(B5555,Intent_Analysis!$A$5:$A$81,0))</f>
        <v>Transfers</v>
      </c>
      <c r="D5555" s="0" t="n">
        <f aca="false">INDEX(Intent_Analysis!$E$5:$E$81,MATCH(B5555,Intent_Analysis!$A$5:$A$81,0))</f>
        <v>2</v>
      </c>
    </row>
    <row r="5556" customFormat="false" ht="15" hidden="false" customHeight="false" outlineLevel="0" collapsed="false">
      <c r="A5556" s="0" t="s">
        <v>5880</v>
      </c>
      <c r="B5556" s="0" t="s">
        <v>118</v>
      </c>
      <c r="C5556" s="0" t="str">
        <f aca="false">INDEX(Intent_Analysis!$B$5:$B$81,MATCH(B5556,Intent_Analysis!$A$5:$A$81,0))</f>
        <v>Transfers</v>
      </c>
      <c r="D5556" s="0" t="n">
        <f aca="false">INDEX(Intent_Analysis!$E$5:$E$81,MATCH(B5556,Intent_Analysis!$A$5:$A$81,0))</f>
        <v>2</v>
      </c>
    </row>
    <row r="5557" customFormat="false" ht="15" hidden="false" customHeight="false" outlineLevel="0" collapsed="false">
      <c r="A5557" s="0" t="s">
        <v>5881</v>
      </c>
      <c r="B5557" s="0" t="s">
        <v>118</v>
      </c>
      <c r="C5557" s="0" t="str">
        <f aca="false">INDEX(Intent_Analysis!$B$5:$B$81,MATCH(B5557,Intent_Analysis!$A$5:$A$81,0))</f>
        <v>Transfers</v>
      </c>
      <c r="D5557" s="0" t="n">
        <f aca="false">INDEX(Intent_Analysis!$E$5:$E$81,MATCH(B5557,Intent_Analysis!$A$5:$A$81,0))</f>
        <v>2</v>
      </c>
    </row>
    <row r="5558" customFormat="false" ht="15" hidden="false" customHeight="false" outlineLevel="0" collapsed="false">
      <c r="A5558" s="0" t="s">
        <v>5882</v>
      </c>
      <c r="B5558" s="0" t="s">
        <v>118</v>
      </c>
      <c r="C5558" s="0" t="str">
        <f aca="false">INDEX(Intent_Analysis!$B$5:$B$81,MATCH(B5558,Intent_Analysis!$A$5:$A$81,0))</f>
        <v>Transfers</v>
      </c>
      <c r="D5558" s="0" t="n">
        <f aca="false">INDEX(Intent_Analysis!$E$5:$E$81,MATCH(B5558,Intent_Analysis!$A$5:$A$81,0))</f>
        <v>2</v>
      </c>
    </row>
    <row r="5559" customFormat="false" ht="15" hidden="false" customHeight="false" outlineLevel="0" collapsed="false">
      <c r="A5559" s="0" t="s">
        <v>5883</v>
      </c>
      <c r="B5559" s="0" t="s">
        <v>118</v>
      </c>
      <c r="C5559" s="0" t="str">
        <f aca="false">INDEX(Intent_Analysis!$B$5:$B$81,MATCH(B5559,Intent_Analysis!$A$5:$A$81,0))</f>
        <v>Transfers</v>
      </c>
      <c r="D5559" s="0" t="n">
        <f aca="false">INDEX(Intent_Analysis!$E$5:$E$81,MATCH(B5559,Intent_Analysis!$A$5:$A$81,0))</f>
        <v>2</v>
      </c>
    </row>
    <row r="5560" customFormat="false" ht="15" hidden="false" customHeight="false" outlineLevel="0" collapsed="false">
      <c r="A5560" s="0" t="s">
        <v>5884</v>
      </c>
      <c r="B5560" s="0" t="s">
        <v>118</v>
      </c>
      <c r="C5560" s="0" t="str">
        <f aca="false">INDEX(Intent_Analysis!$B$5:$B$81,MATCH(B5560,Intent_Analysis!$A$5:$A$81,0))</f>
        <v>Transfers</v>
      </c>
      <c r="D5560" s="0" t="n">
        <f aca="false">INDEX(Intent_Analysis!$E$5:$E$81,MATCH(B5560,Intent_Analysis!$A$5:$A$81,0))</f>
        <v>2</v>
      </c>
    </row>
    <row r="5561" customFormat="false" ht="15" hidden="false" customHeight="false" outlineLevel="0" collapsed="false">
      <c r="A5561" s="0" t="s">
        <v>5885</v>
      </c>
      <c r="B5561" s="0" t="s">
        <v>118</v>
      </c>
      <c r="C5561" s="0" t="str">
        <f aca="false">INDEX(Intent_Analysis!$B$5:$B$81,MATCH(B5561,Intent_Analysis!$A$5:$A$81,0))</f>
        <v>Transfers</v>
      </c>
      <c r="D5561" s="0" t="n">
        <f aca="false">INDEX(Intent_Analysis!$E$5:$E$81,MATCH(B5561,Intent_Analysis!$A$5:$A$81,0))</f>
        <v>2</v>
      </c>
    </row>
    <row r="5562" customFormat="false" ht="15" hidden="false" customHeight="false" outlineLevel="0" collapsed="false">
      <c r="A5562" s="0" t="s">
        <v>5886</v>
      </c>
      <c r="B5562" s="0" t="s">
        <v>118</v>
      </c>
      <c r="C5562" s="0" t="str">
        <f aca="false">INDEX(Intent_Analysis!$B$5:$B$81,MATCH(B5562,Intent_Analysis!$A$5:$A$81,0))</f>
        <v>Transfers</v>
      </c>
      <c r="D5562" s="0" t="n">
        <f aca="false">INDEX(Intent_Analysis!$E$5:$E$81,MATCH(B5562,Intent_Analysis!$A$5:$A$81,0))</f>
        <v>2</v>
      </c>
    </row>
    <row r="5563" customFormat="false" ht="15" hidden="false" customHeight="false" outlineLevel="0" collapsed="false">
      <c r="A5563" s="0" t="s">
        <v>5887</v>
      </c>
      <c r="B5563" s="0" t="s">
        <v>118</v>
      </c>
      <c r="C5563" s="0" t="str">
        <f aca="false">INDEX(Intent_Analysis!$B$5:$B$81,MATCH(B5563,Intent_Analysis!$A$5:$A$81,0))</f>
        <v>Transfers</v>
      </c>
      <c r="D5563" s="0" t="n">
        <f aca="false">INDEX(Intent_Analysis!$E$5:$E$81,MATCH(B5563,Intent_Analysis!$A$5:$A$81,0))</f>
        <v>2</v>
      </c>
    </row>
    <row r="5564" customFormat="false" ht="15" hidden="false" customHeight="false" outlineLevel="0" collapsed="false">
      <c r="A5564" s="0" t="s">
        <v>5888</v>
      </c>
      <c r="B5564" s="0" t="s">
        <v>118</v>
      </c>
      <c r="C5564" s="0" t="str">
        <f aca="false">INDEX(Intent_Analysis!$B$5:$B$81,MATCH(B5564,Intent_Analysis!$A$5:$A$81,0))</f>
        <v>Transfers</v>
      </c>
      <c r="D5564" s="0" t="n">
        <f aca="false">INDEX(Intent_Analysis!$E$5:$E$81,MATCH(B5564,Intent_Analysis!$A$5:$A$81,0))</f>
        <v>2</v>
      </c>
    </row>
    <row r="5565" customFormat="false" ht="15" hidden="false" customHeight="false" outlineLevel="0" collapsed="false">
      <c r="A5565" s="0" t="s">
        <v>5889</v>
      </c>
      <c r="B5565" s="0" t="s">
        <v>118</v>
      </c>
      <c r="C5565" s="0" t="str">
        <f aca="false">INDEX(Intent_Analysis!$B$5:$B$81,MATCH(B5565,Intent_Analysis!$A$5:$A$81,0))</f>
        <v>Transfers</v>
      </c>
      <c r="D5565" s="0" t="n">
        <f aca="false">INDEX(Intent_Analysis!$E$5:$E$81,MATCH(B5565,Intent_Analysis!$A$5:$A$81,0))</f>
        <v>2</v>
      </c>
    </row>
    <row r="5566" customFormat="false" ht="15" hidden="false" customHeight="false" outlineLevel="0" collapsed="false">
      <c r="A5566" s="0" t="s">
        <v>5890</v>
      </c>
      <c r="B5566" s="0" t="s">
        <v>118</v>
      </c>
      <c r="C5566" s="0" t="str">
        <f aca="false">INDEX(Intent_Analysis!$B$5:$B$81,MATCH(B5566,Intent_Analysis!$A$5:$A$81,0))</f>
        <v>Transfers</v>
      </c>
      <c r="D5566" s="0" t="n">
        <f aca="false">INDEX(Intent_Analysis!$E$5:$E$81,MATCH(B5566,Intent_Analysis!$A$5:$A$81,0))</f>
        <v>2</v>
      </c>
    </row>
    <row r="5567" customFormat="false" ht="15" hidden="false" customHeight="false" outlineLevel="0" collapsed="false">
      <c r="A5567" s="0" t="s">
        <v>5891</v>
      </c>
      <c r="B5567" s="0" t="s">
        <v>118</v>
      </c>
      <c r="C5567" s="0" t="str">
        <f aca="false">INDEX(Intent_Analysis!$B$5:$B$81,MATCH(B5567,Intent_Analysis!$A$5:$A$81,0))</f>
        <v>Transfers</v>
      </c>
      <c r="D5567" s="0" t="n">
        <f aca="false">INDEX(Intent_Analysis!$E$5:$E$81,MATCH(B5567,Intent_Analysis!$A$5:$A$81,0))</f>
        <v>2</v>
      </c>
    </row>
    <row r="5568" customFormat="false" ht="15" hidden="false" customHeight="false" outlineLevel="0" collapsed="false">
      <c r="A5568" s="0" t="s">
        <v>5892</v>
      </c>
      <c r="B5568" s="0" t="s">
        <v>118</v>
      </c>
      <c r="C5568" s="0" t="str">
        <f aca="false">INDEX(Intent_Analysis!$B$5:$B$81,MATCH(B5568,Intent_Analysis!$A$5:$A$81,0))</f>
        <v>Transfers</v>
      </c>
      <c r="D5568" s="0" t="n">
        <f aca="false">INDEX(Intent_Analysis!$E$5:$E$81,MATCH(B5568,Intent_Analysis!$A$5:$A$81,0))</f>
        <v>2</v>
      </c>
    </row>
    <row r="5569" customFormat="false" ht="15" hidden="false" customHeight="false" outlineLevel="0" collapsed="false">
      <c r="A5569" s="0" t="s">
        <v>5893</v>
      </c>
      <c r="B5569" s="0" t="s">
        <v>118</v>
      </c>
      <c r="C5569" s="0" t="str">
        <f aca="false">INDEX(Intent_Analysis!$B$5:$B$81,MATCH(B5569,Intent_Analysis!$A$5:$A$81,0))</f>
        <v>Transfers</v>
      </c>
      <c r="D5569" s="0" t="n">
        <f aca="false">INDEX(Intent_Analysis!$E$5:$E$81,MATCH(B5569,Intent_Analysis!$A$5:$A$81,0))</f>
        <v>2</v>
      </c>
    </row>
    <row r="5570" customFormat="false" ht="15" hidden="false" customHeight="false" outlineLevel="0" collapsed="false">
      <c r="A5570" s="0" t="s">
        <v>5894</v>
      </c>
      <c r="B5570" s="0" t="s">
        <v>118</v>
      </c>
      <c r="C5570" s="0" t="str">
        <f aca="false">INDEX(Intent_Analysis!$B$5:$B$81,MATCH(B5570,Intent_Analysis!$A$5:$A$81,0))</f>
        <v>Transfers</v>
      </c>
      <c r="D5570" s="0" t="n">
        <f aca="false">INDEX(Intent_Analysis!$E$5:$E$81,MATCH(B5570,Intent_Analysis!$A$5:$A$81,0))</f>
        <v>2</v>
      </c>
    </row>
    <row r="5571" customFormat="false" ht="15" hidden="false" customHeight="false" outlineLevel="0" collapsed="false">
      <c r="A5571" s="0" t="s">
        <v>5895</v>
      </c>
      <c r="B5571" s="0" t="s">
        <v>118</v>
      </c>
      <c r="C5571" s="0" t="str">
        <f aca="false">INDEX(Intent_Analysis!$B$5:$B$81,MATCH(B5571,Intent_Analysis!$A$5:$A$81,0))</f>
        <v>Transfers</v>
      </c>
      <c r="D5571" s="0" t="n">
        <f aca="false">INDEX(Intent_Analysis!$E$5:$E$81,MATCH(B5571,Intent_Analysis!$A$5:$A$81,0))</f>
        <v>2</v>
      </c>
    </row>
    <row r="5572" customFormat="false" ht="15" hidden="false" customHeight="false" outlineLevel="0" collapsed="false">
      <c r="A5572" s="0" t="s">
        <v>5896</v>
      </c>
      <c r="B5572" s="0" t="s">
        <v>118</v>
      </c>
      <c r="C5572" s="0" t="str">
        <f aca="false">INDEX(Intent_Analysis!$B$5:$B$81,MATCH(B5572,Intent_Analysis!$A$5:$A$81,0))</f>
        <v>Transfers</v>
      </c>
      <c r="D5572" s="0" t="n">
        <f aca="false">INDEX(Intent_Analysis!$E$5:$E$81,MATCH(B5572,Intent_Analysis!$A$5:$A$81,0))</f>
        <v>2</v>
      </c>
    </row>
    <row r="5573" customFormat="false" ht="15" hidden="false" customHeight="false" outlineLevel="0" collapsed="false">
      <c r="A5573" s="0" t="s">
        <v>5897</v>
      </c>
      <c r="B5573" s="0" t="s">
        <v>118</v>
      </c>
      <c r="C5573" s="0" t="str">
        <f aca="false">INDEX(Intent_Analysis!$B$5:$B$81,MATCH(B5573,Intent_Analysis!$A$5:$A$81,0))</f>
        <v>Transfers</v>
      </c>
      <c r="D5573" s="0" t="n">
        <f aca="false">INDEX(Intent_Analysis!$E$5:$E$81,MATCH(B5573,Intent_Analysis!$A$5:$A$81,0))</f>
        <v>2</v>
      </c>
    </row>
    <row r="5574" customFormat="false" ht="15" hidden="false" customHeight="false" outlineLevel="0" collapsed="false">
      <c r="A5574" s="0" t="s">
        <v>5898</v>
      </c>
      <c r="B5574" s="0" t="s">
        <v>118</v>
      </c>
      <c r="C5574" s="0" t="str">
        <f aca="false">INDEX(Intent_Analysis!$B$5:$B$81,MATCH(B5574,Intent_Analysis!$A$5:$A$81,0))</f>
        <v>Transfers</v>
      </c>
      <c r="D5574" s="0" t="n">
        <f aca="false">INDEX(Intent_Analysis!$E$5:$E$81,MATCH(B5574,Intent_Analysis!$A$5:$A$81,0))</f>
        <v>2</v>
      </c>
    </row>
    <row r="5575" customFormat="false" ht="15" hidden="false" customHeight="false" outlineLevel="0" collapsed="false">
      <c r="A5575" s="0" t="s">
        <v>5899</v>
      </c>
      <c r="B5575" s="0" t="s">
        <v>118</v>
      </c>
      <c r="C5575" s="0" t="str">
        <f aca="false">INDEX(Intent_Analysis!$B$5:$B$81,MATCH(B5575,Intent_Analysis!$A$5:$A$81,0))</f>
        <v>Transfers</v>
      </c>
      <c r="D5575" s="0" t="n">
        <f aca="false">INDEX(Intent_Analysis!$E$5:$E$81,MATCH(B5575,Intent_Analysis!$A$5:$A$81,0))</f>
        <v>2</v>
      </c>
    </row>
    <row r="5576" customFormat="false" ht="15" hidden="false" customHeight="false" outlineLevel="0" collapsed="false">
      <c r="A5576" s="0" t="s">
        <v>5900</v>
      </c>
      <c r="B5576" s="0" t="s">
        <v>118</v>
      </c>
      <c r="C5576" s="0" t="str">
        <f aca="false">INDEX(Intent_Analysis!$B$5:$B$81,MATCH(B5576,Intent_Analysis!$A$5:$A$81,0))</f>
        <v>Transfers</v>
      </c>
      <c r="D5576" s="0" t="n">
        <f aca="false">INDEX(Intent_Analysis!$E$5:$E$81,MATCH(B5576,Intent_Analysis!$A$5:$A$81,0))</f>
        <v>2</v>
      </c>
    </row>
    <row r="5577" customFormat="false" ht="15" hidden="false" customHeight="false" outlineLevel="0" collapsed="false">
      <c r="A5577" s="0" t="s">
        <v>5901</v>
      </c>
      <c r="B5577" s="0" t="s">
        <v>118</v>
      </c>
      <c r="C5577" s="0" t="str">
        <f aca="false">INDEX(Intent_Analysis!$B$5:$B$81,MATCH(B5577,Intent_Analysis!$A$5:$A$81,0))</f>
        <v>Transfers</v>
      </c>
      <c r="D5577" s="0" t="n">
        <f aca="false">INDEX(Intent_Analysis!$E$5:$E$81,MATCH(B5577,Intent_Analysis!$A$5:$A$81,0))</f>
        <v>2</v>
      </c>
    </row>
    <row r="5578" customFormat="false" ht="15" hidden="false" customHeight="false" outlineLevel="0" collapsed="false">
      <c r="A5578" s="0" t="s">
        <v>5902</v>
      </c>
      <c r="B5578" s="0" t="s">
        <v>118</v>
      </c>
      <c r="C5578" s="0" t="str">
        <f aca="false">INDEX(Intent_Analysis!$B$5:$B$81,MATCH(B5578,Intent_Analysis!$A$5:$A$81,0))</f>
        <v>Transfers</v>
      </c>
      <c r="D5578" s="0" t="n">
        <f aca="false">INDEX(Intent_Analysis!$E$5:$E$81,MATCH(B5578,Intent_Analysis!$A$5:$A$81,0))</f>
        <v>2</v>
      </c>
    </row>
    <row r="5579" customFormat="false" ht="15" hidden="false" customHeight="false" outlineLevel="0" collapsed="false">
      <c r="A5579" s="0" t="s">
        <v>5903</v>
      </c>
      <c r="B5579" s="0" t="s">
        <v>118</v>
      </c>
      <c r="C5579" s="0" t="str">
        <f aca="false">INDEX(Intent_Analysis!$B$5:$B$81,MATCH(B5579,Intent_Analysis!$A$5:$A$81,0))</f>
        <v>Transfers</v>
      </c>
      <c r="D5579" s="0" t="n">
        <f aca="false">INDEX(Intent_Analysis!$E$5:$E$81,MATCH(B5579,Intent_Analysis!$A$5:$A$81,0))</f>
        <v>2</v>
      </c>
    </row>
    <row r="5580" customFormat="false" ht="15" hidden="false" customHeight="false" outlineLevel="0" collapsed="false">
      <c r="A5580" s="0" t="s">
        <v>5904</v>
      </c>
      <c r="B5580" s="0" t="s">
        <v>118</v>
      </c>
      <c r="C5580" s="0" t="str">
        <f aca="false">INDEX(Intent_Analysis!$B$5:$B$81,MATCH(B5580,Intent_Analysis!$A$5:$A$81,0))</f>
        <v>Transfers</v>
      </c>
      <c r="D5580" s="0" t="n">
        <f aca="false">INDEX(Intent_Analysis!$E$5:$E$81,MATCH(B5580,Intent_Analysis!$A$5:$A$81,0))</f>
        <v>2</v>
      </c>
    </row>
    <row r="5581" customFormat="false" ht="15" hidden="false" customHeight="false" outlineLevel="0" collapsed="false">
      <c r="A5581" s="0" t="s">
        <v>5905</v>
      </c>
      <c r="B5581" s="0" t="s">
        <v>118</v>
      </c>
      <c r="C5581" s="0" t="str">
        <f aca="false">INDEX(Intent_Analysis!$B$5:$B$81,MATCH(B5581,Intent_Analysis!$A$5:$A$81,0))</f>
        <v>Transfers</v>
      </c>
      <c r="D5581" s="0" t="n">
        <f aca="false">INDEX(Intent_Analysis!$E$5:$E$81,MATCH(B5581,Intent_Analysis!$A$5:$A$81,0))</f>
        <v>2</v>
      </c>
    </row>
    <row r="5582" customFormat="false" ht="15" hidden="false" customHeight="false" outlineLevel="0" collapsed="false">
      <c r="A5582" s="0" t="s">
        <v>5906</v>
      </c>
      <c r="B5582" s="0" t="s">
        <v>118</v>
      </c>
      <c r="C5582" s="0" t="str">
        <f aca="false">INDEX(Intent_Analysis!$B$5:$B$81,MATCH(B5582,Intent_Analysis!$A$5:$A$81,0))</f>
        <v>Transfers</v>
      </c>
      <c r="D5582" s="0" t="n">
        <f aca="false">INDEX(Intent_Analysis!$E$5:$E$81,MATCH(B5582,Intent_Analysis!$A$5:$A$81,0))</f>
        <v>2</v>
      </c>
    </row>
    <row r="5583" customFormat="false" ht="15" hidden="false" customHeight="false" outlineLevel="0" collapsed="false">
      <c r="A5583" s="0" t="s">
        <v>5907</v>
      </c>
      <c r="B5583" s="0" t="s">
        <v>118</v>
      </c>
      <c r="C5583" s="0" t="str">
        <f aca="false">INDEX(Intent_Analysis!$B$5:$B$81,MATCH(B5583,Intent_Analysis!$A$5:$A$81,0))</f>
        <v>Transfers</v>
      </c>
      <c r="D5583" s="0" t="n">
        <f aca="false">INDEX(Intent_Analysis!$E$5:$E$81,MATCH(B5583,Intent_Analysis!$A$5:$A$81,0))</f>
        <v>2</v>
      </c>
    </row>
    <row r="5584" customFormat="false" ht="15" hidden="false" customHeight="false" outlineLevel="0" collapsed="false">
      <c r="A5584" s="0" t="s">
        <v>5908</v>
      </c>
      <c r="B5584" s="0" t="s">
        <v>118</v>
      </c>
      <c r="C5584" s="0" t="str">
        <f aca="false">INDEX(Intent_Analysis!$B$5:$B$81,MATCH(B5584,Intent_Analysis!$A$5:$A$81,0))</f>
        <v>Transfers</v>
      </c>
      <c r="D5584" s="0" t="n">
        <f aca="false">INDEX(Intent_Analysis!$E$5:$E$81,MATCH(B5584,Intent_Analysis!$A$5:$A$81,0))</f>
        <v>2</v>
      </c>
    </row>
    <row r="5585" customFormat="false" ht="15" hidden="false" customHeight="false" outlineLevel="0" collapsed="false">
      <c r="A5585" s="0" t="s">
        <v>5909</v>
      </c>
      <c r="B5585" s="0" t="s">
        <v>118</v>
      </c>
      <c r="C5585" s="0" t="str">
        <f aca="false">INDEX(Intent_Analysis!$B$5:$B$81,MATCH(B5585,Intent_Analysis!$A$5:$A$81,0))</f>
        <v>Transfers</v>
      </c>
      <c r="D5585" s="0" t="n">
        <f aca="false">INDEX(Intent_Analysis!$E$5:$E$81,MATCH(B5585,Intent_Analysis!$A$5:$A$81,0))</f>
        <v>2</v>
      </c>
    </row>
    <row r="5586" customFormat="false" ht="15" hidden="false" customHeight="false" outlineLevel="0" collapsed="false">
      <c r="A5586" s="0" t="s">
        <v>5910</v>
      </c>
      <c r="B5586" s="0" t="s">
        <v>118</v>
      </c>
      <c r="C5586" s="0" t="str">
        <f aca="false">INDEX(Intent_Analysis!$B$5:$B$81,MATCH(B5586,Intent_Analysis!$A$5:$A$81,0))</f>
        <v>Transfers</v>
      </c>
      <c r="D5586" s="0" t="n">
        <f aca="false">INDEX(Intent_Analysis!$E$5:$E$81,MATCH(B5586,Intent_Analysis!$A$5:$A$81,0))</f>
        <v>2</v>
      </c>
    </row>
    <row r="5587" customFormat="false" ht="15" hidden="false" customHeight="false" outlineLevel="0" collapsed="false">
      <c r="A5587" s="0" t="s">
        <v>5911</v>
      </c>
      <c r="B5587" s="0" t="s">
        <v>118</v>
      </c>
      <c r="C5587" s="0" t="str">
        <f aca="false">INDEX(Intent_Analysis!$B$5:$B$81,MATCH(B5587,Intent_Analysis!$A$5:$A$81,0))</f>
        <v>Transfers</v>
      </c>
      <c r="D5587" s="0" t="n">
        <f aca="false">INDEX(Intent_Analysis!$E$5:$E$81,MATCH(B5587,Intent_Analysis!$A$5:$A$81,0))</f>
        <v>2</v>
      </c>
    </row>
    <row r="5588" customFormat="false" ht="15" hidden="false" customHeight="false" outlineLevel="0" collapsed="false">
      <c r="A5588" s="0" t="s">
        <v>5912</v>
      </c>
      <c r="B5588" s="0" t="s">
        <v>118</v>
      </c>
      <c r="C5588" s="0" t="str">
        <f aca="false">INDEX(Intent_Analysis!$B$5:$B$81,MATCH(B5588,Intent_Analysis!$A$5:$A$81,0))</f>
        <v>Transfers</v>
      </c>
      <c r="D5588" s="0" t="n">
        <f aca="false">INDEX(Intent_Analysis!$E$5:$E$81,MATCH(B5588,Intent_Analysis!$A$5:$A$81,0))</f>
        <v>2</v>
      </c>
    </row>
    <row r="5589" customFormat="false" ht="15" hidden="false" customHeight="false" outlineLevel="0" collapsed="false">
      <c r="A5589" s="0" t="s">
        <v>5913</v>
      </c>
      <c r="B5589" s="0" t="s">
        <v>118</v>
      </c>
      <c r="C5589" s="0" t="str">
        <f aca="false">INDEX(Intent_Analysis!$B$5:$B$81,MATCH(B5589,Intent_Analysis!$A$5:$A$81,0))</f>
        <v>Transfers</v>
      </c>
      <c r="D5589" s="0" t="n">
        <f aca="false">INDEX(Intent_Analysis!$E$5:$E$81,MATCH(B5589,Intent_Analysis!$A$5:$A$81,0))</f>
        <v>2</v>
      </c>
    </row>
    <row r="5590" customFormat="false" ht="15" hidden="false" customHeight="false" outlineLevel="0" collapsed="false">
      <c r="A5590" s="0" t="s">
        <v>5914</v>
      </c>
      <c r="B5590" s="0" t="s">
        <v>118</v>
      </c>
      <c r="C5590" s="0" t="str">
        <f aca="false">INDEX(Intent_Analysis!$B$5:$B$81,MATCH(B5590,Intent_Analysis!$A$5:$A$81,0))</f>
        <v>Transfers</v>
      </c>
      <c r="D5590" s="0" t="n">
        <f aca="false">INDEX(Intent_Analysis!$E$5:$E$81,MATCH(B5590,Intent_Analysis!$A$5:$A$81,0))</f>
        <v>2</v>
      </c>
    </row>
    <row r="5591" customFormat="false" ht="15" hidden="false" customHeight="false" outlineLevel="0" collapsed="false">
      <c r="A5591" s="0" t="s">
        <v>5915</v>
      </c>
      <c r="B5591" s="0" t="s">
        <v>118</v>
      </c>
      <c r="C5591" s="0" t="str">
        <f aca="false">INDEX(Intent_Analysis!$B$5:$B$81,MATCH(B5591,Intent_Analysis!$A$5:$A$81,0))</f>
        <v>Transfers</v>
      </c>
      <c r="D5591" s="0" t="n">
        <f aca="false">INDEX(Intent_Analysis!$E$5:$E$81,MATCH(B5591,Intent_Analysis!$A$5:$A$81,0))</f>
        <v>2</v>
      </c>
    </row>
    <row r="5592" customFormat="false" ht="15" hidden="false" customHeight="false" outlineLevel="0" collapsed="false">
      <c r="A5592" s="0" t="s">
        <v>5916</v>
      </c>
      <c r="B5592" s="0" t="s">
        <v>118</v>
      </c>
      <c r="C5592" s="0" t="str">
        <f aca="false">INDEX(Intent_Analysis!$B$5:$B$81,MATCH(B5592,Intent_Analysis!$A$5:$A$81,0))</f>
        <v>Transfers</v>
      </c>
      <c r="D5592" s="0" t="n">
        <f aca="false">INDEX(Intent_Analysis!$E$5:$E$81,MATCH(B5592,Intent_Analysis!$A$5:$A$81,0))</f>
        <v>2</v>
      </c>
    </row>
    <row r="5593" customFormat="false" ht="15" hidden="false" customHeight="false" outlineLevel="0" collapsed="false">
      <c r="A5593" s="0" t="s">
        <v>5917</v>
      </c>
      <c r="B5593" s="0" t="s">
        <v>118</v>
      </c>
      <c r="C5593" s="0" t="str">
        <f aca="false">INDEX(Intent_Analysis!$B$5:$B$81,MATCH(B5593,Intent_Analysis!$A$5:$A$81,0))</f>
        <v>Transfers</v>
      </c>
      <c r="D5593" s="0" t="n">
        <f aca="false">INDEX(Intent_Analysis!$E$5:$E$81,MATCH(B5593,Intent_Analysis!$A$5:$A$81,0))</f>
        <v>2</v>
      </c>
    </row>
    <row r="5594" customFormat="false" ht="15" hidden="false" customHeight="false" outlineLevel="0" collapsed="false">
      <c r="A5594" s="0" t="s">
        <v>5918</v>
      </c>
      <c r="B5594" s="0" t="s">
        <v>118</v>
      </c>
      <c r="C5594" s="0" t="str">
        <f aca="false">INDEX(Intent_Analysis!$B$5:$B$81,MATCH(B5594,Intent_Analysis!$A$5:$A$81,0))</f>
        <v>Transfers</v>
      </c>
      <c r="D5594" s="0" t="n">
        <f aca="false">INDEX(Intent_Analysis!$E$5:$E$81,MATCH(B5594,Intent_Analysis!$A$5:$A$81,0))</f>
        <v>2</v>
      </c>
    </row>
    <row r="5595" customFormat="false" ht="15" hidden="false" customHeight="false" outlineLevel="0" collapsed="false">
      <c r="A5595" s="0" t="s">
        <v>5919</v>
      </c>
      <c r="B5595" s="0" t="s">
        <v>118</v>
      </c>
      <c r="C5595" s="0" t="str">
        <f aca="false">INDEX(Intent_Analysis!$B$5:$B$81,MATCH(B5595,Intent_Analysis!$A$5:$A$81,0))</f>
        <v>Transfers</v>
      </c>
      <c r="D5595" s="0" t="n">
        <f aca="false">INDEX(Intent_Analysis!$E$5:$E$81,MATCH(B5595,Intent_Analysis!$A$5:$A$81,0))</f>
        <v>2</v>
      </c>
    </row>
    <row r="5596" customFormat="false" ht="15" hidden="false" customHeight="false" outlineLevel="0" collapsed="false">
      <c r="A5596" s="0" t="s">
        <v>5920</v>
      </c>
      <c r="B5596" s="0" t="s">
        <v>118</v>
      </c>
      <c r="C5596" s="0" t="str">
        <f aca="false">INDEX(Intent_Analysis!$B$5:$B$81,MATCH(B5596,Intent_Analysis!$A$5:$A$81,0))</f>
        <v>Transfers</v>
      </c>
      <c r="D5596" s="0" t="n">
        <f aca="false">INDEX(Intent_Analysis!$E$5:$E$81,MATCH(B5596,Intent_Analysis!$A$5:$A$81,0))</f>
        <v>2</v>
      </c>
    </row>
    <row r="5597" customFormat="false" ht="15" hidden="false" customHeight="false" outlineLevel="0" collapsed="false">
      <c r="A5597" s="0" t="s">
        <v>5921</v>
      </c>
      <c r="B5597" s="0" t="s">
        <v>118</v>
      </c>
      <c r="C5597" s="0" t="str">
        <f aca="false">INDEX(Intent_Analysis!$B$5:$B$81,MATCH(B5597,Intent_Analysis!$A$5:$A$81,0))</f>
        <v>Transfers</v>
      </c>
      <c r="D5597" s="0" t="n">
        <f aca="false">INDEX(Intent_Analysis!$E$5:$E$81,MATCH(B5597,Intent_Analysis!$A$5:$A$81,0))</f>
        <v>2</v>
      </c>
    </row>
    <row r="5598" customFormat="false" ht="15" hidden="false" customHeight="false" outlineLevel="0" collapsed="false">
      <c r="A5598" s="0" t="s">
        <v>5922</v>
      </c>
      <c r="B5598" s="0" t="s">
        <v>118</v>
      </c>
      <c r="C5598" s="0" t="str">
        <f aca="false">INDEX(Intent_Analysis!$B$5:$B$81,MATCH(B5598,Intent_Analysis!$A$5:$A$81,0))</f>
        <v>Transfers</v>
      </c>
      <c r="D5598" s="0" t="n">
        <f aca="false">INDEX(Intent_Analysis!$E$5:$E$81,MATCH(B5598,Intent_Analysis!$A$5:$A$81,0))</f>
        <v>2</v>
      </c>
    </row>
    <row r="5599" customFormat="false" ht="15" hidden="false" customHeight="false" outlineLevel="0" collapsed="false">
      <c r="A5599" s="0" t="s">
        <v>5923</v>
      </c>
      <c r="B5599" s="0" t="s">
        <v>118</v>
      </c>
      <c r="C5599" s="0" t="str">
        <f aca="false">INDEX(Intent_Analysis!$B$5:$B$81,MATCH(B5599,Intent_Analysis!$A$5:$A$81,0))</f>
        <v>Transfers</v>
      </c>
      <c r="D5599" s="0" t="n">
        <f aca="false">INDEX(Intent_Analysis!$E$5:$E$81,MATCH(B5599,Intent_Analysis!$A$5:$A$81,0))</f>
        <v>2</v>
      </c>
    </row>
    <row r="5600" customFormat="false" ht="15" hidden="false" customHeight="false" outlineLevel="0" collapsed="false">
      <c r="A5600" s="0" t="s">
        <v>5924</v>
      </c>
      <c r="B5600" s="0" t="s">
        <v>118</v>
      </c>
      <c r="C5600" s="0" t="str">
        <f aca="false">INDEX(Intent_Analysis!$B$5:$B$81,MATCH(B5600,Intent_Analysis!$A$5:$A$81,0))</f>
        <v>Transfers</v>
      </c>
      <c r="D5600" s="0" t="n">
        <f aca="false">INDEX(Intent_Analysis!$E$5:$E$81,MATCH(B5600,Intent_Analysis!$A$5:$A$81,0))</f>
        <v>2</v>
      </c>
    </row>
    <row r="5601" customFormat="false" ht="15" hidden="false" customHeight="false" outlineLevel="0" collapsed="false">
      <c r="A5601" s="0" t="s">
        <v>5925</v>
      </c>
      <c r="B5601" s="0" t="s">
        <v>118</v>
      </c>
      <c r="C5601" s="0" t="str">
        <f aca="false">INDEX(Intent_Analysis!$B$5:$B$81,MATCH(B5601,Intent_Analysis!$A$5:$A$81,0))</f>
        <v>Transfers</v>
      </c>
      <c r="D5601" s="0" t="n">
        <f aca="false">INDEX(Intent_Analysis!$E$5:$E$81,MATCH(B5601,Intent_Analysis!$A$5:$A$81,0))</f>
        <v>2</v>
      </c>
    </row>
    <row r="5602" customFormat="false" ht="15" hidden="false" customHeight="false" outlineLevel="0" collapsed="false">
      <c r="A5602" s="0" t="s">
        <v>5926</v>
      </c>
      <c r="B5602" s="0" t="s">
        <v>118</v>
      </c>
      <c r="C5602" s="0" t="str">
        <f aca="false">INDEX(Intent_Analysis!$B$5:$B$81,MATCH(B5602,Intent_Analysis!$A$5:$A$81,0))</f>
        <v>Transfers</v>
      </c>
      <c r="D5602" s="0" t="n">
        <f aca="false">INDEX(Intent_Analysis!$E$5:$E$81,MATCH(B5602,Intent_Analysis!$A$5:$A$81,0))</f>
        <v>2</v>
      </c>
    </row>
    <row r="5603" customFormat="false" ht="15" hidden="false" customHeight="false" outlineLevel="0" collapsed="false">
      <c r="A5603" s="0" t="s">
        <v>5927</v>
      </c>
      <c r="B5603" s="0" t="s">
        <v>118</v>
      </c>
      <c r="C5603" s="0" t="str">
        <f aca="false">INDEX(Intent_Analysis!$B$5:$B$81,MATCH(B5603,Intent_Analysis!$A$5:$A$81,0))</f>
        <v>Transfers</v>
      </c>
      <c r="D5603" s="0" t="n">
        <f aca="false">INDEX(Intent_Analysis!$E$5:$E$81,MATCH(B5603,Intent_Analysis!$A$5:$A$81,0))</f>
        <v>2</v>
      </c>
    </row>
    <row r="5604" customFormat="false" ht="15" hidden="false" customHeight="false" outlineLevel="0" collapsed="false">
      <c r="A5604" s="0" t="s">
        <v>5928</v>
      </c>
      <c r="B5604" s="0" t="s">
        <v>118</v>
      </c>
      <c r="C5604" s="0" t="str">
        <f aca="false">INDEX(Intent_Analysis!$B$5:$B$81,MATCH(B5604,Intent_Analysis!$A$5:$A$81,0))</f>
        <v>Transfers</v>
      </c>
      <c r="D5604" s="0" t="n">
        <f aca="false">INDEX(Intent_Analysis!$E$5:$E$81,MATCH(B5604,Intent_Analysis!$A$5:$A$81,0))</f>
        <v>2</v>
      </c>
    </row>
    <row r="5605" customFormat="false" ht="15" hidden="false" customHeight="false" outlineLevel="0" collapsed="false">
      <c r="A5605" s="0" t="s">
        <v>5929</v>
      </c>
      <c r="B5605" s="0" t="s">
        <v>118</v>
      </c>
      <c r="C5605" s="0" t="str">
        <f aca="false">INDEX(Intent_Analysis!$B$5:$B$81,MATCH(B5605,Intent_Analysis!$A$5:$A$81,0))</f>
        <v>Transfers</v>
      </c>
      <c r="D5605" s="0" t="n">
        <f aca="false">INDEX(Intent_Analysis!$E$5:$E$81,MATCH(B5605,Intent_Analysis!$A$5:$A$81,0))</f>
        <v>2</v>
      </c>
    </row>
    <row r="5606" customFormat="false" ht="15" hidden="false" customHeight="false" outlineLevel="0" collapsed="false">
      <c r="A5606" s="0" t="s">
        <v>5930</v>
      </c>
      <c r="B5606" s="0" t="s">
        <v>118</v>
      </c>
      <c r="C5606" s="0" t="str">
        <f aca="false">INDEX(Intent_Analysis!$B$5:$B$81,MATCH(B5606,Intent_Analysis!$A$5:$A$81,0))</f>
        <v>Transfers</v>
      </c>
      <c r="D5606" s="0" t="n">
        <f aca="false">INDEX(Intent_Analysis!$E$5:$E$81,MATCH(B5606,Intent_Analysis!$A$5:$A$81,0))</f>
        <v>2</v>
      </c>
    </row>
    <row r="5607" customFormat="false" ht="15" hidden="false" customHeight="false" outlineLevel="0" collapsed="false">
      <c r="A5607" s="0" t="s">
        <v>5931</v>
      </c>
      <c r="B5607" s="0" t="s">
        <v>118</v>
      </c>
      <c r="C5607" s="0" t="str">
        <f aca="false">INDEX(Intent_Analysis!$B$5:$B$81,MATCH(B5607,Intent_Analysis!$A$5:$A$81,0))</f>
        <v>Transfers</v>
      </c>
      <c r="D5607" s="0" t="n">
        <f aca="false">INDEX(Intent_Analysis!$E$5:$E$81,MATCH(B5607,Intent_Analysis!$A$5:$A$81,0))</f>
        <v>2</v>
      </c>
    </row>
    <row r="5608" customFormat="false" ht="15" hidden="false" customHeight="false" outlineLevel="0" collapsed="false">
      <c r="A5608" s="0" t="s">
        <v>5932</v>
      </c>
      <c r="B5608" s="0" t="s">
        <v>118</v>
      </c>
      <c r="C5608" s="0" t="str">
        <f aca="false">INDEX(Intent_Analysis!$B$5:$B$81,MATCH(B5608,Intent_Analysis!$A$5:$A$81,0))</f>
        <v>Transfers</v>
      </c>
      <c r="D5608" s="0" t="n">
        <f aca="false">INDEX(Intent_Analysis!$E$5:$E$81,MATCH(B5608,Intent_Analysis!$A$5:$A$81,0))</f>
        <v>2</v>
      </c>
    </row>
    <row r="5609" customFormat="false" ht="15" hidden="false" customHeight="false" outlineLevel="0" collapsed="false">
      <c r="A5609" s="0" t="s">
        <v>5933</v>
      </c>
      <c r="B5609" s="0" t="s">
        <v>118</v>
      </c>
      <c r="C5609" s="0" t="str">
        <f aca="false">INDEX(Intent_Analysis!$B$5:$B$81,MATCH(B5609,Intent_Analysis!$A$5:$A$81,0))</f>
        <v>Transfers</v>
      </c>
      <c r="D5609" s="0" t="n">
        <f aca="false">INDEX(Intent_Analysis!$E$5:$E$81,MATCH(B5609,Intent_Analysis!$A$5:$A$81,0))</f>
        <v>2</v>
      </c>
    </row>
    <row r="5610" customFormat="false" ht="15" hidden="false" customHeight="false" outlineLevel="0" collapsed="false">
      <c r="A5610" s="0" t="s">
        <v>5934</v>
      </c>
      <c r="B5610" s="0" t="s">
        <v>118</v>
      </c>
      <c r="C5610" s="0" t="str">
        <f aca="false">INDEX(Intent_Analysis!$B$5:$B$81,MATCH(B5610,Intent_Analysis!$A$5:$A$81,0))</f>
        <v>Transfers</v>
      </c>
      <c r="D5610" s="0" t="n">
        <f aca="false">INDEX(Intent_Analysis!$E$5:$E$81,MATCH(B5610,Intent_Analysis!$A$5:$A$81,0))</f>
        <v>2</v>
      </c>
    </row>
    <row r="5611" customFormat="false" ht="15" hidden="false" customHeight="false" outlineLevel="0" collapsed="false">
      <c r="A5611" s="0" t="s">
        <v>5935</v>
      </c>
      <c r="B5611" s="0" t="s">
        <v>118</v>
      </c>
      <c r="C5611" s="0" t="str">
        <f aca="false">INDEX(Intent_Analysis!$B$5:$B$81,MATCH(B5611,Intent_Analysis!$A$5:$A$81,0))</f>
        <v>Transfers</v>
      </c>
      <c r="D5611" s="0" t="n">
        <f aca="false">INDEX(Intent_Analysis!$E$5:$E$81,MATCH(B5611,Intent_Analysis!$A$5:$A$81,0))</f>
        <v>2</v>
      </c>
    </row>
    <row r="5612" customFormat="false" ht="15" hidden="false" customHeight="false" outlineLevel="0" collapsed="false">
      <c r="A5612" s="0" t="s">
        <v>5936</v>
      </c>
      <c r="B5612" s="0" t="s">
        <v>118</v>
      </c>
      <c r="C5612" s="0" t="str">
        <f aca="false">INDEX(Intent_Analysis!$B$5:$B$81,MATCH(B5612,Intent_Analysis!$A$5:$A$81,0))</f>
        <v>Transfers</v>
      </c>
      <c r="D5612" s="0" t="n">
        <f aca="false">INDEX(Intent_Analysis!$E$5:$E$81,MATCH(B5612,Intent_Analysis!$A$5:$A$81,0))</f>
        <v>2</v>
      </c>
    </row>
    <row r="5613" customFormat="false" ht="15" hidden="false" customHeight="false" outlineLevel="0" collapsed="false">
      <c r="A5613" s="0" t="s">
        <v>5937</v>
      </c>
      <c r="B5613" s="0" t="s">
        <v>118</v>
      </c>
      <c r="C5613" s="0" t="str">
        <f aca="false">INDEX(Intent_Analysis!$B$5:$B$81,MATCH(B5613,Intent_Analysis!$A$5:$A$81,0))</f>
        <v>Transfers</v>
      </c>
      <c r="D5613" s="0" t="n">
        <f aca="false">INDEX(Intent_Analysis!$E$5:$E$81,MATCH(B5613,Intent_Analysis!$A$5:$A$81,0))</f>
        <v>2</v>
      </c>
    </row>
    <row r="5614" customFormat="false" ht="15" hidden="false" customHeight="false" outlineLevel="0" collapsed="false">
      <c r="A5614" s="0" t="s">
        <v>5938</v>
      </c>
      <c r="B5614" s="0" t="s">
        <v>118</v>
      </c>
      <c r="C5614" s="0" t="str">
        <f aca="false">INDEX(Intent_Analysis!$B$5:$B$81,MATCH(B5614,Intent_Analysis!$A$5:$A$81,0))</f>
        <v>Transfers</v>
      </c>
      <c r="D5614" s="0" t="n">
        <f aca="false">INDEX(Intent_Analysis!$E$5:$E$81,MATCH(B5614,Intent_Analysis!$A$5:$A$81,0))</f>
        <v>2</v>
      </c>
    </row>
    <row r="5615" customFormat="false" ht="15" hidden="false" customHeight="false" outlineLevel="0" collapsed="false">
      <c r="A5615" s="0" t="s">
        <v>5939</v>
      </c>
      <c r="B5615" s="0" t="s">
        <v>118</v>
      </c>
      <c r="C5615" s="0" t="str">
        <f aca="false">INDEX(Intent_Analysis!$B$5:$B$81,MATCH(B5615,Intent_Analysis!$A$5:$A$81,0))</f>
        <v>Transfers</v>
      </c>
      <c r="D5615" s="0" t="n">
        <f aca="false">INDEX(Intent_Analysis!$E$5:$E$81,MATCH(B5615,Intent_Analysis!$A$5:$A$81,0))</f>
        <v>2</v>
      </c>
    </row>
    <row r="5616" customFormat="false" ht="15" hidden="false" customHeight="false" outlineLevel="0" collapsed="false">
      <c r="A5616" s="0" t="s">
        <v>5940</v>
      </c>
      <c r="B5616" s="0" t="s">
        <v>118</v>
      </c>
      <c r="C5616" s="0" t="str">
        <f aca="false">INDEX(Intent_Analysis!$B$5:$B$81,MATCH(B5616,Intent_Analysis!$A$5:$A$81,0))</f>
        <v>Transfers</v>
      </c>
      <c r="D5616" s="0" t="n">
        <f aca="false">INDEX(Intent_Analysis!$E$5:$E$81,MATCH(B5616,Intent_Analysis!$A$5:$A$81,0))</f>
        <v>2</v>
      </c>
    </row>
    <row r="5617" customFormat="false" ht="15" hidden="false" customHeight="false" outlineLevel="0" collapsed="false">
      <c r="A5617" s="0" t="s">
        <v>5941</v>
      </c>
      <c r="B5617" s="0" t="s">
        <v>118</v>
      </c>
      <c r="C5617" s="0" t="str">
        <f aca="false">INDEX(Intent_Analysis!$B$5:$B$81,MATCH(B5617,Intent_Analysis!$A$5:$A$81,0))</f>
        <v>Transfers</v>
      </c>
      <c r="D5617" s="0" t="n">
        <f aca="false">INDEX(Intent_Analysis!$E$5:$E$81,MATCH(B5617,Intent_Analysis!$A$5:$A$81,0))</f>
        <v>2</v>
      </c>
    </row>
    <row r="5618" customFormat="false" ht="15" hidden="false" customHeight="false" outlineLevel="0" collapsed="false">
      <c r="A5618" s="0" t="s">
        <v>5942</v>
      </c>
      <c r="B5618" s="0" t="s">
        <v>118</v>
      </c>
      <c r="C5618" s="0" t="str">
        <f aca="false">INDEX(Intent_Analysis!$B$5:$B$81,MATCH(B5618,Intent_Analysis!$A$5:$A$81,0))</f>
        <v>Transfers</v>
      </c>
      <c r="D5618" s="0" t="n">
        <f aca="false">INDEX(Intent_Analysis!$E$5:$E$81,MATCH(B5618,Intent_Analysis!$A$5:$A$81,0))</f>
        <v>2</v>
      </c>
    </row>
    <row r="5619" customFormat="false" ht="15" hidden="false" customHeight="false" outlineLevel="0" collapsed="false">
      <c r="A5619" s="0" t="s">
        <v>5943</v>
      </c>
      <c r="B5619" s="0" t="s">
        <v>118</v>
      </c>
      <c r="C5619" s="0" t="str">
        <f aca="false">INDEX(Intent_Analysis!$B$5:$B$81,MATCH(B5619,Intent_Analysis!$A$5:$A$81,0))</f>
        <v>Transfers</v>
      </c>
      <c r="D5619" s="0" t="n">
        <f aca="false">INDEX(Intent_Analysis!$E$5:$E$81,MATCH(B5619,Intent_Analysis!$A$5:$A$81,0))</f>
        <v>2</v>
      </c>
    </row>
    <row r="5620" customFormat="false" ht="15" hidden="false" customHeight="false" outlineLevel="0" collapsed="false">
      <c r="A5620" s="0" t="s">
        <v>5944</v>
      </c>
      <c r="B5620" s="0" t="s">
        <v>118</v>
      </c>
      <c r="C5620" s="0" t="str">
        <f aca="false">INDEX(Intent_Analysis!$B$5:$B$81,MATCH(B5620,Intent_Analysis!$A$5:$A$81,0))</f>
        <v>Transfers</v>
      </c>
      <c r="D5620" s="0" t="n">
        <f aca="false">INDEX(Intent_Analysis!$E$5:$E$81,MATCH(B5620,Intent_Analysis!$A$5:$A$81,0))</f>
        <v>2</v>
      </c>
    </row>
    <row r="5621" customFormat="false" ht="15" hidden="false" customHeight="false" outlineLevel="0" collapsed="false">
      <c r="A5621" s="0" t="s">
        <v>5945</v>
      </c>
      <c r="B5621" s="0" t="s">
        <v>118</v>
      </c>
      <c r="C5621" s="0" t="str">
        <f aca="false">INDEX(Intent_Analysis!$B$5:$B$81,MATCH(B5621,Intent_Analysis!$A$5:$A$81,0))</f>
        <v>Transfers</v>
      </c>
      <c r="D5621" s="0" t="n">
        <f aca="false">INDEX(Intent_Analysis!$E$5:$E$81,MATCH(B5621,Intent_Analysis!$A$5:$A$81,0))</f>
        <v>2</v>
      </c>
    </row>
    <row r="5622" customFormat="false" ht="15" hidden="false" customHeight="false" outlineLevel="0" collapsed="false">
      <c r="A5622" s="0" t="s">
        <v>5946</v>
      </c>
      <c r="B5622" s="0" t="s">
        <v>118</v>
      </c>
      <c r="C5622" s="0" t="str">
        <f aca="false">INDEX(Intent_Analysis!$B$5:$B$81,MATCH(B5622,Intent_Analysis!$A$5:$A$81,0))</f>
        <v>Transfers</v>
      </c>
      <c r="D5622" s="0" t="n">
        <f aca="false">INDEX(Intent_Analysis!$E$5:$E$81,MATCH(B5622,Intent_Analysis!$A$5:$A$81,0))</f>
        <v>2</v>
      </c>
    </row>
    <row r="5623" customFormat="false" ht="15" hidden="false" customHeight="false" outlineLevel="0" collapsed="false">
      <c r="A5623" s="0" t="s">
        <v>5947</v>
      </c>
      <c r="B5623" s="0" t="s">
        <v>118</v>
      </c>
      <c r="C5623" s="0" t="str">
        <f aca="false">INDEX(Intent_Analysis!$B$5:$B$81,MATCH(B5623,Intent_Analysis!$A$5:$A$81,0))</f>
        <v>Transfers</v>
      </c>
      <c r="D5623" s="0" t="n">
        <f aca="false">INDEX(Intent_Analysis!$E$5:$E$81,MATCH(B5623,Intent_Analysis!$A$5:$A$81,0))</f>
        <v>2</v>
      </c>
    </row>
    <row r="5624" customFormat="false" ht="15" hidden="false" customHeight="false" outlineLevel="0" collapsed="false">
      <c r="A5624" s="0" t="s">
        <v>5948</v>
      </c>
      <c r="B5624" s="0" t="s">
        <v>118</v>
      </c>
      <c r="C5624" s="0" t="str">
        <f aca="false">INDEX(Intent_Analysis!$B$5:$B$81,MATCH(B5624,Intent_Analysis!$A$5:$A$81,0))</f>
        <v>Transfers</v>
      </c>
      <c r="D5624" s="0" t="n">
        <f aca="false">INDEX(Intent_Analysis!$E$5:$E$81,MATCH(B5624,Intent_Analysis!$A$5:$A$81,0))</f>
        <v>2</v>
      </c>
    </row>
    <row r="5625" customFormat="false" ht="15" hidden="false" customHeight="false" outlineLevel="0" collapsed="false">
      <c r="A5625" s="0" t="s">
        <v>5949</v>
      </c>
      <c r="B5625" s="0" t="s">
        <v>118</v>
      </c>
      <c r="C5625" s="0" t="str">
        <f aca="false">INDEX(Intent_Analysis!$B$5:$B$81,MATCH(B5625,Intent_Analysis!$A$5:$A$81,0))</f>
        <v>Transfers</v>
      </c>
      <c r="D5625" s="0" t="n">
        <f aca="false">INDEX(Intent_Analysis!$E$5:$E$81,MATCH(B5625,Intent_Analysis!$A$5:$A$81,0))</f>
        <v>2</v>
      </c>
    </row>
    <row r="5626" customFormat="false" ht="15" hidden="false" customHeight="false" outlineLevel="0" collapsed="false">
      <c r="A5626" s="0" t="s">
        <v>5950</v>
      </c>
      <c r="B5626" s="0" t="s">
        <v>118</v>
      </c>
      <c r="C5626" s="0" t="str">
        <f aca="false">INDEX(Intent_Analysis!$B$5:$B$81,MATCH(B5626,Intent_Analysis!$A$5:$A$81,0))</f>
        <v>Transfers</v>
      </c>
      <c r="D5626" s="0" t="n">
        <f aca="false">INDEX(Intent_Analysis!$E$5:$E$81,MATCH(B5626,Intent_Analysis!$A$5:$A$81,0))</f>
        <v>2</v>
      </c>
    </row>
    <row r="5627" customFormat="false" ht="15" hidden="false" customHeight="false" outlineLevel="0" collapsed="false">
      <c r="A5627" s="0" t="s">
        <v>5951</v>
      </c>
      <c r="B5627" s="0" t="s">
        <v>118</v>
      </c>
      <c r="C5627" s="0" t="str">
        <f aca="false">INDEX(Intent_Analysis!$B$5:$B$81,MATCH(B5627,Intent_Analysis!$A$5:$A$81,0))</f>
        <v>Transfers</v>
      </c>
      <c r="D5627" s="0" t="n">
        <f aca="false">INDEX(Intent_Analysis!$E$5:$E$81,MATCH(B5627,Intent_Analysis!$A$5:$A$81,0))</f>
        <v>2</v>
      </c>
    </row>
    <row r="5628" customFormat="false" ht="15" hidden="false" customHeight="false" outlineLevel="0" collapsed="false">
      <c r="A5628" s="0" t="s">
        <v>5952</v>
      </c>
      <c r="B5628" s="0" t="s">
        <v>118</v>
      </c>
      <c r="C5628" s="0" t="str">
        <f aca="false">INDEX(Intent_Analysis!$B$5:$B$81,MATCH(B5628,Intent_Analysis!$A$5:$A$81,0))</f>
        <v>Transfers</v>
      </c>
      <c r="D5628" s="0" t="n">
        <f aca="false">INDEX(Intent_Analysis!$E$5:$E$81,MATCH(B5628,Intent_Analysis!$A$5:$A$81,0))</f>
        <v>2</v>
      </c>
    </row>
    <row r="5629" customFormat="false" ht="15" hidden="false" customHeight="false" outlineLevel="0" collapsed="false">
      <c r="A5629" s="0" t="s">
        <v>5953</v>
      </c>
      <c r="B5629" s="0" t="s">
        <v>118</v>
      </c>
      <c r="C5629" s="0" t="str">
        <f aca="false">INDEX(Intent_Analysis!$B$5:$B$81,MATCH(B5629,Intent_Analysis!$A$5:$A$81,0))</f>
        <v>Transfers</v>
      </c>
      <c r="D5629" s="0" t="n">
        <f aca="false">INDEX(Intent_Analysis!$E$5:$E$81,MATCH(B5629,Intent_Analysis!$A$5:$A$81,0))</f>
        <v>2</v>
      </c>
    </row>
    <row r="5630" customFormat="false" ht="15" hidden="false" customHeight="false" outlineLevel="0" collapsed="false">
      <c r="A5630" s="0" t="s">
        <v>5954</v>
      </c>
      <c r="B5630" s="0" t="s">
        <v>118</v>
      </c>
      <c r="C5630" s="0" t="str">
        <f aca="false">INDEX(Intent_Analysis!$B$5:$B$81,MATCH(B5630,Intent_Analysis!$A$5:$A$81,0))</f>
        <v>Transfers</v>
      </c>
      <c r="D5630" s="0" t="n">
        <f aca="false">INDEX(Intent_Analysis!$E$5:$E$81,MATCH(B5630,Intent_Analysis!$A$5:$A$81,0))</f>
        <v>2</v>
      </c>
    </row>
    <row r="5631" customFormat="false" ht="15" hidden="false" customHeight="false" outlineLevel="0" collapsed="false">
      <c r="A5631" s="0" t="s">
        <v>5955</v>
      </c>
      <c r="B5631" s="0" t="s">
        <v>118</v>
      </c>
      <c r="C5631" s="0" t="str">
        <f aca="false">INDEX(Intent_Analysis!$B$5:$B$81,MATCH(B5631,Intent_Analysis!$A$5:$A$81,0))</f>
        <v>Transfers</v>
      </c>
      <c r="D5631" s="0" t="n">
        <f aca="false">INDEX(Intent_Analysis!$E$5:$E$81,MATCH(B5631,Intent_Analysis!$A$5:$A$81,0))</f>
        <v>2</v>
      </c>
    </row>
    <row r="5632" customFormat="false" ht="15" hidden="false" customHeight="false" outlineLevel="0" collapsed="false">
      <c r="A5632" s="0" t="s">
        <v>5956</v>
      </c>
      <c r="B5632" s="0" t="s">
        <v>118</v>
      </c>
      <c r="C5632" s="0" t="str">
        <f aca="false">INDEX(Intent_Analysis!$B$5:$B$81,MATCH(B5632,Intent_Analysis!$A$5:$A$81,0))</f>
        <v>Transfers</v>
      </c>
      <c r="D5632" s="0" t="n">
        <f aca="false">INDEX(Intent_Analysis!$E$5:$E$81,MATCH(B5632,Intent_Analysis!$A$5:$A$81,0))</f>
        <v>2</v>
      </c>
    </row>
    <row r="5633" customFormat="false" ht="15" hidden="false" customHeight="false" outlineLevel="0" collapsed="false">
      <c r="A5633" s="0" t="s">
        <v>5957</v>
      </c>
      <c r="B5633" s="0" t="s">
        <v>118</v>
      </c>
      <c r="C5633" s="0" t="str">
        <f aca="false">INDEX(Intent_Analysis!$B$5:$B$81,MATCH(B5633,Intent_Analysis!$A$5:$A$81,0))</f>
        <v>Transfers</v>
      </c>
      <c r="D5633" s="0" t="n">
        <f aca="false">INDEX(Intent_Analysis!$E$5:$E$81,MATCH(B5633,Intent_Analysis!$A$5:$A$81,0))</f>
        <v>2</v>
      </c>
    </row>
    <row r="5634" customFormat="false" ht="15" hidden="false" customHeight="false" outlineLevel="0" collapsed="false">
      <c r="A5634" s="0" t="s">
        <v>5958</v>
      </c>
      <c r="B5634" s="0" t="s">
        <v>118</v>
      </c>
      <c r="C5634" s="0" t="str">
        <f aca="false">INDEX(Intent_Analysis!$B$5:$B$81,MATCH(B5634,Intent_Analysis!$A$5:$A$81,0))</f>
        <v>Transfers</v>
      </c>
      <c r="D5634" s="0" t="n">
        <f aca="false">INDEX(Intent_Analysis!$E$5:$E$81,MATCH(B5634,Intent_Analysis!$A$5:$A$81,0))</f>
        <v>2</v>
      </c>
    </row>
    <row r="5635" customFormat="false" ht="15" hidden="false" customHeight="false" outlineLevel="0" collapsed="false">
      <c r="A5635" s="0" t="s">
        <v>5959</v>
      </c>
      <c r="B5635" s="0" t="s">
        <v>118</v>
      </c>
      <c r="C5635" s="0" t="str">
        <f aca="false">INDEX(Intent_Analysis!$B$5:$B$81,MATCH(B5635,Intent_Analysis!$A$5:$A$81,0))</f>
        <v>Transfers</v>
      </c>
      <c r="D5635" s="0" t="n">
        <f aca="false">INDEX(Intent_Analysis!$E$5:$E$81,MATCH(B5635,Intent_Analysis!$A$5:$A$81,0))</f>
        <v>2</v>
      </c>
    </row>
    <row r="5636" customFormat="false" ht="15" hidden="false" customHeight="false" outlineLevel="0" collapsed="false">
      <c r="A5636" s="0" t="s">
        <v>5960</v>
      </c>
      <c r="B5636" s="0" t="s">
        <v>118</v>
      </c>
      <c r="C5636" s="0" t="str">
        <f aca="false">INDEX(Intent_Analysis!$B$5:$B$81,MATCH(B5636,Intent_Analysis!$A$5:$A$81,0))</f>
        <v>Transfers</v>
      </c>
      <c r="D5636" s="0" t="n">
        <f aca="false">INDEX(Intent_Analysis!$E$5:$E$81,MATCH(B5636,Intent_Analysis!$A$5:$A$81,0))</f>
        <v>2</v>
      </c>
    </row>
    <row r="5637" customFormat="false" ht="15" hidden="false" customHeight="false" outlineLevel="0" collapsed="false">
      <c r="A5637" s="0" t="s">
        <v>5961</v>
      </c>
      <c r="B5637" s="0" t="s">
        <v>118</v>
      </c>
      <c r="C5637" s="0" t="str">
        <f aca="false">INDEX(Intent_Analysis!$B$5:$B$81,MATCH(B5637,Intent_Analysis!$A$5:$A$81,0))</f>
        <v>Transfers</v>
      </c>
      <c r="D5637" s="0" t="n">
        <f aca="false">INDEX(Intent_Analysis!$E$5:$E$81,MATCH(B5637,Intent_Analysis!$A$5:$A$81,0))</f>
        <v>2</v>
      </c>
    </row>
    <row r="5638" customFormat="false" ht="15" hidden="false" customHeight="false" outlineLevel="0" collapsed="false">
      <c r="A5638" s="0" t="s">
        <v>5962</v>
      </c>
      <c r="B5638" s="0" t="s">
        <v>118</v>
      </c>
      <c r="C5638" s="0" t="str">
        <f aca="false">INDEX(Intent_Analysis!$B$5:$B$81,MATCH(B5638,Intent_Analysis!$A$5:$A$81,0))</f>
        <v>Transfers</v>
      </c>
      <c r="D5638" s="0" t="n">
        <f aca="false">INDEX(Intent_Analysis!$E$5:$E$81,MATCH(B5638,Intent_Analysis!$A$5:$A$81,0))</f>
        <v>2</v>
      </c>
    </row>
    <row r="5639" customFormat="false" ht="15" hidden="false" customHeight="false" outlineLevel="0" collapsed="false">
      <c r="A5639" s="0" t="s">
        <v>5963</v>
      </c>
      <c r="B5639" s="0" t="s">
        <v>118</v>
      </c>
      <c r="C5639" s="0" t="str">
        <f aca="false">INDEX(Intent_Analysis!$B$5:$B$81,MATCH(B5639,Intent_Analysis!$A$5:$A$81,0))</f>
        <v>Transfers</v>
      </c>
      <c r="D5639" s="0" t="n">
        <f aca="false">INDEX(Intent_Analysis!$E$5:$E$81,MATCH(B5639,Intent_Analysis!$A$5:$A$81,0))</f>
        <v>2</v>
      </c>
    </row>
    <row r="5640" customFormat="false" ht="15" hidden="false" customHeight="false" outlineLevel="0" collapsed="false">
      <c r="A5640" s="0" t="s">
        <v>5964</v>
      </c>
      <c r="B5640" s="0" t="s">
        <v>118</v>
      </c>
      <c r="C5640" s="0" t="str">
        <f aca="false">INDEX(Intent_Analysis!$B$5:$B$81,MATCH(B5640,Intent_Analysis!$A$5:$A$81,0))</f>
        <v>Transfers</v>
      </c>
      <c r="D5640" s="0" t="n">
        <f aca="false">INDEX(Intent_Analysis!$E$5:$E$81,MATCH(B5640,Intent_Analysis!$A$5:$A$81,0))</f>
        <v>2</v>
      </c>
    </row>
    <row r="5641" customFormat="false" ht="15" hidden="false" customHeight="false" outlineLevel="0" collapsed="false">
      <c r="A5641" s="0" t="s">
        <v>5965</v>
      </c>
      <c r="B5641" s="0" t="s">
        <v>118</v>
      </c>
      <c r="C5641" s="0" t="str">
        <f aca="false">INDEX(Intent_Analysis!$B$5:$B$81,MATCH(B5641,Intent_Analysis!$A$5:$A$81,0))</f>
        <v>Transfers</v>
      </c>
      <c r="D5641" s="0" t="n">
        <f aca="false">INDEX(Intent_Analysis!$E$5:$E$81,MATCH(B5641,Intent_Analysis!$A$5:$A$81,0))</f>
        <v>2</v>
      </c>
    </row>
    <row r="5642" customFormat="false" ht="15" hidden="false" customHeight="false" outlineLevel="0" collapsed="false">
      <c r="A5642" s="0" t="s">
        <v>5966</v>
      </c>
      <c r="B5642" s="0" t="s">
        <v>118</v>
      </c>
      <c r="C5642" s="0" t="str">
        <f aca="false">INDEX(Intent_Analysis!$B$5:$B$81,MATCH(B5642,Intent_Analysis!$A$5:$A$81,0))</f>
        <v>Transfers</v>
      </c>
      <c r="D5642" s="0" t="n">
        <f aca="false">INDEX(Intent_Analysis!$E$5:$E$81,MATCH(B5642,Intent_Analysis!$A$5:$A$81,0))</f>
        <v>2</v>
      </c>
    </row>
    <row r="5643" customFormat="false" ht="15" hidden="false" customHeight="false" outlineLevel="0" collapsed="false">
      <c r="A5643" s="0" t="s">
        <v>5967</v>
      </c>
      <c r="B5643" s="0" t="s">
        <v>118</v>
      </c>
      <c r="C5643" s="0" t="str">
        <f aca="false">INDEX(Intent_Analysis!$B$5:$B$81,MATCH(B5643,Intent_Analysis!$A$5:$A$81,0))</f>
        <v>Transfers</v>
      </c>
      <c r="D5643" s="0" t="n">
        <f aca="false">INDEX(Intent_Analysis!$E$5:$E$81,MATCH(B5643,Intent_Analysis!$A$5:$A$81,0))</f>
        <v>2</v>
      </c>
    </row>
    <row r="5644" customFormat="false" ht="15" hidden="false" customHeight="false" outlineLevel="0" collapsed="false">
      <c r="A5644" s="0" t="s">
        <v>5968</v>
      </c>
      <c r="B5644" s="0" t="s">
        <v>118</v>
      </c>
      <c r="C5644" s="0" t="str">
        <f aca="false">INDEX(Intent_Analysis!$B$5:$B$81,MATCH(B5644,Intent_Analysis!$A$5:$A$81,0))</f>
        <v>Transfers</v>
      </c>
      <c r="D5644" s="0" t="n">
        <f aca="false">INDEX(Intent_Analysis!$E$5:$E$81,MATCH(B5644,Intent_Analysis!$A$5:$A$81,0))</f>
        <v>2</v>
      </c>
    </row>
    <row r="5645" customFormat="false" ht="15" hidden="false" customHeight="false" outlineLevel="0" collapsed="false">
      <c r="A5645" s="0" t="s">
        <v>5969</v>
      </c>
      <c r="B5645" s="0" t="s">
        <v>118</v>
      </c>
      <c r="C5645" s="0" t="str">
        <f aca="false">INDEX(Intent_Analysis!$B$5:$B$81,MATCH(B5645,Intent_Analysis!$A$5:$A$81,0))</f>
        <v>Transfers</v>
      </c>
      <c r="D5645" s="0" t="n">
        <f aca="false">INDEX(Intent_Analysis!$E$5:$E$81,MATCH(B5645,Intent_Analysis!$A$5:$A$81,0))</f>
        <v>2</v>
      </c>
    </row>
    <row r="5646" customFormat="false" ht="15" hidden="false" customHeight="false" outlineLevel="0" collapsed="false">
      <c r="A5646" s="0" t="s">
        <v>5970</v>
      </c>
      <c r="B5646" s="0" t="s">
        <v>118</v>
      </c>
      <c r="C5646" s="0" t="str">
        <f aca="false">INDEX(Intent_Analysis!$B$5:$B$81,MATCH(B5646,Intent_Analysis!$A$5:$A$81,0))</f>
        <v>Transfers</v>
      </c>
      <c r="D5646" s="0" t="n">
        <f aca="false">INDEX(Intent_Analysis!$E$5:$E$81,MATCH(B5646,Intent_Analysis!$A$5:$A$81,0))</f>
        <v>2</v>
      </c>
    </row>
    <row r="5647" customFormat="false" ht="15" hidden="false" customHeight="false" outlineLevel="0" collapsed="false">
      <c r="A5647" s="0" t="s">
        <v>5971</v>
      </c>
      <c r="B5647" s="0" t="s">
        <v>118</v>
      </c>
      <c r="C5647" s="0" t="str">
        <f aca="false">INDEX(Intent_Analysis!$B$5:$B$81,MATCH(B5647,Intent_Analysis!$A$5:$A$81,0))</f>
        <v>Transfers</v>
      </c>
      <c r="D5647" s="0" t="n">
        <f aca="false">INDEX(Intent_Analysis!$E$5:$E$81,MATCH(B5647,Intent_Analysis!$A$5:$A$81,0))</f>
        <v>2</v>
      </c>
    </row>
    <row r="5648" customFormat="false" ht="15" hidden="false" customHeight="false" outlineLevel="0" collapsed="false">
      <c r="A5648" s="0" t="s">
        <v>5972</v>
      </c>
      <c r="B5648" s="0" t="s">
        <v>118</v>
      </c>
      <c r="C5648" s="0" t="str">
        <f aca="false">INDEX(Intent_Analysis!$B$5:$B$81,MATCH(B5648,Intent_Analysis!$A$5:$A$81,0))</f>
        <v>Transfers</v>
      </c>
      <c r="D5648" s="0" t="n">
        <f aca="false">INDEX(Intent_Analysis!$E$5:$E$81,MATCH(B5648,Intent_Analysis!$A$5:$A$81,0))</f>
        <v>2</v>
      </c>
    </row>
    <row r="5649" customFormat="false" ht="15" hidden="false" customHeight="false" outlineLevel="0" collapsed="false">
      <c r="A5649" s="0" t="s">
        <v>5973</v>
      </c>
      <c r="B5649" s="0" t="s">
        <v>118</v>
      </c>
      <c r="C5649" s="0" t="str">
        <f aca="false">INDEX(Intent_Analysis!$B$5:$B$81,MATCH(B5649,Intent_Analysis!$A$5:$A$81,0))</f>
        <v>Transfers</v>
      </c>
      <c r="D5649" s="0" t="n">
        <f aca="false">INDEX(Intent_Analysis!$E$5:$E$81,MATCH(B5649,Intent_Analysis!$A$5:$A$81,0))</f>
        <v>2</v>
      </c>
    </row>
    <row r="5650" customFormat="false" ht="15" hidden="false" customHeight="false" outlineLevel="0" collapsed="false">
      <c r="A5650" s="0" t="s">
        <v>5974</v>
      </c>
      <c r="B5650" s="0" t="s">
        <v>118</v>
      </c>
      <c r="C5650" s="0" t="str">
        <f aca="false">INDEX(Intent_Analysis!$B$5:$B$81,MATCH(B5650,Intent_Analysis!$A$5:$A$81,0))</f>
        <v>Transfers</v>
      </c>
      <c r="D5650" s="0" t="n">
        <f aca="false">INDEX(Intent_Analysis!$E$5:$E$81,MATCH(B5650,Intent_Analysis!$A$5:$A$81,0))</f>
        <v>2</v>
      </c>
    </row>
    <row r="5651" customFormat="false" ht="15" hidden="false" customHeight="false" outlineLevel="0" collapsed="false">
      <c r="A5651" s="0" t="s">
        <v>5975</v>
      </c>
      <c r="B5651" s="0" t="s">
        <v>118</v>
      </c>
      <c r="C5651" s="0" t="str">
        <f aca="false">INDEX(Intent_Analysis!$B$5:$B$81,MATCH(B5651,Intent_Analysis!$A$5:$A$81,0))</f>
        <v>Transfers</v>
      </c>
      <c r="D5651" s="0" t="n">
        <f aca="false">INDEX(Intent_Analysis!$E$5:$E$81,MATCH(B5651,Intent_Analysis!$A$5:$A$81,0))</f>
        <v>2</v>
      </c>
    </row>
    <row r="5652" customFormat="false" ht="15" hidden="false" customHeight="false" outlineLevel="0" collapsed="false">
      <c r="A5652" s="0" t="s">
        <v>5976</v>
      </c>
      <c r="B5652" s="0" t="s">
        <v>118</v>
      </c>
      <c r="C5652" s="0" t="str">
        <f aca="false">INDEX(Intent_Analysis!$B$5:$B$81,MATCH(B5652,Intent_Analysis!$A$5:$A$81,0))</f>
        <v>Transfers</v>
      </c>
      <c r="D5652" s="0" t="n">
        <f aca="false">INDEX(Intent_Analysis!$E$5:$E$81,MATCH(B5652,Intent_Analysis!$A$5:$A$81,0))</f>
        <v>2</v>
      </c>
    </row>
    <row r="5653" customFormat="false" ht="15" hidden="false" customHeight="false" outlineLevel="0" collapsed="false">
      <c r="A5653" s="0" t="s">
        <v>5977</v>
      </c>
      <c r="B5653" s="0" t="s">
        <v>118</v>
      </c>
      <c r="C5653" s="0" t="str">
        <f aca="false">INDEX(Intent_Analysis!$B$5:$B$81,MATCH(B5653,Intent_Analysis!$A$5:$A$81,0))</f>
        <v>Transfers</v>
      </c>
      <c r="D5653" s="0" t="n">
        <f aca="false">INDEX(Intent_Analysis!$E$5:$E$81,MATCH(B5653,Intent_Analysis!$A$5:$A$81,0))</f>
        <v>2</v>
      </c>
    </row>
    <row r="5654" customFormat="false" ht="15" hidden="false" customHeight="false" outlineLevel="0" collapsed="false">
      <c r="A5654" s="0" t="s">
        <v>5978</v>
      </c>
      <c r="B5654" s="0" t="s">
        <v>118</v>
      </c>
      <c r="C5654" s="0" t="str">
        <f aca="false">INDEX(Intent_Analysis!$B$5:$B$81,MATCH(B5654,Intent_Analysis!$A$5:$A$81,0))</f>
        <v>Transfers</v>
      </c>
      <c r="D5654" s="0" t="n">
        <f aca="false">INDEX(Intent_Analysis!$E$5:$E$81,MATCH(B5654,Intent_Analysis!$A$5:$A$81,0))</f>
        <v>2</v>
      </c>
    </row>
    <row r="5655" customFormat="false" ht="15" hidden="false" customHeight="false" outlineLevel="0" collapsed="false">
      <c r="A5655" s="0" t="s">
        <v>5979</v>
      </c>
      <c r="B5655" s="0" t="s">
        <v>118</v>
      </c>
      <c r="C5655" s="0" t="str">
        <f aca="false">INDEX(Intent_Analysis!$B$5:$B$81,MATCH(B5655,Intent_Analysis!$A$5:$A$81,0))</f>
        <v>Transfers</v>
      </c>
      <c r="D5655" s="0" t="n">
        <f aca="false">INDEX(Intent_Analysis!$E$5:$E$81,MATCH(B5655,Intent_Analysis!$A$5:$A$81,0))</f>
        <v>2</v>
      </c>
    </row>
    <row r="5656" customFormat="false" ht="15" hidden="false" customHeight="false" outlineLevel="0" collapsed="false">
      <c r="A5656" s="0" t="s">
        <v>5980</v>
      </c>
      <c r="B5656" s="0" t="s">
        <v>118</v>
      </c>
      <c r="C5656" s="0" t="str">
        <f aca="false">INDEX(Intent_Analysis!$B$5:$B$81,MATCH(B5656,Intent_Analysis!$A$5:$A$81,0))</f>
        <v>Transfers</v>
      </c>
      <c r="D5656" s="0" t="n">
        <f aca="false">INDEX(Intent_Analysis!$E$5:$E$81,MATCH(B5656,Intent_Analysis!$A$5:$A$81,0))</f>
        <v>2</v>
      </c>
    </row>
    <row r="5657" customFormat="false" ht="15" hidden="false" customHeight="false" outlineLevel="0" collapsed="false">
      <c r="A5657" s="0" t="s">
        <v>5981</v>
      </c>
      <c r="B5657" s="0" t="s">
        <v>118</v>
      </c>
      <c r="C5657" s="0" t="str">
        <f aca="false">INDEX(Intent_Analysis!$B$5:$B$81,MATCH(B5657,Intent_Analysis!$A$5:$A$81,0))</f>
        <v>Transfers</v>
      </c>
      <c r="D5657" s="0" t="n">
        <f aca="false">INDEX(Intent_Analysis!$E$5:$E$81,MATCH(B5657,Intent_Analysis!$A$5:$A$81,0))</f>
        <v>2</v>
      </c>
    </row>
    <row r="5658" customFormat="false" ht="15" hidden="false" customHeight="false" outlineLevel="0" collapsed="false">
      <c r="A5658" s="0" t="s">
        <v>5982</v>
      </c>
      <c r="B5658" s="0" t="s">
        <v>118</v>
      </c>
      <c r="C5658" s="0" t="str">
        <f aca="false">INDEX(Intent_Analysis!$B$5:$B$81,MATCH(B5658,Intent_Analysis!$A$5:$A$81,0))</f>
        <v>Transfers</v>
      </c>
      <c r="D5658" s="0" t="n">
        <f aca="false">INDEX(Intent_Analysis!$E$5:$E$81,MATCH(B5658,Intent_Analysis!$A$5:$A$81,0))</f>
        <v>2</v>
      </c>
    </row>
    <row r="5659" customFormat="false" ht="15" hidden="false" customHeight="false" outlineLevel="0" collapsed="false">
      <c r="A5659" s="0" t="s">
        <v>5983</v>
      </c>
      <c r="B5659" s="0" t="s">
        <v>118</v>
      </c>
      <c r="C5659" s="0" t="str">
        <f aca="false">INDEX(Intent_Analysis!$B$5:$B$81,MATCH(B5659,Intent_Analysis!$A$5:$A$81,0))</f>
        <v>Transfers</v>
      </c>
      <c r="D5659" s="0" t="n">
        <f aca="false">INDEX(Intent_Analysis!$E$5:$E$81,MATCH(B5659,Intent_Analysis!$A$5:$A$81,0))</f>
        <v>2</v>
      </c>
    </row>
    <row r="5660" customFormat="false" ht="15" hidden="false" customHeight="false" outlineLevel="0" collapsed="false">
      <c r="A5660" s="0" t="s">
        <v>5984</v>
      </c>
      <c r="B5660" s="0" t="s">
        <v>118</v>
      </c>
      <c r="C5660" s="0" t="str">
        <f aca="false">INDEX(Intent_Analysis!$B$5:$B$81,MATCH(B5660,Intent_Analysis!$A$5:$A$81,0))</f>
        <v>Transfers</v>
      </c>
      <c r="D5660" s="0" t="n">
        <f aca="false">INDEX(Intent_Analysis!$E$5:$E$81,MATCH(B5660,Intent_Analysis!$A$5:$A$81,0))</f>
        <v>2</v>
      </c>
    </row>
    <row r="5661" customFormat="false" ht="15" hidden="false" customHeight="false" outlineLevel="0" collapsed="false">
      <c r="A5661" s="0" t="s">
        <v>5985</v>
      </c>
      <c r="B5661" s="0" t="s">
        <v>118</v>
      </c>
      <c r="C5661" s="0" t="str">
        <f aca="false">INDEX(Intent_Analysis!$B$5:$B$81,MATCH(B5661,Intent_Analysis!$A$5:$A$81,0))</f>
        <v>Transfers</v>
      </c>
      <c r="D5661" s="0" t="n">
        <f aca="false">INDEX(Intent_Analysis!$E$5:$E$81,MATCH(B5661,Intent_Analysis!$A$5:$A$81,0))</f>
        <v>2</v>
      </c>
    </row>
    <row r="5662" customFormat="false" ht="15" hidden="false" customHeight="false" outlineLevel="0" collapsed="false">
      <c r="A5662" s="0" t="s">
        <v>5986</v>
      </c>
      <c r="B5662" s="0" t="s">
        <v>118</v>
      </c>
      <c r="C5662" s="0" t="str">
        <f aca="false">INDEX(Intent_Analysis!$B$5:$B$81,MATCH(B5662,Intent_Analysis!$A$5:$A$81,0))</f>
        <v>Transfers</v>
      </c>
      <c r="D5662" s="0" t="n">
        <f aca="false">INDEX(Intent_Analysis!$E$5:$E$81,MATCH(B5662,Intent_Analysis!$A$5:$A$81,0))</f>
        <v>2</v>
      </c>
    </row>
    <row r="5663" customFormat="false" ht="15" hidden="false" customHeight="false" outlineLevel="0" collapsed="false">
      <c r="A5663" s="0" t="s">
        <v>5987</v>
      </c>
      <c r="B5663" s="0" t="s">
        <v>118</v>
      </c>
      <c r="C5663" s="0" t="str">
        <f aca="false">INDEX(Intent_Analysis!$B$5:$B$81,MATCH(B5663,Intent_Analysis!$A$5:$A$81,0))</f>
        <v>Transfers</v>
      </c>
      <c r="D5663" s="0" t="n">
        <f aca="false">INDEX(Intent_Analysis!$E$5:$E$81,MATCH(B5663,Intent_Analysis!$A$5:$A$81,0))</f>
        <v>2</v>
      </c>
    </row>
    <row r="5664" customFormat="false" ht="15" hidden="false" customHeight="false" outlineLevel="0" collapsed="false">
      <c r="A5664" s="0" t="s">
        <v>5988</v>
      </c>
      <c r="B5664" s="0" t="s">
        <v>118</v>
      </c>
      <c r="C5664" s="0" t="str">
        <f aca="false">INDEX(Intent_Analysis!$B$5:$B$81,MATCH(B5664,Intent_Analysis!$A$5:$A$81,0))</f>
        <v>Transfers</v>
      </c>
      <c r="D5664" s="0" t="n">
        <f aca="false">INDEX(Intent_Analysis!$E$5:$E$81,MATCH(B5664,Intent_Analysis!$A$5:$A$81,0))</f>
        <v>2</v>
      </c>
    </row>
    <row r="5665" customFormat="false" ht="15" hidden="false" customHeight="false" outlineLevel="0" collapsed="false">
      <c r="A5665" s="0" t="s">
        <v>5989</v>
      </c>
      <c r="B5665" s="0" t="s">
        <v>118</v>
      </c>
      <c r="C5665" s="0" t="str">
        <f aca="false">INDEX(Intent_Analysis!$B$5:$B$81,MATCH(B5665,Intent_Analysis!$A$5:$A$81,0))</f>
        <v>Transfers</v>
      </c>
      <c r="D5665" s="0" t="n">
        <f aca="false">INDEX(Intent_Analysis!$E$5:$E$81,MATCH(B5665,Intent_Analysis!$A$5:$A$81,0))</f>
        <v>2</v>
      </c>
    </row>
    <row r="5666" customFormat="false" ht="15" hidden="false" customHeight="false" outlineLevel="0" collapsed="false">
      <c r="A5666" s="0" t="s">
        <v>5990</v>
      </c>
      <c r="B5666" s="0" t="s">
        <v>118</v>
      </c>
      <c r="C5666" s="0" t="str">
        <f aca="false">INDEX(Intent_Analysis!$B$5:$B$81,MATCH(B5666,Intent_Analysis!$A$5:$A$81,0))</f>
        <v>Transfers</v>
      </c>
      <c r="D5666" s="0" t="n">
        <f aca="false">INDEX(Intent_Analysis!$E$5:$E$81,MATCH(B5666,Intent_Analysis!$A$5:$A$81,0))</f>
        <v>2</v>
      </c>
    </row>
    <row r="5667" customFormat="false" ht="15" hidden="false" customHeight="false" outlineLevel="0" collapsed="false">
      <c r="A5667" s="0" t="s">
        <v>5991</v>
      </c>
      <c r="B5667" s="0" t="s">
        <v>118</v>
      </c>
      <c r="C5667" s="0" t="str">
        <f aca="false">INDEX(Intent_Analysis!$B$5:$B$81,MATCH(B5667,Intent_Analysis!$A$5:$A$81,0))</f>
        <v>Transfers</v>
      </c>
      <c r="D5667" s="0" t="n">
        <f aca="false">INDEX(Intent_Analysis!$E$5:$E$81,MATCH(B5667,Intent_Analysis!$A$5:$A$81,0))</f>
        <v>2</v>
      </c>
    </row>
    <row r="5668" customFormat="false" ht="15" hidden="false" customHeight="false" outlineLevel="0" collapsed="false">
      <c r="A5668" s="0" t="s">
        <v>5992</v>
      </c>
      <c r="B5668" s="0" t="s">
        <v>118</v>
      </c>
      <c r="C5668" s="0" t="str">
        <f aca="false">INDEX(Intent_Analysis!$B$5:$B$81,MATCH(B5668,Intent_Analysis!$A$5:$A$81,0))</f>
        <v>Transfers</v>
      </c>
      <c r="D5668" s="0" t="n">
        <f aca="false">INDEX(Intent_Analysis!$E$5:$E$81,MATCH(B5668,Intent_Analysis!$A$5:$A$81,0))</f>
        <v>2</v>
      </c>
    </row>
    <row r="5669" customFormat="false" ht="15" hidden="false" customHeight="false" outlineLevel="0" collapsed="false">
      <c r="A5669" s="0" t="s">
        <v>5993</v>
      </c>
      <c r="B5669" s="0" t="s">
        <v>118</v>
      </c>
      <c r="C5669" s="0" t="str">
        <f aca="false">INDEX(Intent_Analysis!$B$5:$B$81,MATCH(B5669,Intent_Analysis!$A$5:$A$81,0))</f>
        <v>Transfers</v>
      </c>
      <c r="D5669" s="0" t="n">
        <f aca="false">INDEX(Intent_Analysis!$E$5:$E$81,MATCH(B5669,Intent_Analysis!$A$5:$A$81,0))</f>
        <v>2</v>
      </c>
    </row>
    <row r="5670" customFormat="false" ht="15" hidden="false" customHeight="false" outlineLevel="0" collapsed="false">
      <c r="A5670" s="0" t="s">
        <v>5994</v>
      </c>
      <c r="B5670" s="0" t="s">
        <v>118</v>
      </c>
      <c r="C5670" s="0" t="str">
        <f aca="false">INDEX(Intent_Analysis!$B$5:$B$81,MATCH(B5670,Intent_Analysis!$A$5:$A$81,0))</f>
        <v>Transfers</v>
      </c>
      <c r="D5670" s="0" t="n">
        <f aca="false">INDEX(Intent_Analysis!$E$5:$E$81,MATCH(B5670,Intent_Analysis!$A$5:$A$81,0))</f>
        <v>2</v>
      </c>
    </row>
    <row r="5671" customFormat="false" ht="15" hidden="false" customHeight="false" outlineLevel="0" collapsed="false">
      <c r="A5671" s="0" t="s">
        <v>5995</v>
      </c>
      <c r="B5671" s="0" t="s">
        <v>118</v>
      </c>
      <c r="C5671" s="0" t="str">
        <f aca="false">INDEX(Intent_Analysis!$B$5:$B$81,MATCH(B5671,Intent_Analysis!$A$5:$A$81,0))</f>
        <v>Transfers</v>
      </c>
      <c r="D5671" s="0" t="n">
        <f aca="false">INDEX(Intent_Analysis!$E$5:$E$81,MATCH(B5671,Intent_Analysis!$A$5:$A$81,0))</f>
        <v>2</v>
      </c>
    </row>
    <row r="5672" customFormat="false" ht="15" hidden="false" customHeight="false" outlineLevel="0" collapsed="false">
      <c r="A5672" s="0" t="s">
        <v>5996</v>
      </c>
      <c r="B5672" s="0" t="s">
        <v>118</v>
      </c>
      <c r="C5672" s="0" t="str">
        <f aca="false">INDEX(Intent_Analysis!$B$5:$B$81,MATCH(B5672,Intent_Analysis!$A$5:$A$81,0))</f>
        <v>Transfers</v>
      </c>
      <c r="D5672" s="0" t="n">
        <f aca="false">INDEX(Intent_Analysis!$E$5:$E$81,MATCH(B5672,Intent_Analysis!$A$5:$A$81,0))</f>
        <v>2</v>
      </c>
    </row>
    <row r="5673" customFormat="false" ht="15" hidden="false" customHeight="false" outlineLevel="0" collapsed="false">
      <c r="A5673" s="0" t="s">
        <v>5997</v>
      </c>
      <c r="B5673" s="0" t="s">
        <v>118</v>
      </c>
      <c r="C5673" s="0" t="str">
        <f aca="false">INDEX(Intent_Analysis!$B$5:$B$81,MATCH(B5673,Intent_Analysis!$A$5:$A$81,0))</f>
        <v>Transfers</v>
      </c>
      <c r="D5673" s="0" t="n">
        <f aca="false">INDEX(Intent_Analysis!$E$5:$E$81,MATCH(B5673,Intent_Analysis!$A$5:$A$81,0))</f>
        <v>2</v>
      </c>
    </row>
    <row r="5674" customFormat="false" ht="15" hidden="false" customHeight="false" outlineLevel="0" collapsed="false">
      <c r="A5674" s="0" t="s">
        <v>5998</v>
      </c>
      <c r="B5674" s="0" t="s">
        <v>118</v>
      </c>
      <c r="C5674" s="0" t="str">
        <f aca="false">INDEX(Intent_Analysis!$B$5:$B$81,MATCH(B5674,Intent_Analysis!$A$5:$A$81,0))</f>
        <v>Transfers</v>
      </c>
      <c r="D5674" s="0" t="n">
        <f aca="false">INDEX(Intent_Analysis!$E$5:$E$81,MATCH(B5674,Intent_Analysis!$A$5:$A$81,0))</f>
        <v>2</v>
      </c>
    </row>
    <row r="5675" customFormat="false" ht="15" hidden="false" customHeight="false" outlineLevel="0" collapsed="false">
      <c r="A5675" s="0" t="s">
        <v>5999</v>
      </c>
      <c r="B5675" s="0" t="s">
        <v>118</v>
      </c>
      <c r="C5675" s="0" t="str">
        <f aca="false">INDEX(Intent_Analysis!$B$5:$B$81,MATCH(B5675,Intent_Analysis!$A$5:$A$81,0))</f>
        <v>Transfers</v>
      </c>
      <c r="D5675" s="0" t="n">
        <f aca="false">INDEX(Intent_Analysis!$E$5:$E$81,MATCH(B5675,Intent_Analysis!$A$5:$A$81,0))</f>
        <v>2</v>
      </c>
    </row>
    <row r="5676" customFormat="false" ht="15" hidden="false" customHeight="false" outlineLevel="0" collapsed="false">
      <c r="A5676" s="0" t="s">
        <v>6000</v>
      </c>
      <c r="B5676" s="0" t="s">
        <v>56</v>
      </c>
      <c r="C5676" s="0" t="str">
        <f aca="false">INDEX(Intent_Analysis!$B$5:$B$81,MATCH(B5676,Intent_Analysis!$A$5:$A$81,0))</f>
        <v>Card payments &amp; refunds</v>
      </c>
      <c r="D5676" s="0" t="n">
        <f aca="false">INDEX(Intent_Analysis!$E$5:$E$81,MATCH(B5676,Intent_Analysis!$A$5:$A$81,0))</f>
        <v>2</v>
      </c>
    </row>
    <row r="5677" customFormat="false" ht="15" hidden="false" customHeight="false" outlineLevel="0" collapsed="false">
      <c r="A5677" s="0" t="s">
        <v>6001</v>
      </c>
      <c r="B5677" s="0" t="s">
        <v>56</v>
      </c>
      <c r="C5677" s="0" t="str">
        <f aca="false">INDEX(Intent_Analysis!$B$5:$B$81,MATCH(B5677,Intent_Analysis!$A$5:$A$81,0))</f>
        <v>Card payments &amp; refunds</v>
      </c>
      <c r="D5677" s="0" t="n">
        <f aca="false">INDEX(Intent_Analysis!$E$5:$E$81,MATCH(B5677,Intent_Analysis!$A$5:$A$81,0))</f>
        <v>2</v>
      </c>
    </row>
    <row r="5678" customFormat="false" ht="15" hidden="false" customHeight="false" outlineLevel="0" collapsed="false">
      <c r="A5678" s="0" t="s">
        <v>6002</v>
      </c>
      <c r="B5678" s="0" t="s">
        <v>56</v>
      </c>
      <c r="C5678" s="0" t="str">
        <f aca="false">INDEX(Intent_Analysis!$B$5:$B$81,MATCH(B5678,Intent_Analysis!$A$5:$A$81,0))</f>
        <v>Card payments &amp; refunds</v>
      </c>
      <c r="D5678" s="0" t="n">
        <f aca="false">INDEX(Intent_Analysis!$E$5:$E$81,MATCH(B5678,Intent_Analysis!$A$5:$A$81,0))</f>
        <v>2</v>
      </c>
    </row>
    <row r="5679" customFormat="false" ht="15" hidden="false" customHeight="false" outlineLevel="0" collapsed="false">
      <c r="A5679" s="0" t="s">
        <v>6003</v>
      </c>
      <c r="B5679" s="0" t="s">
        <v>56</v>
      </c>
      <c r="C5679" s="0" t="str">
        <f aca="false">INDEX(Intent_Analysis!$B$5:$B$81,MATCH(B5679,Intent_Analysis!$A$5:$A$81,0))</f>
        <v>Card payments &amp; refunds</v>
      </c>
      <c r="D5679" s="0" t="n">
        <f aca="false">INDEX(Intent_Analysis!$E$5:$E$81,MATCH(B5679,Intent_Analysis!$A$5:$A$81,0))</f>
        <v>2</v>
      </c>
    </row>
    <row r="5680" customFormat="false" ht="15" hidden="false" customHeight="false" outlineLevel="0" collapsed="false">
      <c r="A5680" s="0" t="s">
        <v>6004</v>
      </c>
      <c r="B5680" s="0" t="s">
        <v>56</v>
      </c>
      <c r="C5680" s="0" t="str">
        <f aca="false">INDEX(Intent_Analysis!$B$5:$B$81,MATCH(B5680,Intent_Analysis!$A$5:$A$81,0))</f>
        <v>Card payments &amp; refunds</v>
      </c>
      <c r="D5680" s="0" t="n">
        <f aca="false">INDEX(Intent_Analysis!$E$5:$E$81,MATCH(B5680,Intent_Analysis!$A$5:$A$81,0))</f>
        <v>2</v>
      </c>
    </row>
    <row r="5681" customFormat="false" ht="15" hidden="false" customHeight="false" outlineLevel="0" collapsed="false">
      <c r="A5681" s="0" t="s">
        <v>6005</v>
      </c>
      <c r="B5681" s="0" t="s">
        <v>56</v>
      </c>
      <c r="C5681" s="0" t="str">
        <f aca="false">INDEX(Intent_Analysis!$B$5:$B$81,MATCH(B5681,Intent_Analysis!$A$5:$A$81,0))</f>
        <v>Card payments &amp; refunds</v>
      </c>
      <c r="D5681" s="0" t="n">
        <f aca="false">INDEX(Intent_Analysis!$E$5:$E$81,MATCH(B5681,Intent_Analysis!$A$5:$A$81,0))</f>
        <v>2</v>
      </c>
    </row>
    <row r="5682" customFormat="false" ht="15" hidden="false" customHeight="false" outlineLevel="0" collapsed="false">
      <c r="A5682" s="0" t="s">
        <v>6006</v>
      </c>
      <c r="B5682" s="0" t="s">
        <v>56</v>
      </c>
      <c r="C5682" s="0" t="str">
        <f aca="false">INDEX(Intent_Analysis!$B$5:$B$81,MATCH(B5682,Intent_Analysis!$A$5:$A$81,0))</f>
        <v>Card payments &amp; refunds</v>
      </c>
      <c r="D5682" s="0" t="n">
        <f aca="false">INDEX(Intent_Analysis!$E$5:$E$81,MATCH(B5682,Intent_Analysis!$A$5:$A$81,0))</f>
        <v>2</v>
      </c>
    </row>
    <row r="5683" customFormat="false" ht="15" hidden="false" customHeight="false" outlineLevel="0" collapsed="false">
      <c r="A5683" s="0" t="s">
        <v>6007</v>
      </c>
      <c r="B5683" s="0" t="s">
        <v>56</v>
      </c>
      <c r="C5683" s="0" t="str">
        <f aca="false">INDEX(Intent_Analysis!$B$5:$B$81,MATCH(B5683,Intent_Analysis!$A$5:$A$81,0))</f>
        <v>Card payments &amp; refunds</v>
      </c>
      <c r="D5683" s="0" t="n">
        <f aca="false">INDEX(Intent_Analysis!$E$5:$E$81,MATCH(B5683,Intent_Analysis!$A$5:$A$81,0))</f>
        <v>2</v>
      </c>
    </row>
    <row r="5684" customFormat="false" ht="15" hidden="false" customHeight="false" outlineLevel="0" collapsed="false">
      <c r="A5684" s="0" t="s">
        <v>6008</v>
      </c>
      <c r="B5684" s="0" t="s">
        <v>56</v>
      </c>
      <c r="C5684" s="0" t="str">
        <f aca="false">INDEX(Intent_Analysis!$B$5:$B$81,MATCH(B5684,Intent_Analysis!$A$5:$A$81,0))</f>
        <v>Card payments &amp; refunds</v>
      </c>
      <c r="D5684" s="0" t="n">
        <f aca="false">INDEX(Intent_Analysis!$E$5:$E$81,MATCH(B5684,Intent_Analysis!$A$5:$A$81,0))</f>
        <v>2</v>
      </c>
    </row>
    <row r="5685" customFormat="false" ht="15" hidden="false" customHeight="false" outlineLevel="0" collapsed="false">
      <c r="A5685" s="0" t="s">
        <v>6009</v>
      </c>
      <c r="B5685" s="0" t="s">
        <v>56</v>
      </c>
      <c r="C5685" s="0" t="str">
        <f aca="false">INDEX(Intent_Analysis!$B$5:$B$81,MATCH(B5685,Intent_Analysis!$A$5:$A$81,0))</f>
        <v>Card payments &amp; refunds</v>
      </c>
      <c r="D5685" s="0" t="n">
        <f aca="false">INDEX(Intent_Analysis!$E$5:$E$81,MATCH(B5685,Intent_Analysis!$A$5:$A$81,0))</f>
        <v>2</v>
      </c>
    </row>
    <row r="5686" customFormat="false" ht="15" hidden="false" customHeight="false" outlineLevel="0" collapsed="false">
      <c r="A5686" s="0" t="s">
        <v>6010</v>
      </c>
      <c r="B5686" s="0" t="s">
        <v>56</v>
      </c>
      <c r="C5686" s="0" t="str">
        <f aca="false">INDEX(Intent_Analysis!$B$5:$B$81,MATCH(B5686,Intent_Analysis!$A$5:$A$81,0))</f>
        <v>Card payments &amp; refunds</v>
      </c>
      <c r="D5686" s="0" t="n">
        <f aca="false">INDEX(Intent_Analysis!$E$5:$E$81,MATCH(B5686,Intent_Analysis!$A$5:$A$81,0))</f>
        <v>2</v>
      </c>
    </row>
    <row r="5687" customFormat="false" ht="15" hidden="false" customHeight="false" outlineLevel="0" collapsed="false">
      <c r="A5687" s="0" t="s">
        <v>6011</v>
      </c>
      <c r="B5687" s="0" t="s">
        <v>56</v>
      </c>
      <c r="C5687" s="0" t="str">
        <f aca="false">INDEX(Intent_Analysis!$B$5:$B$81,MATCH(B5687,Intent_Analysis!$A$5:$A$81,0))</f>
        <v>Card payments &amp; refunds</v>
      </c>
      <c r="D5687" s="0" t="n">
        <f aca="false">INDEX(Intent_Analysis!$E$5:$E$81,MATCH(B5687,Intent_Analysis!$A$5:$A$81,0))</f>
        <v>2</v>
      </c>
    </row>
    <row r="5688" customFormat="false" ht="15" hidden="false" customHeight="false" outlineLevel="0" collapsed="false">
      <c r="A5688" s="0" t="s">
        <v>6012</v>
      </c>
      <c r="B5688" s="0" t="s">
        <v>56</v>
      </c>
      <c r="C5688" s="0" t="str">
        <f aca="false">INDEX(Intent_Analysis!$B$5:$B$81,MATCH(B5688,Intent_Analysis!$A$5:$A$81,0))</f>
        <v>Card payments &amp; refunds</v>
      </c>
      <c r="D5688" s="0" t="n">
        <f aca="false">INDEX(Intent_Analysis!$E$5:$E$81,MATCH(B5688,Intent_Analysis!$A$5:$A$81,0))</f>
        <v>2</v>
      </c>
    </row>
    <row r="5689" customFormat="false" ht="15" hidden="false" customHeight="false" outlineLevel="0" collapsed="false">
      <c r="A5689" s="0" t="s">
        <v>6013</v>
      </c>
      <c r="B5689" s="0" t="s">
        <v>56</v>
      </c>
      <c r="C5689" s="0" t="str">
        <f aca="false">INDEX(Intent_Analysis!$B$5:$B$81,MATCH(B5689,Intent_Analysis!$A$5:$A$81,0))</f>
        <v>Card payments &amp; refunds</v>
      </c>
      <c r="D5689" s="0" t="n">
        <f aca="false">INDEX(Intent_Analysis!$E$5:$E$81,MATCH(B5689,Intent_Analysis!$A$5:$A$81,0))</f>
        <v>2</v>
      </c>
    </row>
    <row r="5690" customFormat="false" ht="15" hidden="false" customHeight="false" outlineLevel="0" collapsed="false">
      <c r="A5690" s="0" t="s">
        <v>6014</v>
      </c>
      <c r="B5690" s="0" t="s">
        <v>56</v>
      </c>
      <c r="C5690" s="0" t="str">
        <f aca="false">INDEX(Intent_Analysis!$B$5:$B$81,MATCH(B5690,Intent_Analysis!$A$5:$A$81,0))</f>
        <v>Card payments &amp; refunds</v>
      </c>
      <c r="D5690" s="0" t="n">
        <f aca="false">INDEX(Intent_Analysis!$E$5:$E$81,MATCH(B5690,Intent_Analysis!$A$5:$A$81,0))</f>
        <v>2</v>
      </c>
    </row>
    <row r="5691" customFormat="false" ht="15" hidden="false" customHeight="false" outlineLevel="0" collapsed="false">
      <c r="A5691" s="0" t="s">
        <v>6015</v>
      </c>
      <c r="B5691" s="0" t="s">
        <v>56</v>
      </c>
      <c r="C5691" s="0" t="str">
        <f aca="false">INDEX(Intent_Analysis!$B$5:$B$81,MATCH(B5691,Intent_Analysis!$A$5:$A$81,0))</f>
        <v>Card payments &amp; refunds</v>
      </c>
      <c r="D5691" s="0" t="n">
        <f aca="false">INDEX(Intent_Analysis!$E$5:$E$81,MATCH(B5691,Intent_Analysis!$A$5:$A$81,0))</f>
        <v>2</v>
      </c>
    </row>
    <row r="5692" customFormat="false" ht="15" hidden="false" customHeight="false" outlineLevel="0" collapsed="false">
      <c r="A5692" s="0" t="s">
        <v>6016</v>
      </c>
      <c r="B5692" s="0" t="s">
        <v>56</v>
      </c>
      <c r="C5692" s="0" t="str">
        <f aca="false">INDEX(Intent_Analysis!$B$5:$B$81,MATCH(B5692,Intent_Analysis!$A$5:$A$81,0))</f>
        <v>Card payments &amp; refunds</v>
      </c>
      <c r="D5692" s="0" t="n">
        <f aca="false">INDEX(Intent_Analysis!$E$5:$E$81,MATCH(B5692,Intent_Analysis!$A$5:$A$81,0))</f>
        <v>2</v>
      </c>
    </row>
    <row r="5693" customFormat="false" ht="15" hidden="false" customHeight="false" outlineLevel="0" collapsed="false">
      <c r="A5693" s="0" t="s">
        <v>6017</v>
      </c>
      <c r="B5693" s="0" t="s">
        <v>56</v>
      </c>
      <c r="C5693" s="0" t="str">
        <f aca="false">INDEX(Intent_Analysis!$B$5:$B$81,MATCH(B5693,Intent_Analysis!$A$5:$A$81,0))</f>
        <v>Card payments &amp; refunds</v>
      </c>
      <c r="D5693" s="0" t="n">
        <f aca="false">INDEX(Intent_Analysis!$E$5:$E$81,MATCH(B5693,Intent_Analysis!$A$5:$A$81,0))</f>
        <v>2</v>
      </c>
    </row>
    <row r="5694" customFormat="false" ht="15" hidden="false" customHeight="false" outlineLevel="0" collapsed="false">
      <c r="A5694" s="0" t="s">
        <v>6018</v>
      </c>
      <c r="B5694" s="0" t="s">
        <v>56</v>
      </c>
      <c r="C5694" s="0" t="str">
        <f aca="false">INDEX(Intent_Analysis!$B$5:$B$81,MATCH(B5694,Intent_Analysis!$A$5:$A$81,0))</f>
        <v>Card payments &amp; refunds</v>
      </c>
      <c r="D5694" s="0" t="n">
        <f aca="false">INDEX(Intent_Analysis!$E$5:$E$81,MATCH(B5694,Intent_Analysis!$A$5:$A$81,0))</f>
        <v>2</v>
      </c>
    </row>
    <row r="5695" customFormat="false" ht="15" hidden="false" customHeight="false" outlineLevel="0" collapsed="false">
      <c r="A5695" s="0" t="s">
        <v>6019</v>
      </c>
      <c r="B5695" s="0" t="s">
        <v>56</v>
      </c>
      <c r="C5695" s="0" t="str">
        <f aca="false">INDEX(Intent_Analysis!$B$5:$B$81,MATCH(B5695,Intent_Analysis!$A$5:$A$81,0))</f>
        <v>Card payments &amp; refunds</v>
      </c>
      <c r="D5695" s="0" t="n">
        <f aca="false">INDEX(Intent_Analysis!$E$5:$E$81,MATCH(B5695,Intent_Analysis!$A$5:$A$81,0))</f>
        <v>2</v>
      </c>
    </row>
    <row r="5696" customFormat="false" ht="15" hidden="false" customHeight="false" outlineLevel="0" collapsed="false">
      <c r="A5696" s="0" t="s">
        <v>6020</v>
      </c>
      <c r="B5696" s="0" t="s">
        <v>56</v>
      </c>
      <c r="C5696" s="0" t="str">
        <f aca="false">INDEX(Intent_Analysis!$B$5:$B$81,MATCH(B5696,Intent_Analysis!$A$5:$A$81,0))</f>
        <v>Card payments &amp; refunds</v>
      </c>
      <c r="D5696" s="0" t="n">
        <f aca="false">INDEX(Intent_Analysis!$E$5:$E$81,MATCH(B5696,Intent_Analysis!$A$5:$A$81,0))</f>
        <v>2</v>
      </c>
    </row>
    <row r="5697" customFormat="false" ht="15" hidden="false" customHeight="false" outlineLevel="0" collapsed="false">
      <c r="A5697" s="0" t="s">
        <v>6021</v>
      </c>
      <c r="B5697" s="0" t="s">
        <v>56</v>
      </c>
      <c r="C5697" s="0" t="str">
        <f aca="false">INDEX(Intent_Analysis!$B$5:$B$81,MATCH(B5697,Intent_Analysis!$A$5:$A$81,0))</f>
        <v>Card payments &amp; refunds</v>
      </c>
      <c r="D5697" s="0" t="n">
        <f aca="false">INDEX(Intent_Analysis!$E$5:$E$81,MATCH(B5697,Intent_Analysis!$A$5:$A$81,0))</f>
        <v>2</v>
      </c>
    </row>
    <row r="5698" customFormat="false" ht="15" hidden="false" customHeight="false" outlineLevel="0" collapsed="false">
      <c r="A5698" s="0" t="s">
        <v>6022</v>
      </c>
      <c r="B5698" s="0" t="s">
        <v>56</v>
      </c>
      <c r="C5698" s="0" t="str">
        <f aca="false">INDEX(Intent_Analysis!$B$5:$B$81,MATCH(B5698,Intent_Analysis!$A$5:$A$81,0))</f>
        <v>Card payments &amp; refunds</v>
      </c>
      <c r="D5698" s="0" t="n">
        <f aca="false">INDEX(Intent_Analysis!$E$5:$E$81,MATCH(B5698,Intent_Analysis!$A$5:$A$81,0))</f>
        <v>2</v>
      </c>
    </row>
    <row r="5699" customFormat="false" ht="15" hidden="false" customHeight="false" outlineLevel="0" collapsed="false">
      <c r="A5699" s="0" t="s">
        <v>6023</v>
      </c>
      <c r="B5699" s="0" t="s">
        <v>56</v>
      </c>
      <c r="C5699" s="0" t="str">
        <f aca="false">INDEX(Intent_Analysis!$B$5:$B$81,MATCH(B5699,Intent_Analysis!$A$5:$A$81,0))</f>
        <v>Card payments &amp; refunds</v>
      </c>
      <c r="D5699" s="0" t="n">
        <f aca="false">INDEX(Intent_Analysis!$E$5:$E$81,MATCH(B5699,Intent_Analysis!$A$5:$A$81,0))</f>
        <v>2</v>
      </c>
    </row>
    <row r="5700" customFormat="false" ht="15" hidden="false" customHeight="false" outlineLevel="0" collapsed="false">
      <c r="A5700" s="0" t="s">
        <v>6024</v>
      </c>
      <c r="B5700" s="0" t="s">
        <v>56</v>
      </c>
      <c r="C5700" s="0" t="str">
        <f aca="false">INDEX(Intent_Analysis!$B$5:$B$81,MATCH(B5700,Intent_Analysis!$A$5:$A$81,0))</f>
        <v>Card payments &amp; refunds</v>
      </c>
      <c r="D5700" s="0" t="n">
        <f aca="false">INDEX(Intent_Analysis!$E$5:$E$81,MATCH(B5700,Intent_Analysis!$A$5:$A$81,0))</f>
        <v>2</v>
      </c>
    </row>
    <row r="5701" customFormat="false" ht="15" hidden="false" customHeight="false" outlineLevel="0" collapsed="false">
      <c r="A5701" s="0" t="s">
        <v>6025</v>
      </c>
      <c r="B5701" s="0" t="s">
        <v>56</v>
      </c>
      <c r="C5701" s="0" t="str">
        <f aca="false">INDEX(Intent_Analysis!$B$5:$B$81,MATCH(B5701,Intent_Analysis!$A$5:$A$81,0))</f>
        <v>Card payments &amp; refunds</v>
      </c>
      <c r="D5701" s="0" t="n">
        <f aca="false">INDEX(Intent_Analysis!$E$5:$E$81,MATCH(B5701,Intent_Analysis!$A$5:$A$81,0))</f>
        <v>2</v>
      </c>
    </row>
    <row r="5702" customFormat="false" ht="15" hidden="false" customHeight="false" outlineLevel="0" collapsed="false">
      <c r="A5702" s="0" t="s">
        <v>6026</v>
      </c>
      <c r="B5702" s="0" t="s">
        <v>56</v>
      </c>
      <c r="C5702" s="0" t="str">
        <f aca="false">INDEX(Intent_Analysis!$B$5:$B$81,MATCH(B5702,Intent_Analysis!$A$5:$A$81,0))</f>
        <v>Card payments &amp; refunds</v>
      </c>
      <c r="D5702" s="0" t="n">
        <f aca="false">INDEX(Intent_Analysis!$E$5:$E$81,MATCH(B5702,Intent_Analysis!$A$5:$A$81,0))</f>
        <v>2</v>
      </c>
    </row>
    <row r="5703" customFormat="false" ht="15" hidden="false" customHeight="false" outlineLevel="0" collapsed="false">
      <c r="A5703" s="0" t="s">
        <v>6027</v>
      </c>
      <c r="B5703" s="0" t="s">
        <v>56</v>
      </c>
      <c r="C5703" s="0" t="str">
        <f aca="false">INDEX(Intent_Analysis!$B$5:$B$81,MATCH(B5703,Intent_Analysis!$A$5:$A$81,0))</f>
        <v>Card payments &amp; refunds</v>
      </c>
      <c r="D5703" s="0" t="n">
        <f aca="false">INDEX(Intent_Analysis!$E$5:$E$81,MATCH(B5703,Intent_Analysis!$A$5:$A$81,0))</f>
        <v>2</v>
      </c>
    </row>
    <row r="5704" customFormat="false" ht="15" hidden="false" customHeight="false" outlineLevel="0" collapsed="false">
      <c r="A5704" s="0" t="s">
        <v>6028</v>
      </c>
      <c r="B5704" s="0" t="s">
        <v>56</v>
      </c>
      <c r="C5704" s="0" t="str">
        <f aca="false">INDEX(Intent_Analysis!$B$5:$B$81,MATCH(B5704,Intent_Analysis!$A$5:$A$81,0))</f>
        <v>Card payments &amp; refunds</v>
      </c>
      <c r="D5704" s="0" t="n">
        <f aca="false">INDEX(Intent_Analysis!$E$5:$E$81,MATCH(B5704,Intent_Analysis!$A$5:$A$81,0))</f>
        <v>2</v>
      </c>
    </row>
    <row r="5705" customFormat="false" ht="15" hidden="false" customHeight="false" outlineLevel="0" collapsed="false">
      <c r="A5705" s="0" t="s">
        <v>6029</v>
      </c>
      <c r="B5705" s="0" t="s">
        <v>56</v>
      </c>
      <c r="C5705" s="0" t="str">
        <f aca="false">INDEX(Intent_Analysis!$B$5:$B$81,MATCH(B5705,Intent_Analysis!$A$5:$A$81,0))</f>
        <v>Card payments &amp; refunds</v>
      </c>
      <c r="D5705" s="0" t="n">
        <f aca="false">INDEX(Intent_Analysis!$E$5:$E$81,MATCH(B5705,Intent_Analysis!$A$5:$A$81,0))</f>
        <v>2</v>
      </c>
    </row>
    <row r="5706" customFormat="false" ht="15" hidden="false" customHeight="false" outlineLevel="0" collapsed="false">
      <c r="A5706" s="0" t="s">
        <v>6030</v>
      </c>
      <c r="B5706" s="0" t="s">
        <v>56</v>
      </c>
      <c r="C5706" s="0" t="str">
        <f aca="false">INDEX(Intent_Analysis!$B$5:$B$81,MATCH(B5706,Intent_Analysis!$A$5:$A$81,0))</f>
        <v>Card payments &amp; refunds</v>
      </c>
      <c r="D5706" s="0" t="n">
        <f aca="false">INDEX(Intent_Analysis!$E$5:$E$81,MATCH(B5706,Intent_Analysis!$A$5:$A$81,0))</f>
        <v>2</v>
      </c>
    </row>
    <row r="5707" customFormat="false" ht="15" hidden="false" customHeight="false" outlineLevel="0" collapsed="false">
      <c r="A5707" s="0" t="s">
        <v>6031</v>
      </c>
      <c r="B5707" s="0" t="s">
        <v>56</v>
      </c>
      <c r="C5707" s="0" t="str">
        <f aca="false">INDEX(Intent_Analysis!$B$5:$B$81,MATCH(B5707,Intent_Analysis!$A$5:$A$81,0))</f>
        <v>Card payments &amp; refunds</v>
      </c>
      <c r="D5707" s="0" t="n">
        <f aca="false">INDEX(Intent_Analysis!$E$5:$E$81,MATCH(B5707,Intent_Analysis!$A$5:$A$81,0))</f>
        <v>2</v>
      </c>
    </row>
    <row r="5708" customFormat="false" ht="15" hidden="false" customHeight="false" outlineLevel="0" collapsed="false">
      <c r="A5708" s="0" t="s">
        <v>6032</v>
      </c>
      <c r="B5708" s="0" t="s">
        <v>56</v>
      </c>
      <c r="C5708" s="0" t="str">
        <f aca="false">INDEX(Intent_Analysis!$B$5:$B$81,MATCH(B5708,Intent_Analysis!$A$5:$A$81,0))</f>
        <v>Card payments &amp; refunds</v>
      </c>
      <c r="D5708" s="0" t="n">
        <f aca="false">INDEX(Intent_Analysis!$E$5:$E$81,MATCH(B5708,Intent_Analysis!$A$5:$A$81,0))</f>
        <v>2</v>
      </c>
    </row>
    <row r="5709" customFormat="false" ht="15" hidden="false" customHeight="false" outlineLevel="0" collapsed="false">
      <c r="A5709" s="0" t="s">
        <v>6033</v>
      </c>
      <c r="B5709" s="0" t="s">
        <v>56</v>
      </c>
      <c r="C5709" s="0" t="str">
        <f aca="false">INDEX(Intent_Analysis!$B$5:$B$81,MATCH(B5709,Intent_Analysis!$A$5:$A$81,0))</f>
        <v>Card payments &amp; refunds</v>
      </c>
      <c r="D5709" s="0" t="n">
        <f aca="false">INDEX(Intent_Analysis!$E$5:$E$81,MATCH(B5709,Intent_Analysis!$A$5:$A$81,0))</f>
        <v>2</v>
      </c>
    </row>
    <row r="5710" customFormat="false" ht="15" hidden="false" customHeight="false" outlineLevel="0" collapsed="false">
      <c r="A5710" s="0" t="s">
        <v>6034</v>
      </c>
      <c r="B5710" s="0" t="s">
        <v>56</v>
      </c>
      <c r="C5710" s="0" t="str">
        <f aca="false">INDEX(Intent_Analysis!$B$5:$B$81,MATCH(B5710,Intent_Analysis!$A$5:$A$81,0))</f>
        <v>Card payments &amp; refunds</v>
      </c>
      <c r="D5710" s="0" t="n">
        <f aca="false">INDEX(Intent_Analysis!$E$5:$E$81,MATCH(B5710,Intent_Analysis!$A$5:$A$81,0))</f>
        <v>2</v>
      </c>
    </row>
    <row r="5711" customFormat="false" ht="15" hidden="false" customHeight="false" outlineLevel="0" collapsed="false">
      <c r="A5711" s="0" t="s">
        <v>6035</v>
      </c>
      <c r="B5711" s="0" t="s">
        <v>56</v>
      </c>
      <c r="C5711" s="0" t="str">
        <f aca="false">INDEX(Intent_Analysis!$B$5:$B$81,MATCH(B5711,Intent_Analysis!$A$5:$A$81,0))</f>
        <v>Card payments &amp; refunds</v>
      </c>
      <c r="D5711" s="0" t="n">
        <f aca="false">INDEX(Intent_Analysis!$E$5:$E$81,MATCH(B5711,Intent_Analysis!$A$5:$A$81,0))</f>
        <v>2</v>
      </c>
    </row>
    <row r="5712" customFormat="false" ht="15" hidden="false" customHeight="false" outlineLevel="0" collapsed="false">
      <c r="A5712" s="0" t="s">
        <v>6036</v>
      </c>
      <c r="B5712" s="0" t="s">
        <v>56</v>
      </c>
      <c r="C5712" s="0" t="str">
        <f aca="false">INDEX(Intent_Analysis!$B$5:$B$81,MATCH(B5712,Intent_Analysis!$A$5:$A$81,0))</f>
        <v>Card payments &amp; refunds</v>
      </c>
      <c r="D5712" s="0" t="n">
        <f aca="false">INDEX(Intent_Analysis!$E$5:$E$81,MATCH(B5712,Intent_Analysis!$A$5:$A$81,0))</f>
        <v>2</v>
      </c>
    </row>
    <row r="5713" customFormat="false" ht="15" hidden="false" customHeight="false" outlineLevel="0" collapsed="false">
      <c r="A5713" s="0" t="s">
        <v>6037</v>
      </c>
      <c r="B5713" s="0" t="s">
        <v>56</v>
      </c>
      <c r="C5713" s="0" t="str">
        <f aca="false">INDEX(Intent_Analysis!$B$5:$B$81,MATCH(B5713,Intent_Analysis!$A$5:$A$81,0))</f>
        <v>Card payments &amp; refunds</v>
      </c>
      <c r="D5713" s="0" t="n">
        <f aca="false">INDEX(Intent_Analysis!$E$5:$E$81,MATCH(B5713,Intent_Analysis!$A$5:$A$81,0))</f>
        <v>2</v>
      </c>
    </row>
    <row r="5714" customFormat="false" ht="15" hidden="false" customHeight="false" outlineLevel="0" collapsed="false">
      <c r="A5714" s="0" t="s">
        <v>6038</v>
      </c>
      <c r="B5714" s="0" t="s">
        <v>56</v>
      </c>
      <c r="C5714" s="0" t="str">
        <f aca="false">INDEX(Intent_Analysis!$B$5:$B$81,MATCH(B5714,Intent_Analysis!$A$5:$A$81,0))</f>
        <v>Card payments &amp; refunds</v>
      </c>
      <c r="D5714" s="0" t="n">
        <f aca="false">INDEX(Intent_Analysis!$E$5:$E$81,MATCH(B5714,Intent_Analysis!$A$5:$A$81,0))</f>
        <v>2</v>
      </c>
    </row>
    <row r="5715" customFormat="false" ht="15" hidden="false" customHeight="false" outlineLevel="0" collapsed="false">
      <c r="A5715" s="0" t="s">
        <v>6039</v>
      </c>
      <c r="B5715" s="0" t="s">
        <v>56</v>
      </c>
      <c r="C5715" s="0" t="str">
        <f aca="false">INDEX(Intent_Analysis!$B$5:$B$81,MATCH(B5715,Intent_Analysis!$A$5:$A$81,0))</f>
        <v>Card payments &amp; refunds</v>
      </c>
      <c r="D5715" s="0" t="n">
        <f aca="false">INDEX(Intent_Analysis!$E$5:$E$81,MATCH(B5715,Intent_Analysis!$A$5:$A$81,0))</f>
        <v>2</v>
      </c>
    </row>
    <row r="5716" customFormat="false" ht="15" hidden="false" customHeight="false" outlineLevel="0" collapsed="false">
      <c r="A5716" s="0" t="s">
        <v>6040</v>
      </c>
      <c r="B5716" s="0" t="s">
        <v>56</v>
      </c>
      <c r="C5716" s="0" t="str">
        <f aca="false">INDEX(Intent_Analysis!$B$5:$B$81,MATCH(B5716,Intent_Analysis!$A$5:$A$81,0))</f>
        <v>Card payments &amp; refunds</v>
      </c>
      <c r="D5716" s="0" t="n">
        <f aca="false">INDEX(Intent_Analysis!$E$5:$E$81,MATCH(B5716,Intent_Analysis!$A$5:$A$81,0))</f>
        <v>2</v>
      </c>
    </row>
    <row r="5717" customFormat="false" ht="15" hidden="false" customHeight="false" outlineLevel="0" collapsed="false">
      <c r="A5717" s="0" t="s">
        <v>6041</v>
      </c>
      <c r="B5717" s="0" t="s">
        <v>56</v>
      </c>
      <c r="C5717" s="0" t="str">
        <f aca="false">INDEX(Intent_Analysis!$B$5:$B$81,MATCH(B5717,Intent_Analysis!$A$5:$A$81,0))</f>
        <v>Card payments &amp; refunds</v>
      </c>
      <c r="D5717" s="0" t="n">
        <f aca="false">INDEX(Intent_Analysis!$E$5:$E$81,MATCH(B5717,Intent_Analysis!$A$5:$A$81,0))</f>
        <v>2</v>
      </c>
    </row>
    <row r="5718" customFormat="false" ht="15" hidden="false" customHeight="false" outlineLevel="0" collapsed="false">
      <c r="A5718" s="0" t="s">
        <v>6042</v>
      </c>
      <c r="B5718" s="0" t="s">
        <v>56</v>
      </c>
      <c r="C5718" s="0" t="str">
        <f aca="false">INDEX(Intent_Analysis!$B$5:$B$81,MATCH(B5718,Intent_Analysis!$A$5:$A$81,0))</f>
        <v>Card payments &amp; refunds</v>
      </c>
      <c r="D5718" s="0" t="n">
        <f aca="false">INDEX(Intent_Analysis!$E$5:$E$81,MATCH(B5718,Intent_Analysis!$A$5:$A$81,0))</f>
        <v>2</v>
      </c>
    </row>
    <row r="5719" customFormat="false" ht="15" hidden="false" customHeight="false" outlineLevel="0" collapsed="false">
      <c r="A5719" s="0" t="s">
        <v>6043</v>
      </c>
      <c r="B5719" s="0" t="s">
        <v>56</v>
      </c>
      <c r="C5719" s="0" t="str">
        <f aca="false">INDEX(Intent_Analysis!$B$5:$B$81,MATCH(B5719,Intent_Analysis!$A$5:$A$81,0))</f>
        <v>Card payments &amp; refunds</v>
      </c>
      <c r="D5719" s="0" t="n">
        <f aca="false">INDEX(Intent_Analysis!$E$5:$E$81,MATCH(B5719,Intent_Analysis!$A$5:$A$81,0))</f>
        <v>2</v>
      </c>
    </row>
    <row r="5720" customFormat="false" ht="15" hidden="false" customHeight="false" outlineLevel="0" collapsed="false">
      <c r="A5720" s="0" t="s">
        <v>6044</v>
      </c>
      <c r="B5720" s="0" t="s">
        <v>56</v>
      </c>
      <c r="C5720" s="0" t="str">
        <f aca="false">INDEX(Intent_Analysis!$B$5:$B$81,MATCH(B5720,Intent_Analysis!$A$5:$A$81,0))</f>
        <v>Card payments &amp; refunds</v>
      </c>
      <c r="D5720" s="0" t="n">
        <f aca="false">INDEX(Intent_Analysis!$E$5:$E$81,MATCH(B5720,Intent_Analysis!$A$5:$A$81,0))</f>
        <v>2</v>
      </c>
    </row>
    <row r="5721" customFormat="false" ht="15" hidden="false" customHeight="false" outlineLevel="0" collapsed="false">
      <c r="A5721" s="0" t="s">
        <v>6045</v>
      </c>
      <c r="B5721" s="0" t="s">
        <v>56</v>
      </c>
      <c r="C5721" s="0" t="str">
        <f aca="false">INDEX(Intent_Analysis!$B$5:$B$81,MATCH(B5721,Intent_Analysis!$A$5:$A$81,0))</f>
        <v>Card payments &amp; refunds</v>
      </c>
      <c r="D5721" s="0" t="n">
        <f aca="false">INDEX(Intent_Analysis!$E$5:$E$81,MATCH(B5721,Intent_Analysis!$A$5:$A$81,0))</f>
        <v>2</v>
      </c>
    </row>
    <row r="5722" customFormat="false" ht="15" hidden="false" customHeight="false" outlineLevel="0" collapsed="false">
      <c r="A5722" s="0" t="s">
        <v>6046</v>
      </c>
      <c r="B5722" s="0" t="s">
        <v>56</v>
      </c>
      <c r="C5722" s="0" t="str">
        <f aca="false">INDEX(Intent_Analysis!$B$5:$B$81,MATCH(B5722,Intent_Analysis!$A$5:$A$81,0))</f>
        <v>Card payments &amp; refunds</v>
      </c>
      <c r="D5722" s="0" t="n">
        <f aca="false">INDEX(Intent_Analysis!$E$5:$E$81,MATCH(B5722,Intent_Analysis!$A$5:$A$81,0))</f>
        <v>2</v>
      </c>
    </row>
    <row r="5723" customFormat="false" ht="15" hidden="false" customHeight="false" outlineLevel="0" collapsed="false">
      <c r="A5723" s="0" t="s">
        <v>6047</v>
      </c>
      <c r="B5723" s="0" t="s">
        <v>56</v>
      </c>
      <c r="C5723" s="0" t="str">
        <f aca="false">INDEX(Intent_Analysis!$B$5:$B$81,MATCH(B5723,Intent_Analysis!$A$5:$A$81,0))</f>
        <v>Card payments &amp; refunds</v>
      </c>
      <c r="D5723" s="0" t="n">
        <f aca="false">INDEX(Intent_Analysis!$E$5:$E$81,MATCH(B5723,Intent_Analysis!$A$5:$A$81,0))</f>
        <v>2</v>
      </c>
    </row>
    <row r="5724" customFormat="false" ht="15" hidden="false" customHeight="false" outlineLevel="0" collapsed="false">
      <c r="A5724" s="0" t="s">
        <v>6048</v>
      </c>
      <c r="B5724" s="0" t="s">
        <v>56</v>
      </c>
      <c r="C5724" s="0" t="str">
        <f aca="false">INDEX(Intent_Analysis!$B$5:$B$81,MATCH(B5724,Intent_Analysis!$A$5:$A$81,0))</f>
        <v>Card payments &amp; refunds</v>
      </c>
      <c r="D5724" s="0" t="n">
        <f aca="false">INDEX(Intent_Analysis!$E$5:$E$81,MATCH(B5724,Intent_Analysis!$A$5:$A$81,0))</f>
        <v>2</v>
      </c>
    </row>
    <row r="5725" customFormat="false" ht="15" hidden="false" customHeight="false" outlineLevel="0" collapsed="false">
      <c r="A5725" s="0" t="s">
        <v>6049</v>
      </c>
      <c r="B5725" s="0" t="s">
        <v>56</v>
      </c>
      <c r="C5725" s="0" t="str">
        <f aca="false">INDEX(Intent_Analysis!$B$5:$B$81,MATCH(B5725,Intent_Analysis!$A$5:$A$81,0))</f>
        <v>Card payments &amp; refunds</v>
      </c>
      <c r="D5725" s="0" t="n">
        <f aca="false">INDEX(Intent_Analysis!$E$5:$E$81,MATCH(B5725,Intent_Analysis!$A$5:$A$81,0))</f>
        <v>2</v>
      </c>
    </row>
    <row r="5726" customFormat="false" ht="15" hidden="false" customHeight="false" outlineLevel="0" collapsed="false">
      <c r="A5726" s="0" t="s">
        <v>6050</v>
      </c>
      <c r="B5726" s="0" t="s">
        <v>56</v>
      </c>
      <c r="C5726" s="0" t="str">
        <f aca="false">INDEX(Intent_Analysis!$B$5:$B$81,MATCH(B5726,Intent_Analysis!$A$5:$A$81,0))</f>
        <v>Card payments &amp; refunds</v>
      </c>
      <c r="D5726" s="0" t="n">
        <f aca="false">INDEX(Intent_Analysis!$E$5:$E$81,MATCH(B5726,Intent_Analysis!$A$5:$A$81,0))</f>
        <v>2</v>
      </c>
    </row>
    <row r="5727" customFormat="false" ht="15" hidden="false" customHeight="false" outlineLevel="0" collapsed="false">
      <c r="A5727" s="0" t="s">
        <v>6051</v>
      </c>
      <c r="B5727" s="0" t="s">
        <v>56</v>
      </c>
      <c r="C5727" s="0" t="str">
        <f aca="false">INDEX(Intent_Analysis!$B$5:$B$81,MATCH(B5727,Intent_Analysis!$A$5:$A$81,0))</f>
        <v>Card payments &amp; refunds</v>
      </c>
      <c r="D5727" s="0" t="n">
        <f aca="false">INDEX(Intent_Analysis!$E$5:$E$81,MATCH(B5727,Intent_Analysis!$A$5:$A$81,0))</f>
        <v>2</v>
      </c>
    </row>
    <row r="5728" customFormat="false" ht="15" hidden="false" customHeight="false" outlineLevel="0" collapsed="false">
      <c r="A5728" s="0" t="s">
        <v>6052</v>
      </c>
      <c r="B5728" s="0" t="s">
        <v>56</v>
      </c>
      <c r="C5728" s="0" t="str">
        <f aca="false">INDEX(Intent_Analysis!$B$5:$B$81,MATCH(B5728,Intent_Analysis!$A$5:$A$81,0))</f>
        <v>Card payments &amp; refunds</v>
      </c>
      <c r="D5728" s="0" t="n">
        <f aca="false">INDEX(Intent_Analysis!$E$5:$E$81,MATCH(B5728,Intent_Analysis!$A$5:$A$81,0))</f>
        <v>2</v>
      </c>
    </row>
    <row r="5729" customFormat="false" ht="15" hidden="false" customHeight="false" outlineLevel="0" collapsed="false">
      <c r="A5729" s="0" t="s">
        <v>6053</v>
      </c>
      <c r="B5729" s="0" t="s">
        <v>56</v>
      </c>
      <c r="C5729" s="0" t="str">
        <f aca="false">INDEX(Intent_Analysis!$B$5:$B$81,MATCH(B5729,Intent_Analysis!$A$5:$A$81,0))</f>
        <v>Card payments &amp; refunds</v>
      </c>
      <c r="D5729" s="0" t="n">
        <f aca="false">INDEX(Intent_Analysis!$E$5:$E$81,MATCH(B5729,Intent_Analysis!$A$5:$A$81,0))</f>
        <v>2</v>
      </c>
    </row>
    <row r="5730" customFormat="false" ht="15" hidden="false" customHeight="false" outlineLevel="0" collapsed="false">
      <c r="A5730" s="0" t="s">
        <v>6054</v>
      </c>
      <c r="B5730" s="0" t="s">
        <v>56</v>
      </c>
      <c r="C5730" s="0" t="str">
        <f aca="false">INDEX(Intent_Analysis!$B$5:$B$81,MATCH(B5730,Intent_Analysis!$A$5:$A$81,0))</f>
        <v>Card payments &amp; refunds</v>
      </c>
      <c r="D5730" s="0" t="n">
        <f aca="false">INDEX(Intent_Analysis!$E$5:$E$81,MATCH(B5730,Intent_Analysis!$A$5:$A$81,0))</f>
        <v>2</v>
      </c>
    </row>
    <row r="5731" customFormat="false" ht="15" hidden="false" customHeight="false" outlineLevel="0" collapsed="false">
      <c r="A5731" s="0" t="s">
        <v>6055</v>
      </c>
      <c r="B5731" s="0" t="s">
        <v>56</v>
      </c>
      <c r="C5731" s="0" t="str">
        <f aca="false">INDEX(Intent_Analysis!$B$5:$B$81,MATCH(B5731,Intent_Analysis!$A$5:$A$81,0))</f>
        <v>Card payments &amp; refunds</v>
      </c>
      <c r="D5731" s="0" t="n">
        <f aca="false">INDEX(Intent_Analysis!$E$5:$E$81,MATCH(B5731,Intent_Analysis!$A$5:$A$81,0))</f>
        <v>2</v>
      </c>
    </row>
    <row r="5732" customFormat="false" ht="15" hidden="false" customHeight="false" outlineLevel="0" collapsed="false">
      <c r="A5732" s="0" t="s">
        <v>6056</v>
      </c>
      <c r="B5732" s="0" t="s">
        <v>56</v>
      </c>
      <c r="C5732" s="0" t="str">
        <f aca="false">INDEX(Intent_Analysis!$B$5:$B$81,MATCH(B5732,Intent_Analysis!$A$5:$A$81,0))</f>
        <v>Card payments &amp; refunds</v>
      </c>
      <c r="D5732" s="0" t="n">
        <f aca="false">INDEX(Intent_Analysis!$E$5:$E$81,MATCH(B5732,Intent_Analysis!$A$5:$A$81,0))</f>
        <v>2</v>
      </c>
    </row>
    <row r="5733" customFormat="false" ht="15" hidden="false" customHeight="false" outlineLevel="0" collapsed="false">
      <c r="A5733" s="0" t="s">
        <v>6057</v>
      </c>
      <c r="B5733" s="0" t="s">
        <v>56</v>
      </c>
      <c r="C5733" s="0" t="str">
        <f aca="false">INDEX(Intent_Analysis!$B$5:$B$81,MATCH(B5733,Intent_Analysis!$A$5:$A$81,0))</f>
        <v>Card payments &amp; refunds</v>
      </c>
      <c r="D5733" s="0" t="n">
        <f aca="false">INDEX(Intent_Analysis!$E$5:$E$81,MATCH(B5733,Intent_Analysis!$A$5:$A$81,0))</f>
        <v>2</v>
      </c>
    </row>
    <row r="5734" customFormat="false" ht="15" hidden="false" customHeight="false" outlineLevel="0" collapsed="false">
      <c r="A5734" s="0" t="s">
        <v>6058</v>
      </c>
      <c r="B5734" s="0" t="s">
        <v>56</v>
      </c>
      <c r="C5734" s="0" t="str">
        <f aca="false">INDEX(Intent_Analysis!$B$5:$B$81,MATCH(B5734,Intent_Analysis!$A$5:$A$81,0))</f>
        <v>Card payments &amp; refunds</v>
      </c>
      <c r="D5734" s="0" t="n">
        <f aca="false">INDEX(Intent_Analysis!$E$5:$E$81,MATCH(B5734,Intent_Analysis!$A$5:$A$81,0))</f>
        <v>2</v>
      </c>
    </row>
    <row r="5735" customFormat="false" ht="15" hidden="false" customHeight="false" outlineLevel="0" collapsed="false">
      <c r="A5735" s="0" t="s">
        <v>6059</v>
      </c>
      <c r="B5735" s="0" t="s">
        <v>56</v>
      </c>
      <c r="C5735" s="0" t="str">
        <f aca="false">INDEX(Intent_Analysis!$B$5:$B$81,MATCH(B5735,Intent_Analysis!$A$5:$A$81,0))</f>
        <v>Card payments &amp; refunds</v>
      </c>
      <c r="D5735" s="0" t="n">
        <f aca="false">INDEX(Intent_Analysis!$E$5:$E$81,MATCH(B5735,Intent_Analysis!$A$5:$A$81,0))</f>
        <v>2</v>
      </c>
    </row>
    <row r="5736" customFormat="false" ht="15" hidden="false" customHeight="false" outlineLevel="0" collapsed="false">
      <c r="A5736" s="0" t="s">
        <v>6060</v>
      </c>
      <c r="B5736" s="0" t="s">
        <v>56</v>
      </c>
      <c r="C5736" s="0" t="str">
        <f aca="false">INDEX(Intent_Analysis!$B$5:$B$81,MATCH(B5736,Intent_Analysis!$A$5:$A$81,0))</f>
        <v>Card payments &amp; refunds</v>
      </c>
      <c r="D5736" s="0" t="n">
        <f aca="false">INDEX(Intent_Analysis!$E$5:$E$81,MATCH(B5736,Intent_Analysis!$A$5:$A$81,0))</f>
        <v>2</v>
      </c>
    </row>
    <row r="5737" customFormat="false" ht="15" hidden="false" customHeight="false" outlineLevel="0" collapsed="false">
      <c r="A5737" s="0" t="s">
        <v>6061</v>
      </c>
      <c r="B5737" s="0" t="s">
        <v>56</v>
      </c>
      <c r="C5737" s="0" t="str">
        <f aca="false">INDEX(Intent_Analysis!$B$5:$B$81,MATCH(B5737,Intent_Analysis!$A$5:$A$81,0))</f>
        <v>Card payments &amp; refunds</v>
      </c>
      <c r="D5737" s="0" t="n">
        <f aca="false">INDEX(Intent_Analysis!$E$5:$E$81,MATCH(B5737,Intent_Analysis!$A$5:$A$81,0))</f>
        <v>2</v>
      </c>
    </row>
    <row r="5738" customFormat="false" ht="15" hidden="false" customHeight="false" outlineLevel="0" collapsed="false">
      <c r="A5738" s="0" t="s">
        <v>6062</v>
      </c>
      <c r="B5738" s="0" t="s">
        <v>56</v>
      </c>
      <c r="C5738" s="0" t="str">
        <f aca="false">INDEX(Intent_Analysis!$B$5:$B$81,MATCH(B5738,Intent_Analysis!$A$5:$A$81,0))</f>
        <v>Card payments &amp; refunds</v>
      </c>
      <c r="D5738" s="0" t="n">
        <f aca="false">INDEX(Intent_Analysis!$E$5:$E$81,MATCH(B5738,Intent_Analysis!$A$5:$A$81,0))</f>
        <v>2</v>
      </c>
    </row>
    <row r="5739" customFormat="false" ht="15" hidden="false" customHeight="false" outlineLevel="0" collapsed="false">
      <c r="A5739" s="0" t="s">
        <v>6063</v>
      </c>
      <c r="B5739" s="0" t="s">
        <v>56</v>
      </c>
      <c r="C5739" s="0" t="str">
        <f aca="false">INDEX(Intent_Analysis!$B$5:$B$81,MATCH(B5739,Intent_Analysis!$A$5:$A$81,0))</f>
        <v>Card payments &amp; refunds</v>
      </c>
      <c r="D5739" s="0" t="n">
        <f aca="false">INDEX(Intent_Analysis!$E$5:$E$81,MATCH(B5739,Intent_Analysis!$A$5:$A$81,0))</f>
        <v>2</v>
      </c>
    </row>
    <row r="5740" customFormat="false" ht="15" hidden="false" customHeight="false" outlineLevel="0" collapsed="false">
      <c r="A5740" s="0" t="s">
        <v>6064</v>
      </c>
      <c r="B5740" s="0" t="s">
        <v>56</v>
      </c>
      <c r="C5740" s="0" t="str">
        <f aca="false">INDEX(Intent_Analysis!$B$5:$B$81,MATCH(B5740,Intent_Analysis!$A$5:$A$81,0))</f>
        <v>Card payments &amp; refunds</v>
      </c>
      <c r="D5740" s="0" t="n">
        <f aca="false">INDEX(Intent_Analysis!$E$5:$E$81,MATCH(B5740,Intent_Analysis!$A$5:$A$81,0))</f>
        <v>2</v>
      </c>
    </row>
    <row r="5741" customFormat="false" ht="15" hidden="false" customHeight="false" outlineLevel="0" collapsed="false">
      <c r="A5741" s="0" t="s">
        <v>6065</v>
      </c>
      <c r="B5741" s="0" t="s">
        <v>56</v>
      </c>
      <c r="C5741" s="0" t="str">
        <f aca="false">INDEX(Intent_Analysis!$B$5:$B$81,MATCH(B5741,Intent_Analysis!$A$5:$A$81,0))</f>
        <v>Card payments &amp; refunds</v>
      </c>
      <c r="D5741" s="0" t="n">
        <f aca="false">INDEX(Intent_Analysis!$E$5:$E$81,MATCH(B5741,Intent_Analysis!$A$5:$A$81,0))</f>
        <v>2</v>
      </c>
    </row>
    <row r="5742" customFormat="false" ht="15" hidden="false" customHeight="false" outlineLevel="0" collapsed="false">
      <c r="A5742" s="0" t="s">
        <v>6066</v>
      </c>
      <c r="B5742" s="0" t="s">
        <v>56</v>
      </c>
      <c r="C5742" s="0" t="str">
        <f aca="false">INDEX(Intent_Analysis!$B$5:$B$81,MATCH(B5742,Intent_Analysis!$A$5:$A$81,0))</f>
        <v>Card payments &amp; refunds</v>
      </c>
      <c r="D5742" s="0" t="n">
        <f aca="false">INDEX(Intent_Analysis!$E$5:$E$81,MATCH(B5742,Intent_Analysis!$A$5:$A$81,0))</f>
        <v>2</v>
      </c>
    </row>
    <row r="5743" customFormat="false" ht="15" hidden="false" customHeight="false" outlineLevel="0" collapsed="false">
      <c r="A5743" s="0" t="s">
        <v>6067</v>
      </c>
      <c r="B5743" s="0" t="s">
        <v>56</v>
      </c>
      <c r="C5743" s="0" t="str">
        <f aca="false">INDEX(Intent_Analysis!$B$5:$B$81,MATCH(B5743,Intent_Analysis!$A$5:$A$81,0))</f>
        <v>Card payments &amp; refunds</v>
      </c>
      <c r="D5743" s="0" t="n">
        <f aca="false">INDEX(Intent_Analysis!$E$5:$E$81,MATCH(B5743,Intent_Analysis!$A$5:$A$81,0))</f>
        <v>2</v>
      </c>
    </row>
    <row r="5744" customFormat="false" ht="15" hidden="false" customHeight="false" outlineLevel="0" collapsed="false">
      <c r="A5744" s="0" t="s">
        <v>6068</v>
      </c>
      <c r="B5744" s="0" t="s">
        <v>56</v>
      </c>
      <c r="C5744" s="0" t="str">
        <f aca="false">INDEX(Intent_Analysis!$B$5:$B$81,MATCH(B5744,Intent_Analysis!$A$5:$A$81,0))</f>
        <v>Card payments &amp; refunds</v>
      </c>
      <c r="D5744" s="0" t="n">
        <f aca="false">INDEX(Intent_Analysis!$E$5:$E$81,MATCH(B5744,Intent_Analysis!$A$5:$A$81,0))</f>
        <v>2</v>
      </c>
    </row>
    <row r="5745" customFormat="false" ht="15" hidden="false" customHeight="false" outlineLevel="0" collapsed="false">
      <c r="A5745" s="0" t="s">
        <v>6069</v>
      </c>
      <c r="B5745" s="0" t="s">
        <v>56</v>
      </c>
      <c r="C5745" s="0" t="str">
        <f aca="false">INDEX(Intent_Analysis!$B$5:$B$81,MATCH(B5745,Intent_Analysis!$A$5:$A$81,0))</f>
        <v>Card payments &amp; refunds</v>
      </c>
      <c r="D5745" s="0" t="n">
        <f aca="false">INDEX(Intent_Analysis!$E$5:$E$81,MATCH(B5745,Intent_Analysis!$A$5:$A$81,0))</f>
        <v>2</v>
      </c>
    </row>
    <row r="5746" customFormat="false" ht="15" hidden="false" customHeight="false" outlineLevel="0" collapsed="false">
      <c r="A5746" s="0" t="s">
        <v>6070</v>
      </c>
      <c r="B5746" s="0" t="s">
        <v>56</v>
      </c>
      <c r="C5746" s="0" t="str">
        <f aca="false">INDEX(Intent_Analysis!$B$5:$B$81,MATCH(B5746,Intent_Analysis!$A$5:$A$81,0))</f>
        <v>Card payments &amp; refunds</v>
      </c>
      <c r="D5746" s="0" t="n">
        <f aca="false">INDEX(Intent_Analysis!$E$5:$E$81,MATCH(B5746,Intent_Analysis!$A$5:$A$81,0))</f>
        <v>2</v>
      </c>
    </row>
    <row r="5747" customFormat="false" ht="15" hidden="false" customHeight="false" outlineLevel="0" collapsed="false">
      <c r="A5747" s="0" t="s">
        <v>6071</v>
      </c>
      <c r="B5747" s="0" t="s">
        <v>56</v>
      </c>
      <c r="C5747" s="0" t="str">
        <f aca="false">INDEX(Intent_Analysis!$B$5:$B$81,MATCH(B5747,Intent_Analysis!$A$5:$A$81,0))</f>
        <v>Card payments &amp; refunds</v>
      </c>
      <c r="D5747" s="0" t="n">
        <f aca="false">INDEX(Intent_Analysis!$E$5:$E$81,MATCH(B5747,Intent_Analysis!$A$5:$A$81,0))</f>
        <v>2</v>
      </c>
    </row>
    <row r="5748" customFormat="false" ht="15" hidden="false" customHeight="false" outlineLevel="0" collapsed="false">
      <c r="A5748" s="0" t="s">
        <v>6072</v>
      </c>
      <c r="B5748" s="0" t="s">
        <v>56</v>
      </c>
      <c r="C5748" s="0" t="str">
        <f aca="false">INDEX(Intent_Analysis!$B$5:$B$81,MATCH(B5748,Intent_Analysis!$A$5:$A$81,0))</f>
        <v>Card payments &amp; refunds</v>
      </c>
      <c r="D5748" s="0" t="n">
        <f aca="false">INDEX(Intent_Analysis!$E$5:$E$81,MATCH(B5748,Intent_Analysis!$A$5:$A$81,0))</f>
        <v>2</v>
      </c>
    </row>
    <row r="5749" customFormat="false" ht="15" hidden="false" customHeight="false" outlineLevel="0" collapsed="false">
      <c r="A5749" s="0" t="s">
        <v>6073</v>
      </c>
      <c r="B5749" s="0" t="s">
        <v>56</v>
      </c>
      <c r="C5749" s="0" t="str">
        <f aca="false">INDEX(Intent_Analysis!$B$5:$B$81,MATCH(B5749,Intent_Analysis!$A$5:$A$81,0))</f>
        <v>Card payments &amp; refunds</v>
      </c>
      <c r="D5749" s="0" t="n">
        <f aca="false">INDEX(Intent_Analysis!$E$5:$E$81,MATCH(B5749,Intent_Analysis!$A$5:$A$81,0))</f>
        <v>2</v>
      </c>
    </row>
    <row r="5750" customFormat="false" ht="15" hidden="false" customHeight="false" outlineLevel="0" collapsed="false">
      <c r="A5750" s="0" t="s">
        <v>6074</v>
      </c>
      <c r="B5750" s="0" t="s">
        <v>56</v>
      </c>
      <c r="C5750" s="0" t="str">
        <f aca="false">INDEX(Intent_Analysis!$B$5:$B$81,MATCH(B5750,Intent_Analysis!$A$5:$A$81,0))</f>
        <v>Card payments &amp; refunds</v>
      </c>
      <c r="D5750" s="0" t="n">
        <f aca="false">INDEX(Intent_Analysis!$E$5:$E$81,MATCH(B5750,Intent_Analysis!$A$5:$A$81,0))</f>
        <v>2</v>
      </c>
    </row>
    <row r="5751" customFormat="false" ht="15" hidden="false" customHeight="false" outlineLevel="0" collapsed="false">
      <c r="A5751" s="0" t="s">
        <v>6075</v>
      </c>
      <c r="B5751" s="0" t="s">
        <v>56</v>
      </c>
      <c r="C5751" s="0" t="str">
        <f aca="false">INDEX(Intent_Analysis!$B$5:$B$81,MATCH(B5751,Intent_Analysis!$A$5:$A$81,0))</f>
        <v>Card payments &amp; refunds</v>
      </c>
      <c r="D5751" s="0" t="n">
        <f aca="false">INDEX(Intent_Analysis!$E$5:$E$81,MATCH(B5751,Intent_Analysis!$A$5:$A$81,0))</f>
        <v>2</v>
      </c>
    </row>
    <row r="5752" customFormat="false" ht="15" hidden="false" customHeight="false" outlineLevel="0" collapsed="false">
      <c r="A5752" s="0" t="s">
        <v>6076</v>
      </c>
      <c r="B5752" s="0" t="s">
        <v>56</v>
      </c>
      <c r="C5752" s="0" t="str">
        <f aca="false">INDEX(Intent_Analysis!$B$5:$B$81,MATCH(B5752,Intent_Analysis!$A$5:$A$81,0))</f>
        <v>Card payments &amp; refunds</v>
      </c>
      <c r="D5752" s="0" t="n">
        <f aca="false">INDEX(Intent_Analysis!$E$5:$E$81,MATCH(B5752,Intent_Analysis!$A$5:$A$81,0))</f>
        <v>2</v>
      </c>
    </row>
    <row r="5753" customFormat="false" ht="15" hidden="false" customHeight="false" outlineLevel="0" collapsed="false">
      <c r="A5753" s="0" t="s">
        <v>6077</v>
      </c>
      <c r="B5753" s="0" t="s">
        <v>56</v>
      </c>
      <c r="C5753" s="0" t="str">
        <f aca="false">INDEX(Intent_Analysis!$B$5:$B$81,MATCH(B5753,Intent_Analysis!$A$5:$A$81,0))</f>
        <v>Card payments &amp; refunds</v>
      </c>
      <c r="D5753" s="0" t="n">
        <f aca="false">INDEX(Intent_Analysis!$E$5:$E$81,MATCH(B5753,Intent_Analysis!$A$5:$A$81,0))</f>
        <v>2</v>
      </c>
    </row>
    <row r="5754" customFormat="false" ht="15" hidden="false" customHeight="false" outlineLevel="0" collapsed="false">
      <c r="A5754" s="0" t="s">
        <v>6078</v>
      </c>
      <c r="B5754" s="0" t="s">
        <v>56</v>
      </c>
      <c r="C5754" s="0" t="str">
        <f aca="false">INDEX(Intent_Analysis!$B$5:$B$81,MATCH(B5754,Intent_Analysis!$A$5:$A$81,0))</f>
        <v>Card payments &amp; refunds</v>
      </c>
      <c r="D5754" s="0" t="n">
        <f aca="false">INDEX(Intent_Analysis!$E$5:$E$81,MATCH(B5754,Intent_Analysis!$A$5:$A$81,0))</f>
        <v>2</v>
      </c>
    </row>
    <row r="5755" customFormat="false" ht="15" hidden="false" customHeight="false" outlineLevel="0" collapsed="false">
      <c r="A5755" s="0" t="s">
        <v>6079</v>
      </c>
      <c r="B5755" s="0" t="s">
        <v>56</v>
      </c>
      <c r="C5755" s="0" t="str">
        <f aca="false">INDEX(Intent_Analysis!$B$5:$B$81,MATCH(B5755,Intent_Analysis!$A$5:$A$81,0))</f>
        <v>Card payments &amp; refunds</v>
      </c>
      <c r="D5755" s="0" t="n">
        <f aca="false">INDEX(Intent_Analysis!$E$5:$E$81,MATCH(B5755,Intent_Analysis!$A$5:$A$81,0))</f>
        <v>2</v>
      </c>
    </row>
    <row r="5756" customFormat="false" ht="15" hidden="false" customHeight="false" outlineLevel="0" collapsed="false">
      <c r="A5756" s="0" t="s">
        <v>6080</v>
      </c>
      <c r="B5756" s="0" t="s">
        <v>56</v>
      </c>
      <c r="C5756" s="0" t="str">
        <f aca="false">INDEX(Intent_Analysis!$B$5:$B$81,MATCH(B5756,Intent_Analysis!$A$5:$A$81,0))</f>
        <v>Card payments &amp; refunds</v>
      </c>
      <c r="D5756" s="0" t="n">
        <f aca="false">INDEX(Intent_Analysis!$E$5:$E$81,MATCH(B5756,Intent_Analysis!$A$5:$A$81,0))</f>
        <v>2</v>
      </c>
    </row>
    <row r="5757" customFormat="false" ht="15" hidden="false" customHeight="false" outlineLevel="0" collapsed="false">
      <c r="A5757" s="0" t="s">
        <v>6081</v>
      </c>
      <c r="B5757" s="0" t="s">
        <v>56</v>
      </c>
      <c r="C5757" s="0" t="str">
        <f aca="false">INDEX(Intent_Analysis!$B$5:$B$81,MATCH(B5757,Intent_Analysis!$A$5:$A$81,0))</f>
        <v>Card payments &amp; refunds</v>
      </c>
      <c r="D5757" s="0" t="n">
        <f aca="false">INDEX(Intent_Analysis!$E$5:$E$81,MATCH(B5757,Intent_Analysis!$A$5:$A$81,0))</f>
        <v>2</v>
      </c>
    </row>
    <row r="5758" customFormat="false" ht="15" hidden="false" customHeight="false" outlineLevel="0" collapsed="false">
      <c r="A5758" s="0" t="s">
        <v>6082</v>
      </c>
      <c r="B5758" s="0" t="s">
        <v>56</v>
      </c>
      <c r="C5758" s="0" t="str">
        <f aca="false">INDEX(Intent_Analysis!$B$5:$B$81,MATCH(B5758,Intent_Analysis!$A$5:$A$81,0))</f>
        <v>Card payments &amp; refunds</v>
      </c>
      <c r="D5758" s="0" t="n">
        <f aca="false">INDEX(Intent_Analysis!$E$5:$E$81,MATCH(B5758,Intent_Analysis!$A$5:$A$81,0))</f>
        <v>2</v>
      </c>
    </row>
    <row r="5759" customFormat="false" ht="15" hidden="false" customHeight="false" outlineLevel="0" collapsed="false">
      <c r="A5759" s="0" t="s">
        <v>6083</v>
      </c>
      <c r="B5759" s="0" t="s">
        <v>56</v>
      </c>
      <c r="C5759" s="0" t="str">
        <f aca="false">INDEX(Intent_Analysis!$B$5:$B$81,MATCH(B5759,Intent_Analysis!$A$5:$A$81,0))</f>
        <v>Card payments &amp; refunds</v>
      </c>
      <c r="D5759" s="0" t="n">
        <f aca="false">INDEX(Intent_Analysis!$E$5:$E$81,MATCH(B5759,Intent_Analysis!$A$5:$A$81,0))</f>
        <v>2</v>
      </c>
    </row>
    <row r="5760" customFormat="false" ht="15" hidden="false" customHeight="false" outlineLevel="0" collapsed="false">
      <c r="A5760" s="0" t="s">
        <v>6084</v>
      </c>
      <c r="B5760" s="0" t="s">
        <v>56</v>
      </c>
      <c r="C5760" s="0" t="str">
        <f aca="false">INDEX(Intent_Analysis!$B$5:$B$81,MATCH(B5760,Intent_Analysis!$A$5:$A$81,0))</f>
        <v>Card payments &amp; refunds</v>
      </c>
      <c r="D5760" s="0" t="n">
        <f aca="false">INDEX(Intent_Analysis!$E$5:$E$81,MATCH(B5760,Intent_Analysis!$A$5:$A$81,0))</f>
        <v>2</v>
      </c>
    </row>
    <row r="5761" customFormat="false" ht="15" hidden="false" customHeight="false" outlineLevel="0" collapsed="false">
      <c r="A5761" s="0" t="s">
        <v>6085</v>
      </c>
      <c r="B5761" s="0" t="s">
        <v>56</v>
      </c>
      <c r="C5761" s="0" t="str">
        <f aca="false">INDEX(Intent_Analysis!$B$5:$B$81,MATCH(B5761,Intent_Analysis!$A$5:$A$81,0))</f>
        <v>Card payments &amp; refunds</v>
      </c>
      <c r="D5761" s="0" t="n">
        <f aca="false">INDEX(Intent_Analysis!$E$5:$E$81,MATCH(B5761,Intent_Analysis!$A$5:$A$81,0))</f>
        <v>2</v>
      </c>
    </row>
    <row r="5762" customFormat="false" ht="15" hidden="false" customHeight="false" outlineLevel="0" collapsed="false">
      <c r="A5762" s="0" t="s">
        <v>6086</v>
      </c>
      <c r="B5762" s="0" t="s">
        <v>56</v>
      </c>
      <c r="C5762" s="0" t="str">
        <f aca="false">INDEX(Intent_Analysis!$B$5:$B$81,MATCH(B5762,Intent_Analysis!$A$5:$A$81,0))</f>
        <v>Card payments &amp; refunds</v>
      </c>
      <c r="D5762" s="0" t="n">
        <f aca="false">INDEX(Intent_Analysis!$E$5:$E$81,MATCH(B5762,Intent_Analysis!$A$5:$A$81,0))</f>
        <v>2</v>
      </c>
    </row>
    <row r="5763" customFormat="false" ht="15" hidden="false" customHeight="false" outlineLevel="0" collapsed="false">
      <c r="A5763" s="0" t="s">
        <v>6087</v>
      </c>
      <c r="B5763" s="0" t="s">
        <v>56</v>
      </c>
      <c r="C5763" s="0" t="str">
        <f aca="false">INDEX(Intent_Analysis!$B$5:$B$81,MATCH(B5763,Intent_Analysis!$A$5:$A$81,0))</f>
        <v>Card payments &amp; refunds</v>
      </c>
      <c r="D5763" s="0" t="n">
        <f aca="false">INDEX(Intent_Analysis!$E$5:$E$81,MATCH(B5763,Intent_Analysis!$A$5:$A$81,0))</f>
        <v>2</v>
      </c>
    </row>
    <row r="5764" customFormat="false" ht="15" hidden="false" customHeight="false" outlineLevel="0" collapsed="false">
      <c r="A5764" s="0" t="s">
        <v>6088</v>
      </c>
      <c r="B5764" s="0" t="s">
        <v>56</v>
      </c>
      <c r="C5764" s="0" t="str">
        <f aca="false">INDEX(Intent_Analysis!$B$5:$B$81,MATCH(B5764,Intent_Analysis!$A$5:$A$81,0))</f>
        <v>Card payments &amp; refunds</v>
      </c>
      <c r="D5764" s="0" t="n">
        <f aca="false">INDEX(Intent_Analysis!$E$5:$E$81,MATCH(B5764,Intent_Analysis!$A$5:$A$81,0))</f>
        <v>2</v>
      </c>
    </row>
    <row r="5765" customFormat="false" ht="15" hidden="false" customHeight="false" outlineLevel="0" collapsed="false">
      <c r="A5765" s="0" t="s">
        <v>6089</v>
      </c>
      <c r="B5765" s="0" t="s">
        <v>56</v>
      </c>
      <c r="C5765" s="0" t="str">
        <f aca="false">INDEX(Intent_Analysis!$B$5:$B$81,MATCH(B5765,Intent_Analysis!$A$5:$A$81,0))</f>
        <v>Card payments &amp; refunds</v>
      </c>
      <c r="D5765" s="0" t="n">
        <f aca="false">INDEX(Intent_Analysis!$E$5:$E$81,MATCH(B5765,Intent_Analysis!$A$5:$A$81,0))</f>
        <v>2</v>
      </c>
    </row>
    <row r="5766" customFormat="false" ht="15" hidden="false" customHeight="false" outlineLevel="0" collapsed="false">
      <c r="A5766" s="0" t="s">
        <v>6090</v>
      </c>
      <c r="B5766" s="0" t="s">
        <v>56</v>
      </c>
      <c r="C5766" s="0" t="str">
        <f aca="false">INDEX(Intent_Analysis!$B$5:$B$81,MATCH(B5766,Intent_Analysis!$A$5:$A$81,0))</f>
        <v>Card payments &amp; refunds</v>
      </c>
      <c r="D5766" s="0" t="n">
        <f aca="false">INDEX(Intent_Analysis!$E$5:$E$81,MATCH(B5766,Intent_Analysis!$A$5:$A$81,0))</f>
        <v>2</v>
      </c>
    </row>
    <row r="5767" customFormat="false" ht="15" hidden="false" customHeight="false" outlineLevel="0" collapsed="false">
      <c r="A5767" s="0" t="s">
        <v>6091</v>
      </c>
      <c r="B5767" s="0" t="s">
        <v>56</v>
      </c>
      <c r="C5767" s="0" t="str">
        <f aca="false">INDEX(Intent_Analysis!$B$5:$B$81,MATCH(B5767,Intent_Analysis!$A$5:$A$81,0))</f>
        <v>Card payments &amp; refunds</v>
      </c>
      <c r="D5767" s="0" t="n">
        <f aca="false">INDEX(Intent_Analysis!$E$5:$E$81,MATCH(B5767,Intent_Analysis!$A$5:$A$81,0))</f>
        <v>2</v>
      </c>
    </row>
    <row r="5768" customFormat="false" ht="15" hidden="false" customHeight="false" outlineLevel="0" collapsed="false">
      <c r="A5768" s="0" t="s">
        <v>6092</v>
      </c>
      <c r="B5768" s="0" t="s">
        <v>56</v>
      </c>
      <c r="C5768" s="0" t="str">
        <f aca="false">INDEX(Intent_Analysis!$B$5:$B$81,MATCH(B5768,Intent_Analysis!$A$5:$A$81,0))</f>
        <v>Card payments &amp; refunds</v>
      </c>
      <c r="D5768" s="0" t="n">
        <f aca="false">INDEX(Intent_Analysis!$E$5:$E$81,MATCH(B5768,Intent_Analysis!$A$5:$A$81,0))</f>
        <v>2</v>
      </c>
    </row>
    <row r="5769" customFormat="false" ht="15" hidden="false" customHeight="false" outlineLevel="0" collapsed="false">
      <c r="A5769" s="0" t="s">
        <v>6093</v>
      </c>
      <c r="B5769" s="0" t="s">
        <v>56</v>
      </c>
      <c r="C5769" s="0" t="str">
        <f aca="false">INDEX(Intent_Analysis!$B$5:$B$81,MATCH(B5769,Intent_Analysis!$A$5:$A$81,0))</f>
        <v>Card payments &amp; refunds</v>
      </c>
      <c r="D5769" s="0" t="n">
        <f aca="false">INDEX(Intent_Analysis!$E$5:$E$81,MATCH(B5769,Intent_Analysis!$A$5:$A$81,0))</f>
        <v>2</v>
      </c>
    </row>
    <row r="5770" customFormat="false" ht="15" hidden="false" customHeight="false" outlineLevel="0" collapsed="false">
      <c r="A5770" s="0" t="s">
        <v>6094</v>
      </c>
      <c r="B5770" s="0" t="s">
        <v>56</v>
      </c>
      <c r="C5770" s="0" t="str">
        <f aca="false">INDEX(Intent_Analysis!$B$5:$B$81,MATCH(B5770,Intent_Analysis!$A$5:$A$81,0))</f>
        <v>Card payments &amp; refunds</v>
      </c>
      <c r="D5770" s="0" t="n">
        <f aca="false">INDEX(Intent_Analysis!$E$5:$E$81,MATCH(B5770,Intent_Analysis!$A$5:$A$81,0))</f>
        <v>2</v>
      </c>
    </row>
    <row r="5771" customFormat="false" ht="15" hidden="false" customHeight="false" outlineLevel="0" collapsed="false">
      <c r="A5771" s="0" t="s">
        <v>6095</v>
      </c>
      <c r="B5771" s="0" t="s">
        <v>56</v>
      </c>
      <c r="C5771" s="0" t="str">
        <f aca="false">INDEX(Intent_Analysis!$B$5:$B$81,MATCH(B5771,Intent_Analysis!$A$5:$A$81,0))</f>
        <v>Card payments &amp; refunds</v>
      </c>
      <c r="D5771" s="0" t="n">
        <f aca="false">INDEX(Intent_Analysis!$E$5:$E$81,MATCH(B5771,Intent_Analysis!$A$5:$A$81,0))</f>
        <v>2</v>
      </c>
    </row>
    <row r="5772" customFormat="false" ht="15" hidden="false" customHeight="false" outlineLevel="0" collapsed="false">
      <c r="A5772" s="0" t="s">
        <v>6096</v>
      </c>
      <c r="B5772" s="0" t="s">
        <v>56</v>
      </c>
      <c r="C5772" s="0" t="str">
        <f aca="false">INDEX(Intent_Analysis!$B$5:$B$81,MATCH(B5772,Intent_Analysis!$A$5:$A$81,0))</f>
        <v>Card payments &amp; refunds</v>
      </c>
      <c r="D5772" s="0" t="n">
        <f aca="false">INDEX(Intent_Analysis!$E$5:$E$81,MATCH(B5772,Intent_Analysis!$A$5:$A$81,0))</f>
        <v>2</v>
      </c>
    </row>
    <row r="5773" customFormat="false" ht="15" hidden="false" customHeight="false" outlineLevel="0" collapsed="false">
      <c r="A5773" s="0" t="s">
        <v>6097</v>
      </c>
      <c r="B5773" s="0" t="s">
        <v>56</v>
      </c>
      <c r="C5773" s="0" t="str">
        <f aca="false">INDEX(Intent_Analysis!$B$5:$B$81,MATCH(B5773,Intent_Analysis!$A$5:$A$81,0))</f>
        <v>Card payments &amp; refunds</v>
      </c>
      <c r="D5773" s="0" t="n">
        <f aca="false">INDEX(Intent_Analysis!$E$5:$E$81,MATCH(B5773,Intent_Analysis!$A$5:$A$81,0))</f>
        <v>2</v>
      </c>
    </row>
    <row r="5774" customFormat="false" ht="15" hidden="false" customHeight="false" outlineLevel="0" collapsed="false">
      <c r="A5774" s="0" t="s">
        <v>6098</v>
      </c>
      <c r="B5774" s="0" t="s">
        <v>56</v>
      </c>
      <c r="C5774" s="0" t="str">
        <f aca="false">INDEX(Intent_Analysis!$B$5:$B$81,MATCH(B5774,Intent_Analysis!$A$5:$A$81,0))</f>
        <v>Card payments &amp; refunds</v>
      </c>
      <c r="D5774" s="0" t="n">
        <f aca="false">INDEX(Intent_Analysis!$E$5:$E$81,MATCH(B5774,Intent_Analysis!$A$5:$A$81,0))</f>
        <v>2</v>
      </c>
    </row>
    <row r="5775" customFormat="false" ht="15" hidden="false" customHeight="false" outlineLevel="0" collapsed="false">
      <c r="A5775" s="0" t="s">
        <v>6099</v>
      </c>
      <c r="B5775" s="0" t="s">
        <v>56</v>
      </c>
      <c r="C5775" s="0" t="str">
        <f aca="false">INDEX(Intent_Analysis!$B$5:$B$81,MATCH(B5775,Intent_Analysis!$A$5:$A$81,0))</f>
        <v>Card payments &amp; refunds</v>
      </c>
      <c r="D5775" s="0" t="n">
        <f aca="false">INDEX(Intent_Analysis!$E$5:$E$81,MATCH(B5775,Intent_Analysis!$A$5:$A$81,0))</f>
        <v>2</v>
      </c>
    </row>
    <row r="5776" customFormat="false" ht="15" hidden="false" customHeight="false" outlineLevel="0" collapsed="false">
      <c r="A5776" s="0" t="s">
        <v>6100</v>
      </c>
      <c r="B5776" s="0" t="s">
        <v>56</v>
      </c>
      <c r="C5776" s="0" t="str">
        <f aca="false">INDEX(Intent_Analysis!$B$5:$B$81,MATCH(B5776,Intent_Analysis!$A$5:$A$81,0))</f>
        <v>Card payments &amp; refunds</v>
      </c>
      <c r="D5776" s="0" t="n">
        <f aca="false">INDEX(Intent_Analysis!$E$5:$E$81,MATCH(B5776,Intent_Analysis!$A$5:$A$81,0))</f>
        <v>2</v>
      </c>
    </row>
    <row r="5777" customFormat="false" ht="15" hidden="false" customHeight="false" outlineLevel="0" collapsed="false">
      <c r="A5777" s="0" t="s">
        <v>6101</v>
      </c>
      <c r="B5777" s="0" t="s">
        <v>56</v>
      </c>
      <c r="C5777" s="0" t="str">
        <f aca="false">INDEX(Intent_Analysis!$B$5:$B$81,MATCH(B5777,Intent_Analysis!$A$5:$A$81,0))</f>
        <v>Card payments &amp; refunds</v>
      </c>
      <c r="D5777" s="0" t="n">
        <f aca="false">INDEX(Intent_Analysis!$E$5:$E$81,MATCH(B5777,Intent_Analysis!$A$5:$A$81,0))</f>
        <v>2</v>
      </c>
    </row>
    <row r="5778" customFormat="false" ht="15" hidden="false" customHeight="false" outlineLevel="0" collapsed="false">
      <c r="A5778" s="0" t="s">
        <v>6102</v>
      </c>
      <c r="B5778" s="0" t="s">
        <v>56</v>
      </c>
      <c r="C5778" s="0" t="str">
        <f aca="false">INDEX(Intent_Analysis!$B$5:$B$81,MATCH(B5778,Intent_Analysis!$A$5:$A$81,0))</f>
        <v>Card payments &amp; refunds</v>
      </c>
      <c r="D5778" s="0" t="n">
        <f aca="false">INDEX(Intent_Analysis!$E$5:$E$81,MATCH(B5778,Intent_Analysis!$A$5:$A$81,0))</f>
        <v>2</v>
      </c>
    </row>
    <row r="5779" customFormat="false" ht="15" hidden="false" customHeight="false" outlineLevel="0" collapsed="false">
      <c r="A5779" s="0" t="s">
        <v>6103</v>
      </c>
      <c r="B5779" s="0" t="s">
        <v>56</v>
      </c>
      <c r="C5779" s="0" t="str">
        <f aca="false">INDEX(Intent_Analysis!$B$5:$B$81,MATCH(B5779,Intent_Analysis!$A$5:$A$81,0))</f>
        <v>Card payments &amp; refunds</v>
      </c>
      <c r="D5779" s="0" t="n">
        <f aca="false">INDEX(Intent_Analysis!$E$5:$E$81,MATCH(B5779,Intent_Analysis!$A$5:$A$81,0))</f>
        <v>2</v>
      </c>
    </row>
    <row r="5780" customFormat="false" ht="15" hidden="false" customHeight="false" outlineLevel="0" collapsed="false">
      <c r="A5780" s="0" t="s">
        <v>6104</v>
      </c>
      <c r="B5780" s="0" t="s">
        <v>56</v>
      </c>
      <c r="C5780" s="0" t="str">
        <f aca="false">INDEX(Intent_Analysis!$B$5:$B$81,MATCH(B5780,Intent_Analysis!$A$5:$A$81,0))</f>
        <v>Card payments &amp; refunds</v>
      </c>
      <c r="D5780" s="0" t="n">
        <f aca="false">INDEX(Intent_Analysis!$E$5:$E$81,MATCH(B5780,Intent_Analysis!$A$5:$A$81,0))</f>
        <v>2</v>
      </c>
    </row>
    <row r="5781" customFormat="false" ht="15" hidden="false" customHeight="false" outlineLevel="0" collapsed="false">
      <c r="A5781" s="0" t="s">
        <v>6105</v>
      </c>
      <c r="B5781" s="0" t="s">
        <v>56</v>
      </c>
      <c r="C5781" s="0" t="str">
        <f aca="false">INDEX(Intent_Analysis!$B$5:$B$81,MATCH(B5781,Intent_Analysis!$A$5:$A$81,0))</f>
        <v>Card payments &amp; refunds</v>
      </c>
      <c r="D5781" s="0" t="n">
        <f aca="false">INDEX(Intent_Analysis!$E$5:$E$81,MATCH(B5781,Intent_Analysis!$A$5:$A$81,0))</f>
        <v>2</v>
      </c>
    </row>
    <row r="5782" customFormat="false" ht="15" hidden="false" customHeight="false" outlineLevel="0" collapsed="false">
      <c r="A5782" s="0" t="s">
        <v>6106</v>
      </c>
      <c r="B5782" s="0" t="s">
        <v>56</v>
      </c>
      <c r="C5782" s="0" t="str">
        <f aca="false">INDEX(Intent_Analysis!$B$5:$B$81,MATCH(B5782,Intent_Analysis!$A$5:$A$81,0))</f>
        <v>Card payments &amp; refunds</v>
      </c>
      <c r="D5782" s="0" t="n">
        <f aca="false">INDEX(Intent_Analysis!$E$5:$E$81,MATCH(B5782,Intent_Analysis!$A$5:$A$81,0))</f>
        <v>2</v>
      </c>
    </row>
    <row r="5783" customFormat="false" ht="15" hidden="false" customHeight="false" outlineLevel="0" collapsed="false">
      <c r="A5783" s="0" t="s">
        <v>6107</v>
      </c>
      <c r="B5783" s="0" t="s">
        <v>56</v>
      </c>
      <c r="C5783" s="0" t="str">
        <f aca="false">INDEX(Intent_Analysis!$B$5:$B$81,MATCH(B5783,Intent_Analysis!$A$5:$A$81,0))</f>
        <v>Card payments &amp; refunds</v>
      </c>
      <c r="D5783" s="0" t="n">
        <f aca="false">INDEX(Intent_Analysis!$E$5:$E$81,MATCH(B5783,Intent_Analysis!$A$5:$A$81,0))</f>
        <v>2</v>
      </c>
    </row>
    <row r="5784" customFormat="false" ht="15" hidden="false" customHeight="false" outlineLevel="0" collapsed="false">
      <c r="A5784" s="0" t="s">
        <v>6108</v>
      </c>
      <c r="B5784" s="0" t="s">
        <v>56</v>
      </c>
      <c r="C5784" s="0" t="str">
        <f aca="false">INDEX(Intent_Analysis!$B$5:$B$81,MATCH(B5784,Intent_Analysis!$A$5:$A$81,0))</f>
        <v>Card payments &amp; refunds</v>
      </c>
      <c r="D5784" s="0" t="n">
        <f aca="false">INDEX(Intent_Analysis!$E$5:$E$81,MATCH(B5784,Intent_Analysis!$A$5:$A$81,0))</f>
        <v>2</v>
      </c>
    </row>
    <row r="5785" customFormat="false" ht="15" hidden="false" customHeight="false" outlineLevel="0" collapsed="false">
      <c r="A5785" s="0" t="s">
        <v>6109</v>
      </c>
      <c r="B5785" s="0" t="s">
        <v>56</v>
      </c>
      <c r="C5785" s="0" t="str">
        <f aca="false">INDEX(Intent_Analysis!$B$5:$B$81,MATCH(B5785,Intent_Analysis!$A$5:$A$81,0))</f>
        <v>Card payments &amp; refunds</v>
      </c>
      <c r="D5785" s="0" t="n">
        <f aca="false">INDEX(Intent_Analysis!$E$5:$E$81,MATCH(B5785,Intent_Analysis!$A$5:$A$81,0))</f>
        <v>2</v>
      </c>
    </row>
    <row r="5786" customFormat="false" ht="15" hidden="false" customHeight="false" outlineLevel="0" collapsed="false">
      <c r="A5786" s="0" t="s">
        <v>6110</v>
      </c>
      <c r="B5786" s="0" t="s">
        <v>56</v>
      </c>
      <c r="C5786" s="0" t="str">
        <f aca="false">INDEX(Intent_Analysis!$B$5:$B$81,MATCH(B5786,Intent_Analysis!$A$5:$A$81,0))</f>
        <v>Card payments &amp; refunds</v>
      </c>
      <c r="D5786" s="0" t="n">
        <f aca="false">INDEX(Intent_Analysis!$E$5:$E$81,MATCH(B5786,Intent_Analysis!$A$5:$A$81,0))</f>
        <v>2</v>
      </c>
    </row>
    <row r="5787" customFormat="false" ht="15" hidden="false" customHeight="false" outlineLevel="0" collapsed="false">
      <c r="A5787" s="0" t="s">
        <v>6111</v>
      </c>
      <c r="B5787" s="0" t="s">
        <v>56</v>
      </c>
      <c r="C5787" s="0" t="str">
        <f aca="false">INDEX(Intent_Analysis!$B$5:$B$81,MATCH(B5787,Intent_Analysis!$A$5:$A$81,0))</f>
        <v>Card payments &amp; refunds</v>
      </c>
      <c r="D5787" s="0" t="n">
        <f aca="false">INDEX(Intent_Analysis!$E$5:$E$81,MATCH(B5787,Intent_Analysis!$A$5:$A$81,0))</f>
        <v>2</v>
      </c>
    </row>
    <row r="5788" customFormat="false" ht="15" hidden="false" customHeight="false" outlineLevel="0" collapsed="false">
      <c r="A5788" s="0" t="s">
        <v>6112</v>
      </c>
      <c r="B5788" s="0" t="s">
        <v>56</v>
      </c>
      <c r="C5788" s="0" t="str">
        <f aca="false">INDEX(Intent_Analysis!$B$5:$B$81,MATCH(B5788,Intent_Analysis!$A$5:$A$81,0))</f>
        <v>Card payments &amp; refunds</v>
      </c>
      <c r="D5788" s="0" t="n">
        <f aca="false">INDEX(Intent_Analysis!$E$5:$E$81,MATCH(B5788,Intent_Analysis!$A$5:$A$81,0))</f>
        <v>2</v>
      </c>
    </row>
    <row r="5789" customFormat="false" ht="15" hidden="false" customHeight="false" outlineLevel="0" collapsed="false">
      <c r="A5789" s="0" t="s">
        <v>6113</v>
      </c>
      <c r="B5789" s="0" t="s">
        <v>56</v>
      </c>
      <c r="C5789" s="0" t="str">
        <f aca="false">INDEX(Intent_Analysis!$B$5:$B$81,MATCH(B5789,Intent_Analysis!$A$5:$A$81,0))</f>
        <v>Card payments &amp; refunds</v>
      </c>
      <c r="D5789" s="0" t="n">
        <f aca="false">INDEX(Intent_Analysis!$E$5:$E$81,MATCH(B5789,Intent_Analysis!$A$5:$A$81,0))</f>
        <v>2</v>
      </c>
    </row>
    <row r="5790" customFormat="false" ht="15" hidden="false" customHeight="false" outlineLevel="0" collapsed="false">
      <c r="A5790" s="0" t="s">
        <v>6114</v>
      </c>
      <c r="B5790" s="0" t="s">
        <v>56</v>
      </c>
      <c r="C5790" s="0" t="str">
        <f aca="false">INDEX(Intent_Analysis!$B$5:$B$81,MATCH(B5790,Intent_Analysis!$A$5:$A$81,0))</f>
        <v>Card payments &amp; refunds</v>
      </c>
      <c r="D5790" s="0" t="n">
        <f aca="false">INDEX(Intent_Analysis!$E$5:$E$81,MATCH(B5790,Intent_Analysis!$A$5:$A$81,0))</f>
        <v>2</v>
      </c>
    </row>
    <row r="5791" customFormat="false" ht="15" hidden="false" customHeight="false" outlineLevel="0" collapsed="false">
      <c r="A5791" s="0" t="s">
        <v>6115</v>
      </c>
      <c r="B5791" s="0" t="s">
        <v>56</v>
      </c>
      <c r="C5791" s="0" t="str">
        <f aca="false">INDEX(Intent_Analysis!$B$5:$B$81,MATCH(B5791,Intent_Analysis!$A$5:$A$81,0))</f>
        <v>Card payments &amp; refunds</v>
      </c>
      <c r="D5791" s="0" t="n">
        <f aca="false">INDEX(Intent_Analysis!$E$5:$E$81,MATCH(B5791,Intent_Analysis!$A$5:$A$81,0))</f>
        <v>2</v>
      </c>
    </row>
    <row r="5792" customFormat="false" ht="15" hidden="false" customHeight="false" outlineLevel="0" collapsed="false">
      <c r="A5792" s="0" t="s">
        <v>6116</v>
      </c>
      <c r="B5792" s="0" t="s">
        <v>56</v>
      </c>
      <c r="C5792" s="0" t="str">
        <f aca="false">INDEX(Intent_Analysis!$B$5:$B$81,MATCH(B5792,Intent_Analysis!$A$5:$A$81,0))</f>
        <v>Card payments &amp; refunds</v>
      </c>
      <c r="D5792" s="0" t="n">
        <f aca="false">INDEX(Intent_Analysis!$E$5:$E$81,MATCH(B5792,Intent_Analysis!$A$5:$A$81,0))</f>
        <v>2</v>
      </c>
    </row>
    <row r="5793" customFormat="false" ht="15" hidden="false" customHeight="false" outlineLevel="0" collapsed="false">
      <c r="A5793" s="0" t="s">
        <v>6117</v>
      </c>
      <c r="B5793" s="0" t="s">
        <v>56</v>
      </c>
      <c r="C5793" s="0" t="str">
        <f aca="false">INDEX(Intent_Analysis!$B$5:$B$81,MATCH(B5793,Intent_Analysis!$A$5:$A$81,0))</f>
        <v>Card payments &amp; refunds</v>
      </c>
      <c r="D5793" s="0" t="n">
        <f aca="false">INDEX(Intent_Analysis!$E$5:$E$81,MATCH(B5793,Intent_Analysis!$A$5:$A$81,0))</f>
        <v>2</v>
      </c>
    </row>
    <row r="5794" customFormat="false" ht="15" hidden="false" customHeight="false" outlineLevel="0" collapsed="false">
      <c r="A5794" s="0" t="s">
        <v>6118</v>
      </c>
      <c r="B5794" s="0" t="s">
        <v>56</v>
      </c>
      <c r="C5794" s="0" t="str">
        <f aca="false">INDEX(Intent_Analysis!$B$5:$B$81,MATCH(B5794,Intent_Analysis!$A$5:$A$81,0))</f>
        <v>Card payments &amp; refunds</v>
      </c>
      <c r="D5794" s="0" t="n">
        <f aca="false">INDEX(Intent_Analysis!$E$5:$E$81,MATCH(B5794,Intent_Analysis!$A$5:$A$81,0))</f>
        <v>2</v>
      </c>
    </row>
    <row r="5795" customFormat="false" ht="15" hidden="false" customHeight="false" outlineLevel="0" collapsed="false">
      <c r="A5795" s="0" t="s">
        <v>6119</v>
      </c>
      <c r="B5795" s="0" t="s">
        <v>56</v>
      </c>
      <c r="C5795" s="0" t="str">
        <f aca="false">INDEX(Intent_Analysis!$B$5:$B$81,MATCH(B5795,Intent_Analysis!$A$5:$A$81,0))</f>
        <v>Card payments &amp; refunds</v>
      </c>
      <c r="D5795" s="0" t="n">
        <f aca="false">INDEX(Intent_Analysis!$E$5:$E$81,MATCH(B5795,Intent_Analysis!$A$5:$A$81,0))</f>
        <v>2</v>
      </c>
    </row>
    <row r="5796" customFormat="false" ht="15" hidden="false" customHeight="false" outlineLevel="0" collapsed="false">
      <c r="A5796" s="0" t="s">
        <v>6120</v>
      </c>
      <c r="B5796" s="0" t="s">
        <v>56</v>
      </c>
      <c r="C5796" s="0" t="str">
        <f aca="false">INDEX(Intent_Analysis!$B$5:$B$81,MATCH(B5796,Intent_Analysis!$A$5:$A$81,0))</f>
        <v>Card payments &amp; refunds</v>
      </c>
      <c r="D5796" s="0" t="n">
        <f aca="false">INDEX(Intent_Analysis!$E$5:$E$81,MATCH(B5796,Intent_Analysis!$A$5:$A$81,0))</f>
        <v>2</v>
      </c>
    </row>
    <row r="5797" customFormat="false" ht="15" hidden="false" customHeight="false" outlineLevel="0" collapsed="false">
      <c r="A5797" s="0" t="s">
        <v>6121</v>
      </c>
      <c r="B5797" s="0" t="s">
        <v>56</v>
      </c>
      <c r="C5797" s="0" t="str">
        <f aca="false">INDEX(Intent_Analysis!$B$5:$B$81,MATCH(B5797,Intent_Analysis!$A$5:$A$81,0))</f>
        <v>Card payments &amp; refunds</v>
      </c>
      <c r="D5797" s="0" t="n">
        <f aca="false">INDEX(Intent_Analysis!$E$5:$E$81,MATCH(B5797,Intent_Analysis!$A$5:$A$81,0))</f>
        <v>2</v>
      </c>
    </row>
    <row r="5798" customFormat="false" ht="15" hidden="false" customHeight="false" outlineLevel="0" collapsed="false">
      <c r="A5798" s="0" t="s">
        <v>6122</v>
      </c>
      <c r="B5798" s="0" t="s">
        <v>56</v>
      </c>
      <c r="C5798" s="0" t="str">
        <f aca="false">INDEX(Intent_Analysis!$B$5:$B$81,MATCH(B5798,Intent_Analysis!$A$5:$A$81,0))</f>
        <v>Card payments &amp; refunds</v>
      </c>
      <c r="D5798" s="0" t="n">
        <f aca="false">INDEX(Intent_Analysis!$E$5:$E$81,MATCH(B5798,Intent_Analysis!$A$5:$A$81,0))</f>
        <v>2</v>
      </c>
    </row>
    <row r="5799" customFormat="false" ht="15" hidden="false" customHeight="false" outlineLevel="0" collapsed="false">
      <c r="A5799" s="0" t="s">
        <v>6123</v>
      </c>
      <c r="B5799" s="0" t="s">
        <v>56</v>
      </c>
      <c r="C5799" s="0" t="str">
        <f aca="false">INDEX(Intent_Analysis!$B$5:$B$81,MATCH(B5799,Intent_Analysis!$A$5:$A$81,0))</f>
        <v>Card payments &amp; refunds</v>
      </c>
      <c r="D5799" s="0" t="n">
        <f aca="false">INDEX(Intent_Analysis!$E$5:$E$81,MATCH(B5799,Intent_Analysis!$A$5:$A$81,0))</f>
        <v>2</v>
      </c>
    </row>
    <row r="5800" customFormat="false" ht="15" hidden="false" customHeight="false" outlineLevel="0" collapsed="false">
      <c r="A5800" s="0" t="s">
        <v>6124</v>
      </c>
      <c r="B5800" s="0" t="s">
        <v>56</v>
      </c>
      <c r="C5800" s="0" t="str">
        <f aca="false">INDEX(Intent_Analysis!$B$5:$B$81,MATCH(B5800,Intent_Analysis!$A$5:$A$81,0))</f>
        <v>Card payments &amp; refunds</v>
      </c>
      <c r="D5800" s="0" t="n">
        <f aca="false">INDEX(Intent_Analysis!$E$5:$E$81,MATCH(B5800,Intent_Analysis!$A$5:$A$81,0))</f>
        <v>2</v>
      </c>
    </row>
    <row r="5801" customFormat="false" ht="15" hidden="false" customHeight="false" outlineLevel="0" collapsed="false">
      <c r="A5801" s="0" t="s">
        <v>6125</v>
      </c>
      <c r="B5801" s="0" t="s">
        <v>56</v>
      </c>
      <c r="C5801" s="0" t="str">
        <f aca="false">INDEX(Intent_Analysis!$B$5:$B$81,MATCH(B5801,Intent_Analysis!$A$5:$A$81,0))</f>
        <v>Card payments &amp; refunds</v>
      </c>
      <c r="D5801" s="0" t="n">
        <f aca="false">INDEX(Intent_Analysis!$E$5:$E$81,MATCH(B5801,Intent_Analysis!$A$5:$A$81,0))</f>
        <v>2</v>
      </c>
    </row>
    <row r="5802" customFormat="false" ht="15" hidden="false" customHeight="false" outlineLevel="0" collapsed="false">
      <c r="A5802" s="0" t="s">
        <v>6126</v>
      </c>
      <c r="B5802" s="0" t="s">
        <v>56</v>
      </c>
      <c r="C5802" s="0" t="str">
        <f aca="false">INDEX(Intent_Analysis!$B$5:$B$81,MATCH(B5802,Intent_Analysis!$A$5:$A$81,0))</f>
        <v>Card payments &amp; refunds</v>
      </c>
      <c r="D5802" s="0" t="n">
        <f aca="false">INDEX(Intent_Analysis!$E$5:$E$81,MATCH(B5802,Intent_Analysis!$A$5:$A$81,0))</f>
        <v>2</v>
      </c>
    </row>
    <row r="5803" customFormat="false" ht="15" hidden="false" customHeight="false" outlineLevel="0" collapsed="false">
      <c r="A5803" s="0" t="s">
        <v>6127</v>
      </c>
      <c r="B5803" s="0" t="s">
        <v>56</v>
      </c>
      <c r="C5803" s="0" t="str">
        <f aca="false">INDEX(Intent_Analysis!$B$5:$B$81,MATCH(B5803,Intent_Analysis!$A$5:$A$81,0))</f>
        <v>Card payments &amp; refunds</v>
      </c>
      <c r="D5803" s="0" t="n">
        <f aca="false">INDEX(Intent_Analysis!$E$5:$E$81,MATCH(B5803,Intent_Analysis!$A$5:$A$81,0))</f>
        <v>2</v>
      </c>
    </row>
    <row r="5804" customFormat="false" ht="15" hidden="false" customHeight="false" outlineLevel="0" collapsed="false">
      <c r="A5804" s="0" t="s">
        <v>6128</v>
      </c>
      <c r="B5804" s="0" t="s">
        <v>56</v>
      </c>
      <c r="C5804" s="0" t="str">
        <f aca="false">INDEX(Intent_Analysis!$B$5:$B$81,MATCH(B5804,Intent_Analysis!$A$5:$A$81,0))</f>
        <v>Card payments &amp; refunds</v>
      </c>
      <c r="D5804" s="0" t="n">
        <f aca="false">INDEX(Intent_Analysis!$E$5:$E$81,MATCH(B5804,Intent_Analysis!$A$5:$A$81,0))</f>
        <v>2</v>
      </c>
    </row>
    <row r="5805" customFormat="false" ht="15" hidden="false" customHeight="false" outlineLevel="0" collapsed="false">
      <c r="A5805" s="0" t="s">
        <v>6129</v>
      </c>
      <c r="B5805" s="0" t="s">
        <v>56</v>
      </c>
      <c r="C5805" s="0" t="str">
        <f aca="false">INDEX(Intent_Analysis!$B$5:$B$81,MATCH(B5805,Intent_Analysis!$A$5:$A$81,0))</f>
        <v>Card payments &amp; refunds</v>
      </c>
      <c r="D5805" s="0" t="n">
        <f aca="false">INDEX(Intent_Analysis!$E$5:$E$81,MATCH(B5805,Intent_Analysis!$A$5:$A$81,0))</f>
        <v>2</v>
      </c>
    </row>
    <row r="5806" customFormat="false" ht="15" hidden="false" customHeight="false" outlineLevel="0" collapsed="false">
      <c r="A5806" s="0" t="s">
        <v>6130</v>
      </c>
      <c r="B5806" s="0" t="s">
        <v>56</v>
      </c>
      <c r="C5806" s="0" t="str">
        <f aca="false">INDEX(Intent_Analysis!$B$5:$B$81,MATCH(B5806,Intent_Analysis!$A$5:$A$81,0))</f>
        <v>Card payments &amp; refunds</v>
      </c>
      <c r="D5806" s="0" t="n">
        <f aca="false">INDEX(Intent_Analysis!$E$5:$E$81,MATCH(B5806,Intent_Analysis!$A$5:$A$81,0))</f>
        <v>2</v>
      </c>
    </row>
    <row r="5807" customFormat="false" ht="15" hidden="false" customHeight="false" outlineLevel="0" collapsed="false">
      <c r="A5807" s="0" t="s">
        <v>6131</v>
      </c>
      <c r="B5807" s="0" t="s">
        <v>56</v>
      </c>
      <c r="C5807" s="0" t="str">
        <f aca="false">INDEX(Intent_Analysis!$B$5:$B$81,MATCH(B5807,Intent_Analysis!$A$5:$A$81,0))</f>
        <v>Card payments &amp; refunds</v>
      </c>
      <c r="D5807" s="0" t="n">
        <f aca="false">INDEX(Intent_Analysis!$E$5:$E$81,MATCH(B5807,Intent_Analysis!$A$5:$A$81,0))</f>
        <v>2</v>
      </c>
    </row>
    <row r="5808" customFormat="false" ht="15" hidden="false" customHeight="false" outlineLevel="0" collapsed="false">
      <c r="A5808" s="0" t="s">
        <v>6132</v>
      </c>
      <c r="B5808" s="0" t="s">
        <v>56</v>
      </c>
      <c r="C5808" s="0" t="str">
        <f aca="false">INDEX(Intent_Analysis!$B$5:$B$81,MATCH(B5808,Intent_Analysis!$A$5:$A$81,0))</f>
        <v>Card payments &amp; refunds</v>
      </c>
      <c r="D5808" s="0" t="n">
        <f aca="false">INDEX(Intent_Analysis!$E$5:$E$81,MATCH(B5808,Intent_Analysis!$A$5:$A$81,0))</f>
        <v>2</v>
      </c>
    </row>
    <row r="5809" customFormat="false" ht="15" hidden="false" customHeight="false" outlineLevel="0" collapsed="false">
      <c r="A5809" s="0" t="s">
        <v>6133</v>
      </c>
      <c r="B5809" s="0" t="s">
        <v>56</v>
      </c>
      <c r="C5809" s="0" t="str">
        <f aca="false">INDEX(Intent_Analysis!$B$5:$B$81,MATCH(B5809,Intent_Analysis!$A$5:$A$81,0))</f>
        <v>Card payments &amp; refunds</v>
      </c>
      <c r="D5809" s="0" t="n">
        <f aca="false">INDEX(Intent_Analysis!$E$5:$E$81,MATCH(B5809,Intent_Analysis!$A$5:$A$81,0))</f>
        <v>2</v>
      </c>
    </row>
    <row r="5810" customFormat="false" ht="15" hidden="false" customHeight="false" outlineLevel="0" collapsed="false">
      <c r="A5810" s="0" t="s">
        <v>6134</v>
      </c>
      <c r="B5810" s="0" t="s">
        <v>56</v>
      </c>
      <c r="C5810" s="0" t="str">
        <f aca="false">INDEX(Intent_Analysis!$B$5:$B$81,MATCH(B5810,Intent_Analysis!$A$5:$A$81,0))</f>
        <v>Card payments &amp; refunds</v>
      </c>
      <c r="D5810" s="0" t="n">
        <f aca="false">INDEX(Intent_Analysis!$E$5:$E$81,MATCH(B5810,Intent_Analysis!$A$5:$A$81,0))</f>
        <v>2</v>
      </c>
    </row>
    <row r="5811" customFormat="false" ht="15" hidden="false" customHeight="false" outlineLevel="0" collapsed="false">
      <c r="A5811" s="0" t="s">
        <v>6135</v>
      </c>
      <c r="B5811" s="0" t="s">
        <v>56</v>
      </c>
      <c r="C5811" s="0" t="str">
        <f aca="false">INDEX(Intent_Analysis!$B$5:$B$81,MATCH(B5811,Intent_Analysis!$A$5:$A$81,0))</f>
        <v>Card payments &amp; refunds</v>
      </c>
      <c r="D5811" s="0" t="n">
        <f aca="false">INDEX(Intent_Analysis!$E$5:$E$81,MATCH(B5811,Intent_Analysis!$A$5:$A$81,0))</f>
        <v>2</v>
      </c>
    </row>
    <row r="5812" customFormat="false" ht="15" hidden="false" customHeight="false" outlineLevel="0" collapsed="false">
      <c r="A5812" s="0" t="s">
        <v>6136</v>
      </c>
      <c r="B5812" s="0" t="s">
        <v>56</v>
      </c>
      <c r="C5812" s="0" t="str">
        <f aca="false">INDEX(Intent_Analysis!$B$5:$B$81,MATCH(B5812,Intent_Analysis!$A$5:$A$81,0))</f>
        <v>Card payments &amp; refunds</v>
      </c>
      <c r="D5812" s="0" t="n">
        <f aca="false">INDEX(Intent_Analysis!$E$5:$E$81,MATCH(B5812,Intent_Analysis!$A$5:$A$81,0))</f>
        <v>2</v>
      </c>
    </row>
    <row r="5813" customFormat="false" ht="15" hidden="false" customHeight="false" outlineLevel="0" collapsed="false">
      <c r="A5813" s="0" t="s">
        <v>6137</v>
      </c>
      <c r="B5813" s="0" t="s">
        <v>56</v>
      </c>
      <c r="C5813" s="0" t="str">
        <f aca="false">INDEX(Intent_Analysis!$B$5:$B$81,MATCH(B5813,Intent_Analysis!$A$5:$A$81,0))</f>
        <v>Card payments &amp; refunds</v>
      </c>
      <c r="D5813" s="0" t="n">
        <f aca="false">INDEX(Intent_Analysis!$E$5:$E$81,MATCH(B5813,Intent_Analysis!$A$5:$A$81,0))</f>
        <v>2</v>
      </c>
    </row>
    <row r="5814" customFormat="false" ht="15" hidden="false" customHeight="false" outlineLevel="0" collapsed="false">
      <c r="A5814" s="0" t="s">
        <v>6138</v>
      </c>
      <c r="B5814" s="0" t="s">
        <v>56</v>
      </c>
      <c r="C5814" s="0" t="str">
        <f aca="false">INDEX(Intent_Analysis!$B$5:$B$81,MATCH(B5814,Intent_Analysis!$A$5:$A$81,0))</f>
        <v>Card payments &amp; refunds</v>
      </c>
      <c r="D5814" s="0" t="n">
        <f aca="false">INDEX(Intent_Analysis!$E$5:$E$81,MATCH(B5814,Intent_Analysis!$A$5:$A$81,0))</f>
        <v>2</v>
      </c>
    </row>
    <row r="5815" customFormat="false" ht="15" hidden="false" customHeight="false" outlineLevel="0" collapsed="false">
      <c r="A5815" s="0" t="s">
        <v>6139</v>
      </c>
      <c r="B5815" s="0" t="s">
        <v>56</v>
      </c>
      <c r="C5815" s="0" t="str">
        <f aca="false">INDEX(Intent_Analysis!$B$5:$B$81,MATCH(B5815,Intent_Analysis!$A$5:$A$81,0))</f>
        <v>Card payments &amp; refunds</v>
      </c>
      <c r="D5815" s="0" t="n">
        <f aca="false">INDEX(Intent_Analysis!$E$5:$E$81,MATCH(B5815,Intent_Analysis!$A$5:$A$81,0))</f>
        <v>2</v>
      </c>
    </row>
    <row r="5816" customFormat="false" ht="15" hidden="false" customHeight="false" outlineLevel="0" collapsed="false">
      <c r="A5816" s="0" t="s">
        <v>6140</v>
      </c>
      <c r="B5816" s="0" t="s">
        <v>56</v>
      </c>
      <c r="C5816" s="0" t="str">
        <f aca="false">INDEX(Intent_Analysis!$B$5:$B$81,MATCH(B5816,Intent_Analysis!$A$5:$A$81,0))</f>
        <v>Card payments &amp; refunds</v>
      </c>
      <c r="D5816" s="0" t="n">
        <f aca="false">INDEX(Intent_Analysis!$E$5:$E$81,MATCH(B5816,Intent_Analysis!$A$5:$A$81,0))</f>
        <v>2</v>
      </c>
    </row>
    <row r="5817" customFormat="false" ht="15" hidden="false" customHeight="false" outlineLevel="0" collapsed="false">
      <c r="A5817" s="0" t="s">
        <v>6141</v>
      </c>
      <c r="B5817" s="0" t="s">
        <v>56</v>
      </c>
      <c r="C5817" s="0" t="str">
        <f aca="false">INDEX(Intent_Analysis!$B$5:$B$81,MATCH(B5817,Intent_Analysis!$A$5:$A$81,0))</f>
        <v>Card payments &amp; refunds</v>
      </c>
      <c r="D5817" s="0" t="n">
        <f aca="false">INDEX(Intent_Analysis!$E$5:$E$81,MATCH(B5817,Intent_Analysis!$A$5:$A$81,0))</f>
        <v>2</v>
      </c>
    </row>
    <row r="5818" customFormat="false" ht="15" hidden="false" customHeight="false" outlineLevel="0" collapsed="false">
      <c r="A5818" s="0" t="s">
        <v>6142</v>
      </c>
      <c r="B5818" s="0" t="s">
        <v>56</v>
      </c>
      <c r="C5818" s="0" t="str">
        <f aca="false">INDEX(Intent_Analysis!$B$5:$B$81,MATCH(B5818,Intent_Analysis!$A$5:$A$81,0))</f>
        <v>Card payments &amp; refunds</v>
      </c>
      <c r="D5818" s="0" t="n">
        <f aca="false">INDEX(Intent_Analysis!$E$5:$E$81,MATCH(B5818,Intent_Analysis!$A$5:$A$81,0))</f>
        <v>2</v>
      </c>
    </row>
    <row r="5819" customFormat="false" ht="15" hidden="false" customHeight="false" outlineLevel="0" collapsed="false">
      <c r="A5819" s="0" t="s">
        <v>6143</v>
      </c>
      <c r="B5819" s="0" t="s">
        <v>56</v>
      </c>
      <c r="C5819" s="0" t="str">
        <f aca="false">INDEX(Intent_Analysis!$B$5:$B$81,MATCH(B5819,Intent_Analysis!$A$5:$A$81,0))</f>
        <v>Card payments &amp; refunds</v>
      </c>
      <c r="D5819" s="0" t="n">
        <f aca="false">INDEX(Intent_Analysis!$E$5:$E$81,MATCH(B5819,Intent_Analysis!$A$5:$A$81,0))</f>
        <v>2</v>
      </c>
    </row>
    <row r="5820" customFormat="false" ht="15" hidden="false" customHeight="false" outlineLevel="0" collapsed="false">
      <c r="A5820" s="0" t="s">
        <v>6144</v>
      </c>
      <c r="B5820" s="0" t="s">
        <v>56</v>
      </c>
      <c r="C5820" s="0" t="str">
        <f aca="false">INDEX(Intent_Analysis!$B$5:$B$81,MATCH(B5820,Intent_Analysis!$A$5:$A$81,0))</f>
        <v>Card payments &amp; refunds</v>
      </c>
      <c r="D5820" s="0" t="n">
        <f aca="false">INDEX(Intent_Analysis!$E$5:$E$81,MATCH(B5820,Intent_Analysis!$A$5:$A$81,0))</f>
        <v>2</v>
      </c>
    </row>
    <row r="5821" customFormat="false" ht="15" hidden="false" customHeight="false" outlineLevel="0" collapsed="false">
      <c r="A5821" s="0" t="s">
        <v>6145</v>
      </c>
      <c r="B5821" s="0" t="s">
        <v>56</v>
      </c>
      <c r="C5821" s="0" t="str">
        <f aca="false">INDEX(Intent_Analysis!$B$5:$B$81,MATCH(B5821,Intent_Analysis!$A$5:$A$81,0))</f>
        <v>Card payments &amp; refunds</v>
      </c>
      <c r="D5821" s="0" t="n">
        <f aca="false">INDEX(Intent_Analysis!$E$5:$E$81,MATCH(B5821,Intent_Analysis!$A$5:$A$81,0))</f>
        <v>2</v>
      </c>
    </row>
    <row r="5822" customFormat="false" ht="15" hidden="false" customHeight="false" outlineLevel="0" collapsed="false">
      <c r="A5822" s="0" t="s">
        <v>6146</v>
      </c>
      <c r="B5822" s="0" t="s">
        <v>56</v>
      </c>
      <c r="C5822" s="0" t="str">
        <f aca="false">INDEX(Intent_Analysis!$B$5:$B$81,MATCH(B5822,Intent_Analysis!$A$5:$A$81,0))</f>
        <v>Card payments &amp; refunds</v>
      </c>
      <c r="D5822" s="0" t="n">
        <f aca="false">INDEX(Intent_Analysis!$E$5:$E$81,MATCH(B5822,Intent_Analysis!$A$5:$A$81,0))</f>
        <v>2</v>
      </c>
    </row>
    <row r="5823" customFormat="false" ht="15" hidden="false" customHeight="false" outlineLevel="0" collapsed="false">
      <c r="A5823" s="0" t="s">
        <v>6147</v>
      </c>
      <c r="B5823" s="0" t="s">
        <v>56</v>
      </c>
      <c r="C5823" s="0" t="str">
        <f aca="false">INDEX(Intent_Analysis!$B$5:$B$81,MATCH(B5823,Intent_Analysis!$A$5:$A$81,0))</f>
        <v>Card payments &amp; refunds</v>
      </c>
      <c r="D5823" s="0" t="n">
        <f aca="false">INDEX(Intent_Analysis!$E$5:$E$81,MATCH(B5823,Intent_Analysis!$A$5:$A$81,0))</f>
        <v>2</v>
      </c>
    </row>
    <row r="5824" customFormat="false" ht="15" hidden="false" customHeight="false" outlineLevel="0" collapsed="false">
      <c r="A5824" s="0" t="s">
        <v>6148</v>
      </c>
      <c r="B5824" s="0" t="s">
        <v>56</v>
      </c>
      <c r="C5824" s="0" t="str">
        <f aca="false">INDEX(Intent_Analysis!$B$5:$B$81,MATCH(B5824,Intent_Analysis!$A$5:$A$81,0))</f>
        <v>Card payments &amp; refunds</v>
      </c>
      <c r="D5824" s="0" t="n">
        <f aca="false">INDEX(Intent_Analysis!$E$5:$E$81,MATCH(B5824,Intent_Analysis!$A$5:$A$81,0))</f>
        <v>2</v>
      </c>
    </row>
    <row r="5825" customFormat="false" ht="15" hidden="false" customHeight="false" outlineLevel="0" collapsed="false">
      <c r="A5825" s="0" t="s">
        <v>6149</v>
      </c>
      <c r="B5825" s="0" t="s">
        <v>56</v>
      </c>
      <c r="C5825" s="0" t="str">
        <f aca="false">INDEX(Intent_Analysis!$B$5:$B$81,MATCH(B5825,Intent_Analysis!$A$5:$A$81,0))</f>
        <v>Card payments &amp; refunds</v>
      </c>
      <c r="D5825" s="0" t="n">
        <f aca="false">INDEX(Intent_Analysis!$E$5:$E$81,MATCH(B5825,Intent_Analysis!$A$5:$A$81,0))</f>
        <v>2</v>
      </c>
    </row>
    <row r="5826" customFormat="false" ht="15" hidden="false" customHeight="false" outlineLevel="0" collapsed="false">
      <c r="A5826" s="0" t="s">
        <v>6150</v>
      </c>
      <c r="B5826" s="0" t="s">
        <v>56</v>
      </c>
      <c r="C5826" s="0" t="str">
        <f aca="false">INDEX(Intent_Analysis!$B$5:$B$81,MATCH(B5826,Intent_Analysis!$A$5:$A$81,0))</f>
        <v>Card payments &amp; refunds</v>
      </c>
      <c r="D5826" s="0" t="n">
        <f aca="false">INDEX(Intent_Analysis!$E$5:$E$81,MATCH(B5826,Intent_Analysis!$A$5:$A$81,0))</f>
        <v>2</v>
      </c>
    </row>
    <row r="5827" customFormat="false" ht="15" hidden="false" customHeight="false" outlineLevel="0" collapsed="false">
      <c r="A5827" s="0" t="s">
        <v>6151</v>
      </c>
      <c r="B5827" s="0" t="s">
        <v>56</v>
      </c>
      <c r="C5827" s="0" t="str">
        <f aca="false">INDEX(Intent_Analysis!$B$5:$B$81,MATCH(B5827,Intent_Analysis!$A$5:$A$81,0))</f>
        <v>Card payments &amp; refunds</v>
      </c>
      <c r="D5827" s="0" t="n">
        <f aca="false">INDEX(Intent_Analysis!$E$5:$E$81,MATCH(B5827,Intent_Analysis!$A$5:$A$81,0))</f>
        <v>2</v>
      </c>
    </row>
    <row r="5828" customFormat="false" ht="15" hidden="false" customHeight="false" outlineLevel="0" collapsed="false">
      <c r="A5828" s="0" t="s">
        <v>6152</v>
      </c>
      <c r="B5828" s="0" t="s">
        <v>56</v>
      </c>
      <c r="C5828" s="0" t="str">
        <f aca="false">INDEX(Intent_Analysis!$B$5:$B$81,MATCH(B5828,Intent_Analysis!$A$5:$A$81,0))</f>
        <v>Card payments &amp; refunds</v>
      </c>
      <c r="D5828" s="0" t="n">
        <f aca="false">INDEX(Intent_Analysis!$E$5:$E$81,MATCH(B5828,Intent_Analysis!$A$5:$A$81,0))</f>
        <v>2</v>
      </c>
    </row>
    <row r="5829" customFormat="false" ht="15" hidden="false" customHeight="false" outlineLevel="0" collapsed="false">
      <c r="A5829" s="0" t="s">
        <v>6153</v>
      </c>
      <c r="B5829" s="0" t="s">
        <v>56</v>
      </c>
      <c r="C5829" s="0" t="str">
        <f aca="false">INDEX(Intent_Analysis!$B$5:$B$81,MATCH(B5829,Intent_Analysis!$A$5:$A$81,0))</f>
        <v>Card payments &amp; refunds</v>
      </c>
      <c r="D5829" s="0" t="n">
        <f aca="false">INDEX(Intent_Analysis!$E$5:$E$81,MATCH(B5829,Intent_Analysis!$A$5:$A$81,0))</f>
        <v>2</v>
      </c>
    </row>
    <row r="5830" customFormat="false" ht="15" hidden="false" customHeight="false" outlineLevel="0" collapsed="false">
      <c r="A5830" s="0" t="s">
        <v>6154</v>
      </c>
      <c r="B5830" s="0" t="s">
        <v>56</v>
      </c>
      <c r="C5830" s="0" t="str">
        <f aca="false">INDEX(Intent_Analysis!$B$5:$B$81,MATCH(B5830,Intent_Analysis!$A$5:$A$81,0))</f>
        <v>Card payments &amp; refunds</v>
      </c>
      <c r="D5830" s="0" t="n">
        <f aca="false">INDEX(Intent_Analysis!$E$5:$E$81,MATCH(B5830,Intent_Analysis!$A$5:$A$81,0))</f>
        <v>2</v>
      </c>
    </row>
    <row r="5831" customFormat="false" ht="15" hidden="false" customHeight="false" outlineLevel="0" collapsed="false">
      <c r="A5831" s="0" t="s">
        <v>6155</v>
      </c>
      <c r="B5831" s="0" t="s">
        <v>56</v>
      </c>
      <c r="C5831" s="0" t="str">
        <f aca="false">INDEX(Intent_Analysis!$B$5:$B$81,MATCH(B5831,Intent_Analysis!$A$5:$A$81,0))</f>
        <v>Card payments &amp; refunds</v>
      </c>
      <c r="D5831" s="0" t="n">
        <f aca="false">INDEX(Intent_Analysis!$E$5:$E$81,MATCH(B5831,Intent_Analysis!$A$5:$A$81,0))</f>
        <v>2</v>
      </c>
    </row>
    <row r="5832" customFormat="false" ht="15" hidden="false" customHeight="false" outlineLevel="0" collapsed="false">
      <c r="A5832" s="0" t="s">
        <v>6156</v>
      </c>
      <c r="B5832" s="0" t="s">
        <v>56</v>
      </c>
      <c r="C5832" s="0" t="str">
        <f aca="false">INDEX(Intent_Analysis!$B$5:$B$81,MATCH(B5832,Intent_Analysis!$A$5:$A$81,0))</f>
        <v>Card payments &amp; refunds</v>
      </c>
      <c r="D5832" s="0" t="n">
        <f aca="false">INDEX(Intent_Analysis!$E$5:$E$81,MATCH(B5832,Intent_Analysis!$A$5:$A$81,0))</f>
        <v>2</v>
      </c>
    </row>
    <row r="5833" customFormat="false" ht="15" hidden="false" customHeight="false" outlineLevel="0" collapsed="false">
      <c r="A5833" s="0" t="s">
        <v>6157</v>
      </c>
      <c r="B5833" s="0" t="s">
        <v>56</v>
      </c>
      <c r="C5833" s="0" t="str">
        <f aca="false">INDEX(Intent_Analysis!$B$5:$B$81,MATCH(B5833,Intent_Analysis!$A$5:$A$81,0))</f>
        <v>Card payments &amp; refunds</v>
      </c>
      <c r="D5833" s="0" t="n">
        <f aca="false">INDEX(Intent_Analysis!$E$5:$E$81,MATCH(B5833,Intent_Analysis!$A$5:$A$81,0))</f>
        <v>2</v>
      </c>
    </row>
    <row r="5834" customFormat="false" ht="15" hidden="false" customHeight="false" outlineLevel="0" collapsed="false">
      <c r="A5834" s="0" t="s">
        <v>6158</v>
      </c>
      <c r="B5834" s="0" t="s">
        <v>56</v>
      </c>
      <c r="C5834" s="0" t="str">
        <f aca="false">INDEX(Intent_Analysis!$B$5:$B$81,MATCH(B5834,Intent_Analysis!$A$5:$A$81,0))</f>
        <v>Card payments &amp; refunds</v>
      </c>
      <c r="D5834" s="0" t="n">
        <f aca="false">INDEX(Intent_Analysis!$E$5:$E$81,MATCH(B5834,Intent_Analysis!$A$5:$A$81,0))</f>
        <v>2</v>
      </c>
    </row>
    <row r="5835" customFormat="false" ht="15" hidden="false" customHeight="false" outlineLevel="0" collapsed="false">
      <c r="A5835" s="0" t="s">
        <v>6159</v>
      </c>
      <c r="B5835" s="0" t="s">
        <v>56</v>
      </c>
      <c r="C5835" s="0" t="str">
        <f aca="false">INDEX(Intent_Analysis!$B$5:$B$81,MATCH(B5835,Intent_Analysis!$A$5:$A$81,0))</f>
        <v>Card payments &amp; refunds</v>
      </c>
      <c r="D5835" s="0" t="n">
        <f aca="false">INDEX(Intent_Analysis!$E$5:$E$81,MATCH(B5835,Intent_Analysis!$A$5:$A$81,0))</f>
        <v>2</v>
      </c>
    </row>
    <row r="5836" customFormat="false" ht="15" hidden="false" customHeight="false" outlineLevel="0" collapsed="false">
      <c r="A5836" s="0" t="s">
        <v>6160</v>
      </c>
      <c r="B5836" s="0" t="s">
        <v>56</v>
      </c>
      <c r="C5836" s="0" t="str">
        <f aca="false">INDEX(Intent_Analysis!$B$5:$B$81,MATCH(B5836,Intent_Analysis!$A$5:$A$81,0))</f>
        <v>Card payments &amp; refunds</v>
      </c>
      <c r="D5836" s="0" t="n">
        <f aca="false">INDEX(Intent_Analysis!$E$5:$E$81,MATCH(B5836,Intent_Analysis!$A$5:$A$81,0))</f>
        <v>2</v>
      </c>
    </row>
    <row r="5837" customFormat="false" ht="15" hidden="false" customHeight="false" outlineLevel="0" collapsed="false">
      <c r="A5837" s="0" t="s">
        <v>6161</v>
      </c>
      <c r="B5837" s="0" t="s">
        <v>56</v>
      </c>
      <c r="C5837" s="0" t="str">
        <f aca="false">INDEX(Intent_Analysis!$B$5:$B$81,MATCH(B5837,Intent_Analysis!$A$5:$A$81,0))</f>
        <v>Card payments &amp; refunds</v>
      </c>
      <c r="D5837" s="0" t="n">
        <f aca="false">INDEX(Intent_Analysis!$E$5:$E$81,MATCH(B5837,Intent_Analysis!$A$5:$A$81,0))</f>
        <v>2</v>
      </c>
    </row>
    <row r="5838" customFormat="false" ht="15" hidden="false" customHeight="false" outlineLevel="0" collapsed="false">
      <c r="A5838" s="0" t="s">
        <v>6162</v>
      </c>
      <c r="B5838" s="0" t="s">
        <v>59</v>
      </c>
      <c r="C5838" s="0" t="str">
        <f aca="false">INDEX(Intent_Analysis!$B$5:$B$81,MATCH(B5838,Intent_Analysis!$A$5:$A$81,0))</f>
        <v>Card usage &amp; features</v>
      </c>
      <c r="D5838" s="0" t="n">
        <f aca="false">INDEX(Intent_Analysis!$E$5:$E$81,MATCH(B5838,Intent_Analysis!$A$5:$A$81,0))</f>
        <v>2</v>
      </c>
    </row>
    <row r="5839" customFormat="false" ht="15" hidden="false" customHeight="false" outlineLevel="0" collapsed="false">
      <c r="A5839" s="0" t="s">
        <v>6163</v>
      </c>
      <c r="B5839" s="0" t="s">
        <v>59</v>
      </c>
      <c r="C5839" s="0" t="str">
        <f aca="false">INDEX(Intent_Analysis!$B$5:$B$81,MATCH(B5839,Intent_Analysis!$A$5:$A$81,0))</f>
        <v>Card usage &amp; features</v>
      </c>
      <c r="D5839" s="0" t="n">
        <f aca="false">INDEX(Intent_Analysis!$E$5:$E$81,MATCH(B5839,Intent_Analysis!$A$5:$A$81,0))</f>
        <v>2</v>
      </c>
    </row>
    <row r="5840" customFormat="false" ht="15" hidden="false" customHeight="false" outlineLevel="0" collapsed="false">
      <c r="A5840" s="0" t="s">
        <v>6164</v>
      </c>
      <c r="B5840" s="0" t="s">
        <v>59</v>
      </c>
      <c r="C5840" s="0" t="str">
        <f aca="false">INDEX(Intent_Analysis!$B$5:$B$81,MATCH(B5840,Intent_Analysis!$A$5:$A$81,0))</f>
        <v>Card usage &amp; features</v>
      </c>
      <c r="D5840" s="0" t="n">
        <f aca="false">INDEX(Intent_Analysis!$E$5:$E$81,MATCH(B5840,Intent_Analysis!$A$5:$A$81,0))</f>
        <v>2</v>
      </c>
    </row>
    <row r="5841" customFormat="false" ht="15" hidden="false" customHeight="false" outlineLevel="0" collapsed="false">
      <c r="A5841" s="0" t="s">
        <v>6165</v>
      </c>
      <c r="B5841" s="0" t="s">
        <v>59</v>
      </c>
      <c r="C5841" s="0" t="str">
        <f aca="false">INDEX(Intent_Analysis!$B$5:$B$81,MATCH(B5841,Intent_Analysis!$A$5:$A$81,0))</f>
        <v>Card usage &amp; features</v>
      </c>
      <c r="D5841" s="0" t="n">
        <f aca="false">INDEX(Intent_Analysis!$E$5:$E$81,MATCH(B5841,Intent_Analysis!$A$5:$A$81,0))</f>
        <v>2</v>
      </c>
    </row>
    <row r="5842" customFormat="false" ht="15" hidden="false" customHeight="false" outlineLevel="0" collapsed="false">
      <c r="A5842" s="0" t="s">
        <v>6166</v>
      </c>
      <c r="B5842" s="0" t="s">
        <v>59</v>
      </c>
      <c r="C5842" s="0" t="str">
        <f aca="false">INDEX(Intent_Analysis!$B$5:$B$81,MATCH(B5842,Intent_Analysis!$A$5:$A$81,0))</f>
        <v>Card usage &amp; features</v>
      </c>
      <c r="D5842" s="0" t="n">
        <f aca="false">INDEX(Intent_Analysis!$E$5:$E$81,MATCH(B5842,Intent_Analysis!$A$5:$A$81,0))</f>
        <v>2</v>
      </c>
    </row>
    <row r="5843" customFormat="false" ht="15" hidden="false" customHeight="false" outlineLevel="0" collapsed="false">
      <c r="A5843" s="0" t="s">
        <v>6167</v>
      </c>
      <c r="B5843" s="0" t="s">
        <v>59</v>
      </c>
      <c r="C5843" s="0" t="str">
        <f aca="false">INDEX(Intent_Analysis!$B$5:$B$81,MATCH(B5843,Intent_Analysis!$A$5:$A$81,0))</f>
        <v>Card usage &amp; features</v>
      </c>
      <c r="D5843" s="0" t="n">
        <f aca="false">INDEX(Intent_Analysis!$E$5:$E$81,MATCH(B5843,Intent_Analysis!$A$5:$A$81,0))</f>
        <v>2</v>
      </c>
    </row>
    <row r="5844" customFormat="false" ht="15" hidden="false" customHeight="false" outlineLevel="0" collapsed="false">
      <c r="A5844" s="0" t="s">
        <v>6168</v>
      </c>
      <c r="B5844" s="0" t="s">
        <v>59</v>
      </c>
      <c r="C5844" s="0" t="str">
        <f aca="false">INDEX(Intent_Analysis!$B$5:$B$81,MATCH(B5844,Intent_Analysis!$A$5:$A$81,0))</f>
        <v>Card usage &amp; features</v>
      </c>
      <c r="D5844" s="0" t="n">
        <f aca="false">INDEX(Intent_Analysis!$E$5:$E$81,MATCH(B5844,Intent_Analysis!$A$5:$A$81,0))</f>
        <v>2</v>
      </c>
    </row>
    <row r="5845" customFormat="false" ht="15" hidden="false" customHeight="false" outlineLevel="0" collapsed="false">
      <c r="A5845" s="0" t="s">
        <v>6169</v>
      </c>
      <c r="B5845" s="0" t="s">
        <v>59</v>
      </c>
      <c r="C5845" s="0" t="str">
        <f aca="false">INDEX(Intent_Analysis!$B$5:$B$81,MATCH(B5845,Intent_Analysis!$A$5:$A$81,0))</f>
        <v>Card usage &amp; features</v>
      </c>
      <c r="D5845" s="0" t="n">
        <f aca="false">INDEX(Intent_Analysis!$E$5:$E$81,MATCH(B5845,Intent_Analysis!$A$5:$A$81,0))</f>
        <v>2</v>
      </c>
    </row>
    <row r="5846" customFormat="false" ht="15" hidden="false" customHeight="false" outlineLevel="0" collapsed="false">
      <c r="A5846" s="0" t="s">
        <v>6170</v>
      </c>
      <c r="B5846" s="0" t="s">
        <v>59</v>
      </c>
      <c r="C5846" s="0" t="str">
        <f aca="false">INDEX(Intent_Analysis!$B$5:$B$81,MATCH(B5846,Intent_Analysis!$A$5:$A$81,0))</f>
        <v>Card usage &amp; features</v>
      </c>
      <c r="D5846" s="0" t="n">
        <f aca="false">INDEX(Intent_Analysis!$E$5:$E$81,MATCH(B5846,Intent_Analysis!$A$5:$A$81,0))</f>
        <v>2</v>
      </c>
    </row>
    <row r="5847" customFormat="false" ht="15" hidden="false" customHeight="false" outlineLevel="0" collapsed="false">
      <c r="A5847" s="0" t="s">
        <v>6171</v>
      </c>
      <c r="B5847" s="0" t="s">
        <v>59</v>
      </c>
      <c r="C5847" s="0" t="str">
        <f aca="false">INDEX(Intent_Analysis!$B$5:$B$81,MATCH(B5847,Intent_Analysis!$A$5:$A$81,0))</f>
        <v>Card usage &amp; features</v>
      </c>
      <c r="D5847" s="0" t="n">
        <f aca="false">INDEX(Intent_Analysis!$E$5:$E$81,MATCH(B5847,Intent_Analysis!$A$5:$A$81,0))</f>
        <v>2</v>
      </c>
    </row>
    <row r="5848" customFormat="false" ht="15" hidden="false" customHeight="false" outlineLevel="0" collapsed="false">
      <c r="A5848" s="0" t="s">
        <v>6172</v>
      </c>
      <c r="B5848" s="0" t="s">
        <v>59</v>
      </c>
      <c r="C5848" s="0" t="str">
        <f aca="false">INDEX(Intent_Analysis!$B$5:$B$81,MATCH(B5848,Intent_Analysis!$A$5:$A$81,0))</f>
        <v>Card usage &amp; features</v>
      </c>
      <c r="D5848" s="0" t="n">
        <f aca="false">INDEX(Intent_Analysis!$E$5:$E$81,MATCH(B5848,Intent_Analysis!$A$5:$A$81,0))</f>
        <v>2</v>
      </c>
    </row>
    <row r="5849" customFormat="false" ht="15" hidden="false" customHeight="false" outlineLevel="0" collapsed="false">
      <c r="A5849" s="0" t="s">
        <v>6173</v>
      </c>
      <c r="B5849" s="0" t="s">
        <v>59</v>
      </c>
      <c r="C5849" s="0" t="str">
        <f aca="false">INDEX(Intent_Analysis!$B$5:$B$81,MATCH(B5849,Intent_Analysis!$A$5:$A$81,0))</f>
        <v>Card usage &amp; features</v>
      </c>
      <c r="D5849" s="0" t="n">
        <f aca="false">INDEX(Intent_Analysis!$E$5:$E$81,MATCH(B5849,Intent_Analysis!$A$5:$A$81,0))</f>
        <v>2</v>
      </c>
    </row>
    <row r="5850" customFormat="false" ht="15" hidden="false" customHeight="false" outlineLevel="0" collapsed="false">
      <c r="A5850" s="0" t="s">
        <v>6174</v>
      </c>
      <c r="B5850" s="0" t="s">
        <v>59</v>
      </c>
      <c r="C5850" s="0" t="str">
        <f aca="false">INDEX(Intent_Analysis!$B$5:$B$81,MATCH(B5850,Intent_Analysis!$A$5:$A$81,0))</f>
        <v>Card usage &amp; features</v>
      </c>
      <c r="D5850" s="0" t="n">
        <f aca="false">INDEX(Intent_Analysis!$E$5:$E$81,MATCH(B5850,Intent_Analysis!$A$5:$A$81,0))</f>
        <v>2</v>
      </c>
    </row>
    <row r="5851" customFormat="false" ht="15" hidden="false" customHeight="false" outlineLevel="0" collapsed="false">
      <c r="A5851" s="0" t="s">
        <v>6175</v>
      </c>
      <c r="B5851" s="0" t="s">
        <v>59</v>
      </c>
      <c r="C5851" s="0" t="str">
        <f aca="false">INDEX(Intent_Analysis!$B$5:$B$81,MATCH(B5851,Intent_Analysis!$A$5:$A$81,0))</f>
        <v>Card usage &amp; features</v>
      </c>
      <c r="D5851" s="0" t="n">
        <f aca="false">INDEX(Intent_Analysis!$E$5:$E$81,MATCH(B5851,Intent_Analysis!$A$5:$A$81,0))</f>
        <v>2</v>
      </c>
    </row>
    <row r="5852" customFormat="false" ht="15" hidden="false" customHeight="false" outlineLevel="0" collapsed="false">
      <c r="A5852" s="0" t="s">
        <v>6176</v>
      </c>
      <c r="B5852" s="0" t="s">
        <v>59</v>
      </c>
      <c r="C5852" s="0" t="str">
        <f aca="false">INDEX(Intent_Analysis!$B$5:$B$81,MATCH(B5852,Intent_Analysis!$A$5:$A$81,0))</f>
        <v>Card usage &amp; features</v>
      </c>
      <c r="D5852" s="0" t="n">
        <f aca="false">INDEX(Intent_Analysis!$E$5:$E$81,MATCH(B5852,Intent_Analysis!$A$5:$A$81,0))</f>
        <v>2</v>
      </c>
    </row>
    <row r="5853" customFormat="false" ht="15" hidden="false" customHeight="false" outlineLevel="0" collapsed="false">
      <c r="A5853" s="0" t="s">
        <v>6177</v>
      </c>
      <c r="B5853" s="0" t="s">
        <v>59</v>
      </c>
      <c r="C5853" s="0" t="str">
        <f aca="false">INDEX(Intent_Analysis!$B$5:$B$81,MATCH(B5853,Intent_Analysis!$A$5:$A$81,0))</f>
        <v>Card usage &amp; features</v>
      </c>
      <c r="D5853" s="0" t="n">
        <f aca="false">INDEX(Intent_Analysis!$E$5:$E$81,MATCH(B5853,Intent_Analysis!$A$5:$A$81,0))</f>
        <v>2</v>
      </c>
    </row>
    <row r="5854" customFormat="false" ht="15" hidden="false" customHeight="false" outlineLevel="0" collapsed="false">
      <c r="A5854" s="0" t="s">
        <v>6178</v>
      </c>
      <c r="B5854" s="0" t="s">
        <v>59</v>
      </c>
      <c r="C5854" s="0" t="str">
        <f aca="false">INDEX(Intent_Analysis!$B$5:$B$81,MATCH(B5854,Intent_Analysis!$A$5:$A$81,0))</f>
        <v>Card usage &amp; features</v>
      </c>
      <c r="D5854" s="0" t="n">
        <f aca="false">INDEX(Intent_Analysis!$E$5:$E$81,MATCH(B5854,Intent_Analysis!$A$5:$A$81,0))</f>
        <v>2</v>
      </c>
    </row>
    <row r="5855" customFormat="false" ht="15" hidden="false" customHeight="false" outlineLevel="0" collapsed="false">
      <c r="A5855" s="0" t="s">
        <v>6179</v>
      </c>
      <c r="B5855" s="0" t="s">
        <v>59</v>
      </c>
      <c r="C5855" s="0" t="str">
        <f aca="false">INDEX(Intent_Analysis!$B$5:$B$81,MATCH(B5855,Intent_Analysis!$A$5:$A$81,0))</f>
        <v>Card usage &amp; features</v>
      </c>
      <c r="D5855" s="0" t="n">
        <f aca="false">INDEX(Intent_Analysis!$E$5:$E$81,MATCH(B5855,Intent_Analysis!$A$5:$A$81,0))</f>
        <v>2</v>
      </c>
    </row>
    <row r="5856" customFormat="false" ht="15" hidden="false" customHeight="false" outlineLevel="0" collapsed="false">
      <c r="A5856" s="0" t="s">
        <v>6180</v>
      </c>
      <c r="B5856" s="0" t="s">
        <v>59</v>
      </c>
      <c r="C5856" s="0" t="str">
        <f aca="false">INDEX(Intent_Analysis!$B$5:$B$81,MATCH(B5856,Intent_Analysis!$A$5:$A$81,0))</f>
        <v>Card usage &amp; features</v>
      </c>
      <c r="D5856" s="0" t="n">
        <f aca="false">INDEX(Intent_Analysis!$E$5:$E$81,MATCH(B5856,Intent_Analysis!$A$5:$A$81,0))</f>
        <v>2</v>
      </c>
    </row>
    <row r="5857" customFormat="false" ht="15" hidden="false" customHeight="false" outlineLevel="0" collapsed="false">
      <c r="A5857" s="0" t="s">
        <v>6181</v>
      </c>
      <c r="B5857" s="0" t="s">
        <v>59</v>
      </c>
      <c r="C5857" s="0" t="str">
        <f aca="false">INDEX(Intent_Analysis!$B$5:$B$81,MATCH(B5857,Intent_Analysis!$A$5:$A$81,0))</f>
        <v>Card usage &amp; features</v>
      </c>
      <c r="D5857" s="0" t="n">
        <f aca="false">INDEX(Intent_Analysis!$E$5:$E$81,MATCH(B5857,Intent_Analysis!$A$5:$A$81,0))</f>
        <v>2</v>
      </c>
    </row>
    <row r="5858" customFormat="false" ht="15" hidden="false" customHeight="false" outlineLevel="0" collapsed="false">
      <c r="A5858" s="0" t="s">
        <v>6182</v>
      </c>
      <c r="B5858" s="0" t="s">
        <v>59</v>
      </c>
      <c r="C5858" s="0" t="str">
        <f aca="false">INDEX(Intent_Analysis!$B$5:$B$81,MATCH(B5858,Intent_Analysis!$A$5:$A$81,0))</f>
        <v>Card usage &amp; features</v>
      </c>
      <c r="D5858" s="0" t="n">
        <f aca="false">INDEX(Intent_Analysis!$E$5:$E$81,MATCH(B5858,Intent_Analysis!$A$5:$A$81,0))</f>
        <v>2</v>
      </c>
    </row>
    <row r="5859" customFormat="false" ht="15" hidden="false" customHeight="false" outlineLevel="0" collapsed="false">
      <c r="A5859" s="0" t="s">
        <v>6183</v>
      </c>
      <c r="B5859" s="0" t="s">
        <v>59</v>
      </c>
      <c r="C5859" s="0" t="str">
        <f aca="false">INDEX(Intent_Analysis!$B$5:$B$81,MATCH(B5859,Intent_Analysis!$A$5:$A$81,0))</f>
        <v>Card usage &amp; features</v>
      </c>
      <c r="D5859" s="0" t="n">
        <f aca="false">INDEX(Intent_Analysis!$E$5:$E$81,MATCH(B5859,Intent_Analysis!$A$5:$A$81,0))</f>
        <v>2</v>
      </c>
    </row>
    <row r="5860" customFormat="false" ht="15" hidden="false" customHeight="false" outlineLevel="0" collapsed="false">
      <c r="A5860" s="0" t="s">
        <v>6184</v>
      </c>
      <c r="B5860" s="0" t="s">
        <v>59</v>
      </c>
      <c r="C5860" s="0" t="str">
        <f aca="false">INDEX(Intent_Analysis!$B$5:$B$81,MATCH(B5860,Intent_Analysis!$A$5:$A$81,0))</f>
        <v>Card usage &amp; features</v>
      </c>
      <c r="D5860" s="0" t="n">
        <f aca="false">INDEX(Intent_Analysis!$E$5:$E$81,MATCH(B5860,Intent_Analysis!$A$5:$A$81,0))</f>
        <v>2</v>
      </c>
    </row>
    <row r="5861" customFormat="false" ht="15" hidden="false" customHeight="false" outlineLevel="0" collapsed="false">
      <c r="A5861" s="0" t="s">
        <v>6185</v>
      </c>
      <c r="B5861" s="0" t="s">
        <v>59</v>
      </c>
      <c r="C5861" s="0" t="str">
        <f aca="false">INDEX(Intent_Analysis!$B$5:$B$81,MATCH(B5861,Intent_Analysis!$A$5:$A$81,0))</f>
        <v>Card usage &amp; features</v>
      </c>
      <c r="D5861" s="0" t="n">
        <f aca="false">INDEX(Intent_Analysis!$E$5:$E$81,MATCH(B5861,Intent_Analysis!$A$5:$A$81,0))</f>
        <v>2</v>
      </c>
    </row>
    <row r="5862" customFormat="false" ht="15" hidden="false" customHeight="false" outlineLevel="0" collapsed="false">
      <c r="A5862" s="0" t="s">
        <v>6186</v>
      </c>
      <c r="B5862" s="0" t="s">
        <v>59</v>
      </c>
      <c r="C5862" s="0" t="str">
        <f aca="false">INDEX(Intent_Analysis!$B$5:$B$81,MATCH(B5862,Intent_Analysis!$A$5:$A$81,0))</f>
        <v>Card usage &amp; features</v>
      </c>
      <c r="D5862" s="0" t="n">
        <f aca="false">INDEX(Intent_Analysis!$E$5:$E$81,MATCH(B5862,Intent_Analysis!$A$5:$A$81,0))</f>
        <v>2</v>
      </c>
    </row>
    <row r="5863" customFormat="false" ht="15" hidden="false" customHeight="false" outlineLevel="0" collapsed="false">
      <c r="A5863" s="0" t="s">
        <v>6187</v>
      </c>
      <c r="B5863" s="0" t="s">
        <v>59</v>
      </c>
      <c r="C5863" s="0" t="str">
        <f aca="false">INDEX(Intent_Analysis!$B$5:$B$81,MATCH(B5863,Intent_Analysis!$A$5:$A$81,0))</f>
        <v>Card usage &amp; features</v>
      </c>
      <c r="D5863" s="0" t="n">
        <f aca="false">INDEX(Intent_Analysis!$E$5:$E$81,MATCH(B5863,Intent_Analysis!$A$5:$A$81,0))</f>
        <v>2</v>
      </c>
    </row>
    <row r="5864" customFormat="false" ht="15" hidden="false" customHeight="false" outlineLevel="0" collapsed="false">
      <c r="A5864" s="0" t="s">
        <v>6188</v>
      </c>
      <c r="B5864" s="0" t="s">
        <v>59</v>
      </c>
      <c r="C5864" s="0" t="str">
        <f aca="false">INDEX(Intent_Analysis!$B$5:$B$81,MATCH(B5864,Intent_Analysis!$A$5:$A$81,0))</f>
        <v>Card usage &amp; features</v>
      </c>
      <c r="D5864" s="0" t="n">
        <f aca="false">INDEX(Intent_Analysis!$E$5:$E$81,MATCH(B5864,Intent_Analysis!$A$5:$A$81,0))</f>
        <v>2</v>
      </c>
    </row>
    <row r="5865" customFormat="false" ht="15" hidden="false" customHeight="false" outlineLevel="0" collapsed="false">
      <c r="A5865" s="0" t="s">
        <v>6189</v>
      </c>
      <c r="B5865" s="0" t="s">
        <v>59</v>
      </c>
      <c r="C5865" s="0" t="str">
        <f aca="false">INDEX(Intent_Analysis!$B$5:$B$81,MATCH(B5865,Intent_Analysis!$A$5:$A$81,0))</f>
        <v>Card usage &amp; features</v>
      </c>
      <c r="D5865" s="0" t="n">
        <f aca="false">INDEX(Intent_Analysis!$E$5:$E$81,MATCH(B5865,Intent_Analysis!$A$5:$A$81,0))</f>
        <v>2</v>
      </c>
    </row>
    <row r="5866" customFormat="false" ht="15" hidden="false" customHeight="false" outlineLevel="0" collapsed="false">
      <c r="A5866" s="0" t="s">
        <v>6190</v>
      </c>
      <c r="B5866" s="0" t="s">
        <v>59</v>
      </c>
      <c r="C5866" s="0" t="str">
        <f aca="false">INDEX(Intent_Analysis!$B$5:$B$81,MATCH(B5866,Intent_Analysis!$A$5:$A$81,0))</f>
        <v>Card usage &amp; features</v>
      </c>
      <c r="D5866" s="0" t="n">
        <f aca="false">INDEX(Intent_Analysis!$E$5:$E$81,MATCH(B5866,Intent_Analysis!$A$5:$A$81,0))</f>
        <v>2</v>
      </c>
    </row>
    <row r="5867" customFormat="false" ht="15" hidden="false" customHeight="false" outlineLevel="0" collapsed="false">
      <c r="A5867" s="0" t="s">
        <v>6191</v>
      </c>
      <c r="B5867" s="0" t="s">
        <v>59</v>
      </c>
      <c r="C5867" s="0" t="str">
        <f aca="false">INDEX(Intent_Analysis!$B$5:$B$81,MATCH(B5867,Intent_Analysis!$A$5:$A$81,0))</f>
        <v>Card usage &amp; features</v>
      </c>
      <c r="D5867" s="0" t="n">
        <f aca="false">INDEX(Intent_Analysis!$E$5:$E$81,MATCH(B5867,Intent_Analysis!$A$5:$A$81,0))</f>
        <v>2</v>
      </c>
    </row>
    <row r="5868" customFormat="false" ht="15" hidden="false" customHeight="false" outlineLevel="0" collapsed="false">
      <c r="A5868" s="0" t="s">
        <v>6192</v>
      </c>
      <c r="B5868" s="0" t="s">
        <v>59</v>
      </c>
      <c r="C5868" s="0" t="str">
        <f aca="false">INDEX(Intent_Analysis!$B$5:$B$81,MATCH(B5868,Intent_Analysis!$A$5:$A$81,0))</f>
        <v>Card usage &amp; features</v>
      </c>
      <c r="D5868" s="0" t="n">
        <f aca="false">INDEX(Intent_Analysis!$E$5:$E$81,MATCH(B5868,Intent_Analysis!$A$5:$A$81,0))</f>
        <v>2</v>
      </c>
    </row>
    <row r="5869" customFormat="false" ht="15" hidden="false" customHeight="false" outlineLevel="0" collapsed="false">
      <c r="A5869" s="0" t="s">
        <v>6193</v>
      </c>
      <c r="B5869" s="0" t="s">
        <v>59</v>
      </c>
      <c r="C5869" s="0" t="str">
        <f aca="false">INDEX(Intent_Analysis!$B$5:$B$81,MATCH(B5869,Intent_Analysis!$A$5:$A$81,0))</f>
        <v>Card usage &amp; features</v>
      </c>
      <c r="D5869" s="0" t="n">
        <f aca="false">INDEX(Intent_Analysis!$E$5:$E$81,MATCH(B5869,Intent_Analysis!$A$5:$A$81,0))</f>
        <v>2</v>
      </c>
    </row>
    <row r="5870" customFormat="false" ht="15" hidden="false" customHeight="false" outlineLevel="0" collapsed="false">
      <c r="A5870" s="0" t="s">
        <v>6194</v>
      </c>
      <c r="B5870" s="0" t="s">
        <v>59</v>
      </c>
      <c r="C5870" s="0" t="str">
        <f aca="false">INDEX(Intent_Analysis!$B$5:$B$81,MATCH(B5870,Intent_Analysis!$A$5:$A$81,0))</f>
        <v>Card usage &amp; features</v>
      </c>
      <c r="D5870" s="0" t="n">
        <f aca="false">INDEX(Intent_Analysis!$E$5:$E$81,MATCH(B5870,Intent_Analysis!$A$5:$A$81,0))</f>
        <v>2</v>
      </c>
    </row>
    <row r="5871" customFormat="false" ht="15" hidden="false" customHeight="false" outlineLevel="0" collapsed="false">
      <c r="A5871" s="0" t="s">
        <v>6195</v>
      </c>
      <c r="B5871" s="0" t="s">
        <v>59</v>
      </c>
      <c r="C5871" s="0" t="str">
        <f aca="false">INDEX(Intent_Analysis!$B$5:$B$81,MATCH(B5871,Intent_Analysis!$A$5:$A$81,0))</f>
        <v>Card usage &amp; features</v>
      </c>
      <c r="D5871" s="0" t="n">
        <f aca="false">INDEX(Intent_Analysis!$E$5:$E$81,MATCH(B5871,Intent_Analysis!$A$5:$A$81,0))</f>
        <v>2</v>
      </c>
    </row>
    <row r="5872" customFormat="false" ht="15" hidden="false" customHeight="false" outlineLevel="0" collapsed="false">
      <c r="A5872" s="0" t="s">
        <v>6196</v>
      </c>
      <c r="B5872" s="0" t="s">
        <v>59</v>
      </c>
      <c r="C5872" s="0" t="str">
        <f aca="false">INDEX(Intent_Analysis!$B$5:$B$81,MATCH(B5872,Intent_Analysis!$A$5:$A$81,0))</f>
        <v>Card usage &amp; features</v>
      </c>
      <c r="D5872" s="0" t="n">
        <f aca="false">INDEX(Intent_Analysis!$E$5:$E$81,MATCH(B5872,Intent_Analysis!$A$5:$A$81,0))</f>
        <v>2</v>
      </c>
    </row>
    <row r="5873" customFormat="false" ht="15" hidden="false" customHeight="false" outlineLevel="0" collapsed="false">
      <c r="A5873" s="0" t="s">
        <v>6197</v>
      </c>
      <c r="B5873" s="0" t="s">
        <v>59</v>
      </c>
      <c r="C5873" s="0" t="str">
        <f aca="false">INDEX(Intent_Analysis!$B$5:$B$81,MATCH(B5873,Intent_Analysis!$A$5:$A$81,0))</f>
        <v>Card usage &amp; features</v>
      </c>
      <c r="D5873" s="0" t="n">
        <f aca="false">INDEX(Intent_Analysis!$E$5:$E$81,MATCH(B5873,Intent_Analysis!$A$5:$A$81,0))</f>
        <v>2</v>
      </c>
    </row>
    <row r="5874" customFormat="false" ht="15" hidden="false" customHeight="false" outlineLevel="0" collapsed="false">
      <c r="A5874" s="0" t="s">
        <v>6198</v>
      </c>
      <c r="B5874" s="0" t="s">
        <v>59</v>
      </c>
      <c r="C5874" s="0" t="str">
        <f aca="false">INDEX(Intent_Analysis!$B$5:$B$81,MATCH(B5874,Intent_Analysis!$A$5:$A$81,0))</f>
        <v>Card usage &amp; features</v>
      </c>
      <c r="D5874" s="0" t="n">
        <f aca="false">INDEX(Intent_Analysis!$E$5:$E$81,MATCH(B5874,Intent_Analysis!$A$5:$A$81,0))</f>
        <v>2</v>
      </c>
    </row>
    <row r="5875" customFormat="false" ht="15" hidden="false" customHeight="false" outlineLevel="0" collapsed="false">
      <c r="A5875" s="0" t="s">
        <v>6199</v>
      </c>
      <c r="B5875" s="0" t="s">
        <v>59</v>
      </c>
      <c r="C5875" s="0" t="str">
        <f aca="false">INDEX(Intent_Analysis!$B$5:$B$81,MATCH(B5875,Intent_Analysis!$A$5:$A$81,0))</f>
        <v>Card usage &amp; features</v>
      </c>
      <c r="D5875" s="0" t="n">
        <f aca="false">INDEX(Intent_Analysis!$E$5:$E$81,MATCH(B5875,Intent_Analysis!$A$5:$A$81,0))</f>
        <v>2</v>
      </c>
    </row>
    <row r="5876" customFormat="false" ht="15" hidden="false" customHeight="false" outlineLevel="0" collapsed="false">
      <c r="A5876" s="0" t="s">
        <v>6200</v>
      </c>
      <c r="B5876" s="0" t="s">
        <v>59</v>
      </c>
      <c r="C5876" s="0" t="str">
        <f aca="false">INDEX(Intent_Analysis!$B$5:$B$81,MATCH(B5876,Intent_Analysis!$A$5:$A$81,0))</f>
        <v>Card usage &amp; features</v>
      </c>
      <c r="D5876" s="0" t="n">
        <f aca="false">INDEX(Intent_Analysis!$E$5:$E$81,MATCH(B5876,Intent_Analysis!$A$5:$A$81,0))</f>
        <v>2</v>
      </c>
    </row>
    <row r="5877" customFormat="false" ht="15" hidden="false" customHeight="false" outlineLevel="0" collapsed="false">
      <c r="A5877" s="0" t="s">
        <v>6201</v>
      </c>
      <c r="B5877" s="0" t="s">
        <v>59</v>
      </c>
      <c r="C5877" s="0" t="str">
        <f aca="false">INDEX(Intent_Analysis!$B$5:$B$81,MATCH(B5877,Intent_Analysis!$A$5:$A$81,0))</f>
        <v>Card usage &amp; features</v>
      </c>
      <c r="D5877" s="0" t="n">
        <f aca="false">INDEX(Intent_Analysis!$E$5:$E$81,MATCH(B5877,Intent_Analysis!$A$5:$A$81,0))</f>
        <v>2</v>
      </c>
    </row>
    <row r="5878" customFormat="false" ht="15" hidden="false" customHeight="false" outlineLevel="0" collapsed="false">
      <c r="A5878" s="0" t="s">
        <v>6202</v>
      </c>
      <c r="B5878" s="0" t="s">
        <v>59</v>
      </c>
      <c r="C5878" s="0" t="str">
        <f aca="false">INDEX(Intent_Analysis!$B$5:$B$81,MATCH(B5878,Intent_Analysis!$A$5:$A$81,0))</f>
        <v>Card usage &amp; features</v>
      </c>
      <c r="D5878" s="0" t="n">
        <f aca="false">INDEX(Intent_Analysis!$E$5:$E$81,MATCH(B5878,Intent_Analysis!$A$5:$A$81,0))</f>
        <v>2</v>
      </c>
    </row>
    <row r="5879" customFormat="false" ht="15" hidden="false" customHeight="false" outlineLevel="0" collapsed="false">
      <c r="A5879" s="0" t="s">
        <v>6203</v>
      </c>
      <c r="B5879" s="0" t="s">
        <v>59</v>
      </c>
      <c r="C5879" s="0" t="str">
        <f aca="false">INDEX(Intent_Analysis!$B$5:$B$81,MATCH(B5879,Intent_Analysis!$A$5:$A$81,0))</f>
        <v>Card usage &amp; features</v>
      </c>
      <c r="D5879" s="0" t="n">
        <f aca="false">INDEX(Intent_Analysis!$E$5:$E$81,MATCH(B5879,Intent_Analysis!$A$5:$A$81,0))</f>
        <v>2</v>
      </c>
    </row>
    <row r="5880" customFormat="false" ht="15" hidden="false" customHeight="false" outlineLevel="0" collapsed="false">
      <c r="A5880" s="0" t="s">
        <v>6204</v>
      </c>
      <c r="B5880" s="0" t="s">
        <v>59</v>
      </c>
      <c r="C5880" s="0" t="str">
        <f aca="false">INDEX(Intent_Analysis!$B$5:$B$81,MATCH(B5880,Intent_Analysis!$A$5:$A$81,0))</f>
        <v>Card usage &amp; features</v>
      </c>
      <c r="D5880" s="0" t="n">
        <f aca="false">INDEX(Intent_Analysis!$E$5:$E$81,MATCH(B5880,Intent_Analysis!$A$5:$A$81,0))</f>
        <v>2</v>
      </c>
    </row>
    <row r="5881" customFormat="false" ht="15" hidden="false" customHeight="false" outlineLevel="0" collapsed="false">
      <c r="A5881" s="0" t="s">
        <v>6205</v>
      </c>
      <c r="B5881" s="0" t="s">
        <v>59</v>
      </c>
      <c r="C5881" s="0" t="str">
        <f aca="false">INDEX(Intent_Analysis!$B$5:$B$81,MATCH(B5881,Intent_Analysis!$A$5:$A$81,0))</f>
        <v>Card usage &amp; features</v>
      </c>
      <c r="D5881" s="0" t="n">
        <f aca="false">INDEX(Intent_Analysis!$E$5:$E$81,MATCH(B5881,Intent_Analysis!$A$5:$A$81,0))</f>
        <v>2</v>
      </c>
    </row>
    <row r="5882" customFormat="false" ht="15" hidden="false" customHeight="false" outlineLevel="0" collapsed="false">
      <c r="A5882" s="0" t="s">
        <v>6206</v>
      </c>
      <c r="B5882" s="0" t="s">
        <v>59</v>
      </c>
      <c r="C5882" s="0" t="str">
        <f aca="false">INDEX(Intent_Analysis!$B$5:$B$81,MATCH(B5882,Intent_Analysis!$A$5:$A$81,0))</f>
        <v>Card usage &amp; features</v>
      </c>
      <c r="D5882" s="0" t="n">
        <f aca="false">INDEX(Intent_Analysis!$E$5:$E$81,MATCH(B5882,Intent_Analysis!$A$5:$A$81,0))</f>
        <v>2</v>
      </c>
    </row>
    <row r="5883" customFormat="false" ht="15" hidden="false" customHeight="false" outlineLevel="0" collapsed="false">
      <c r="A5883" s="0" t="s">
        <v>6207</v>
      </c>
      <c r="B5883" s="0" t="s">
        <v>59</v>
      </c>
      <c r="C5883" s="0" t="str">
        <f aca="false">INDEX(Intent_Analysis!$B$5:$B$81,MATCH(B5883,Intent_Analysis!$A$5:$A$81,0))</f>
        <v>Card usage &amp; features</v>
      </c>
      <c r="D5883" s="0" t="n">
        <f aca="false">INDEX(Intent_Analysis!$E$5:$E$81,MATCH(B5883,Intent_Analysis!$A$5:$A$81,0))</f>
        <v>2</v>
      </c>
    </row>
    <row r="5884" customFormat="false" ht="15" hidden="false" customHeight="false" outlineLevel="0" collapsed="false">
      <c r="A5884" s="0" t="s">
        <v>6208</v>
      </c>
      <c r="B5884" s="0" t="s">
        <v>59</v>
      </c>
      <c r="C5884" s="0" t="str">
        <f aca="false">INDEX(Intent_Analysis!$B$5:$B$81,MATCH(B5884,Intent_Analysis!$A$5:$A$81,0))</f>
        <v>Card usage &amp; features</v>
      </c>
      <c r="D5884" s="0" t="n">
        <f aca="false">INDEX(Intent_Analysis!$E$5:$E$81,MATCH(B5884,Intent_Analysis!$A$5:$A$81,0))</f>
        <v>2</v>
      </c>
    </row>
    <row r="5885" customFormat="false" ht="15" hidden="false" customHeight="false" outlineLevel="0" collapsed="false">
      <c r="A5885" s="0" t="s">
        <v>6209</v>
      </c>
      <c r="B5885" s="0" t="s">
        <v>59</v>
      </c>
      <c r="C5885" s="0" t="str">
        <f aca="false">INDEX(Intent_Analysis!$B$5:$B$81,MATCH(B5885,Intent_Analysis!$A$5:$A$81,0))</f>
        <v>Card usage &amp; features</v>
      </c>
      <c r="D5885" s="0" t="n">
        <f aca="false">INDEX(Intent_Analysis!$E$5:$E$81,MATCH(B5885,Intent_Analysis!$A$5:$A$81,0))</f>
        <v>2</v>
      </c>
    </row>
    <row r="5886" customFormat="false" ht="15" hidden="false" customHeight="false" outlineLevel="0" collapsed="false">
      <c r="A5886" s="0" t="s">
        <v>6210</v>
      </c>
      <c r="B5886" s="0" t="s">
        <v>59</v>
      </c>
      <c r="C5886" s="0" t="str">
        <f aca="false">INDEX(Intent_Analysis!$B$5:$B$81,MATCH(B5886,Intent_Analysis!$A$5:$A$81,0))</f>
        <v>Card usage &amp; features</v>
      </c>
      <c r="D5886" s="0" t="n">
        <f aca="false">INDEX(Intent_Analysis!$E$5:$E$81,MATCH(B5886,Intent_Analysis!$A$5:$A$81,0))</f>
        <v>2</v>
      </c>
    </row>
    <row r="5887" customFormat="false" ht="15" hidden="false" customHeight="false" outlineLevel="0" collapsed="false">
      <c r="A5887" s="0" t="s">
        <v>6211</v>
      </c>
      <c r="B5887" s="0" t="s">
        <v>59</v>
      </c>
      <c r="C5887" s="0" t="str">
        <f aca="false">INDEX(Intent_Analysis!$B$5:$B$81,MATCH(B5887,Intent_Analysis!$A$5:$A$81,0))</f>
        <v>Card usage &amp; features</v>
      </c>
      <c r="D5887" s="0" t="n">
        <f aca="false">INDEX(Intent_Analysis!$E$5:$E$81,MATCH(B5887,Intent_Analysis!$A$5:$A$81,0))</f>
        <v>2</v>
      </c>
    </row>
    <row r="5888" customFormat="false" ht="15" hidden="false" customHeight="false" outlineLevel="0" collapsed="false">
      <c r="A5888" s="0" t="s">
        <v>6212</v>
      </c>
      <c r="B5888" s="0" t="s">
        <v>59</v>
      </c>
      <c r="C5888" s="0" t="str">
        <f aca="false">INDEX(Intent_Analysis!$B$5:$B$81,MATCH(B5888,Intent_Analysis!$A$5:$A$81,0))</f>
        <v>Card usage &amp; features</v>
      </c>
      <c r="D5888" s="0" t="n">
        <f aca="false">INDEX(Intent_Analysis!$E$5:$E$81,MATCH(B5888,Intent_Analysis!$A$5:$A$81,0))</f>
        <v>2</v>
      </c>
    </row>
    <row r="5889" customFormat="false" ht="15" hidden="false" customHeight="false" outlineLevel="0" collapsed="false">
      <c r="A5889" s="0" t="s">
        <v>6213</v>
      </c>
      <c r="B5889" s="0" t="s">
        <v>59</v>
      </c>
      <c r="C5889" s="0" t="str">
        <f aca="false">INDEX(Intent_Analysis!$B$5:$B$81,MATCH(B5889,Intent_Analysis!$A$5:$A$81,0))</f>
        <v>Card usage &amp; features</v>
      </c>
      <c r="D5889" s="0" t="n">
        <f aca="false">INDEX(Intent_Analysis!$E$5:$E$81,MATCH(B5889,Intent_Analysis!$A$5:$A$81,0))</f>
        <v>2</v>
      </c>
    </row>
    <row r="5890" customFormat="false" ht="15" hidden="false" customHeight="false" outlineLevel="0" collapsed="false">
      <c r="A5890" s="0" t="s">
        <v>6214</v>
      </c>
      <c r="B5890" s="0" t="s">
        <v>59</v>
      </c>
      <c r="C5890" s="0" t="str">
        <f aca="false">INDEX(Intent_Analysis!$B$5:$B$81,MATCH(B5890,Intent_Analysis!$A$5:$A$81,0))</f>
        <v>Card usage &amp; features</v>
      </c>
      <c r="D5890" s="0" t="n">
        <f aca="false">INDEX(Intent_Analysis!$E$5:$E$81,MATCH(B5890,Intent_Analysis!$A$5:$A$81,0))</f>
        <v>2</v>
      </c>
    </row>
    <row r="5891" customFormat="false" ht="15" hidden="false" customHeight="false" outlineLevel="0" collapsed="false">
      <c r="A5891" s="0" t="s">
        <v>6215</v>
      </c>
      <c r="B5891" s="0" t="s">
        <v>59</v>
      </c>
      <c r="C5891" s="0" t="str">
        <f aca="false">INDEX(Intent_Analysis!$B$5:$B$81,MATCH(B5891,Intent_Analysis!$A$5:$A$81,0))</f>
        <v>Card usage &amp; features</v>
      </c>
      <c r="D5891" s="0" t="n">
        <f aca="false">INDEX(Intent_Analysis!$E$5:$E$81,MATCH(B5891,Intent_Analysis!$A$5:$A$81,0))</f>
        <v>2</v>
      </c>
    </row>
    <row r="5892" customFormat="false" ht="15" hidden="false" customHeight="false" outlineLevel="0" collapsed="false">
      <c r="A5892" s="0" t="s">
        <v>6216</v>
      </c>
      <c r="B5892" s="0" t="s">
        <v>59</v>
      </c>
      <c r="C5892" s="0" t="str">
        <f aca="false">INDEX(Intent_Analysis!$B$5:$B$81,MATCH(B5892,Intent_Analysis!$A$5:$A$81,0))</f>
        <v>Card usage &amp; features</v>
      </c>
      <c r="D5892" s="0" t="n">
        <f aca="false">INDEX(Intent_Analysis!$E$5:$E$81,MATCH(B5892,Intent_Analysis!$A$5:$A$81,0))</f>
        <v>2</v>
      </c>
    </row>
    <row r="5893" customFormat="false" ht="15" hidden="false" customHeight="false" outlineLevel="0" collapsed="false">
      <c r="A5893" s="0" t="s">
        <v>6217</v>
      </c>
      <c r="B5893" s="0" t="s">
        <v>59</v>
      </c>
      <c r="C5893" s="0" t="str">
        <f aca="false">INDEX(Intent_Analysis!$B$5:$B$81,MATCH(B5893,Intent_Analysis!$A$5:$A$81,0))</f>
        <v>Card usage &amp; features</v>
      </c>
      <c r="D5893" s="0" t="n">
        <f aca="false">INDEX(Intent_Analysis!$E$5:$E$81,MATCH(B5893,Intent_Analysis!$A$5:$A$81,0))</f>
        <v>2</v>
      </c>
    </row>
    <row r="5894" customFormat="false" ht="15" hidden="false" customHeight="false" outlineLevel="0" collapsed="false">
      <c r="A5894" s="0" t="s">
        <v>6218</v>
      </c>
      <c r="B5894" s="0" t="s">
        <v>59</v>
      </c>
      <c r="C5894" s="0" t="str">
        <f aca="false">INDEX(Intent_Analysis!$B$5:$B$81,MATCH(B5894,Intent_Analysis!$A$5:$A$81,0))</f>
        <v>Card usage &amp; features</v>
      </c>
      <c r="D5894" s="0" t="n">
        <f aca="false">INDEX(Intent_Analysis!$E$5:$E$81,MATCH(B5894,Intent_Analysis!$A$5:$A$81,0))</f>
        <v>2</v>
      </c>
    </row>
    <row r="5895" customFormat="false" ht="15" hidden="false" customHeight="false" outlineLevel="0" collapsed="false">
      <c r="A5895" s="0" t="s">
        <v>6219</v>
      </c>
      <c r="B5895" s="0" t="s">
        <v>59</v>
      </c>
      <c r="C5895" s="0" t="str">
        <f aca="false">INDEX(Intent_Analysis!$B$5:$B$81,MATCH(B5895,Intent_Analysis!$A$5:$A$81,0))</f>
        <v>Card usage &amp; features</v>
      </c>
      <c r="D5895" s="0" t="n">
        <f aca="false">INDEX(Intent_Analysis!$E$5:$E$81,MATCH(B5895,Intent_Analysis!$A$5:$A$81,0))</f>
        <v>2</v>
      </c>
    </row>
    <row r="5896" customFormat="false" ht="15" hidden="false" customHeight="false" outlineLevel="0" collapsed="false">
      <c r="A5896" s="0" t="s">
        <v>6220</v>
      </c>
      <c r="B5896" s="0" t="s">
        <v>59</v>
      </c>
      <c r="C5896" s="0" t="str">
        <f aca="false">INDEX(Intent_Analysis!$B$5:$B$81,MATCH(B5896,Intent_Analysis!$A$5:$A$81,0))</f>
        <v>Card usage &amp; features</v>
      </c>
      <c r="D5896" s="0" t="n">
        <f aca="false">INDEX(Intent_Analysis!$E$5:$E$81,MATCH(B5896,Intent_Analysis!$A$5:$A$81,0))</f>
        <v>2</v>
      </c>
    </row>
    <row r="5897" customFormat="false" ht="15" hidden="false" customHeight="false" outlineLevel="0" collapsed="false">
      <c r="A5897" s="0" t="s">
        <v>6221</v>
      </c>
      <c r="B5897" s="0" t="s">
        <v>59</v>
      </c>
      <c r="C5897" s="0" t="str">
        <f aca="false">INDEX(Intent_Analysis!$B$5:$B$81,MATCH(B5897,Intent_Analysis!$A$5:$A$81,0))</f>
        <v>Card usage &amp; features</v>
      </c>
      <c r="D5897" s="0" t="n">
        <f aca="false">INDEX(Intent_Analysis!$E$5:$E$81,MATCH(B5897,Intent_Analysis!$A$5:$A$81,0))</f>
        <v>2</v>
      </c>
    </row>
    <row r="5898" customFormat="false" ht="15" hidden="false" customHeight="false" outlineLevel="0" collapsed="false">
      <c r="A5898" s="0" t="s">
        <v>6222</v>
      </c>
      <c r="B5898" s="0" t="s">
        <v>59</v>
      </c>
      <c r="C5898" s="0" t="str">
        <f aca="false">INDEX(Intent_Analysis!$B$5:$B$81,MATCH(B5898,Intent_Analysis!$A$5:$A$81,0))</f>
        <v>Card usage &amp; features</v>
      </c>
      <c r="D5898" s="0" t="n">
        <f aca="false">INDEX(Intent_Analysis!$E$5:$E$81,MATCH(B5898,Intent_Analysis!$A$5:$A$81,0))</f>
        <v>2</v>
      </c>
    </row>
    <row r="5899" customFormat="false" ht="15" hidden="false" customHeight="false" outlineLevel="0" collapsed="false">
      <c r="A5899" s="0" t="s">
        <v>6223</v>
      </c>
      <c r="B5899" s="0" t="s">
        <v>59</v>
      </c>
      <c r="C5899" s="0" t="str">
        <f aca="false">INDEX(Intent_Analysis!$B$5:$B$81,MATCH(B5899,Intent_Analysis!$A$5:$A$81,0))</f>
        <v>Card usage &amp; features</v>
      </c>
      <c r="D5899" s="0" t="n">
        <f aca="false">INDEX(Intent_Analysis!$E$5:$E$81,MATCH(B5899,Intent_Analysis!$A$5:$A$81,0))</f>
        <v>2</v>
      </c>
    </row>
    <row r="5900" customFormat="false" ht="15" hidden="false" customHeight="false" outlineLevel="0" collapsed="false">
      <c r="A5900" s="0" t="s">
        <v>6224</v>
      </c>
      <c r="B5900" s="0" t="s">
        <v>59</v>
      </c>
      <c r="C5900" s="0" t="str">
        <f aca="false">INDEX(Intent_Analysis!$B$5:$B$81,MATCH(B5900,Intent_Analysis!$A$5:$A$81,0))</f>
        <v>Card usage &amp; features</v>
      </c>
      <c r="D5900" s="0" t="n">
        <f aca="false">INDEX(Intent_Analysis!$E$5:$E$81,MATCH(B5900,Intent_Analysis!$A$5:$A$81,0))</f>
        <v>2</v>
      </c>
    </row>
    <row r="5901" customFormat="false" ht="15" hidden="false" customHeight="false" outlineLevel="0" collapsed="false">
      <c r="A5901" s="0" t="s">
        <v>6225</v>
      </c>
      <c r="B5901" s="0" t="s">
        <v>59</v>
      </c>
      <c r="C5901" s="0" t="str">
        <f aca="false">INDEX(Intent_Analysis!$B$5:$B$81,MATCH(B5901,Intent_Analysis!$A$5:$A$81,0))</f>
        <v>Card usage &amp; features</v>
      </c>
      <c r="D5901" s="0" t="n">
        <f aca="false">INDEX(Intent_Analysis!$E$5:$E$81,MATCH(B5901,Intent_Analysis!$A$5:$A$81,0))</f>
        <v>2</v>
      </c>
    </row>
    <row r="5902" customFormat="false" ht="15" hidden="false" customHeight="false" outlineLevel="0" collapsed="false">
      <c r="A5902" s="0" t="s">
        <v>6226</v>
      </c>
      <c r="B5902" s="0" t="s">
        <v>59</v>
      </c>
      <c r="C5902" s="0" t="str">
        <f aca="false">INDEX(Intent_Analysis!$B$5:$B$81,MATCH(B5902,Intent_Analysis!$A$5:$A$81,0))</f>
        <v>Card usage &amp; features</v>
      </c>
      <c r="D5902" s="0" t="n">
        <f aca="false">INDEX(Intent_Analysis!$E$5:$E$81,MATCH(B5902,Intent_Analysis!$A$5:$A$81,0))</f>
        <v>2</v>
      </c>
    </row>
    <row r="5903" customFormat="false" ht="15" hidden="false" customHeight="false" outlineLevel="0" collapsed="false">
      <c r="A5903" s="0" t="s">
        <v>6227</v>
      </c>
      <c r="B5903" s="0" t="s">
        <v>59</v>
      </c>
      <c r="C5903" s="0" t="str">
        <f aca="false">INDEX(Intent_Analysis!$B$5:$B$81,MATCH(B5903,Intent_Analysis!$A$5:$A$81,0))</f>
        <v>Card usage &amp; features</v>
      </c>
      <c r="D5903" s="0" t="n">
        <f aca="false">INDEX(Intent_Analysis!$E$5:$E$81,MATCH(B5903,Intent_Analysis!$A$5:$A$81,0))</f>
        <v>2</v>
      </c>
    </row>
    <row r="5904" customFormat="false" ht="15" hidden="false" customHeight="false" outlineLevel="0" collapsed="false">
      <c r="A5904" s="0" t="s">
        <v>6228</v>
      </c>
      <c r="B5904" s="0" t="s">
        <v>59</v>
      </c>
      <c r="C5904" s="0" t="str">
        <f aca="false">INDEX(Intent_Analysis!$B$5:$B$81,MATCH(B5904,Intent_Analysis!$A$5:$A$81,0))</f>
        <v>Card usage &amp; features</v>
      </c>
      <c r="D5904" s="0" t="n">
        <f aca="false">INDEX(Intent_Analysis!$E$5:$E$81,MATCH(B5904,Intent_Analysis!$A$5:$A$81,0))</f>
        <v>2</v>
      </c>
    </row>
    <row r="5905" customFormat="false" ht="15" hidden="false" customHeight="false" outlineLevel="0" collapsed="false">
      <c r="A5905" s="0" t="s">
        <v>6229</v>
      </c>
      <c r="B5905" s="0" t="s">
        <v>59</v>
      </c>
      <c r="C5905" s="0" t="str">
        <f aca="false">INDEX(Intent_Analysis!$B$5:$B$81,MATCH(B5905,Intent_Analysis!$A$5:$A$81,0))</f>
        <v>Card usage &amp; features</v>
      </c>
      <c r="D5905" s="0" t="n">
        <f aca="false">INDEX(Intent_Analysis!$E$5:$E$81,MATCH(B5905,Intent_Analysis!$A$5:$A$81,0))</f>
        <v>2</v>
      </c>
    </row>
    <row r="5906" customFormat="false" ht="15" hidden="false" customHeight="false" outlineLevel="0" collapsed="false">
      <c r="A5906" s="0" t="s">
        <v>6230</v>
      </c>
      <c r="B5906" s="0" t="s">
        <v>59</v>
      </c>
      <c r="C5906" s="0" t="str">
        <f aca="false">INDEX(Intent_Analysis!$B$5:$B$81,MATCH(B5906,Intent_Analysis!$A$5:$A$81,0))</f>
        <v>Card usage &amp; features</v>
      </c>
      <c r="D5906" s="0" t="n">
        <f aca="false">INDEX(Intent_Analysis!$E$5:$E$81,MATCH(B5906,Intent_Analysis!$A$5:$A$81,0))</f>
        <v>2</v>
      </c>
    </row>
    <row r="5907" customFormat="false" ht="15" hidden="false" customHeight="false" outlineLevel="0" collapsed="false">
      <c r="A5907" s="0" t="s">
        <v>6231</v>
      </c>
      <c r="B5907" s="0" t="s">
        <v>59</v>
      </c>
      <c r="C5907" s="0" t="str">
        <f aca="false">INDEX(Intent_Analysis!$B$5:$B$81,MATCH(B5907,Intent_Analysis!$A$5:$A$81,0))</f>
        <v>Card usage &amp; features</v>
      </c>
      <c r="D5907" s="0" t="n">
        <f aca="false">INDEX(Intent_Analysis!$E$5:$E$81,MATCH(B5907,Intent_Analysis!$A$5:$A$81,0))</f>
        <v>2</v>
      </c>
    </row>
    <row r="5908" customFormat="false" ht="15" hidden="false" customHeight="false" outlineLevel="0" collapsed="false">
      <c r="A5908" s="0" t="s">
        <v>6232</v>
      </c>
      <c r="B5908" s="0" t="s">
        <v>59</v>
      </c>
      <c r="C5908" s="0" t="str">
        <f aca="false">INDEX(Intent_Analysis!$B$5:$B$81,MATCH(B5908,Intent_Analysis!$A$5:$A$81,0))</f>
        <v>Card usage &amp; features</v>
      </c>
      <c r="D5908" s="0" t="n">
        <f aca="false">INDEX(Intent_Analysis!$E$5:$E$81,MATCH(B5908,Intent_Analysis!$A$5:$A$81,0))</f>
        <v>2</v>
      </c>
    </row>
    <row r="5909" customFormat="false" ht="15" hidden="false" customHeight="false" outlineLevel="0" collapsed="false">
      <c r="A5909" s="0" t="s">
        <v>6233</v>
      </c>
      <c r="B5909" s="0" t="s">
        <v>59</v>
      </c>
      <c r="C5909" s="0" t="str">
        <f aca="false">INDEX(Intent_Analysis!$B$5:$B$81,MATCH(B5909,Intent_Analysis!$A$5:$A$81,0))</f>
        <v>Card usage &amp; features</v>
      </c>
      <c r="D5909" s="0" t="n">
        <f aca="false">INDEX(Intent_Analysis!$E$5:$E$81,MATCH(B5909,Intent_Analysis!$A$5:$A$81,0))</f>
        <v>2</v>
      </c>
    </row>
    <row r="5910" customFormat="false" ht="15" hidden="false" customHeight="false" outlineLevel="0" collapsed="false">
      <c r="A5910" s="0" t="s">
        <v>6234</v>
      </c>
      <c r="B5910" s="0" t="s">
        <v>59</v>
      </c>
      <c r="C5910" s="0" t="str">
        <f aca="false">INDEX(Intent_Analysis!$B$5:$B$81,MATCH(B5910,Intent_Analysis!$A$5:$A$81,0))</f>
        <v>Card usage &amp; features</v>
      </c>
      <c r="D5910" s="0" t="n">
        <f aca="false">INDEX(Intent_Analysis!$E$5:$E$81,MATCH(B5910,Intent_Analysis!$A$5:$A$81,0))</f>
        <v>2</v>
      </c>
    </row>
    <row r="5911" customFormat="false" ht="15" hidden="false" customHeight="false" outlineLevel="0" collapsed="false">
      <c r="A5911" s="0" t="s">
        <v>6235</v>
      </c>
      <c r="B5911" s="0" t="s">
        <v>59</v>
      </c>
      <c r="C5911" s="0" t="str">
        <f aca="false">INDEX(Intent_Analysis!$B$5:$B$81,MATCH(B5911,Intent_Analysis!$A$5:$A$81,0))</f>
        <v>Card usage &amp; features</v>
      </c>
      <c r="D5911" s="0" t="n">
        <f aca="false">INDEX(Intent_Analysis!$E$5:$E$81,MATCH(B5911,Intent_Analysis!$A$5:$A$81,0))</f>
        <v>2</v>
      </c>
    </row>
    <row r="5912" customFormat="false" ht="15" hidden="false" customHeight="false" outlineLevel="0" collapsed="false">
      <c r="A5912" s="0" t="s">
        <v>6236</v>
      </c>
      <c r="B5912" s="0" t="s">
        <v>59</v>
      </c>
      <c r="C5912" s="0" t="str">
        <f aca="false">INDEX(Intent_Analysis!$B$5:$B$81,MATCH(B5912,Intent_Analysis!$A$5:$A$81,0))</f>
        <v>Card usage &amp; features</v>
      </c>
      <c r="D5912" s="0" t="n">
        <f aca="false">INDEX(Intent_Analysis!$E$5:$E$81,MATCH(B5912,Intent_Analysis!$A$5:$A$81,0))</f>
        <v>2</v>
      </c>
    </row>
    <row r="5913" customFormat="false" ht="15" hidden="false" customHeight="false" outlineLevel="0" collapsed="false">
      <c r="A5913" s="0" t="s">
        <v>6237</v>
      </c>
      <c r="B5913" s="0" t="s">
        <v>59</v>
      </c>
      <c r="C5913" s="0" t="str">
        <f aca="false">INDEX(Intent_Analysis!$B$5:$B$81,MATCH(B5913,Intent_Analysis!$A$5:$A$81,0))</f>
        <v>Card usage &amp; features</v>
      </c>
      <c r="D5913" s="0" t="n">
        <f aca="false">INDEX(Intent_Analysis!$E$5:$E$81,MATCH(B5913,Intent_Analysis!$A$5:$A$81,0))</f>
        <v>2</v>
      </c>
    </row>
    <row r="5914" customFormat="false" ht="15" hidden="false" customHeight="false" outlineLevel="0" collapsed="false">
      <c r="A5914" s="0" t="s">
        <v>6238</v>
      </c>
      <c r="B5914" s="0" t="s">
        <v>59</v>
      </c>
      <c r="C5914" s="0" t="str">
        <f aca="false">INDEX(Intent_Analysis!$B$5:$B$81,MATCH(B5914,Intent_Analysis!$A$5:$A$81,0))</f>
        <v>Card usage &amp; features</v>
      </c>
      <c r="D5914" s="0" t="n">
        <f aca="false">INDEX(Intent_Analysis!$E$5:$E$81,MATCH(B5914,Intent_Analysis!$A$5:$A$81,0))</f>
        <v>2</v>
      </c>
    </row>
    <row r="5915" customFormat="false" ht="15" hidden="false" customHeight="false" outlineLevel="0" collapsed="false">
      <c r="A5915" s="0" t="s">
        <v>6239</v>
      </c>
      <c r="B5915" s="0" t="s">
        <v>59</v>
      </c>
      <c r="C5915" s="0" t="str">
        <f aca="false">INDEX(Intent_Analysis!$B$5:$B$81,MATCH(B5915,Intent_Analysis!$A$5:$A$81,0))</f>
        <v>Card usage &amp; features</v>
      </c>
      <c r="D5915" s="0" t="n">
        <f aca="false">INDEX(Intent_Analysis!$E$5:$E$81,MATCH(B5915,Intent_Analysis!$A$5:$A$81,0))</f>
        <v>2</v>
      </c>
    </row>
    <row r="5916" customFormat="false" ht="15" hidden="false" customHeight="false" outlineLevel="0" collapsed="false">
      <c r="A5916" s="0" t="s">
        <v>6240</v>
      </c>
      <c r="B5916" s="0" t="s">
        <v>59</v>
      </c>
      <c r="C5916" s="0" t="str">
        <f aca="false">INDEX(Intent_Analysis!$B$5:$B$81,MATCH(B5916,Intent_Analysis!$A$5:$A$81,0))</f>
        <v>Card usage &amp; features</v>
      </c>
      <c r="D5916" s="0" t="n">
        <f aca="false">INDEX(Intent_Analysis!$E$5:$E$81,MATCH(B5916,Intent_Analysis!$A$5:$A$81,0))</f>
        <v>2</v>
      </c>
    </row>
    <row r="5917" customFormat="false" ht="15" hidden="false" customHeight="false" outlineLevel="0" collapsed="false">
      <c r="A5917" s="0" t="s">
        <v>6241</v>
      </c>
      <c r="B5917" s="0" t="s">
        <v>59</v>
      </c>
      <c r="C5917" s="0" t="str">
        <f aca="false">INDEX(Intent_Analysis!$B$5:$B$81,MATCH(B5917,Intent_Analysis!$A$5:$A$81,0))</f>
        <v>Card usage &amp; features</v>
      </c>
      <c r="D5917" s="0" t="n">
        <f aca="false">INDEX(Intent_Analysis!$E$5:$E$81,MATCH(B5917,Intent_Analysis!$A$5:$A$81,0))</f>
        <v>2</v>
      </c>
    </row>
    <row r="5918" customFormat="false" ht="15" hidden="false" customHeight="false" outlineLevel="0" collapsed="false">
      <c r="A5918" s="0" t="s">
        <v>6242</v>
      </c>
      <c r="B5918" s="0" t="s">
        <v>59</v>
      </c>
      <c r="C5918" s="0" t="str">
        <f aca="false">INDEX(Intent_Analysis!$B$5:$B$81,MATCH(B5918,Intent_Analysis!$A$5:$A$81,0))</f>
        <v>Card usage &amp; features</v>
      </c>
      <c r="D5918" s="0" t="n">
        <f aca="false">INDEX(Intent_Analysis!$E$5:$E$81,MATCH(B5918,Intent_Analysis!$A$5:$A$81,0))</f>
        <v>2</v>
      </c>
    </row>
    <row r="5919" customFormat="false" ht="15" hidden="false" customHeight="false" outlineLevel="0" collapsed="false">
      <c r="A5919" s="0" t="s">
        <v>6243</v>
      </c>
      <c r="B5919" s="0" t="s">
        <v>59</v>
      </c>
      <c r="C5919" s="0" t="str">
        <f aca="false">INDEX(Intent_Analysis!$B$5:$B$81,MATCH(B5919,Intent_Analysis!$A$5:$A$81,0))</f>
        <v>Card usage &amp; features</v>
      </c>
      <c r="D5919" s="0" t="n">
        <f aca="false">INDEX(Intent_Analysis!$E$5:$E$81,MATCH(B5919,Intent_Analysis!$A$5:$A$81,0))</f>
        <v>2</v>
      </c>
    </row>
    <row r="5920" customFormat="false" ht="15" hidden="false" customHeight="false" outlineLevel="0" collapsed="false">
      <c r="A5920" s="0" t="s">
        <v>6244</v>
      </c>
      <c r="B5920" s="0" t="s">
        <v>59</v>
      </c>
      <c r="C5920" s="0" t="str">
        <f aca="false">INDEX(Intent_Analysis!$B$5:$B$81,MATCH(B5920,Intent_Analysis!$A$5:$A$81,0))</f>
        <v>Card usage &amp; features</v>
      </c>
      <c r="D5920" s="0" t="n">
        <f aca="false">INDEX(Intent_Analysis!$E$5:$E$81,MATCH(B5920,Intent_Analysis!$A$5:$A$81,0))</f>
        <v>2</v>
      </c>
    </row>
    <row r="5921" customFormat="false" ht="15" hidden="false" customHeight="false" outlineLevel="0" collapsed="false">
      <c r="A5921" s="0" t="s">
        <v>6245</v>
      </c>
      <c r="B5921" s="0" t="s">
        <v>59</v>
      </c>
      <c r="C5921" s="0" t="str">
        <f aca="false">INDEX(Intent_Analysis!$B$5:$B$81,MATCH(B5921,Intent_Analysis!$A$5:$A$81,0))</f>
        <v>Card usage &amp; features</v>
      </c>
      <c r="D5921" s="0" t="n">
        <f aca="false">INDEX(Intent_Analysis!$E$5:$E$81,MATCH(B5921,Intent_Analysis!$A$5:$A$81,0))</f>
        <v>2</v>
      </c>
    </row>
    <row r="5922" customFormat="false" ht="15" hidden="false" customHeight="false" outlineLevel="0" collapsed="false">
      <c r="A5922" s="0" t="s">
        <v>6246</v>
      </c>
      <c r="B5922" s="0" t="s">
        <v>59</v>
      </c>
      <c r="C5922" s="0" t="str">
        <f aca="false">INDEX(Intent_Analysis!$B$5:$B$81,MATCH(B5922,Intent_Analysis!$A$5:$A$81,0))</f>
        <v>Card usage &amp; features</v>
      </c>
      <c r="D5922" s="0" t="n">
        <f aca="false">INDEX(Intent_Analysis!$E$5:$E$81,MATCH(B5922,Intent_Analysis!$A$5:$A$81,0))</f>
        <v>2</v>
      </c>
    </row>
    <row r="5923" customFormat="false" ht="15" hidden="false" customHeight="false" outlineLevel="0" collapsed="false">
      <c r="A5923" s="0" t="s">
        <v>6247</v>
      </c>
      <c r="B5923" s="0" t="s">
        <v>59</v>
      </c>
      <c r="C5923" s="0" t="str">
        <f aca="false">INDEX(Intent_Analysis!$B$5:$B$81,MATCH(B5923,Intent_Analysis!$A$5:$A$81,0))</f>
        <v>Card usage &amp; features</v>
      </c>
      <c r="D5923" s="0" t="n">
        <f aca="false">INDEX(Intent_Analysis!$E$5:$E$81,MATCH(B5923,Intent_Analysis!$A$5:$A$81,0))</f>
        <v>2</v>
      </c>
    </row>
    <row r="5924" customFormat="false" ht="15" hidden="false" customHeight="false" outlineLevel="0" collapsed="false">
      <c r="A5924" s="0" t="s">
        <v>6248</v>
      </c>
      <c r="B5924" s="0" t="s">
        <v>59</v>
      </c>
      <c r="C5924" s="0" t="str">
        <f aca="false">INDEX(Intent_Analysis!$B$5:$B$81,MATCH(B5924,Intent_Analysis!$A$5:$A$81,0))</f>
        <v>Card usage &amp; features</v>
      </c>
      <c r="D5924" s="0" t="n">
        <f aca="false">INDEX(Intent_Analysis!$E$5:$E$81,MATCH(B5924,Intent_Analysis!$A$5:$A$81,0))</f>
        <v>2</v>
      </c>
    </row>
    <row r="5925" customFormat="false" ht="15" hidden="false" customHeight="false" outlineLevel="0" collapsed="false">
      <c r="A5925" s="0" t="s">
        <v>6249</v>
      </c>
      <c r="B5925" s="0" t="s">
        <v>59</v>
      </c>
      <c r="C5925" s="0" t="str">
        <f aca="false">INDEX(Intent_Analysis!$B$5:$B$81,MATCH(B5925,Intent_Analysis!$A$5:$A$81,0))</f>
        <v>Card usage &amp; features</v>
      </c>
      <c r="D5925" s="0" t="n">
        <f aca="false">INDEX(Intent_Analysis!$E$5:$E$81,MATCH(B5925,Intent_Analysis!$A$5:$A$81,0))</f>
        <v>2</v>
      </c>
    </row>
    <row r="5926" customFormat="false" ht="15" hidden="false" customHeight="false" outlineLevel="0" collapsed="false">
      <c r="A5926" s="0" t="s">
        <v>6250</v>
      </c>
      <c r="B5926" s="0" t="s">
        <v>59</v>
      </c>
      <c r="C5926" s="0" t="str">
        <f aca="false">INDEX(Intent_Analysis!$B$5:$B$81,MATCH(B5926,Intent_Analysis!$A$5:$A$81,0))</f>
        <v>Card usage &amp; features</v>
      </c>
      <c r="D5926" s="0" t="n">
        <f aca="false">INDEX(Intent_Analysis!$E$5:$E$81,MATCH(B5926,Intent_Analysis!$A$5:$A$81,0))</f>
        <v>2</v>
      </c>
    </row>
    <row r="5927" customFormat="false" ht="15" hidden="false" customHeight="false" outlineLevel="0" collapsed="false">
      <c r="A5927" s="0" t="s">
        <v>6251</v>
      </c>
      <c r="B5927" s="0" t="s">
        <v>59</v>
      </c>
      <c r="C5927" s="0" t="str">
        <f aca="false">INDEX(Intent_Analysis!$B$5:$B$81,MATCH(B5927,Intent_Analysis!$A$5:$A$81,0))</f>
        <v>Card usage &amp; features</v>
      </c>
      <c r="D5927" s="0" t="n">
        <f aca="false">INDEX(Intent_Analysis!$E$5:$E$81,MATCH(B5927,Intent_Analysis!$A$5:$A$81,0))</f>
        <v>2</v>
      </c>
    </row>
    <row r="5928" customFormat="false" ht="15" hidden="false" customHeight="false" outlineLevel="0" collapsed="false">
      <c r="A5928" s="0" t="s">
        <v>6252</v>
      </c>
      <c r="B5928" s="0" t="s">
        <v>59</v>
      </c>
      <c r="C5928" s="0" t="str">
        <f aca="false">INDEX(Intent_Analysis!$B$5:$B$81,MATCH(B5928,Intent_Analysis!$A$5:$A$81,0))</f>
        <v>Card usage &amp; features</v>
      </c>
      <c r="D5928" s="0" t="n">
        <f aca="false">INDEX(Intent_Analysis!$E$5:$E$81,MATCH(B5928,Intent_Analysis!$A$5:$A$81,0))</f>
        <v>2</v>
      </c>
    </row>
    <row r="5929" customFormat="false" ht="15" hidden="false" customHeight="false" outlineLevel="0" collapsed="false">
      <c r="A5929" s="0" t="s">
        <v>6253</v>
      </c>
      <c r="B5929" s="0" t="s">
        <v>59</v>
      </c>
      <c r="C5929" s="0" t="str">
        <f aca="false">INDEX(Intent_Analysis!$B$5:$B$81,MATCH(B5929,Intent_Analysis!$A$5:$A$81,0))</f>
        <v>Card usage &amp; features</v>
      </c>
      <c r="D5929" s="0" t="n">
        <f aca="false">INDEX(Intent_Analysis!$E$5:$E$81,MATCH(B5929,Intent_Analysis!$A$5:$A$81,0))</f>
        <v>2</v>
      </c>
    </row>
    <row r="5930" customFormat="false" ht="15" hidden="false" customHeight="false" outlineLevel="0" collapsed="false">
      <c r="A5930" s="0" t="s">
        <v>6254</v>
      </c>
      <c r="B5930" s="0" t="s">
        <v>59</v>
      </c>
      <c r="C5930" s="0" t="str">
        <f aca="false">INDEX(Intent_Analysis!$B$5:$B$81,MATCH(B5930,Intent_Analysis!$A$5:$A$81,0))</f>
        <v>Card usage &amp; features</v>
      </c>
      <c r="D5930" s="0" t="n">
        <f aca="false">INDEX(Intent_Analysis!$E$5:$E$81,MATCH(B5930,Intent_Analysis!$A$5:$A$81,0))</f>
        <v>2</v>
      </c>
    </row>
    <row r="5931" customFormat="false" ht="15" hidden="false" customHeight="false" outlineLevel="0" collapsed="false">
      <c r="A5931" s="0" t="s">
        <v>6255</v>
      </c>
      <c r="B5931" s="0" t="s">
        <v>59</v>
      </c>
      <c r="C5931" s="0" t="str">
        <f aca="false">INDEX(Intent_Analysis!$B$5:$B$81,MATCH(B5931,Intent_Analysis!$A$5:$A$81,0))</f>
        <v>Card usage &amp; features</v>
      </c>
      <c r="D5931" s="0" t="n">
        <f aca="false">INDEX(Intent_Analysis!$E$5:$E$81,MATCH(B5931,Intent_Analysis!$A$5:$A$81,0))</f>
        <v>2</v>
      </c>
    </row>
    <row r="5932" customFormat="false" ht="15" hidden="false" customHeight="false" outlineLevel="0" collapsed="false">
      <c r="A5932" s="0" t="s">
        <v>6256</v>
      </c>
      <c r="B5932" s="0" t="s">
        <v>59</v>
      </c>
      <c r="C5932" s="0" t="str">
        <f aca="false">INDEX(Intent_Analysis!$B$5:$B$81,MATCH(B5932,Intent_Analysis!$A$5:$A$81,0))</f>
        <v>Card usage &amp; features</v>
      </c>
      <c r="D5932" s="0" t="n">
        <f aca="false">INDEX(Intent_Analysis!$E$5:$E$81,MATCH(B5932,Intent_Analysis!$A$5:$A$81,0))</f>
        <v>2</v>
      </c>
    </row>
    <row r="5933" customFormat="false" ht="15" hidden="false" customHeight="false" outlineLevel="0" collapsed="false">
      <c r="A5933" s="0" t="s">
        <v>6257</v>
      </c>
      <c r="B5933" s="0" t="s">
        <v>59</v>
      </c>
      <c r="C5933" s="0" t="str">
        <f aca="false">INDEX(Intent_Analysis!$B$5:$B$81,MATCH(B5933,Intent_Analysis!$A$5:$A$81,0))</f>
        <v>Card usage &amp; features</v>
      </c>
      <c r="D5933" s="0" t="n">
        <f aca="false">INDEX(Intent_Analysis!$E$5:$E$81,MATCH(B5933,Intent_Analysis!$A$5:$A$81,0))</f>
        <v>2</v>
      </c>
    </row>
    <row r="5934" customFormat="false" ht="15" hidden="false" customHeight="false" outlineLevel="0" collapsed="false">
      <c r="A5934" s="0" t="s">
        <v>6258</v>
      </c>
      <c r="B5934" s="0" t="s">
        <v>59</v>
      </c>
      <c r="C5934" s="0" t="str">
        <f aca="false">INDEX(Intent_Analysis!$B$5:$B$81,MATCH(B5934,Intent_Analysis!$A$5:$A$81,0))</f>
        <v>Card usage &amp; features</v>
      </c>
      <c r="D5934" s="0" t="n">
        <f aca="false">INDEX(Intent_Analysis!$E$5:$E$81,MATCH(B5934,Intent_Analysis!$A$5:$A$81,0))</f>
        <v>2</v>
      </c>
    </row>
    <row r="5935" customFormat="false" ht="15" hidden="false" customHeight="false" outlineLevel="0" collapsed="false">
      <c r="A5935" s="0" t="s">
        <v>6259</v>
      </c>
      <c r="B5935" s="0" t="s">
        <v>59</v>
      </c>
      <c r="C5935" s="0" t="str">
        <f aca="false">INDEX(Intent_Analysis!$B$5:$B$81,MATCH(B5935,Intent_Analysis!$A$5:$A$81,0))</f>
        <v>Card usage &amp; features</v>
      </c>
      <c r="D5935" s="0" t="n">
        <f aca="false">INDEX(Intent_Analysis!$E$5:$E$81,MATCH(B5935,Intent_Analysis!$A$5:$A$81,0))</f>
        <v>2</v>
      </c>
    </row>
    <row r="5936" customFormat="false" ht="15" hidden="false" customHeight="false" outlineLevel="0" collapsed="false">
      <c r="A5936" s="0" t="s">
        <v>6260</v>
      </c>
      <c r="B5936" s="0" t="s">
        <v>59</v>
      </c>
      <c r="C5936" s="0" t="str">
        <f aca="false">INDEX(Intent_Analysis!$B$5:$B$81,MATCH(B5936,Intent_Analysis!$A$5:$A$81,0))</f>
        <v>Card usage &amp; features</v>
      </c>
      <c r="D5936" s="0" t="n">
        <f aca="false">INDEX(Intent_Analysis!$E$5:$E$81,MATCH(B5936,Intent_Analysis!$A$5:$A$81,0))</f>
        <v>2</v>
      </c>
    </row>
    <row r="5937" customFormat="false" ht="15" hidden="false" customHeight="false" outlineLevel="0" collapsed="false">
      <c r="A5937" s="0" t="s">
        <v>6261</v>
      </c>
      <c r="B5937" s="0" t="s">
        <v>59</v>
      </c>
      <c r="C5937" s="0" t="str">
        <f aca="false">INDEX(Intent_Analysis!$B$5:$B$81,MATCH(B5937,Intent_Analysis!$A$5:$A$81,0))</f>
        <v>Card usage &amp; features</v>
      </c>
      <c r="D5937" s="0" t="n">
        <f aca="false">INDEX(Intent_Analysis!$E$5:$E$81,MATCH(B5937,Intent_Analysis!$A$5:$A$81,0))</f>
        <v>2</v>
      </c>
    </row>
    <row r="5938" customFormat="false" ht="15" hidden="false" customHeight="false" outlineLevel="0" collapsed="false">
      <c r="A5938" s="0" t="s">
        <v>6262</v>
      </c>
      <c r="B5938" s="0" t="s">
        <v>59</v>
      </c>
      <c r="C5938" s="0" t="str">
        <f aca="false">INDEX(Intent_Analysis!$B$5:$B$81,MATCH(B5938,Intent_Analysis!$A$5:$A$81,0))</f>
        <v>Card usage &amp; features</v>
      </c>
      <c r="D5938" s="0" t="n">
        <f aca="false">INDEX(Intent_Analysis!$E$5:$E$81,MATCH(B5938,Intent_Analysis!$A$5:$A$81,0))</f>
        <v>2</v>
      </c>
    </row>
    <row r="5939" customFormat="false" ht="15" hidden="false" customHeight="false" outlineLevel="0" collapsed="false">
      <c r="A5939" s="0" t="s">
        <v>6263</v>
      </c>
      <c r="B5939" s="0" t="s">
        <v>59</v>
      </c>
      <c r="C5939" s="0" t="str">
        <f aca="false">INDEX(Intent_Analysis!$B$5:$B$81,MATCH(B5939,Intent_Analysis!$A$5:$A$81,0))</f>
        <v>Card usage &amp; features</v>
      </c>
      <c r="D5939" s="0" t="n">
        <f aca="false">INDEX(Intent_Analysis!$E$5:$E$81,MATCH(B5939,Intent_Analysis!$A$5:$A$81,0))</f>
        <v>2</v>
      </c>
    </row>
    <row r="5940" customFormat="false" ht="15" hidden="false" customHeight="false" outlineLevel="0" collapsed="false">
      <c r="A5940" s="0" t="s">
        <v>6264</v>
      </c>
      <c r="B5940" s="0" t="s">
        <v>59</v>
      </c>
      <c r="C5940" s="0" t="str">
        <f aca="false">INDEX(Intent_Analysis!$B$5:$B$81,MATCH(B5940,Intent_Analysis!$A$5:$A$81,0))</f>
        <v>Card usage &amp; features</v>
      </c>
      <c r="D5940" s="0" t="n">
        <f aca="false">INDEX(Intent_Analysis!$E$5:$E$81,MATCH(B5940,Intent_Analysis!$A$5:$A$81,0))</f>
        <v>2</v>
      </c>
    </row>
    <row r="5941" customFormat="false" ht="15" hidden="false" customHeight="false" outlineLevel="0" collapsed="false">
      <c r="A5941" s="0" t="s">
        <v>6265</v>
      </c>
      <c r="B5941" s="0" t="s">
        <v>59</v>
      </c>
      <c r="C5941" s="0" t="str">
        <f aca="false">INDEX(Intent_Analysis!$B$5:$B$81,MATCH(B5941,Intent_Analysis!$A$5:$A$81,0))</f>
        <v>Card usage &amp; features</v>
      </c>
      <c r="D5941" s="0" t="n">
        <f aca="false">INDEX(Intent_Analysis!$E$5:$E$81,MATCH(B5941,Intent_Analysis!$A$5:$A$81,0))</f>
        <v>2</v>
      </c>
    </row>
    <row r="5942" customFormat="false" ht="15" hidden="false" customHeight="false" outlineLevel="0" collapsed="false">
      <c r="A5942" s="0" t="s">
        <v>6266</v>
      </c>
      <c r="B5942" s="0" t="s">
        <v>59</v>
      </c>
      <c r="C5942" s="0" t="str">
        <f aca="false">INDEX(Intent_Analysis!$B$5:$B$81,MATCH(B5942,Intent_Analysis!$A$5:$A$81,0))</f>
        <v>Card usage &amp; features</v>
      </c>
      <c r="D5942" s="0" t="n">
        <f aca="false">INDEX(Intent_Analysis!$E$5:$E$81,MATCH(B5942,Intent_Analysis!$A$5:$A$81,0))</f>
        <v>2</v>
      </c>
    </row>
    <row r="5943" customFormat="false" ht="15" hidden="false" customHeight="false" outlineLevel="0" collapsed="false">
      <c r="A5943" s="0" t="s">
        <v>6267</v>
      </c>
      <c r="B5943" s="0" t="s">
        <v>59</v>
      </c>
      <c r="C5943" s="0" t="str">
        <f aca="false">INDEX(Intent_Analysis!$B$5:$B$81,MATCH(B5943,Intent_Analysis!$A$5:$A$81,0))</f>
        <v>Card usage &amp; features</v>
      </c>
      <c r="D5943" s="0" t="n">
        <f aca="false">INDEX(Intent_Analysis!$E$5:$E$81,MATCH(B5943,Intent_Analysis!$A$5:$A$81,0))</f>
        <v>2</v>
      </c>
    </row>
    <row r="5944" customFormat="false" ht="15" hidden="false" customHeight="false" outlineLevel="0" collapsed="false">
      <c r="A5944" s="0" t="s">
        <v>6268</v>
      </c>
      <c r="B5944" s="0" t="s">
        <v>59</v>
      </c>
      <c r="C5944" s="0" t="str">
        <f aca="false">INDEX(Intent_Analysis!$B$5:$B$81,MATCH(B5944,Intent_Analysis!$A$5:$A$81,0))</f>
        <v>Card usage &amp; features</v>
      </c>
      <c r="D5944" s="0" t="n">
        <f aca="false">INDEX(Intent_Analysis!$E$5:$E$81,MATCH(B5944,Intent_Analysis!$A$5:$A$81,0))</f>
        <v>2</v>
      </c>
    </row>
    <row r="5945" customFormat="false" ht="15" hidden="false" customHeight="false" outlineLevel="0" collapsed="false">
      <c r="A5945" s="0" t="s">
        <v>6269</v>
      </c>
      <c r="B5945" s="0" t="s">
        <v>59</v>
      </c>
      <c r="C5945" s="0" t="str">
        <f aca="false">INDEX(Intent_Analysis!$B$5:$B$81,MATCH(B5945,Intent_Analysis!$A$5:$A$81,0))</f>
        <v>Card usage &amp; features</v>
      </c>
      <c r="D5945" s="0" t="n">
        <f aca="false">INDEX(Intent_Analysis!$E$5:$E$81,MATCH(B5945,Intent_Analysis!$A$5:$A$81,0))</f>
        <v>2</v>
      </c>
    </row>
    <row r="5946" customFormat="false" ht="15" hidden="false" customHeight="false" outlineLevel="0" collapsed="false">
      <c r="A5946" s="0" t="s">
        <v>6270</v>
      </c>
      <c r="B5946" s="0" t="s">
        <v>59</v>
      </c>
      <c r="C5946" s="0" t="str">
        <f aca="false">INDEX(Intent_Analysis!$B$5:$B$81,MATCH(B5946,Intent_Analysis!$A$5:$A$81,0))</f>
        <v>Card usage &amp; features</v>
      </c>
      <c r="D5946" s="0" t="n">
        <f aca="false">INDEX(Intent_Analysis!$E$5:$E$81,MATCH(B5946,Intent_Analysis!$A$5:$A$81,0))</f>
        <v>2</v>
      </c>
    </row>
    <row r="5947" customFormat="false" ht="15" hidden="false" customHeight="false" outlineLevel="0" collapsed="false">
      <c r="A5947" s="0" t="s">
        <v>6271</v>
      </c>
      <c r="B5947" s="0" t="s">
        <v>59</v>
      </c>
      <c r="C5947" s="0" t="str">
        <f aca="false">INDEX(Intent_Analysis!$B$5:$B$81,MATCH(B5947,Intent_Analysis!$A$5:$A$81,0))</f>
        <v>Card usage &amp; features</v>
      </c>
      <c r="D5947" s="0" t="n">
        <f aca="false">INDEX(Intent_Analysis!$E$5:$E$81,MATCH(B5947,Intent_Analysis!$A$5:$A$81,0))</f>
        <v>2</v>
      </c>
    </row>
    <row r="5948" customFormat="false" ht="15" hidden="false" customHeight="false" outlineLevel="0" collapsed="false">
      <c r="A5948" s="0" t="s">
        <v>6272</v>
      </c>
      <c r="B5948" s="0" t="s">
        <v>59</v>
      </c>
      <c r="C5948" s="0" t="str">
        <f aca="false">INDEX(Intent_Analysis!$B$5:$B$81,MATCH(B5948,Intent_Analysis!$A$5:$A$81,0))</f>
        <v>Card usage &amp; features</v>
      </c>
      <c r="D5948" s="0" t="n">
        <f aca="false">INDEX(Intent_Analysis!$E$5:$E$81,MATCH(B5948,Intent_Analysis!$A$5:$A$81,0))</f>
        <v>2</v>
      </c>
    </row>
    <row r="5949" customFormat="false" ht="15" hidden="false" customHeight="false" outlineLevel="0" collapsed="false">
      <c r="A5949" s="0" t="s">
        <v>6273</v>
      </c>
      <c r="B5949" s="0" t="s">
        <v>59</v>
      </c>
      <c r="C5949" s="0" t="str">
        <f aca="false">INDEX(Intent_Analysis!$B$5:$B$81,MATCH(B5949,Intent_Analysis!$A$5:$A$81,0))</f>
        <v>Card usage &amp; features</v>
      </c>
      <c r="D5949" s="0" t="n">
        <f aca="false">INDEX(Intent_Analysis!$E$5:$E$81,MATCH(B5949,Intent_Analysis!$A$5:$A$81,0))</f>
        <v>2</v>
      </c>
    </row>
    <row r="5950" customFormat="false" ht="15" hidden="false" customHeight="false" outlineLevel="0" collapsed="false">
      <c r="A5950" s="0" t="s">
        <v>6274</v>
      </c>
      <c r="B5950" s="0" t="s">
        <v>59</v>
      </c>
      <c r="C5950" s="0" t="str">
        <f aca="false">INDEX(Intent_Analysis!$B$5:$B$81,MATCH(B5950,Intent_Analysis!$A$5:$A$81,0))</f>
        <v>Card usage &amp; features</v>
      </c>
      <c r="D5950" s="0" t="n">
        <f aca="false">INDEX(Intent_Analysis!$E$5:$E$81,MATCH(B5950,Intent_Analysis!$A$5:$A$81,0))</f>
        <v>2</v>
      </c>
    </row>
    <row r="5951" customFormat="false" ht="15" hidden="false" customHeight="false" outlineLevel="0" collapsed="false">
      <c r="A5951" s="0" t="s">
        <v>6275</v>
      </c>
      <c r="B5951" s="0" t="s">
        <v>59</v>
      </c>
      <c r="C5951" s="0" t="str">
        <f aca="false">INDEX(Intent_Analysis!$B$5:$B$81,MATCH(B5951,Intent_Analysis!$A$5:$A$81,0))</f>
        <v>Card usage &amp; features</v>
      </c>
      <c r="D5951" s="0" t="n">
        <f aca="false">INDEX(Intent_Analysis!$E$5:$E$81,MATCH(B5951,Intent_Analysis!$A$5:$A$81,0))</f>
        <v>2</v>
      </c>
    </row>
    <row r="5952" customFormat="false" ht="15" hidden="false" customHeight="false" outlineLevel="0" collapsed="false">
      <c r="A5952" s="0" t="s">
        <v>6276</v>
      </c>
      <c r="B5952" s="0" t="s">
        <v>59</v>
      </c>
      <c r="C5952" s="0" t="str">
        <f aca="false">INDEX(Intent_Analysis!$B$5:$B$81,MATCH(B5952,Intent_Analysis!$A$5:$A$81,0))</f>
        <v>Card usage &amp; features</v>
      </c>
      <c r="D5952" s="0" t="n">
        <f aca="false">INDEX(Intent_Analysis!$E$5:$E$81,MATCH(B5952,Intent_Analysis!$A$5:$A$81,0))</f>
        <v>2</v>
      </c>
    </row>
    <row r="5953" customFormat="false" ht="15" hidden="false" customHeight="false" outlineLevel="0" collapsed="false">
      <c r="A5953" s="0" t="s">
        <v>6277</v>
      </c>
      <c r="B5953" s="0" t="s">
        <v>59</v>
      </c>
      <c r="C5953" s="0" t="str">
        <f aca="false">INDEX(Intent_Analysis!$B$5:$B$81,MATCH(B5953,Intent_Analysis!$A$5:$A$81,0))</f>
        <v>Card usage &amp; features</v>
      </c>
      <c r="D5953" s="0" t="n">
        <f aca="false">INDEX(Intent_Analysis!$E$5:$E$81,MATCH(B5953,Intent_Analysis!$A$5:$A$81,0))</f>
        <v>2</v>
      </c>
    </row>
    <row r="5954" customFormat="false" ht="15" hidden="false" customHeight="false" outlineLevel="0" collapsed="false">
      <c r="A5954" s="0" t="s">
        <v>6278</v>
      </c>
      <c r="B5954" s="0" t="s">
        <v>59</v>
      </c>
      <c r="C5954" s="0" t="str">
        <f aca="false">INDEX(Intent_Analysis!$B$5:$B$81,MATCH(B5954,Intent_Analysis!$A$5:$A$81,0))</f>
        <v>Card usage &amp; features</v>
      </c>
      <c r="D5954" s="0" t="n">
        <f aca="false">INDEX(Intent_Analysis!$E$5:$E$81,MATCH(B5954,Intent_Analysis!$A$5:$A$81,0))</f>
        <v>2</v>
      </c>
    </row>
    <row r="5955" customFormat="false" ht="15" hidden="false" customHeight="false" outlineLevel="0" collapsed="false">
      <c r="A5955" s="0" t="s">
        <v>6279</v>
      </c>
      <c r="B5955" s="0" t="s">
        <v>59</v>
      </c>
      <c r="C5955" s="0" t="str">
        <f aca="false">INDEX(Intent_Analysis!$B$5:$B$81,MATCH(B5955,Intent_Analysis!$A$5:$A$81,0))</f>
        <v>Card usage &amp; features</v>
      </c>
      <c r="D5955" s="0" t="n">
        <f aca="false">INDEX(Intent_Analysis!$E$5:$E$81,MATCH(B5955,Intent_Analysis!$A$5:$A$81,0))</f>
        <v>2</v>
      </c>
    </row>
    <row r="5956" customFormat="false" ht="15" hidden="false" customHeight="false" outlineLevel="0" collapsed="false">
      <c r="A5956" s="0" t="s">
        <v>6280</v>
      </c>
      <c r="B5956" s="0" t="s">
        <v>59</v>
      </c>
      <c r="C5956" s="0" t="str">
        <f aca="false">INDEX(Intent_Analysis!$B$5:$B$81,MATCH(B5956,Intent_Analysis!$A$5:$A$81,0))</f>
        <v>Card usage &amp; features</v>
      </c>
      <c r="D5956" s="0" t="n">
        <f aca="false">INDEX(Intent_Analysis!$E$5:$E$81,MATCH(B5956,Intent_Analysis!$A$5:$A$81,0))</f>
        <v>2</v>
      </c>
    </row>
    <row r="5957" customFormat="false" ht="15" hidden="false" customHeight="false" outlineLevel="0" collapsed="false">
      <c r="A5957" s="0" t="s">
        <v>6281</v>
      </c>
      <c r="B5957" s="0" t="s">
        <v>59</v>
      </c>
      <c r="C5957" s="0" t="str">
        <f aca="false">INDEX(Intent_Analysis!$B$5:$B$81,MATCH(B5957,Intent_Analysis!$A$5:$A$81,0))</f>
        <v>Card usage &amp; features</v>
      </c>
      <c r="D5957" s="0" t="n">
        <f aca="false">INDEX(Intent_Analysis!$E$5:$E$81,MATCH(B5957,Intent_Analysis!$A$5:$A$81,0))</f>
        <v>2</v>
      </c>
    </row>
    <row r="5958" customFormat="false" ht="15" hidden="false" customHeight="false" outlineLevel="0" collapsed="false">
      <c r="A5958" s="0" t="s">
        <v>6282</v>
      </c>
      <c r="B5958" s="0" t="s">
        <v>59</v>
      </c>
      <c r="C5958" s="0" t="str">
        <f aca="false">INDEX(Intent_Analysis!$B$5:$B$81,MATCH(B5958,Intent_Analysis!$A$5:$A$81,0))</f>
        <v>Card usage &amp; features</v>
      </c>
      <c r="D5958" s="0" t="n">
        <f aca="false">INDEX(Intent_Analysis!$E$5:$E$81,MATCH(B5958,Intent_Analysis!$A$5:$A$81,0))</f>
        <v>2</v>
      </c>
    </row>
    <row r="5959" customFormat="false" ht="15" hidden="false" customHeight="false" outlineLevel="0" collapsed="false">
      <c r="A5959" s="0" t="s">
        <v>6283</v>
      </c>
      <c r="B5959" s="0" t="s">
        <v>59</v>
      </c>
      <c r="C5959" s="0" t="str">
        <f aca="false">INDEX(Intent_Analysis!$B$5:$B$81,MATCH(B5959,Intent_Analysis!$A$5:$A$81,0))</f>
        <v>Card usage &amp; features</v>
      </c>
      <c r="D5959" s="0" t="n">
        <f aca="false">INDEX(Intent_Analysis!$E$5:$E$81,MATCH(B5959,Intent_Analysis!$A$5:$A$81,0))</f>
        <v>2</v>
      </c>
    </row>
    <row r="5960" customFormat="false" ht="15" hidden="false" customHeight="false" outlineLevel="0" collapsed="false">
      <c r="A5960" s="0" t="s">
        <v>6284</v>
      </c>
      <c r="B5960" s="0" t="s">
        <v>59</v>
      </c>
      <c r="C5960" s="0" t="str">
        <f aca="false">INDEX(Intent_Analysis!$B$5:$B$81,MATCH(B5960,Intent_Analysis!$A$5:$A$81,0))</f>
        <v>Card usage &amp; features</v>
      </c>
      <c r="D5960" s="0" t="n">
        <f aca="false">INDEX(Intent_Analysis!$E$5:$E$81,MATCH(B5960,Intent_Analysis!$A$5:$A$81,0))</f>
        <v>2</v>
      </c>
    </row>
    <row r="5961" customFormat="false" ht="15" hidden="false" customHeight="false" outlineLevel="0" collapsed="false">
      <c r="A5961" s="0" t="s">
        <v>6285</v>
      </c>
      <c r="B5961" s="0" t="s">
        <v>59</v>
      </c>
      <c r="C5961" s="0" t="str">
        <f aca="false">INDEX(Intent_Analysis!$B$5:$B$81,MATCH(B5961,Intent_Analysis!$A$5:$A$81,0))</f>
        <v>Card usage &amp; features</v>
      </c>
      <c r="D5961" s="0" t="n">
        <f aca="false">INDEX(Intent_Analysis!$E$5:$E$81,MATCH(B5961,Intent_Analysis!$A$5:$A$81,0))</f>
        <v>2</v>
      </c>
    </row>
    <row r="5962" customFormat="false" ht="15" hidden="false" customHeight="false" outlineLevel="0" collapsed="false">
      <c r="A5962" s="0" t="s">
        <v>6286</v>
      </c>
      <c r="B5962" s="0" t="s">
        <v>59</v>
      </c>
      <c r="C5962" s="0" t="str">
        <f aca="false">INDEX(Intent_Analysis!$B$5:$B$81,MATCH(B5962,Intent_Analysis!$A$5:$A$81,0))</f>
        <v>Card usage &amp; features</v>
      </c>
      <c r="D5962" s="0" t="n">
        <f aca="false">INDEX(Intent_Analysis!$E$5:$E$81,MATCH(B5962,Intent_Analysis!$A$5:$A$81,0))</f>
        <v>2</v>
      </c>
    </row>
    <row r="5963" customFormat="false" ht="15" hidden="false" customHeight="false" outlineLevel="0" collapsed="false">
      <c r="A5963" s="0" t="s">
        <v>6287</v>
      </c>
      <c r="B5963" s="0" t="s">
        <v>59</v>
      </c>
      <c r="C5963" s="0" t="str">
        <f aca="false">INDEX(Intent_Analysis!$B$5:$B$81,MATCH(B5963,Intent_Analysis!$A$5:$A$81,0))</f>
        <v>Card usage &amp; features</v>
      </c>
      <c r="D5963" s="0" t="n">
        <f aca="false">INDEX(Intent_Analysis!$E$5:$E$81,MATCH(B5963,Intent_Analysis!$A$5:$A$81,0))</f>
        <v>2</v>
      </c>
    </row>
    <row r="5964" customFormat="false" ht="15" hidden="false" customHeight="false" outlineLevel="0" collapsed="false">
      <c r="A5964" s="0" t="s">
        <v>6288</v>
      </c>
      <c r="B5964" s="0" t="s">
        <v>59</v>
      </c>
      <c r="C5964" s="0" t="str">
        <f aca="false">INDEX(Intent_Analysis!$B$5:$B$81,MATCH(B5964,Intent_Analysis!$A$5:$A$81,0))</f>
        <v>Card usage &amp; features</v>
      </c>
      <c r="D5964" s="0" t="n">
        <f aca="false">INDEX(Intent_Analysis!$E$5:$E$81,MATCH(B5964,Intent_Analysis!$A$5:$A$81,0))</f>
        <v>2</v>
      </c>
    </row>
    <row r="5965" customFormat="false" ht="15" hidden="false" customHeight="false" outlineLevel="0" collapsed="false">
      <c r="A5965" s="0" t="s">
        <v>6289</v>
      </c>
      <c r="B5965" s="0" t="s">
        <v>59</v>
      </c>
      <c r="C5965" s="0" t="str">
        <f aca="false">INDEX(Intent_Analysis!$B$5:$B$81,MATCH(B5965,Intent_Analysis!$A$5:$A$81,0))</f>
        <v>Card usage &amp; features</v>
      </c>
      <c r="D5965" s="0" t="n">
        <f aca="false">INDEX(Intent_Analysis!$E$5:$E$81,MATCH(B5965,Intent_Analysis!$A$5:$A$81,0))</f>
        <v>2</v>
      </c>
    </row>
    <row r="5966" customFormat="false" ht="15" hidden="false" customHeight="false" outlineLevel="0" collapsed="false">
      <c r="A5966" s="0" t="s">
        <v>6290</v>
      </c>
      <c r="B5966" s="0" t="s">
        <v>59</v>
      </c>
      <c r="C5966" s="0" t="str">
        <f aca="false">INDEX(Intent_Analysis!$B$5:$B$81,MATCH(B5966,Intent_Analysis!$A$5:$A$81,0))</f>
        <v>Card usage &amp; features</v>
      </c>
      <c r="D5966" s="0" t="n">
        <f aca="false">INDEX(Intent_Analysis!$E$5:$E$81,MATCH(B5966,Intent_Analysis!$A$5:$A$81,0))</f>
        <v>2</v>
      </c>
    </row>
    <row r="5967" customFormat="false" ht="15" hidden="false" customHeight="false" outlineLevel="0" collapsed="false">
      <c r="A5967" s="0" t="s">
        <v>6291</v>
      </c>
      <c r="B5967" s="0" t="s">
        <v>59</v>
      </c>
      <c r="C5967" s="0" t="str">
        <f aca="false">INDEX(Intent_Analysis!$B$5:$B$81,MATCH(B5967,Intent_Analysis!$A$5:$A$81,0))</f>
        <v>Card usage &amp; features</v>
      </c>
      <c r="D5967" s="0" t="n">
        <f aca="false">INDEX(Intent_Analysis!$E$5:$E$81,MATCH(B5967,Intent_Analysis!$A$5:$A$81,0))</f>
        <v>2</v>
      </c>
    </row>
    <row r="5968" customFormat="false" ht="15" hidden="false" customHeight="false" outlineLevel="0" collapsed="false">
      <c r="A5968" s="0" t="s">
        <v>6292</v>
      </c>
      <c r="B5968" s="0" t="s">
        <v>59</v>
      </c>
      <c r="C5968" s="0" t="str">
        <f aca="false">INDEX(Intent_Analysis!$B$5:$B$81,MATCH(B5968,Intent_Analysis!$A$5:$A$81,0))</f>
        <v>Card usage &amp; features</v>
      </c>
      <c r="D5968" s="0" t="n">
        <f aca="false">INDEX(Intent_Analysis!$E$5:$E$81,MATCH(B5968,Intent_Analysis!$A$5:$A$81,0))</f>
        <v>2</v>
      </c>
    </row>
    <row r="5969" customFormat="false" ht="15" hidden="false" customHeight="false" outlineLevel="0" collapsed="false">
      <c r="A5969" s="0" t="s">
        <v>6293</v>
      </c>
      <c r="B5969" s="0" t="s">
        <v>59</v>
      </c>
      <c r="C5969" s="0" t="str">
        <f aca="false">INDEX(Intent_Analysis!$B$5:$B$81,MATCH(B5969,Intent_Analysis!$A$5:$A$81,0))</f>
        <v>Card usage &amp; features</v>
      </c>
      <c r="D5969" s="0" t="n">
        <f aca="false">INDEX(Intent_Analysis!$E$5:$E$81,MATCH(B5969,Intent_Analysis!$A$5:$A$81,0))</f>
        <v>2</v>
      </c>
    </row>
    <row r="5970" customFormat="false" ht="15" hidden="false" customHeight="false" outlineLevel="0" collapsed="false">
      <c r="A5970" s="0" t="s">
        <v>6294</v>
      </c>
      <c r="B5970" s="0" t="s">
        <v>59</v>
      </c>
      <c r="C5970" s="0" t="str">
        <f aca="false">INDEX(Intent_Analysis!$B$5:$B$81,MATCH(B5970,Intent_Analysis!$A$5:$A$81,0))</f>
        <v>Card usage &amp; features</v>
      </c>
      <c r="D5970" s="0" t="n">
        <f aca="false">INDEX(Intent_Analysis!$E$5:$E$81,MATCH(B5970,Intent_Analysis!$A$5:$A$81,0))</f>
        <v>2</v>
      </c>
    </row>
    <row r="5971" customFormat="false" ht="15" hidden="false" customHeight="false" outlineLevel="0" collapsed="false">
      <c r="A5971" s="0" t="s">
        <v>6295</v>
      </c>
      <c r="B5971" s="0" t="s">
        <v>59</v>
      </c>
      <c r="C5971" s="0" t="str">
        <f aca="false">INDEX(Intent_Analysis!$B$5:$B$81,MATCH(B5971,Intent_Analysis!$A$5:$A$81,0))</f>
        <v>Card usage &amp; features</v>
      </c>
      <c r="D5971" s="0" t="n">
        <f aca="false">INDEX(Intent_Analysis!$E$5:$E$81,MATCH(B5971,Intent_Analysis!$A$5:$A$81,0))</f>
        <v>2</v>
      </c>
    </row>
    <row r="5972" customFormat="false" ht="15" hidden="false" customHeight="false" outlineLevel="0" collapsed="false">
      <c r="A5972" s="0" t="s">
        <v>6296</v>
      </c>
      <c r="B5972" s="0" t="s">
        <v>59</v>
      </c>
      <c r="C5972" s="0" t="str">
        <f aca="false">INDEX(Intent_Analysis!$B$5:$B$81,MATCH(B5972,Intent_Analysis!$A$5:$A$81,0))</f>
        <v>Card usage &amp; features</v>
      </c>
      <c r="D5972" s="0" t="n">
        <f aca="false">INDEX(Intent_Analysis!$E$5:$E$81,MATCH(B5972,Intent_Analysis!$A$5:$A$81,0))</f>
        <v>2</v>
      </c>
    </row>
    <row r="5973" customFormat="false" ht="15" hidden="false" customHeight="false" outlineLevel="0" collapsed="false">
      <c r="A5973" s="0" t="s">
        <v>6297</v>
      </c>
      <c r="B5973" s="0" t="s">
        <v>59</v>
      </c>
      <c r="C5973" s="0" t="str">
        <f aca="false">INDEX(Intent_Analysis!$B$5:$B$81,MATCH(B5973,Intent_Analysis!$A$5:$A$81,0))</f>
        <v>Card usage &amp; features</v>
      </c>
      <c r="D5973" s="0" t="n">
        <f aca="false">INDEX(Intent_Analysis!$E$5:$E$81,MATCH(B5973,Intent_Analysis!$A$5:$A$81,0))</f>
        <v>2</v>
      </c>
    </row>
    <row r="5974" customFormat="false" ht="15" hidden="false" customHeight="false" outlineLevel="0" collapsed="false">
      <c r="A5974" s="0" t="s">
        <v>6298</v>
      </c>
      <c r="B5974" s="0" t="s">
        <v>59</v>
      </c>
      <c r="C5974" s="0" t="str">
        <f aca="false">INDEX(Intent_Analysis!$B$5:$B$81,MATCH(B5974,Intent_Analysis!$A$5:$A$81,0))</f>
        <v>Card usage &amp; features</v>
      </c>
      <c r="D5974" s="0" t="n">
        <f aca="false">INDEX(Intent_Analysis!$E$5:$E$81,MATCH(B5974,Intent_Analysis!$A$5:$A$81,0))</f>
        <v>2</v>
      </c>
    </row>
    <row r="5975" customFormat="false" ht="15" hidden="false" customHeight="false" outlineLevel="0" collapsed="false">
      <c r="A5975" s="0" t="s">
        <v>6299</v>
      </c>
      <c r="B5975" s="0" t="s">
        <v>59</v>
      </c>
      <c r="C5975" s="0" t="str">
        <f aca="false">INDEX(Intent_Analysis!$B$5:$B$81,MATCH(B5975,Intent_Analysis!$A$5:$A$81,0))</f>
        <v>Card usage &amp; features</v>
      </c>
      <c r="D5975" s="0" t="n">
        <f aca="false">INDEX(Intent_Analysis!$E$5:$E$81,MATCH(B5975,Intent_Analysis!$A$5:$A$81,0))</f>
        <v>2</v>
      </c>
    </row>
    <row r="5976" customFormat="false" ht="15" hidden="false" customHeight="false" outlineLevel="0" collapsed="false">
      <c r="A5976" s="0" t="s">
        <v>6300</v>
      </c>
      <c r="B5976" s="0" t="s">
        <v>59</v>
      </c>
      <c r="C5976" s="0" t="str">
        <f aca="false">INDEX(Intent_Analysis!$B$5:$B$81,MATCH(B5976,Intent_Analysis!$A$5:$A$81,0))</f>
        <v>Card usage &amp; features</v>
      </c>
      <c r="D5976" s="0" t="n">
        <f aca="false">INDEX(Intent_Analysis!$E$5:$E$81,MATCH(B5976,Intent_Analysis!$A$5:$A$81,0))</f>
        <v>2</v>
      </c>
    </row>
    <row r="5977" customFormat="false" ht="15" hidden="false" customHeight="false" outlineLevel="0" collapsed="false">
      <c r="A5977" s="0" t="s">
        <v>6301</v>
      </c>
      <c r="B5977" s="0" t="s">
        <v>59</v>
      </c>
      <c r="C5977" s="0" t="str">
        <f aca="false">INDEX(Intent_Analysis!$B$5:$B$81,MATCH(B5977,Intent_Analysis!$A$5:$A$81,0))</f>
        <v>Card usage &amp; features</v>
      </c>
      <c r="D5977" s="0" t="n">
        <f aca="false">INDEX(Intent_Analysis!$E$5:$E$81,MATCH(B5977,Intent_Analysis!$A$5:$A$81,0))</f>
        <v>2</v>
      </c>
    </row>
    <row r="5978" customFormat="false" ht="15" hidden="false" customHeight="false" outlineLevel="0" collapsed="false">
      <c r="A5978" s="0" t="s">
        <v>6302</v>
      </c>
      <c r="B5978" s="0" t="s">
        <v>59</v>
      </c>
      <c r="C5978" s="0" t="str">
        <f aca="false">INDEX(Intent_Analysis!$B$5:$B$81,MATCH(B5978,Intent_Analysis!$A$5:$A$81,0))</f>
        <v>Card usage &amp; features</v>
      </c>
      <c r="D5978" s="0" t="n">
        <f aca="false">INDEX(Intent_Analysis!$E$5:$E$81,MATCH(B5978,Intent_Analysis!$A$5:$A$81,0))</f>
        <v>2</v>
      </c>
    </row>
    <row r="5979" customFormat="false" ht="15" hidden="false" customHeight="false" outlineLevel="0" collapsed="false">
      <c r="A5979" s="0" t="s">
        <v>6303</v>
      </c>
      <c r="B5979" s="0" t="s">
        <v>59</v>
      </c>
      <c r="C5979" s="0" t="str">
        <f aca="false">INDEX(Intent_Analysis!$B$5:$B$81,MATCH(B5979,Intent_Analysis!$A$5:$A$81,0))</f>
        <v>Card usage &amp; features</v>
      </c>
      <c r="D5979" s="0" t="n">
        <f aca="false">INDEX(Intent_Analysis!$E$5:$E$81,MATCH(B5979,Intent_Analysis!$A$5:$A$81,0))</f>
        <v>2</v>
      </c>
    </row>
    <row r="5980" customFormat="false" ht="15" hidden="false" customHeight="false" outlineLevel="0" collapsed="false">
      <c r="A5980" s="0" t="s">
        <v>6304</v>
      </c>
      <c r="B5980" s="0" t="s">
        <v>59</v>
      </c>
      <c r="C5980" s="0" t="str">
        <f aca="false">INDEX(Intent_Analysis!$B$5:$B$81,MATCH(B5980,Intent_Analysis!$A$5:$A$81,0))</f>
        <v>Card usage &amp; features</v>
      </c>
      <c r="D5980" s="0" t="n">
        <f aca="false">INDEX(Intent_Analysis!$E$5:$E$81,MATCH(B5980,Intent_Analysis!$A$5:$A$81,0))</f>
        <v>2</v>
      </c>
    </row>
    <row r="5981" customFormat="false" ht="15" hidden="false" customHeight="false" outlineLevel="0" collapsed="false">
      <c r="A5981" s="0" t="s">
        <v>6305</v>
      </c>
      <c r="B5981" s="0" t="s">
        <v>59</v>
      </c>
      <c r="C5981" s="0" t="str">
        <f aca="false">INDEX(Intent_Analysis!$B$5:$B$81,MATCH(B5981,Intent_Analysis!$A$5:$A$81,0))</f>
        <v>Card usage &amp; features</v>
      </c>
      <c r="D5981" s="0" t="n">
        <f aca="false">INDEX(Intent_Analysis!$E$5:$E$81,MATCH(B5981,Intent_Analysis!$A$5:$A$81,0))</f>
        <v>2</v>
      </c>
    </row>
    <row r="5982" customFormat="false" ht="15" hidden="false" customHeight="false" outlineLevel="0" collapsed="false">
      <c r="A5982" s="0" t="s">
        <v>6306</v>
      </c>
      <c r="B5982" s="0" t="s">
        <v>59</v>
      </c>
      <c r="C5982" s="0" t="str">
        <f aca="false">INDEX(Intent_Analysis!$B$5:$B$81,MATCH(B5982,Intent_Analysis!$A$5:$A$81,0))</f>
        <v>Card usage &amp; features</v>
      </c>
      <c r="D5982" s="0" t="n">
        <f aca="false">INDEX(Intent_Analysis!$E$5:$E$81,MATCH(B5982,Intent_Analysis!$A$5:$A$81,0))</f>
        <v>2</v>
      </c>
    </row>
    <row r="5983" customFormat="false" ht="15" hidden="false" customHeight="false" outlineLevel="0" collapsed="false">
      <c r="A5983" s="0" t="s">
        <v>6307</v>
      </c>
      <c r="B5983" s="0" t="s">
        <v>59</v>
      </c>
      <c r="C5983" s="0" t="str">
        <f aca="false">INDEX(Intent_Analysis!$B$5:$B$81,MATCH(B5983,Intent_Analysis!$A$5:$A$81,0))</f>
        <v>Card usage &amp; features</v>
      </c>
      <c r="D5983" s="0" t="n">
        <f aca="false">INDEX(Intent_Analysis!$E$5:$E$81,MATCH(B5983,Intent_Analysis!$A$5:$A$81,0))</f>
        <v>2</v>
      </c>
    </row>
    <row r="5984" customFormat="false" ht="15" hidden="false" customHeight="false" outlineLevel="0" collapsed="false">
      <c r="A5984" s="0" t="s">
        <v>6308</v>
      </c>
      <c r="B5984" s="0" t="s">
        <v>59</v>
      </c>
      <c r="C5984" s="0" t="str">
        <f aca="false">INDEX(Intent_Analysis!$B$5:$B$81,MATCH(B5984,Intent_Analysis!$A$5:$A$81,0))</f>
        <v>Card usage &amp; features</v>
      </c>
      <c r="D5984" s="0" t="n">
        <f aca="false">INDEX(Intent_Analysis!$E$5:$E$81,MATCH(B5984,Intent_Analysis!$A$5:$A$81,0))</f>
        <v>2</v>
      </c>
    </row>
    <row r="5985" customFormat="false" ht="15" hidden="false" customHeight="false" outlineLevel="0" collapsed="false">
      <c r="A5985" s="0" t="s">
        <v>6309</v>
      </c>
      <c r="B5985" s="0" t="s">
        <v>59</v>
      </c>
      <c r="C5985" s="0" t="str">
        <f aca="false">INDEX(Intent_Analysis!$B$5:$B$81,MATCH(B5985,Intent_Analysis!$A$5:$A$81,0))</f>
        <v>Card usage &amp; features</v>
      </c>
      <c r="D5985" s="0" t="n">
        <f aca="false">INDEX(Intent_Analysis!$E$5:$E$81,MATCH(B5985,Intent_Analysis!$A$5:$A$81,0))</f>
        <v>2</v>
      </c>
    </row>
    <row r="5986" customFormat="false" ht="15" hidden="false" customHeight="false" outlineLevel="0" collapsed="false">
      <c r="A5986" s="0" t="s">
        <v>6310</v>
      </c>
      <c r="B5986" s="0" t="s">
        <v>59</v>
      </c>
      <c r="C5986" s="0" t="str">
        <f aca="false">INDEX(Intent_Analysis!$B$5:$B$81,MATCH(B5986,Intent_Analysis!$A$5:$A$81,0))</f>
        <v>Card usage &amp; features</v>
      </c>
      <c r="D5986" s="0" t="n">
        <f aca="false">INDEX(Intent_Analysis!$E$5:$E$81,MATCH(B5986,Intent_Analysis!$A$5:$A$81,0))</f>
        <v>2</v>
      </c>
    </row>
    <row r="5987" customFormat="false" ht="15" hidden="false" customHeight="false" outlineLevel="0" collapsed="false">
      <c r="A5987" s="0" t="s">
        <v>6311</v>
      </c>
      <c r="B5987" s="0" t="s">
        <v>59</v>
      </c>
      <c r="C5987" s="0" t="str">
        <f aca="false">INDEX(Intent_Analysis!$B$5:$B$81,MATCH(B5987,Intent_Analysis!$A$5:$A$81,0))</f>
        <v>Card usage &amp; features</v>
      </c>
      <c r="D5987" s="0" t="n">
        <f aca="false">INDEX(Intent_Analysis!$E$5:$E$81,MATCH(B5987,Intent_Analysis!$A$5:$A$81,0))</f>
        <v>2</v>
      </c>
    </row>
    <row r="5988" customFormat="false" ht="15" hidden="false" customHeight="false" outlineLevel="0" collapsed="false">
      <c r="A5988" s="0" t="s">
        <v>6312</v>
      </c>
      <c r="B5988" s="0" t="s">
        <v>59</v>
      </c>
      <c r="C5988" s="0" t="str">
        <f aca="false">INDEX(Intent_Analysis!$B$5:$B$81,MATCH(B5988,Intent_Analysis!$A$5:$A$81,0))</f>
        <v>Card usage &amp; features</v>
      </c>
      <c r="D5988" s="0" t="n">
        <f aca="false">INDEX(Intent_Analysis!$E$5:$E$81,MATCH(B5988,Intent_Analysis!$A$5:$A$81,0))</f>
        <v>2</v>
      </c>
    </row>
    <row r="5989" customFormat="false" ht="15" hidden="false" customHeight="false" outlineLevel="0" collapsed="false">
      <c r="A5989" s="0" t="s">
        <v>6313</v>
      </c>
      <c r="B5989" s="0" t="s">
        <v>59</v>
      </c>
      <c r="C5989" s="0" t="str">
        <f aca="false">INDEX(Intent_Analysis!$B$5:$B$81,MATCH(B5989,Intent_Analysis!$A$5:$A$81,0))</f>
        <v>Card usage &amp; features</v>
      </c>
      <c r="D5989" s="0" t="n">
        <f aca="false">INDEX(Intent_Analysis!$E$5:$E$81,MATCH(B5989,Intent_Analysis!$A$5:$A$81,0))</f>
        <v>2</v>
      </c>
    </row>
    <row r="5990" customFormat="false" ht="15" hidden="false" customHeight="false" outlineLevel="0" collapsed="false">
      <c r="A5990" s="0" t="s">
        <v>6314</v>
      </c>
      <c r="B5990" s="0" t="s">
        <v>59</v>
      </c>
      <c r="C5990" s="0" t="str">
        <f aca="false">INDEX(Intent_Analysis!$B$5:$B$81,MATCH(B5990,Intent_Analysis!$A$5:$A$81,0))</f>
        <v>Card usage &amp; features</v>
      </c>
      <c r="D5990" s="0" t="n">
        <f aca="false">INDEX(Intent_Analysis!$E$5:$E$81,MATCH(B5990,Intent_Analysis!$A$5:$A$81,0))</f>
        <v>2</v>
      </c>
    </row>
    <row r="5991" customFormat="false" ht="15" hidden="false" customHeight="false" outlineLevel="0" collapsed="false">
      <c r="A5991" s="0" t="s">
        <v>6315</v>
      </c>
      <c r="B5991" s="0" t="s">
        <v>116</v>
      </c>
      <c r="C5991" s="0" t="str">
        <f aca="false">INDEX(Intent_Analysis!$B$5:$B$81,MATCH(B5991,Intent_Analysis!$A$5:$A$81,0))</f>
        <v>Transfers</v>
      </c>
      <c r="D5991" s="0" t="n">
        <f aca="false">INDEX(Intent_Analysis!$E$5:$E$81,MATCH(B5991,Intent_Analysis!$A$5:$A$81,0))</f>
        <v>2</v>
      </c>
    </row>
    <row r="5992" customFormat="false" ht="15" hidden="false" customHeight="false" outlineLevel="0" collapsed="false">
      <c r="A5992" s="0" t="s">
        <v>6316</v>
      </c>
      <c r="B5992" s="0" t="s">
        <v>116</v>
      </c>
      <c r="C5992" s="0" t="str">
        <f aca="false">INDEX(Intent_Analysis!$B$5:$B$81,MATCH(B5992,Intent_Analysis!$A$5:$A$81,0))</f>
        <v>Transfers</v>
      </c>
      <c r="D5992" s="0" t="n">
        <f aca="false">INDEX(Intent_Analysis!$E$5:$E$81,MATCH(B5992,Intent_Analysis!$A$5:$A$81,0))</f>
        <v>2</v>
      </c>
    </row>
    <row r="5993" customFormat="false" ht="15" hidden="false" customHeight="false" outlineLevel="0" collapsed="false">
      <c r="A5993" s="0" t="s">
        <v>6317</v>
      </c>
      <c r="B5993" s="0" t="s">
        <v>116</v>
      </c>
      <c r="C5993" s="0" t="str">
        <f aca="false">INDEX(Intent_Analysis!$B$5:$B$81,MATCH(B5993,Intent_Analysis!$A$5:$A$81,0))</f>
        <v>Transfers</v>
      </c>
      <c r="D5993" s="0" t="n">
        <f aca="false">INDEX(Intent_Analysis!$E$5:$E$81,MATCH(B5993,Intent_Analysis!$A$5:$A$81,0))</f>
        <v>2</v>
      </c>
    </row>
    <row r="5994" customFormat="false" ht="15" hidden="false" customHeight="false" outlineLevel="0" collapsed="false">
      <c r="A5994" s="0" t="s">
        <v>6318</v>
      </c>
      <c r="B5994" s="0" t="s">
        <v>116</v>
      </c>
      <c r="C5994" s="0" t="str">
        <f aca="false">INDEX(Intent_Analysis!$B$5:$B$81,MATCH(B5994,Intent_Analysis!$A$5:$A$81,0))</f>
        <v>Transfers</v>
      </c>
      <c r="D5994" s="0" t="n">
        <f aca="false">INDEX(Intent_Analysis!$E$5:$E$81,MATCH(B5994,Intent_Analysis!$A$5:$A$81,0))</f>
        <v>2</v>
      </c>
    </row>
    <row r="5995" customFormat="false" ht="15" hidden="false" customHeight="false" outlineLevel="0" collapsed="false">
      <c r="A5995" s="0" t="s">
        <v>6319</v>
      </c>
      <c r="B5995" s="0" t="s">
        <v>116</v>
      </c>
      <c r="C5995" s="0" t="str">
        <f aca="false">INDEX(Intent_Analysis!$B$5:$B$81,MATCH(B5995,Intent_Analysis!$A$5:$A$81,0))</f>
        <v>Transfers</v>
      </c>
      <c r="D5995" s="0" t="n">
        <f aca="false">INDEX(Intent_Analysis!$E$5:$E$81,MATCH(B5995,Intent_Analysis!$A$5:$A$81,0))</f>
        <v>2</v>
      </c>
    </row>
    <row r="5996" customFormat="false" ht="15" hidden="false" customHeight="false" outlineLevel="0" collapsed="false">
      <c r="A5996" s="0" t="s">
        <v>6320</v>
      </c>
      <c r="B5996" s="0" t="s">
        <v>116</v>
      </c>
      <c r="C5996" s="0" t="str">
        <f aca="false">INDEX(Intent_Analysis!$B$5:$B$81,MATCH(B5996,Intent_Analysis!$A$5:$A$81,0))</f>
        <v>Transfers</v>
      </c>
      <c r="D5996" s="0" t="n">
        <f aca="false">INDEX(Intent_Analysis!$E$5:$E$81,MATCH(B5996,Intent_Analysis!$A$5:$A$81,0))</f>
        <v>2</v>
      </c>
    </row>
    <row r="5997" customFormat="false" ht="15" hidden="false" customHeight="false" outlineLevel="0" collapsed="false">
      <c r="A5997" s="0" t="s">
        <v>6321</v>
      </c>
      <c r="B5997" s="0" t="s">
        <v>116</v>
      </c>
      <c r="C5997" s="0" t="str">
        <f aca="false">INDEX(Intent_Analysis!$B$5:$B$81,MATCH(B5997,Intent_Analysis!$A$5:$A$81,0))</f>
        <v>Transfers</v>
      </c>
      <c r="D5997" s="0" t="n">
        <f aca="false">INDEX(Intent_Analysis!$E$5:$E$81,MATCH(B5997,Intent_Analysis!$A$5:$A$81,0))</f>
        <v>2</v>
      </c>
    </row>
    <row r="5998" customFormat="false" ht="15" hidden="false" customHeight="false" outlineLevel="0" collapsed="false">
      <c r="A5998" s="0" t="s">
        <v>6322</v>
      </c>
      <c r="B5998" s="0" t="s">
        <v>116</v>
      </c>
      <c r="C5998" s="0" t="str">
        <f aca="false">INDEX(Intent_Analysis!$B$5:$B$81,MATCH(B5998,Intent_Analysis!$A$5:$A$81,0))</f>
        <v>Transfers</v>
      </c>
      <c r="D5998" s="0" t="n">
        <f aca="false">INDEX(Intent_Analysis!$E$5:$E$81,MATCH(B5998,Intent_Analysis!$A$5:$A$81,0))</f>
        <v>2</v>
      </c>
    </row>
    <row r="5999" customFormat="false" ht="15" hidden="false" customHeight="false" outlineLevel="0" collapsed="false">
      <c r="A5999" s="0" t="s">
        <v>6323</v>
      </c>
      <c r="B5999" s="0" t="s">
        <v>116</v>
      </c>
      <c r="C5999" s="0" t="str">
        <f aca="false">INDEX(Intent_Analysis!$B$5:$B$81,MATCH(B5999,Intent_Analysis!$A$5:$A$81,0))</f>
        <v>Transfers</v>
      </c>
      <c r="D5999" s="0" t="n">
        <f aca="false">INDEX(Intent_Analysis!$E$5:$E$81,MATCH(B5999,Intent_Analysis!$A$5:$A$81,0))</f>
        <v>2</v>
      </c>
    </row>
    <row r="6000" customFormat="false" ht="15" hidden="false" customHeight="false" outlineLevel="0" collapsed="false">
      <c r="A6000" s="0" t="s">
        <v>6324</v>
      </c>
      <c r="B6000" s="0" t="s">
        <v>116</v>
      </c>
      <c r="C6000" s="0" t="str">
        <f aca="false">INDEX(Intent_Analysis!$B$5:$B$81,MATCH(B6000,Intent_Analysis!$A$5:$A$81,0))</f>
        <v>Transfers</v>
      </c>
      <c r="D6000" s="0" t="n">
        <f aca="false">INDEX(Intent_Analysis!$E$5:$E$81,MATCH(B6000,Intent_Analysis!$A$5:$A$81,0))</f>
        <v>2</v>
      </c>
    </row>
    <row r="6001" customFormat="false" ht="15" hidden="false" customHeight="false" outlineLevel="0" collapsed="false">
      <c r="A6001" s="0" t="s">
        <v>6325</v>
      </c>
      <c r="B6001" s="0" t="s">
        <v>116</v>
      </c>
      <c r="C6001" s="0" t="str">
        <f aca="false">INDEX(Intent_Analysis!$B$5:$B$81,MATCH(B6001,Intent_Analysis!$A$5:$A$81,0))</f>
        <v>Transfers</v>
      </c>
      <c r="D6001" s="0" t="n">
        <f aca="false">INDEX(Intent_Analysis!$E$5:$E$81,MATCH(B6001,Intent_Analysis!$A$5:$A$81,0))</f>
        <v>2</v>
      </c>
    </row>
    <row r="6002" customFormat="false" ht="15" hidden="false" customHeight="false" outlineLevel="0" collapsed="false">
      <c r="A6002" s="0" t="s">
        <v>6326</v>
      </c>
      <c r="B6002" s="0" t="s">
        <v>116</v>
      </c>
      <c r="C6002" s="0" t="str">
        <f aca="false">INDEX(Intent_Analysis!$B$5:$B$81,MATCH(B6002,Intent_Analysis!$A$5:$A$81,0))</f>
        <v>Transfers</v>
      </c>
      <c r="D6002" s="0" t="n">
        <f aca="false">INDEX(Intent_Analysis!$E$5:$E$81,MATCH(B6002,Intent_Analysis!$A$5:$A$81,0))</f>
        <v>2</v>
      </c>
    </row>
    <row r="6003" customFormat="false" ht="15" hidden="false" customHeight="false" outlineLevel="0" collapsed="false">
      <c r="A6003" s="0" t="s">
        <v>6327</v>
      </c>
      <c r="B6003" s="0" t="s">
        <v>116</v>
      </c>
      <c r="C6003" s="0" t="str">
        <f aca="false">INDEX(Intent_Analysis!$B$5:$B$81,MATCH(B6003,Intent_Analysis!$A$5:$A$81,0))</f>
        <v>Transfers</v>
      </c>
      <c r="D6003" s="0" t="n">
        <f aca="false">INDEX(Intent_Analysis!$E$5:$E$81,MATCH(B6003,Intent_Analysis!$A$5:$A$81,0))</f>
        <v>2</v>
      </c>
    </row>
    <row r="6004" customFormat="false" ht="15" hidden="false" customHeight="false" outlineLevel="0" collapsed="false">
      <c r="A6004" s="0" t="s">
        <v>6328</v>
      </c>
      <c r="B6004" s="0" t="s">
        <v>116</v>
      </c>
      <c r="C6004" s="0" t="str">
        <f aca="false">INDEX(Intent_Analysis!$B$5:$B$81,MATCH(B6004,Intent_Analysis!$A$5:$A$81,0))</f>
        <v>Transfers</v>
      </c>
      <c r="D6004" s="0" t="n">
        <f aca="false">INDEX(Intent_Analysis!$E$5:$E$81,MATCH(B6004,Intent_Analysis!$A$5:$A$81,0))</f>
        <v>2</v>
      </c>
    </row>
    <row r="6005" customFormat="false" ht="15" hidden="false" customHeight="false" outlineLevel="0" collapsed="false">
      <c r="A6005" s="0" t="s">
        <v>6329</v>
      </c>
      <c r="B6005" s="0" t="s">
        <v>116</v>
      </c>
      <c r="C6005" s="0" t="str">
        <f aca="false">INDEX(Intent_Analysis!$B$5:$B$81,MATCH(B6005,Intent_Analysis!$A$5:$A$81,0))</f>
        <v>Transfers</v>
      </c>
      <c r="D6005" s="0" t="n">
        <f aca="false">INDEX(Intent_Analysis!$E$5:$E$81,MATCH(B6005,Intent_Analysis!$A$5:$A$81,0))</f>
        <v>2</v>
      </c>
    </row>
    <row r="6006" customFormat="false" ht="15" hidden="false" customHeight="false" outlineLevel="0" collapsed="false">
      <c r="A6006" s="0" t="s">
        <v>6330</v>
      </c>
      <c r="B6006" s="0" t="s">
        <v>116</v>
      </c>
      <c r="C6006" s="0" t="str">
        <f aca="false">INDEX(Intent_Analysis!$B$5:$B$81,MATCH(B6006,Intent_Analysis!$A$5:$A$81,0))</f>
        <v>Transfers</v>
      </c>
      <c r="D6006" s="0" t="n">
        <f aca="false">INDEX(Intent_Analysis!$E$5:$E$81,MATCH(B6006,Intent_Analysis!$A$5:$A$81,0))</f>
        <v>2</v>
      </c>
    </row>
    <row r="6007" customFormat="false" ht="15" hidden="false" customHeight="false" outlineLevel="0" collapsed="false">
      <c r="A6007" s="0" t="s">
        <v>6331</v>
      </c>
      <c r="B6007" s="0" t="s">
        <v>116</v>
      </c>
      <c r="C6007" s="0" t="str">
        <f aca="false">INDEX(Intent_Analysis!$B$5:$B$81,MATCH(B6007,Intent_Analysis!$A$5:$A$81,0))</f>
        <v>Transfers</v>
      </c>
      <c r="D6007" s="0" t="n">
        <f aca="false">INDEX(Intent_Analysis!$E$5:$E$81,MATCH(B6007,Intent_Analysis!$A$5:$A$81,0))</f>
        <v>2</v>
      </c>
    </row>
    <row r="6008" customFormat="false" ht="15" hidden="false" customHeight="false" outlineLevel="0" collapsed="false">
      <c r="A6008" s="0" t="s">
        <v>6332</v>
      </c>
      <c r="B6008" s="0" t="s">
        <v>116</v>
      </c>
      <c r="C6008" s="0" t="str">
        <f aca="false">INDEX(Intent_Analysis!$B$5:$B$81,MATCH(B6008,Intent_Analysis!$A$5:$A$81,0))</f>
        <v>Transfers</v>
      </c>
      <c r="D6008" s="0" t="n">
        <f aca="false">INDEX(Intent_Analysis!$E$5:$E$81,MATCH(B6008,Intent_Analysis!$A$5:$A$81,0))</f>
        <v>2</v>
      </c>
    </row>
    <row r="6009" customFormat="false" ht="15" hidden="false" customHeight="false" outlineLevel="0" collapsed="false">
      <c r="A6009" s="0" t="s">
        <v>6333</v>
      </c>
      <c r="B6009" s="0" t="s">
        <v>116</v>
      </c>
      <c r="C6009" s="0" t="str">
        <f aca="false">INDEX(Intent_Analysis!$B$5:$B$81,MATCH(B6009,Intent_Analysis!$A$5:$A$81,0))</f>
        <v>Transfers</v>
      </c>
      <c r="D6009" s="0" t="n">
        <f aca="false">INDEX(Intent_Analysis!$E$5:$E$81,MATCH(B6009,Intent_Analysis!$A$5:$A$81,0))</f>
        <v>2</v>
      </c>
    </row>
    <row r="6010" customFormat="false" ht="15" hidden="false" customHeight="false" outlineLevel="0" collapsed="false">
      <c r="A6010" s="0" t="s">
        <v>6334</v>
      </c>
      <c r="B6010" s="0" t="s">
        <v>116</v>
      </c>
      <c r="C6010" s="0" t="str">
        <f aca="false">INDEX(Intent_Analysis!$B$5:$B$81,MATCH(B6010,Intent_Analysis!$A$5:$A$81,0))</f>
        <v>Transfers</v>
      </c>
      <c r="D6010" s="0" t="n">
        <f aca="false">INDEX(Intent_Analysis!$E$5:$E$81,MATCH(B6010,Intent_Analysis!$A$5:$A$81,0))</f>
        <v>2</v>
      </c>
    </row>
    <row r="6011" customFormat="false" ht="15" hidden="false" customHeight="false" outlineLevel="0" collapsed="false">
      <c r="A6011" s="0" t="s">
        <v>6335</v>
      </c>
      <c r="B6011" s="0" t="s">
        <v>116</v>
      </c>
      <c r="C6011" s="0" t="str">
        <f aca="false">INDEX(Intent_Analysis!$B$5:$B$81,MATCH(B6011,Intent_Analysis!$A$5:$A$81,0))</f>
        <v>Transfers</v>
      </c>
      <c r="D6011" s="0" t="n">
        <f aca="false">INDEX(Intent_Analysis!$E$5:$E$81,MATCH(B6011,Intent_Analysis!$A$5:$A$81,0))</f>
        <v>2</v>
      </c>
    </row>
    <row r="6012" customFormat="false" ht="15" hidden="false" customHeight="false" outlineLevel="0" collapsed="false">
      <c r="A6012" s="0" t="s">
        <v>6336</v>
      </c>
      <c r="B6012" s="0" t="s">
        <v>116</v>
      </c>
      <c r="C6012" s="0" t="str">
        <f aca="false">INDEX(Intent_Analysis!$B$5:$B$81,MATCH(B6012,Intent_Analysis!$A$5:$A$81,0))</f>
        <v>Transfers</v>
      </c>
      <c r="D6012" s="0" t="n">
        <f aca="false">INDEX(Intent_Analysis!$E$5:$E$81,MATCH(B6012,Intent_Analysis!$A$5:$A$81,0))</f>
        <v>2</v>
      </c>
    </row>
    <row r="6013" customFormat="false" ht="15" hidden="false" customHeight="false" outlineLevel="0" collapsed="false">
      <c r="A6013" s="0" t="s">
        <v>6337</v>
      </c>
      <c r="B6013" s="0" t="s">
        <v>116</v>
      </c>
      <c r="C6013" s="0" t="str">
        <f aca="false">INDEX(Intent_Analysis!$B$5:$B$81,MATCH(B6013,Intent_Analysis!$A$5:$A$81,0))</f>
        <v>Transfers</v>
      </c>
      <c r="D6013" s="0" t="n">
        <f aca="false">INDEX(Intent_Analysis!$E$5:$E$81,MATCH(B6013,Intent_Analysis!$A$5:$A$81,0))</f>
        <v>2</v>
      </c>
    </row>
    <row r="6014" customFormat="false" ht="15" hidden="false" customHeight="false" outlineLevel="0" collapsed="false">
      <c r="A6014" s="0" t="s">
        <v>6338</v>
      </c>
      <c r="B6014" s="0" t="s">
        <v>116</v>
      </c>
      <c r="C6014" s="0" t="str">
        <f aca="false">INDEX(Intent_Analysis!$B$5:$B$81,MATCH(B6014,Intent_Analysis!$A$5:$A$81,0))</f>
        <v>Transfers</v>
      </c>
      <c r="D6014" s="0" t="n">
        <f aca="false">INDEX(Intent_Analysis!$E$5:$E$81,MATCH(B6014,Intent_Analysis!$A$5:$A$81,0))</f>
        <v>2</v>
      </c>
    </row>
    <row r="6015" customFormat="false" ht="15" hidden="false" customHeight="false" outlineLevel="0" collapsed="false">
      <c r="A6015" s="0" t="s">
        <v>6339</v>
      </c>
      <c r="B6015" s="0" t="s">
        <v>116</v>
      </c>
      <c r="C6015" s="0" t="str">
        <f aca="false">INDEX(Intent_Analysis!$B$5:$B$81,MATCH(B6015,Intent_Analysis!$A$5:$A$81,0))</f>
        <v>Transfers</v>
      </c>
      <c r="D6015" s="0" t="n">
        <f aca="false">INDEX(Intent_Analysis!$E$5:$E$81,MATCH(B6015,Intent_Analysis!$A$5:$A$81,0))</f>
        <v>2</v>
      </c>
    </row>
    <row r="6016" customFormat="false" ht="15" hidden="false" customHeight="false" outlineLevel="0" collapsed="false">
      <c r="A6016" s="0" t="s">
        <v>6340</v>
      </c>
      <c r="B6016" s="0" t="s">
        <v>116</v>
      </c>
      <c r="C6016" s="0" t="str">
        <f aca="false">INDEX(Intent_Analysis!$B$5:$B$81,MATCH(B6016,Intent_Analysis!$A$5:$A$81,0))</f>
        <v>Transfers</v>
      </c>
      <c r="D6016" s="0" t="n">
        <f aca="false">INDEX(Intent_Analysis!$E$5:$E$81,MATCH(B6016,Intent_Analysis!$A$5:$A$81,0))</f>
        <v>2</v>
      </c>
    </row>
    <row r="6017" customFormat="false" ht="15" hidden="false" customHeight="false" outlineLevel="0" collapsed="false">
      <c r="A6017" s="0" t="s">
        <v>6341</v>
      </c>
      <c r="B6017" s="0" t="s">
        <v>116</v>
      </c>
      <c r="C6017" s="0" t="str">
        <f aca="false">INDEX(Intent_Analysis!$B$5:$B$81,MATCH(B6017,Intent_Analysis!$A$5:$A$81,0))</f>
        <v>Transfers</v>
      </c>
      <c r="D6017" s="0" t="n">
        <f aca="false">INDEX(Intent_Analysis!$E$5:$E$81,MATCH(B6017,Intent_Analysis!$A$5:$A$81,0))</f>
        <v>2</v>
      </c>
    </row>
    <row r="6018" customFormat="false" ht="15" hidden="false" customHeight="false" outlineLevel="0" collapsed="false">
      <c r="A6018" s="0" t="s">
        <v>6342</v>
      </c>
      <c r="B6018" s="0" t="s">
        <v>116</v>
      </c>
      <c r="C6018" s="0" t="str">
        <f aca="false">INDEX(Intent_Analysis!$B$5:$B$81,MATCH(B6018,Intent_Analysis!$A$5:$A$81,0))</f>
        <v>Transfers</v>
      </c>
      <c r="D6018" s="0" t="n">
        <f aca="false">INDEX(Intent_Analysis!$E$5:$E$81,MATCH(B6018,Intent_Analysis!$A$5:$A$81,0))</f>
        <v>2</v>
      </c>
    </row>
    <row r="6019" customFormat="false" ht="15" hidden="false" customHeight="false" outlineLevel="0" collapsed="false">
      <c r="A6019" s="0" t="s">
        <v>6343</v>
      </c>
      <c r="B6019" s="0" t="s">
        <v>116</v>
      </c>
      <c r="C6019" s="0" t="str">
        <f aca="false">INDEX(Intent_Analysis!$B$5:$B$81,MATCH(B6019,Intent_Analysis!$A$5:$A$81,0))</f>
        <v>Transfers</v>
      </c>
      <c r="D6019" s="0" t="n">
        <f aca="false">INDEX(Intent_Analysis!$E$5:$E$81,MATCH(B6019,Intent_Analysis!$A$5:$A$81,0))</f>
        <v>2</v>
      </c>
    </row>
    <row r="6020" customFormat="false" ht="15" hidden="false" customHeight="false" outlineLevel="0" collapsed="false">
      <c r="A6020" s="0" t="s">
        <v>6344</v>
      </c>
      <c r="B6020" s="0" t="s">
        <v>116</v>
      </c>
      <c r="C6020" s="0" t="str">
        <f aca="false">INDEX(Intent_Analysis!$B$5:$B$81,MATCH(B6020,Intent_Analysis!$A$5:$A$81,0))</f>
        <v>Transfers</v>
      </c>
      <c r="D6020" s="0" t="n">
        <f aca="false">INDEX(Intent_Analysis!$E$5:$E$81,MATCH(B6020,Intent_Analysis!$A$5:$A$81,0))</f>
        <v>2</v>
      </c>
    </row>
    <row r="6021" customFormat="false" ht="15" hidden="false" customHeight="false" outlineLevel="0" collapsed="false">
      <c r="A6021" s="0" t="s">
        <v>6345</v>
      </c>
      <c r="B6021" s="0" t="s">
        <v>116</v>
      </c>
      <c r="C6021" s="0" t="str">
        <f aca="false">INDEX(Intent_Analysis!$B$5:$B$81,MATCH(B6021,Intent_Analysis!$A$5:$A$81,0))</f>
        <v>Transfers</v>
      </c>
      <c r="D6021" s="0" t="n">
        <f aca="false">INDEX(Intent_Analysis!$E$5:$E$81,MATCH(B6021,Intent_Analysis!$A$5:$A$81,0))</f>
        <v>2</v>
      </c>
    </row>
    <row r="6022" customFormat="false" ht="15" hidden="false" customHeight="false" outlineLevel="0" collapsed="false">
      <c r="A6022" s="0" t="s">
        <v>6346</v>
      </c>
      <c r="B6022" s="0" t="s">
        <v>116</v>
      </c>
      <c r="C6022" s="0" t="str">
        <f aca="false">INDEX(Intent_Analysis!$B$5:$B$81,MATCH(B6022,Intent_Analysis!$A$5:$A$81,0))</f>
        <v>Transfers</v>
      </c>
      <c r="D6022" s="0" t="n">
        <f aca="false">INDEX(Intent_Analysis!$E$5:$E$81,MATCH(B6022,Intent_Analysis!$A$5:$A$81,0))</f>
        <v>2</v>
      </c>
    </row>
    <row r="6023" customFormat="false" ht="15" hidden="false" customHeight="false" outlineLevel="0" collapsed="false">
      <c r="A6023" s="0" t="s">
        <v>6347</v>
      </c>
      <c r="B6023" s="0" t="s">
        <v>116</v>
      </c>
      <c r="C6023" s="0" t="str">
        <f aca="false">INDEX(Intent_Analysis!$B$5:$B$81,MATCH(B6023,Intent_Analysis!$A$5:$A$81,0))</f>
        <v>Transfers</v>
      </c>
      <c r="D6023" s="0" t="n">
        <f aca="false">INDEX(Intent_Analysis!$E$5:$E$81,MATCH(B6023,Intent_Analysis!$A$5:$A$81,0))</f>
        <v>2</v>
      </c>
    </row>
    <row r="6024" customFormat="false" ht="15" hidden="false" customHeight="false" outlineLevel="0" collapsed="false">
      <c r="A6024" s="0" t="s">
        <v>6348</v>
      </c>
      <c r="B6024" s="0" t="s">
        <v>116</v>
      </c>
      <c r="C6024" s="0" t="str">
        <f aca="false">INDEX(Intent_Analysis!$B$5:$B$81,MATCH(B6024,Intent_Analysis!$A$5:$A$81,0))</f>
        <v>Transfers</v>
      </c>
      <c r="D6024" s="0" t="n">
        <f aca="false">INDEX(Intent_Analysis!$E$5:$E$81,MATCH(B6024,Intent_Analysis!$A$5:$A$81,0))</f>
        <v>2</v>
      </c>
    </row>
    <row r="6025" customFormat="false" ht="15" hidden="false" customHeight="false" outlineLevel="0" collapsed="false">
      <c r="A6025" s="0" t="s">
        <v>6349</v>
      </c>
      <c r="B6025" s="0" t="s">
        <v>116</v>
      </c>
      <c r="C6025" s="0" t="str">
        <f aca="false">INDEX(Intent_Analysis!$B$5:$B$81,MATCH(B6025,Intent_Analysis!$A$5:$A$81,0))</f>
        <v>Transfers</v>
      </c>
      <c r="D6025" s="0" t="n">
        <f aca="false">INDEX(Intent_Analysis!$E$5:$E$81,MATCH(B6025,Intent_Analysis!$A$5:$A$81,0))</f>
        <v>2</v>
      </c>
    </row>
    <row r="6026" customFormat="false" ht="15" hidden="false" customHeight="false" outlineLevel="0" collapsed="false">
      <c r="A6026" s="0" t="s">
        <v>6350</v>
      </c>
      <c r="B6026" s="0" t="s">
        <v>116</v>
      </c>
      <c r="C6026" s="0" t="str">
        <f aca="false">INDEX(Intent_Analysis!$B$5:$B$81,MATCH(B6026,Intent_Analysis!$A$5:$A$81,0))</f>
        <v>Transfers</v>
      </c>
      <c r="D6026" s="0" t="n">
        <f aca="false">INDEX(Intent_Analysis!$E$5:$E$81,MATCH(B6026,Intent_Analysis!$A$5:$A$81,0))</f>
        <v>2</v>
      </c>
    </row>
    <row r="6027" customFormat="false" ht="15" hidden="false" customHeight="false" outlineLevel="0" collapsed="false">
      <c r="A6027" s="0" t="s">
        <v>6351</v>
      </c>
      <c r="B6027" s="0" t="s">
        <v>116</v>
      </c>
      <c r="C6027" s="0" t="str">
        <f aca="false">INDEX(Intent_Analysis!$B$5:$B$81,MATCH(B6027,Intent_Analysis!$A$5:$A$81,0))</f>
        <v>Transfers</v>
      </c>
      <c r="D6027" s="0" t="n">
        <f aca="false">INDEX(Intent_Analysis!$E$5:$E$81,MATCH(B6027,Intent_Analysis!$A$5:$A$81,0))</f>
        <v>2</v>
      </c>
    </row>
    <row r="6028" customFormat="false" ht="15" hidden="false" customHeight="false" outlineLevel="0" collapsed="false">
      <c r="A6028" s="0" t="s">
        <v>6352</v>
      </c>
      <c r="B6028" s="0" t="s">
        <v>116</v>
      </c>
      <c r="C6028" s="0" t="str">
        <f aca="false">INDEX(Intent_Analysis!$B$5:$B$81,MATCH(B6028,Intent_Analysis!$A$5:$A$81,0))</f>
        <v>Transfers</v>
      </c>
      <c r="D6028" s="0" t="n">
        <f aca="false">INDEX(Intent_Analysis!$E$5:$E$81,MATCH(B6028,Intent_Analysis!$A$5:$A$81,0))</f>
        <v>2</v>
      </c>
    </row>
    <row r="6029" customFormat="false" ht="15" hidden="false" customHeight="false" outlineLevel="0" collapsed="false">
      <c r="A6029" s="0" t="s">
        <v>6353</v>
      </c>
      <c r="B6029" s="0" t="s">
        <v>116</v>
      </c>
      <c r="C6029" s="0" t="str">
        <f aca="false">INDEX(Intent_Analysis!$B$5:$B$81,MATCH(B6029,Intent_Analysis!$A$5:$A$81,0))</f>
        <v>Transfers</v>
      </c>
      <c r="D6029" s="0" t="n">
        <f aca="false">INDEX(Intent_Analysis!$E$5:$E$81,MATCH(B6029,Intent_Analysis!$A$5:$A$81,0))</f>
        <v>2</v>
      </c>
    </row>
    <row r="6030" customFormat="false" ht="15" hidden="false" customHeight="false" outlineLevel="0" collapsed="false">
      <c r="A6030" s="0" t="s">
        <v>6354</v>
      </c>
      <c r="B6030" s="0" t="s">
        <v>116</v>
      </c>
      <c r="C6030" s="0" t="str">
        <f aca="false">INDEX(Intent_Analysis!$B$5:$B$81,MATCH(B6030,Intent_Analysis!$A$5:$A$81,0))</f>
        <v>Transfers</v>
      </c>
      <c r="D6030" s="0" t="n">
        <f aca="false">INDEX(Intent_Analysis!$E$5:$E$81,MATCH(B6030,Intent_Analysis!$A$5:$A$81,0))</f>
        <v>2</v>
      </c>
    </row>
    <row r="6031" customFormat="false" ht="15" hidden="false" customHeight="false" outlineLevel="0" collapsed="false">
      <c r="A6031" s="0" t="s">
        <v>6355</v>
      </c>
      <c r="B6031" s="0" t="s">
        <v>116</v>
      </c>
      <c r="C6031" s="0" t="str">
        <f aca="false">INDEX(Intent_Analysis!$B$5:$B$81,MATCH(B6031,Intent_Analysis!$A$5:$A$81,0))</f>
        <v>Transfers</v>
      </c>
      <c r="D6031" s="0" t="n">
        <f aca="false">INDEX(Intent_Analysis!$E$5:$E$81,MATCH(B6031,Intent_Analysis!$A$5:$A$81,0))</f>
        <v>2</v>
      </c>
    </row>
    <row r="6032" customFormat="false" ht="15" hidden="false" customHeight="false" outlineLevel="0" collapsed="false">
      <c r="A6032" s="0" t="s">
        <v>6356</v>
      </c>
      <c r="B6032" s="0" t="s">
        <v>116</v>
      </c>
      <c r="C6032" s="0" t="str">
        <f aca="false">INDEX(Intent_Analysis!$B$5:$B$81,MATCH(B6032,Intent_Analysis!$A$5:$A$81,0))</f>
        <v>Transfers</v>
      </c>
      <c r="D6032" s="0" t="n">
        <f aca="false">INDEX(Intent_Analysis!$E$5:$E$81,MATCH(B6032,Intent_Analysis!$A$5:$A$81,0))</f>
        <v>2</v>
      </c>
    </row>
    <row r="6033" customFormat="false" ht="15" hidden="false" customHeight="false" outlineLevel="0" collapsed="false">
      <c r="A6033" s="0" t="s">
        <v>6357</v>
      </c>
      <c r="B6033" s="0" t="s">
        <v>116</v>
      </c>
      <c r="C6033" s="0" t="str">
        <f aca="false">INDEX(Intent_Analysis!$B$5:$B$81,MATCH(B6033,Intent_Analysis!$A$5:$A$81,0))</f>
        <v>Transfers</v>
      </c>
      <c r="D6033" s="0" t="n">
        <f aca="false">INDEX(Intent_Analysis!$E$5:$E$81,MATCH(B6033,Intent_Analysis!$A$5:$A$81,0))</f>
        <v>2</v>
      </c>
    </row>
    <row r="6034" customFormat="false" ht="15" hidden="false" customHeight="false" outlineLevel="0" collapsed="false">
      <c r="A6034" s="0" t="s">
        <v>6358</v>
      </c>
      <c r="B6034" s="0" t="s">
        <v>116</v>
      </c>
      <c r="C6034" s="0" t="str">
        <f aca="false">INDEX(Intent_Analysis!$B$5:$B$81,MATCH(B6034,Intent_Analysis!$A$5:$A$81,0))</f>
        <v>Transfers</v>
      </c>
      <c r="D6034" s="0" t="n">
        <f aca="false">INDEX(Intent_Analysis!$E$5:$E$81,MATCH(B6034,Intent_Analysis!$A$5:$A$81,0))</f>
        <v>2</v>
      </c>
    </row>
    <row r="6035" customFormat="false" ht="15" hidden="false" customHeight="false" outlineLevel="0" collapsed="false">
      <c r="A6035" s="0" t="s">
        <v>6359</v>
      </c>
      <c r="B6035" s="0" t="s">
        <v>116</v>
      </c>
      <c r="C6035" s="0" t="str">
        <f aca="false">INDEX(Intent_Analysis!$B$5:$B$81,MATCH(B6035,Intent_Analysis!$A$5:$A$81,0))</f>
        <v>Transfers</v>
      </c>
      <c r="D6035" s="0" t="n">
        <f aca="false">INDEX(Intent_Analysis!$E$5:$E$81,MATCH(B6035,Intent_Analysis!$A$5:$A$81,0))</f>
        <v>2</v>
      </c>
    </row>
    <row r="6036" customFormat="false" ht="15" hidden="false" customHeight="false" outlineLevel="0" collapsed="false">
      <c r="A6036" s="0" t="s">
        <v>6360</v>
      </c>
      <c r="B6036" s="0" t="s">
        <v>116</v>
      </c>
      <c r="C6036" s="0" t="str">
        <f aca="false">INDEX(Intent_Analysis!$B$5:$B$81,MATCH(B6036,Intent_Analysis!$A$5:$A$81,0))</f>
        <v>Transfers</v>
      </c>
      <c r="D6036" s="0" t="n">
        <f aca="false">INDEX(Intent_Analysis!$E$5:$E$81,MATCH(B6036,Intent_Analysis!$A$5:$A$81,0))</f>
        <v>2</v>
      </c>
    </row>
    <row r="6037" customFormat="false" ht="15" hidden="false" customHeight="false" outlineLevel="0" collapsed="false">
      <c r="A6037" s="0" t="s">
        <v>6361</v>
      </c>
      <c r="B6037" s="0" t="s">
        <v>116</v>
      </c>
      <c r="C6037" s="0" t="str">
        <f aca="false">INDEX(Intent_Analysis!$B$5:$B$81,MATCH(B6037,Intent_Analysis!$A$5:$A$81,0))</f>
        <v>Transfers</v>
      </c>
      <c r="D6037" s="0" t="n">
        <f aca="false">INDEX(Intent_Analysis!$E$5:$E$81,MATCH(B6037,Intent_Analysis!$A$5:$A$81,0))</f>
        <v>2</v>
      </c>
    </row>
    <row r="6038" customFormat="false" ht="15" hidden="false" customHeight="false" outlineLevel="0" collapsed="false">
      <c r="A6038" s="0" t="s">
        <v>6362</v>
      </c>
      <c r="B6038" s="0" t="s">
        <v>116</v>
      </c>
      <c r="C6038" s="0" t="str">
        <f aca="false">INDEX(Intent_Analysis!$B$5:$B$81,MATCH(B6038,Intent_Analysis!$A$5:$A$81,0))</f>
        <v>Transfers</v>
      </c>
      <c r="D6038" s="0" t="n">
        <f aca="false">INDEX(Intent_Analysis!$E$5:$E$81,MATCH(B6038,Intent_Analysis!$A$5:$A$81,0))</f>
        <v>2</v>
      </c>
    </row>
    <row r="6039" customFormat="false" ht="15" hidden="false" customHeight="false" outlineLevel="0" collapsed="false">
      <c r="A6039" s="0" t="s">
        <v>6363</v>
      </c>
      <c r="B6039" s="0" t="s">
        <v>116</v>
      </c>
      <c r="C6039" s="0" t="str">
        <f aca="false">INDEX(Intent_Analysis!$B$5:$B$81,MATCH(B6039,Intent_Analysis!$A$5:$A$81,0))</f>
        <v>Transfers</v>
      </c>
      <c r="D6039" s="0" t="n">
        <f aca="false">INDEX(Intent_Analysis!$E$5:$E$81,MATCH(B6039,Intent_Analysis!$A$5:$A$81,0))</f>
        <v>2</v>
      </c>
    </row>
    <row r="6040" customFormat="false" ht="15" hidden="false" customHeight="false" outlineLevel="0" collapsed="false">
      <c r="A6040" s="0" t="s">
        <v>6364</v>
      </c>
      <c r="B6040" s="0" t="s">
        <v>116</v>
      </c>
      <c r="C6040" s="0" t="str">
        <f aca="false">INDEX(Intent_Analysis!$B$5:$B$81,MATCH(B6040,Intent_Analysis!$A$5:$A$81,0))</f>
        <v>Transfers</v>
      </c>
      <c r="D6040" s="0" t="n">
        <f aca="false">INDEX(Intent_Analysis!$E$5:$E$81,MATCH(B6040,Intent_Analysis!$A$5:$A$81,0))</f>
        <v>2</v>
      </c>
    </row>
    <row r="6041" customFormat="false" ht="15" hidden="false" customHeight="false" outlineLevel="0" collapsed="false">
      <c r="A6041" s="0" t="s">
        <v>6365</v>
      </c>
      <c r="B6041" s="0" t="s">
        <v>116</v>
      </c>
      <c r="C6041" s="0" t="str">
        <f aca="false">INDEX(Intent_Analysis!$B$5:$B$81,MATCH(B6041,Intent_Analysis!$A$5:$A$81,0))</f>
        <v>Transfers</v>
      </c>
      <c r="D6041" s="0" t="n">
        <f aca="false">INDEX(Intent_Analysis!$E$5:$E$81,MATCH(B6041,Intent_Analysis!$A$5:$A$81,0))</f>
        <v>2</v>
      </c>
    </row>
    <row r="6042" customFormat="false" ht="15" hidden="false" customHeight="false" outlineLevel="0" collapsed="false">
      <c r="A6042" s="0" t="s">
        <v>6366</v>
      </c>
      <c r="B6042" s="0" t="s">
        <v>116</v>
      </c>
      <c r="C6042" s="0" t="str">
        <f aca="false">INDEX(Intent_Analysis!$B$5:$B$81,MATCH(B6042,Intent_Analysis!$A$5:$A$81,0))</f>
        <v>Transfers</v>
      </c>
      <c r="D6042" s="0" t="n">
        <f aca="false">INDEX(Intent_Analysis!$E$5:$E$81,MATCH(B6042,Intent_Analysis!$A$5:$A$81,0))</f>
        <v>2</v>
      </c>
    </row>
    <row r="6043" customFormat="false" ht="15" hidden="false" customHeight="false" outlineLevel="0" collapsed="false">
      <c r="A6043" s="0" t="s">
        <v>6367</v>
      </c>
      <c r="B6043" s="0" t="s">
        <v>116</v>
      </c>
      <c r="C6043" s="0" t="str">
        <f aca="false">INDEX(Intent_Analysis!$B$5:$B$81,MATCH(B6043,Intent_Analysis!$A$5:$A$81,0))</f>
        <v>Transfers</v>
      </c>
      <c r="D6043" s="0" t="n">
        <f aca="false">INDEX(Intent_Analysis!$E$5:$E$81,MATCH(B6043,Intent_Analysis!$A$5:$A$81,0))</f>
        <v>2</v>
      </c>
    </row>
    <row r="6044" customFormat="false" ht="15" hidden="false" customHeight="false" outlineLevel="0" collapsed="false">
      <c r="A6044" s="0" t="s">
        <v>6368</v>
      </c>
      <c r="B6044" s="0" t="s">
        <v>116</v>
      </c>
      <c r="C6044" s="0" t="str">
        <f aca="false">INDEX(Intent_Analysis!$B$5:$B$81,MATCH(B6044,Intent_Analysis!$A$5:$A$81,0))</f>
        <v>Transfers</v>
      </c>
      <c r="D6044" s="0" t="n">
        <f aca="false">INDEX(Intent_Analysis!$E$5:$E$81,MATCH(B6044,Intent_Analysis!$A$5:$A$81,0))</f>
        <v>2</v>
      </c>
    </row>
    <row r="6045" customFormat="false" ht="15" hidden="false" customHeight="false" outlineLevel="0" collapsed="false">
      <c r="A6045" s="0" t="s">
        <v>6369</v>
      </c>
      <c r="B6045" s="0" t="s">
        <v>116</v>
      </c>
      <c r="C6045" s="0" t="str">
        <f aca="false">INDEX(Intent_Analysis!$B$5:$B$81,MATCH(B6045,Intent_Analysis!$A$5:$A$81,0))</f>
        <v>Transfers</v>
      </c>
      <c r="D6045" s="0" t="n">
        <f aca="false">INDEX(Intent_Analysis!$E$5:$E$81,MATCH(B6045,Intent_Analysis!$A$5:$A$81,0))</f>
        <v>2</v>
      </c>
    </row>
    <row r="6046" customFormat="false" ht="15" hidden="false" customHeight="false" outlineLevel="0" collapsed="false">
      <c r="A6046" s="0" t="s">
        <v>6370</v>
      </c>
      <c r="B6046" s="0" t="s">
        <v>116</v>
      </c>
      <c r="C6046" s="0" t="str">
        <f aca="false">INDEX(Intent_Analysis!$B$5:$B$81,MATCH(B6046,Intent_Analysis!$A$5:$A$81,0))</f>
        <v>Transfers</v>
      </c>
      <c r="D6046" s="0" t="n">
        <f aca="false">INDEX(Intent_Analysis!$E$5:$E$81,MATCH(B6046,Intent_Analysis!$A$5:$A$81,0))</f>
        <v>2</v>
      </c>
    </row>
    <row r="6047" customFormat="false" ht="15" hidden="false" customHeight="false" outlineLevel="0" collapsed="false">
      <c r="A6047" s="0" t="s">
        <v>6371</v>
      </c>
      <c r="B6047" s="0" t="s">
        <v>116</v>
      </c>
      <c r="C6047" s="0" t="str">
        <f aca="false">INDEX(Intent_Analysis!$B$5:$B$81,MATCH(B6047,Intent_Analysis!$A$5:$A$81,0))</f>
        <v>Transfers</v>
      </c>
      <c r="D6047" s="0" t="n">
        <f aca="false">INDEX(Intent_Analysis!$E$5:$E$81,MATCH(B6047,Intent_Analysis!$A$5:$A$81,0))</f>
        <v>2</v>
      </c>
    </row>
    <row r="6048" customFormat="false" ht="15" hidden="false" customHeight="false" outlineLevel="0" collapsed="false">
      <c r="A6048" s="0" t="s">
        <v>6372</v>
      </c>
      <c r="B6048" s="0" t="s">
        <v>116</v>
      </c>
      <c r="C6048" s="0" t="str">
        <f aca="false">INDEX(Intent_Analysis!$B$5:$B$81,MATCH(B6048,Intent_Analysis!$A$5:$A$81,0))</f>
        <v>Transfers</v>
      </c>
      <c r="D6048" s="0" t="n">
        <f aca="false">INDEX(Intent_Analysis!$E$5:$E$81,MATCH(B6048,Intent_Analysis!$A$5:$A$81,0))</f>
        <v>2</v>
      </c>
    </row>
    <row r="6049" customFormat="false" ht="15" hidden="false" customHeight="false" outlineLevel="0" collapsed="false">
      <c r="A6049" s="0" t="s">
        <v>6373</v>
      </c>
      <c r="B6049" s="0" t="s">
        <v>116</v>
      </c>
      <c r="C6049" s="0" t="str">
        <f aca="false">INDEX(Intent_Analysis!$B$5:$B$81,MATCH(B6049,Intent_Analysis!$A$5:$A$81,0))</f>
        <v>Transfers</v>
      </c>
      <c r="D6049" s="0" t="n">
        <f aca="false">INDEX(Intent_Analysis!$E$5:$E$81,MATCH(B6049,Intent_Analysis!$A$5:$A$81,0))</f>
        <v>2</v>
      </c>
    </row>
    <row r="6050" customFormat="false" ht="15" hidden="false" customHeight="false" outlineLevel="0" collapsed="false">
      <c r="A6050" s="0" t="s">
        <v>6374</v>
      </c>
      <c r="B6050" s="0" t="s">
        <v>116</v>
      </c>
      <c r="C6050" s="0" t="str">
        <f aca="false">INDEX(Intent_Analysis!$B$5:$B$81,MATCH(B6050,Intent_Analysis!$A$5:$A$81,0))</f>
        <v>Transfers</v>
      </c>
      <c r="D6050" s="0" t="n">
        <f aca="false">INDEX(Intent_Analysis!$E$5:$E$81,MATCH(B6050,Intent_Analysis!$A$5:$A$81,0))</f>
        <v>2</v>
      </c>
    </row>
    <row r="6051" customFormat="false" ht="15" hidden="false" customHeight="false" outlineLevel="0" collapsed="false">
      <c r="A6051" s="0" t="s">
        <v>6375</v>
      </c>
      <c r="B6051" s="0" t="s">
        <v>116</v>
      </c>
      <c r="C6051" s="0" t="str">
        <f aca="false">INDEX(Intent_Analysis!$B$5:$B$81,MATCH(B6051,Intent_Analysis!$A$5:$A$81,0))</f>
        <v>Transfers</v>
      </c>
      <c r="D6051" s="0" t="n">
        <f aca="false">INDEX(Intent_Analysis!$E$5:$E$81,MATCH(B6051,Intent_Analysis!$A$5:$A$81,0))</f>
        <v>2</v>
      </c>
    </row>
    <row r="6052" customFormat="false" ht="15" hidden="false" customHeight="false" outlineLevel="0" collapsed="false">
      <c r="A6052" s="0" t="s">
        <v>6376</v>
      </c>
      <c r="B6052" s="0" t="s">
        <v>116</v>
      </c>
      <c r="C6052" s="0" t="str">
        <f aca="false">INDEX(Intent_Analysis!$B$5:$B$81,MATCH(B6052,Intent_Analysis!$A$5:$A$81,0))</f>
        <v>Transfers</v>
      </c>
      <c r="D6052" s="0" t="n">
        <f aca="false">INDEX(Intent_Analysis!$E$5:$E$81,MATCH(B6052,Intent_Analysis!$A$5:$A$81,0))</f>
        <v>2</v>
      </c>
    </row>
    <row r="6053" customFormat="false" ht="15" hidden="false" customHeight="false" outlineLevel="0" collapsed="false">
      <c r="A6053" s="0" t="s">
        <v>6377</v>
      </c>
      <c r="B6053" s="0" t="s">
        <v>116</v>
      </c>
      <c r="C6053" s="0" t="str">
        <f aca="false">INDEX(Intent_Analysis!$B$5:$B$81,MATCH(B6053,Intent_Analysis!$A$5:$A$81,0))</f>
        <v>Transfers</v>
      </c>
      <c r="D6053" s="0" t="n">
        <f aca="false">INDEX(Intent_Analysis!$E$5:$E$81,MATCH(B6053,Intent_Analysis!$A$5:$A$81,0))</f>
        <v>2</v>
      </c>
    </row>
    <row r="6054" customFormat="false" ht="15" hidden="false" customHeight="false" outlineLevel="0" collapsed="false">
      <c r="A6054" s="0" t="s">
        <v>6378</v>
      </c>
      <c r="B6054" s="0" t="s">
        <v>116</v>
      </c>
      <c r="C6054" s="0" t="str">
        <f aca="false">INDEX(Intent_Analysis!$B$5:$B$81,MATCH(B6054,Intent_Analysis!$A$5:$A$81,0))</f>
        <v>Transfers</v>
      </c>
      <c r="D6054" s="0" t="n">
        <f aca="false">INDEX(Intent_Analysis!$E$5:$E$81,MATCH(B6054,Intent_Analysis!$A$5:$A$81,0))</f>
        <v>2</v>
      </c>
    </row>
    <row r="6055" customFormat="false" ht="15" hidden="false" customHeight="false" outlineLevel="0" collapsed="false">
      <c r="A6055" s="0" t="s">
        <v>6379</v>
      </c>
      <c r="B6055" s="0" t="s">
        <v>116</v>
      </c>
      <c r="C6055" s="0" t="str">
        <f aca="false">INDEX(Intent_Analysis!$B$5:$B$81,MATCH(B6055,Intent_Analysis!$A$5:$A$81,0))</f>
        <v>Transfers</v>
      </c>
      <c r="D6055" s="0" t="n">
        <f aca="false">INDEX(Intent_Analysis!$E$5:$E$81,MATCH(B6055,Intent_Analysis!$A$5:$A$81,0))</f>
        <v>2</v>
      </c>
    </row>
    <row r="6056" customFormat="false" ht="15" hidden="false" customHeight="false" outlineLevel="0" collapsed="false">
      <c r="A6056" s="0" t="s">
        <v>6380</v>
      </c>
      <c r="B6056" s="0" t="s">
        <v>116</v>
      </c>
      <c r="C6056" s="0" t="str">
        <f aca="false">INDEX(Intent_Analysis!$B$5:$B$81,MATCH(B6056,Intent_Analysis!$A$5:$A$81,0))</f>
        <v>Transfers</v>
      </c>
      <c r="D6056" s="0" t="n">
        <f aca="false">INDEX(Intent_Analysis!$E$5:$E$81,MATCH(B6056,Intent_Analysis!$A$5:$A$81,0))</f>
        <v>2</v>
      </c>
    </row>
    <row r="6057" customFormat="false" ht="15" hidden="false" customHeight="false" outlineLevel="0" collapsed="false">
      <c r="A6057" s="0" t="s">
        <v>6381</v>
      </c>
      <c r="B6057" s="0" t="s">
        <v>116</v>
      </c>
      <c r="C6057" s="0" t="str">
        <f aca="false">INDEX(Intent_Analysis!$B$5:$B$81,MATCH(B6057,Intent_Analysis!$A$5:$A$81,0))</f>
        <v>Transfers</v>
      </c>
      <c r="D6057" s="0" t="n">
        <f aca="false">INDEX(Intent_Analysis!$E$5:$E$81,MATCH(B6057,Intent_Analysis!$A$5:$A$81,0))</f>
        <v>2</v>
      </c>
    </row>
    <row r="6058" customFormat="false" ht="15" hidden="false" customHeight="false" outlineLevel="0" collapsed="false">
      <c r="A6058" s="0" t="s">
        <v>6382</v>
      </c>
      <c r="B6058" s="0" t="s">
        <v>116</v>
      </c>
      <c r="C6058" s="0" t="str">
        <f aca="false">INDEX(Intent_Analysis!$B$5:$B$81,MATCH(B6058,Intent_Analysis!$A$5:$A$81,0))</f>
        <v>Transfers</v>
      </c>
      <c r="D6058" s="0" t="n">
        <f aca="false">INDEX(Intent_Analysis!$E$5:$E$81,MATCH(B6058,Intent_Analysis!$A$5:$A$81,0))</f>
        <v>2</v>
      </c>
    </row>
    <row r="6059" customFormat="false" ht="15" hidden="false" customHeight="false" outlineLevel="0" collapsed="false">
      <c r="A6059" s="0" t="s">
        <v>6383</v>
      </c>
      <c r="B6059" s="0" t="s">
        <v>116</v>
      </c>
      <c r="C6059" s="0" t="str">
        <f aca="false">INDEX(Intent_Analysis!$B$5:$B$81,MATCH(B6059,Intent_Analysis!$A$5:$A$81,0))</f>
        <v>Transfers</v>
      </c>
      <c r="D6059" s="0" t="n">
        <f aca="false">INDEX(Intent_Analysis!$E$5:$E$81,MATCH(B6059,Intent_Analysis!$A$5:$A$81,0))</f>
        <v>2</v>
      </c>
    </row>
    <row r="6060" customFormat="false" ht="15" hidden="false" customHeight="false" outlineLevel="0" collapsed="false">
      <c r="A6060" s="0" t="s">
        <v>6384</v>
      </c>
      <c r="B6060" s="0" t="s">
        <v>116</v>
      </c>
      <c r="C6060" s="0" t="str">
        <f aca="false">INDEX(Intent_Analysis!$B$5:$B$81,MATCH(B6060,Intent_Analysis!$A$5:$A$81,0))</f>
        <v>Transfers</v>
      </c>
      <c r="D6060" s="0" t="n">
        <f aca="false">INDEX(Intent_Analysis!$E$5:$E$81,MATCH(B6060,Intent_Analysis!$A$5:$A$81,0))</f>
        <v>2</v>
      </c>
    </row>
    <row r="6061" customFormat="false" ht="15" hidden="false" customHeight="false" outlineLevel="0" collapsed="false">
      <c r="A6061" s="0" t="s">
        <v>6385</v>
      </c>
      <c r="B6061" s="0" t="s">
        <v>116</v>
      </c>
      <c r="C6061" s="0" t="str">
        <f aca="false">INDEX(Intent_Analysis!$B$5:$B$81,MATCH(B6061,Intent_Analysis!$A$5:$A$81,0))</f>
        <v>Transfers</v>
      </c>
      <c r="D6061" s="0" t="n">
        <f aca="false">INDEX(Intent_Analysis!$E$5:$E$81,MATCH(B6061,Intent_Analysis!$A$5:$A$81,0))</f>
        <v>2</v>
      </c>
    </row>
    <row r="6062" customFormat="false" ht="15" hidden="false" customHeight="false" outlineLevel="0" collapsed="false">
      <c r="A6062" s="0" t="s">
        <v>6386</v>
      </c>
      <c r="B6062" s="0" t="s">
        <v>116</v>
      </c>
      <c r="C6062" s="0" t="str">
        <f aca="false">INDEX(Intent_Analysis!$B$5:$B$81,MATCH(B6062,Intent_Analysis!$A$5:$A$81,0))</f>
        <v>Transfers</v>
      </c>
      <c r="D6062" s="0" t="n">
        <f aca="false">INDEX(Intent_Analysis!$E$5:$E$81,MATCH(B6062,Intent_Analysis!$A$5:$A$81,0))</f>
        <v>2</v>
      </c>
    </row>
    <row r="6063" customFormat="false" ht="15" hidden="false" customHeight="false" outlineLevel="0" collapsed="false">
      <c r="A6063" s="0" t="s">
        <v>6387</v>
      </c>
      <c r="B6063" s="0" t="s">
        <v>116</v>
      </c>
      <c r="C6063" s="0" t="str">
        <f aca="false">INDEX(Intent_Analysis!$B$5:$B$81,MATCH(B6063,Intent_Analysis!$A$5:$A$81,0))</f>
        <v>Transfers</v>
      </c>
      <c r="D6063" s="0" t="n">
        <f aca="false">INDEX(Intent_Analysis!$E$5:$E$81,MATCH(B6063,Intent_Analysis!$A$5:$A$81,0))</f>
        <v>2</v>
      </c>
    </row>
    <row r="6064" customFormat="false" ht="15" hidden="false" customHeight="false" outlineLevel="0" collapsed="false">
      <c r="A6064" s="0" t="s">
        <v>6388</v>
      </c>
      <c r="B6064" s="0" t="s">
        <v>116</v>
      </c>
      <c r="C6064" s="0" t="str">
        <f aca="false">INDEX(Intent_Analysis!$B$5:$B$81,MATCH(B6064,Intent_Analysis!$A$5:$A$81,0))</f>
        <v>Transfers</v>
      </c>
      <c r="D6064" s="0" t="n">
        <f aca="false">INDEX(Intent_Analysis!$E$5:$E$81,MATCH(B6064,Intent_Analysis!$A$5:$A$81,0))</f>
        <v>2</v>
      </c>
    </row>
    <row r="6065" customFormat="false" ht="15" hidden="false" customHeight="false" outlineLevel="0" collapsed="false">
      <c r="A6065" s="0" t="s">
        <v>6389</v>
      </c>
      <c r="B6065" s="0" t="s">
        <v>116</v>
      </c>
      <c r="C6065" s="0" t="str">
        <f aca="false">INDEX(Intent_Analysis!$B$5:$B$81,MATCH(B6065,Intent_Analysis!$A$5:$A$81,0))</f>
        <v>Transfers</v>
      </c>
      <c r="D6065" s="0" t="n">
        <f aca="false">INDEX(Intent_Analysis!$E$5:$E$81,MATCH(B6065,Intent_Analysis!$A$5:$A$81,0))</f>
        <v>2</v>
      </c>
    </row>
    <row r="6066" customFormat="false" ht="15" hidden="false" customHeight="false" outlineLevel="0" collapsed="false">
      <c r="A6066" s="0" t="s">
        <v>6390</v>
      </c>
      <c r="B6066" s="0" t="s">
        <v>116</v>
      </c>
      <c r="C6066" s="0" t="str">
        <f aca="false">INDEX(Intent_Analysis!$B$5:$B$81,MATCH(B6066,Intent_Analysis!$A$5:$A$81,0))</f>
        <v>Transfers</v>
      </c>
      <c r="D6066" s="0" t="n">
        <f aca="false">INDEX(Intent_Analysis!$E$5:$E$81,MATCH(B6066,Intent_Analysis!$A$5:$A$81,0))</f>
        <v>2</v>
      </c>
    </row>
    <row r="6067" customFormat="false" ht="15" hidden="false" customHeight="false" outlineLevel="0" collapsed="false">
      <c r="A6067" s="0" t="s">
        <v>6391</v>
      </c>
      <c r="B6067" s="0" t="s">
        <v>116</v>
      </c>
      <c r="C6067" s="0" t="str">
        <f aca="false">INDEX(Intent_Analysis!$B$5:$B$81,MATCH(B6067,Intent_Analysis!$A$5:$A$81,0))</f>
        <v>Transfers</v>
      </c>
      <c r="D6067" s="0" t="n">
        <f aca="false">INDEX(Intent_Analysis!$E$5:$E$81,MATCH(B6067,Intent_Analysis!$A$5:$A$81,0))</f>
        <v>2</v>
      </c>
    </row>
    <row r="6068" customFormat="false" ht="15" hidden="false" customHeight="false" outlineLevel="0" collapsed="false">
      <c r="A6068" s="0" t="s">
        <v>6392</v>
      </c>
      <c r="B6068" s="0" t="s">
        <v>116</v>
      </c>
      <c r="C6068" s="0" t="str">
        <f aca="false">INDEX(Intent_Analysis!$B$5:$B$81,MATCH(B6068,Intent_Analysis!$A$5:$A$81,0))</f>
        <v>Transfers</v>
      </c>
      <c r="D6068" s="0" t="n">
        <f aca="false">INDEX(Intent_Analysis!$E$5:$E$81,MATCH(B6068,Intent_Analysis!$A$5:$A$81,0))</f>
        <v>2</v>
      </c>
    </row>
    <row r="6069" customFormat="false" ht="15" hidden="false" customHeight="false" outlineLevel="0" collapsed="false">
      <c r="A6069" s="0" t="s">
        <v>6393</v>
      </c>
      <c r="B6069" s="0" t="s">
        <v>116</v>
      </c>
      <c r="C6069" s="0" t="str">
        <f aca="false">INDEX(Intent_Analysis!$B$5:$B$81,MATCH(B6069,Intent_Analysis!$A$5:$A$81,0))</f>
        <v>Transfers</v>
      </c>
      <c r="D6069" s="0" t="n">
        <f aca="false">INDEX(Intent_Analysis!$E$5:$E$81,MATCH(B6069,Intent_Analysis!$A$5:$A$81,0))</f>
        <v>2</v>
      </c>
    </row>
    <row r="6070" customFormat="false" ht="15" hidden="false" customHeight="false" outlineLevel="0" collapsed="false">
      <c r="A6070" s="0" t="s">
        <v>6394</v>
      </c>
      <c r="B6070" s="0" t="s">
        <v>116</v>
      </c>
      <c r="C6070" s="0" t="str">
        <f aca="false">INDEX(Intent_Analysis!$B$5:$B$81,MATCH(B6070,Intent_Analysis!$A$5:$A$81,0))</f>
        <v>Transfers</v>
      </c>
      <c r="D6070" s="0" t="n">
        <f aca="false">INDEX(Intent_Analysis!$E$5:$E$81,MATCH(B6070,Intent_Analysis!$A$5:$A$81,0))</f>
        <v>2</v>
      </c>
    </row>
    <row r="6071" customFormat="false" ht="15" hidden="false" customHeight="false" outlineLevel="0" collapsed="false">
      <c r="A6071" s="0" t="s">
        <v>6395</v>
      </c>
      <c r="B6071" s="0" t="s">
        <v>116</v>
      </c>
      <c r="C6071" s="0" t="str">
        <f aca="false">INDEX(Intent_Analysis!$B$5:$B$81,MATCH(B6071,Intent_Analysis!$A$5:$A$81,0))</f>
        <v>Transfers</v>
      </c>
      <c r="D6071" s="0" t="n">
        <f aca="false">INDEX(Intent_Analysis!$E$5:$E$81,MATCH(B6071,Intent_Analysis!$A$5:$A$81,0))</f>
        <v>2</v>
      </c>
    </row>
    <row r="6072" customFormat="false" ht="15" hidden="false" customHeight="false" outlineLevel="0" collapsed="false">
      <c r="A6072" s="0" t="s">
        <v>6396</v>
      </c>
      <c r="B6072" s="0" t="s">
        <v>116</v>
      </c>
      <c r="C6072" s="0" t="str">
        <f aca="false">INDEX(Intent_Analysis!$B$5:$B$81,MATCH(B6072,Intent_Analysis!$A$5:$A$81,0))</f>
        <v>Transfers</v>
      </c>
      <c r="D6072" s="0" t="n">
        <f aca="false">INDEX(Intent_Analysis!$E$5:$E$81,MATCH(B6072,Intent_Analysis!$A$5:$A$81,0))</f>
        <v>2</v>
      </c>
    </row>
    <row r="6073" customFormat="false" ht="15" hidden="false" customHeight="false" outlineLevel="0" collapsed="false">
      <c r="A6073" s="0" t="s">
        <v>6397</v>
      </c>
      <c r="B6073" s="0" t="s">
        <v>116</v>
      </c>
      <c r="C6073" s="0" t="str">
        <f aca="false">INDEX(Intent_Analysis!$B$5:$B$81,MATCH(B6073,Intent_Analysis!$A$5:$A$81,0))</f>
        <v>Transfers</v>
      </c>
      <c r="D6073" s="0" t="n">
        <f aca="false">INDEX(Intent_Analysis!$E$5:$E$81,MATCH(B6073,Intent_Analysis!$A$5:$A$81,0))</f>
        <v>2</v>
      </c>
    </row>
    <row r="6074" customFormat="false" ht="15" hidden="false" customHeight="false" outlineLevel="0" collapsed="false">
      <c r="A6074" s="0" t="s">
        <v>6398</v>
      </c>
      <c r="B6074" s="0" t="s">
        <v>116</v>
      </c>
      <c r="C6074" s="0" t="str">
        <f aca="false">INDEX(Intent_Analysis!$B$5:$B$81,MATCH(B6074,Intent_Analysis!$A$5:$A$81,0))</f>
        <v>Transfers</v>
      </c>
      <c r="D6074" s="0" t="n">
        <f aca="false">INDEX(Intent_Analysis!$E$5:$E$81,MATCH(B6074,Intent_Analysis!$A$5:$A$81,0))</f>
        <v>2</v>
      </c>
    </row>
    <row r="6075" customFormat="false" ht="15" hidden="false" customHeight="false" outlineLevel="0" collapsed="false">
      <c r="A6075" s="0" t="s">
        <v>6399</v>
      </c>
      <c r="B6075" s="0" t="s">
        <v>116</v>
      </c>
      <c r="C6075" s="0" t="str">
        <f aca="false">INDEX(Intent_Analysis!$B$5:$B$81,MATCH(B6075,Intent_Analysis!$A$5:$A$81,0))</f>
        <v>Transfers</v>
      </c>
      <c r="D6075" s="0" t="n">
        <f aca="false">INDEX(Intent_Analysis!$E$5:$E$81,MATCH(B6075,Intent_Analysis!$A$5:$A$81,0))</f>
        <v>2</v>
      </c>
    </row>
    <row r="6076" customFormat="false" ht="15" hidden="false" customHeight="false" outlineLevel="0" collapsed="false">
      <c r="A6076" s="0" t="s">
        <v>6400</v>
      </c>
      <c r="B6076" s="0" t="s">
        <v>116</v>
      </c>
      <c r="C6076" s="0" t="str">
        <f aca="false">INDEX(Intent_Analysis!$B$5:$B$81,MATCH(B6076,Intent_Analysis!$A$5:$A$81,0))</f>
        <v>Transfers</v>
      </c>
      <c r="D6076" s="0" t="n">
        <f aca="false">INDEX(Intent_Analysis!$E$5:$E$81,MATCH(B6076,Intent_Analysis!$A$5:$A$81,0))</f>
        <v>2</v>
      </c>
    </row>
    <row r="6077" customFormat="false" ht="15" hidden="false" customHeight="false" outlineLevel="0" collapsed="false">
      <c r="A6077" s="0" t="s">
        <v>6401</v>
      </c>
      <c r="B6077" s="0" t="s">
        <v>116</v>
      </c>
      <c r="C6077" s="0" t="str">
        <f aca="false">INDEX(Intent_Analysis!$B$5:$B$81,MATCH(B6077,Intent_Analysis!$A$5:$A$81,0))</f>
        <v>Transfers</v>
      </c>
      <c r="D6077" s="0" t="n">
        <f aca="false">INDEX(Intent_Analysis!$E$5:$E$81,MATCH(B6077,Intent_Analysis!$A$5:$A$81,0))</f>
        <v>2</v>
      </c>
    </row>
    <row r="6078" customFormat="false" ht="15" hidden="false" customHeight="false" outlineLevel="0" collapsed="false">
      <c r="A6078" s="0" t="s">
        <v>6402</v>
      </c>
      <c r="B6078" s="0" t="s">
        <v>116</v>
      </c>
      <c r="C6078" s="0" t="str">
        <f aca="false">INDEX(Intent_Analysis!$B$5:$B$81,MATCH(B6078,Intent_Analysis!$A$5:$A$81,0))</f>
        <v>Transfers</v>
      </c>
      <c r="D6078" s="0" t="n">
        <f aca="false">INDEX(Intent_Analysis!$E$5:$E$81,MATCH(B6078,Intent_Analysis!$A$5:$A$81,0))</f>
        <v>2</v>
      </c>
    </row>
    <row r="6079" customFormat="false" ht="15" hidden="false" customHeight="false" outlineLevel="0" collapsed="false">
      <c r="A6079" s="0" t="s">
        <v>6403</v>
      </c>
      <c r="B6079" s="0" t="s">
        <v>116</v>
      </c>
      <c r="C6079" s="0" t="str">
        <f aca="false">INDEX(Intent_Analysis!$B$5:$B$81,MATCH(B6079,Intent_Analysis!$A$5:$A$81,0))</f>
        <v>Transfers</v>
      </c>
      <c r="D6079" s="0" t="n">
        <f aca="false">INDEX(Intent_Analysis!$E$5:$E$81,MATCH(B6079,Intent_Analysis!$A$5:$A$81,0))</f>
        <v>2</v>
      </c>
    </row>
    <row r="6080" customFormat="false" ht="15" hidden="false" customHeight="false" outlineLevel="0" collapsed="false">
      <c r="A6080" s="0" t="s">
        <v>6404</v>
      </c>
      <c r="B6080" s="0" t="s">
        <v>116</v>
      </c>
      <c r="C6080" s="0" t="str">
        <f aca="false">INDEX(Intent_Analysis!$B$5:$B$81,MATCH(B6080,Intent_Analysis!$A$5:$A$81,0))</f>
        <v>Transfers</v>
      </c>
      <c r="D6080" s="0" t="n">
        <f aca="false">INDEX(Intent_Analysis!$E$5:$E$81,MATCH(B6080,Intent_Analysis!$A$5:$A$81,0))</f>
        <v>2</v>
      </c>
    </row>
    <row r="6081" customFormat="false" ht="15" hidden="false" customHeight="false" outlineLevel="0" collapsed="false">
      <c r="A6081" s="0" t="s">
        <v>6405</v>
      </c>
      <c r="B6081" s="0" t="s">
        <v>116</v>
      </c>
      <c r="C6081" s="0" t="str">
        <f aca="false">INDEX(Intent_Analysis!$B$5:$B$81,MATCH(B6081,Intent_Analysis!$A$5:$A$81,0))</f>
        <v>Transfers</v>
      </c>
      <c r="D6081" s="0" t="n">
        <f aca="false">INDEX(Intent_Analysis!$E$5:$E$81,MATCH(B6081,Intent_Analysis!$A$5:$A$81,0))</f>
        <v>2</v>
      </c>
    </row>
    <row r="6082" customFormat="false" ht="15" hidden="false" customHeight="false" outlineLevel="0" collapsed="false">
      <c r="A6082" s="0" t="s">
        <v>6406</v>
      </c>
      <c r="B6082" s="0" t="s">
        <v>116</v>
      </c>
      <c r="C6082" s="0" t="str">
        <f aca="false">INDEX(Intent_Analysis!$B$5:$B$81,MATCH(B6082,Intent_Analysis!$A$5:$A$81,0))</f>
        <v>Transfers</v>
      </c>
      <c r="D6082" s="0" t="n">
        <f aca="false">INDEX(Intent_Analysis!$E$5:$E$81,MATCH(B6082,Intent_Analysis!$A$5:$A$81,0))</f>
        <v>2</v>
      </c>
    </row>
    <row r="6083" customFormat="false" ht="15" hidden="false" customHeight="false" outlineLevel="0" collapsed="false">
      <c r="A6083" s="0" t="s">
        <v>6407</v>
      </c>
      <c r="B6083" s="0" t="s">
        <v>116</v>
      </c>
      <c r="C6083" s="0" t="str">
        <f aca="false">INDEX(Intent_Analysis!$B$5:$B$81,MATCH(B6083,Intent_Analysis!$A$5:$A$81,0))</f>
        <v>Transfers</v>
      </c>
      <c r="D6083" s="0" t="n">
        <f aca="false">INDEX(Intent_Analysis!$E$5:$E$81,MATCH(B6083,Intent_Analysis!$A$5:$A$81,0))</f>
        <v>2</v>
      </c>
    </row>
    <row r="6084" customFormat="false" ht="15" hidden="false" customHeight="false" outlineLevel="0" collapsed="false">
      <c r="A6084" s="0" t="s">
        <v>6408</v>
      </c>
      <c r="B6084" s="0" t="s">
        <v>116</v>
      </c>
      <c r="C6084" s="0" t="str">
        <f aca="false">INDEX(Intent_Analysis!$B$5:$B$81,MATCH(B6084,Intent_Analysis!$A$5:$A$81,0))</f>
        <v>Transfers</v>
      </c>
      <c r="D6084" s="0" t="n">
        <f aca="false">INDEX(Intent_Analysis!$E$5:$E$81,MATCH(B6084,Intent_Analysis!$A$5:$A$81,0))</f>
        <v>2</v>
      </c>
    </row>
    <row r="6085" customFormat="false" ht="15" hidden="false" customHeight="false" outlineLevel="0" collapsed="false">
      <c r="A6085" s="0" t="s">
        <v>6409</v>
      </c>
      <c r="B6085" s="0" t="s">
        <v>116</v>
      </c>
      <c r="C6085" s="0" t="str">
        <f aca="false">INDEX(Intent_Analysis!$B$5:$B$81,MATCH(B6085,Intent_Analysis!$A$5:$A$81,0))</f>
        <v>Transfers</v>
      </c>
      <c r="D6085" s="0" t="n">
        <f aca="false">INDEX(Intent_Analysis!$E$5:$E$81,MATCH(B6085,Intent_Analysis!$A$5:$A$81,0))</f>
        <v>2</v>
      </c>
    </row>
    <row r="6086" customFormat="false" ht="15" hidden="false" customHeight="false" outlineLevel="0" collapsed="false">
      <c r="A6086" s="0" t="s">
        <v>6410</v>
      </c>
      <c r="B6086" s="0" t="s">
        <v>116</v>
      </c>
      <c r="C6086" s="0" t="str">
        <f aca="false">INDEX(Intent_Analysis!$B$5:$B$81,MATCH(B6086,Intent_Analysis!$A$5:$A$81,0))</f>
        <v>Transfers</v>
      </c>
      <c r="D6086" s="0" t="n">
        <f aca="false">INDEX(Intent_Analysis!$E$5:$E$81,MATCH(B6086,Intent_Analysis!$A$5:$A$81,0))</f>
        <v>2</v>
      </c>
    </row>
    <row r="6087" customFormat="false" ht="15" hidden="false" customHeight="false" outlineLevel="0" collapsed="false">
      <c r="A6087" s="0" t="s">
        <v>6411</v>
      </c>
      <c r="B6087" s="0" t="s">
        <v>116</v>
      </c>
      <c r="C6087" s="0" t="str">
        <f aca="false">INDEX(Intent_Analysis!$B$5:$B$81,MATCH(B6087,Intent_Analysis!$A$5:$A$81,0))</f>
        <v>Transfers</v>
      </c>
      <c r="D6087" s="0" t="n">
        <f aca="false">INDEX(Intent_Analysis!$E$5:$E$81,MATCH(B6087,Intent_Analysis!$A$5:$A$81,0))</f>
        <v>2</v>
      </c>
    </row>
    <row r="6088" customFormat="false" ht="15" hidden="false" customHeight="false" outlineLevel="0" collapsed="false">
      <c r="A6088" s="0" t="s">
        <v>6412</v>
      </c>
      <c r="B6088" s="0" t="s">
        <v>116</v>
      </c>
      <c r="C6088" s="0" t="str">
        <f aca="false">INDEX(Intent_Analysis!$B$5:$B$81,MATCH(B6088,Intent_Analysis!$A$5:$A$81,0))</f>
        <v>Transfers</v>
      </c>
      <c r="D6088" s="0" t="n">
        <f aca="false">INDEX(Intent_Analysis!$E$5:$E$81,MATCH(B6088,Intent_Analysis!$A$5:$A$81,0))</f>
        <v>2</v>
      </c>
    </row>
    <row r="6089" customFormat="false" ht="15" hidden="false" customHeight="false" outlineLevel="0" collapsed="false">
      <c r="A6089" s="0" t="s">
        <v>6413</v>
      </c>
      <c r="B6089" s="0" t="s">
        <v>116</v>
      </c>
      <c r="C6089" s="0" t="str">
        <f aca="false">INDEX(Intent_Analysis!$B$5:$B$81,MATCH(B6089,Intent_Analysis!$A$5:$A$81,0))</f>
        <v>Transfers</v>
      </c>
      <c r="D6089" s="0" t="n">
        <f aca="false">INDEX(Intent_Analysis!$E$5:$E$81,MATCH(B6089,Intent_Analysis!$A$5:$A$81,0))</f>
        <v>2</v>
      </c>
    </row>
    <row r="6090" customFormat="false" ht="15" hidden="false" customHeight="false" outlineLevel="0" collapsed="false">
      <c r="A6090" s="0" t="s">
        <v>6414</v>
      </c>
      <c r="B6090" s="0" t="s">
        <v>116</v>
      </c>
      <c r="C6090" s="0" t="str">
        <f aca="false">INDEX(Intent_Analysis!$B$5:$B$81,MATCH(B6090,Intent_Analysis!$A$5:$A$81,0))</f>
        <v>Transfers</v>
      </c>
      <c r="D6090" s="0" t="n">
        <f aca="false">INDEX(Intent_Analysis!$E$5:$E$81,MATCH(B6090,Intent_Analysis!$A$5:$A$81,0))</f>
        <v>2</v>
      </c>
    </row>
    <row r="6091" customFormat="false" ht="15" hidden="false" customHeight="false" outlineLevel="0" collapsed="false">
      <c r="A6091" s="0" t="s">
        <v>6415</v>
      </c>
      <c r="B6091" s="0" t="s">
        <v>116</v>
      </c>
      <c r="C6091" s="0" t="str">
        <f aca="false">INDEX(Intent_Analysis!$B$5:$B$81,MATCH(B6091,Intent_Analysis!$A$5:$A$81,0))</f>
        <v>Transfers</v>
      </c>
      <c r="D6091" s="0" t="n">
        <f aca="false">INDEX(Intent_Analysis!$E$5:$E$81,MATCH(B6091,Intent_Analysis!$A$5:$A$81,0))</f>
        <v>2</v>
      </c>
    </row>
    <row r="6092" customFormat="false" ht="15" hidden="false" customHeight="false" outlineLevel="0" collapsed="false">
      <c r="A6092" s="0" t="s">
        <v>6416</v>
      </c>
      <c r="B6092" s="0" t="s">
        <v>116</v>
      </c>
      <c r="C6092" s="0" t="str">
        <f aca="false">INDEX(Intent_Analysis!$B$5:$B$81,MATCH(B6092,Intent_Analysis!$A$5:$A$81,0))</f>
        <v>Transfers</v>
      </c>
      <c r="D6092" s="0" t="n">
        <f aca="false">INDEX(Intent_Analysis!$E$5:$E$81,MATCH(B6092,Intent_Analysis!$A$5:$A$81,0))</f>
        <v>2</v>
      </c>
    </row>
    <row r="6093" customFormat="false" ht="15" hidden="false" customHeight="false" outlineLevel="0" collapsed="false">
      <c r="A6093" s="0" t="s">
        <v>6417</v>
      </c>
      <c r="B6093" s="0" t="s">
        <v>116</v>
      </c>
      <c r="C6093" s="0" t="str">
        <f aca="false">INDEX(Intent_Analysis!$B$5:$B$81,MATCH(B6093,Intent_Analysis!$A$5:$A$81,0))</f>
        <v>Transfers</v>
      </c>
      <c r="D6093" s="0" t="n">
        <f aca="false">INDEX(Intent_Analysis!$E$5:$E$81,MATCH(B6093,Intent_Analysis!$A$5:$A$81,0))</f>
        <v>2</v>
      </c>
    </row>
    <row r="6094" customFormat="false" ht="15" hidden="false" customHeight="false" outlineLevel="0" collapsed="false">
      <c r="A6094" s="0" t="s">
        <v>6418</v>
      </c>
      <c r="B6094" s="0" t="s">
        <v>116</v>
      </c>
      <c r="C6094" s="0" t="str">
        <f aca="false">INDEX(Intent_Analysis!$B$5:$B$81,MATCH(B6094,Intent_Analysis!$A$5:$A$81,0))</f>
        <v>Transfers</v>
      </c>
      <c r="D6094" s="0" t="n">
        <f aca="false">INDEX(Intent_Analysis!$E$5:$E$81,MATCH(B6094,Intent_Analysis!$A$5:$A$81,0))</f>
        <v>2</v>
      </c>
    </row>
    <row r="6095" customFormat="false" ht="15" hidden="false" customHeight="false" outlineLevel="0" collapsed="false">
      <c r="A6095" s="0" t="s">
        <v>6419</v>
      </c>
      <c r="B6095" s="0" t="s">
        <v>116</v>
      </c>
      <c r="C6095" s="0" t="str">
        <f aca="false">INDEX(Intent_Analysis!$B$5:$B$81,MATCH(B6095,Intent_Analysis!$A$5:$A$81,0))</f>
        <v>Transfers</v>
      </c>
      <c r="D6095" s="0" t="n">
        <f aca="false">INDEX(Intent_Analysis!$E$5:$E$81,MATCH(B6095,Intent_Analysis!$A$5:$A$81,0))</f>
        <v>2</v>
      </c>
    </row>
    <row r="6096" customFormat="false" ht="15" hidden="false" customHeight="false" outlineLevel="0" collapsed="false">
      <c r="A6096" s="0" t="s">
        <v>6420</v>
      </c>
      <c r="B6096" s="0" t="s">
        <v>116</v>
      </c>
      <c r="C6096" s="0" t="str">
        <f aca="false">INDEX(Intent_Analysis!$B$5:$B$81,MATCH(B6096,Intent_Analysis!$A$5:$A$81,0))</f>
        <v>Transfers</v>
      </c>
      <c r="D6096" s="0" t="n">
        <f aca="false">INDEX(Intent_Analysis!$E$5:$E$81,MATCH(B6096,Intent_Analysis!$A$5:$A$81,0))</f>
        <v>2</v>
      </c>
    </row>
    <row r="6097" customFormat="false" ht="15" hidden="false" customHeight="false" outlineLevel="0" collapsed="false">
      <c r="A6097" s="0" t="s">
        <v>6421</v>
      </c>
      <c r="B6097" s="0" t="s">
        <v>116</v>
      </c>
      <c r="C6097" s="0" t="str">
        <f aca="false">INDEX(Intent_Analysis!$B$5:$B$81,MATCH(B6097,Intent_Analysis!$A$5:$A$81,0))</f>
        <v>Transfers</v>
      </c>
      <c r="D6097" s="0" t="n">
        <f aca="false">INDEX(Intent_Analysis!$E$5:$E$81,MATCH(B6097,Intent_Analysis!$A$5:$A$81,0))</f>
        <v>2</v>
      </c>
    </row>
    <row r="6098" customFormat="false" ht="15" hidden="false" customHeight="false" outlineLevel="0" collapsed="false">
      <c r="A6098" s="0" t="s">
        <v>6422</v>
      </c>
      <c r="B6098" s="0" t="s">
        <v>116</v>
      </c>
      <c r="C6098" s="0" t="str">
        <f aca="false">INDEX(Intent_Analysis!$B$5:$B$81,MATCH(B6098,Intent_Analysis!$A$5:$A$81,0))</f>
        <v>Transfers</v>
      </c>
      <c r="D6098" s="0" t="n">
        <f aca="false">INDEX(Intent_Analysis!$E$5:$E$81,MATCH(B6098,Intent_Analysis!$A$5:$A$81,0))</f>
        <v>2</v>
      </c>
    </row>
    <row r="6099" customFormat="false" ht="15" hidden="false" customHeight="false" outlineLevel="0" collapsed="false">
      <c r="A6099" s="0" t="s">
        <v>6423</v>
      </c>
      <c r="B6099" s="0" t="s">
        <v>116</v>
      </c>
      <c r="C6099" s="0" t="str">
        <f aca="false">INDEX(Intent_Analysis!$B$5:$B$81,MATCH(B6099,Intent_Analysis!$A$5:$A$81,0))</f>
        <v>Transfers</v>
      </c>
      <c r="D6099" s="0" t="n">
        <f aca="false">INDEX(Intent_Analysis!$E$5:$E$81,MATCH(B6099,Intent_Analysis!$A$5:$A$81,0))</f>
        <v>2</v>
      </c>
    </row>
    <row r="6100" customFormat="false" ht="15" hidden="false" customHeight="false" outlineLevel="0" collapsed="false">
      <c r="A6100" s="0" t="s">
        <v>6424</v>
      </c>
      <c r="B6100" s="0" t="s">
        <v>116</v>
      </c>
      <c r="C6100" s="0" t="str">
        <f aca="false">INDEX(Intent_Analysis!$B$5:$B$81,MATCH(B6100,Intent_Analysis!$A$5:$A$81,0))</f>
        <v>Transfers</v>
      </c>
      <c r="D6100" s="0" t="n">
        <f aca="false">INDEX(Intent_Analysis!$E$5:$E$81,MATCH(B6100,Intent_Analysis!$A$5:$A$81,0))</f>
        <v>2</v>
      </c>
    </row>
    <row r="6101" customFormat="false" ht="15" hidden="false" customHeight="false" outlineLevel="0" collapsed="false">
      <c r="A6101" s="0" t="s">
        <v>6425</v>
      </c>
      <c r="B6101" s="0" t="s">
        <v>116</v>
      </c>
      <c r="C6101" s="0" t="str">
        <f aca="false">INDEX(Intent_Analysis!$B$5:$B$81,MATCH(B6101,Intent_Analysis!$A$5:$A$81,0))</f>
        <v>Transfers</v>
      </c>
      <c r="D6101" s="0" t="n">
        <f aca="false">INDEX(Intent_Analysis!$E$5:$E$81,MATCH(B6101,Intent_Analysis!$A$5:$A$81,0))</f>
        <v>2</v>
      </c>
    </row>
    <row r="6102" customFormat="false" ht="15" hidden="false" customHeight="false" outlineLevel="0" collapsed="false">
      <c r="A6102" s="0" t="s">
        <v>6426</v>
      </c>
      <c r="B6102" s="0" t="s">
        <v>116</v>
      </c>
      <c r="C6102" s="0" t="str">
        <f aca="false">INDEX(Intent_Analysis!$B$5:$B$81,MATCH(B6102,Intent_Analysis!$A$5:$A$81,0))</f>
        <v>Transfers</v>
      </c>
      <c r="D6102" s="0" t="n">
        <f aca="false">INDEX(Intent_Analysis!$E$5:$E$81,MATCH(B6102,Intent_Analysis!$A$5:$A$81,0))</f>
        <v>2</v>
      </c>
    </row>
    <row r="6103" customFormat="false" ht="15" hidden="false" customHeight="false" outlineLevel="0" collapsed="false">
      <c r="A6103" s="0" t="s">
        <v>6427</v>
      </c>
      <c r="B6103" s="0" t="s">
        <v>116</v>
      </c>
      <c r="C6103" s="0" t="str">
        <f aca="false">INDEX(Intent_Analysis!$B$5:$B$81,MATCH(B6103,Intent_Analysis!$A$5:$A$81,0))</f>
        <v>Transfers</v>
      </c>
      <c r="D6103" s="0" t="n">
        <f aca="false">INDEX(Intent_Analysis!$E$5:$E$81,MATCH(B6103,Intent_Analysis!$A$5:$A$81,0))</f>
        <v>2</v>
      </c>
    </row>
    <row r="6104" customFormat="false" ht="15" hidden="false" customHeight="false" outlineLevel="0" collapsed="false">
      <c r="A6104" s="0" t="s">
        <v>6428</v>
      </c>
      <c r="B6104" s="0" t="s">
        <v>116</v>
      </c>
      <c r="C6104" s="0" t="str">
        <f aca="false">INDEX(Intent_Analysis!$B$5:$B$81,MATCH(B6104,Intent_Analysis!$A$5:$A$81,0))</f>
        <v>Transfers</v>
      </c>
      <c r="D6104" s="0" t="n">
        <f aca="false">INDEX(Intent_Analysis!$E$5:$E$81,MATCH(B6104,Intent_Analysis!$A$5:$A$81,0))</f>
        <v>2</v>
      </c>
    </row>
    <row r="6105" customFormat="false" ht="15" hidden="false" customHeight="false" outlineLevel="0" collapsed="false">
      <c r="A6105" s="0" t="s">
        <v>6429</v>
      </c>
      <c r="B6105" s="0" t="s">
        <v>116</v>
      </c>
      <c r="C6105" s="0" t="str">
        <f aca="false">INDEX(Intent_Analysis!$B$5:$B$81,MATCH(B6105,Intent_Analysis!$A$5:$A$81,0))</f>
        <v>Transfers</v>
      </c>
      <c r="D6105" s="0" t="n">
        <f aca="false">INDEX(Intent_Analysis!$E$5:$E$81,MATCH(B6105,Intent_Analysis!$A$5:$A$81,0))</f>
        <v>2</v>
      </c>
    </row>
    <row r="6106" customFormat="false" ht="15" hidden="false" customHeight="false" outlineLevel="0" collapsed="false">
      <c r="A6106" s="0" t="s">
        <v>6430</v>
      </c>
      <c r="B6106" s="0" t="s">
        <v>116</v>
      </c>
      <c r="C6106" s="0" t="str">
        <f aca="false">INDEX(Intent_Analysis!$B$5:$B$81,MATCH(B6106,Intent_Analysis!$A$5:$A$81,0))</f>
        <v>Transfers</v>
      </c>
      <c r="D6106" s="0" t="n">
        <f aca="false">INDEX(Intent_Analysis!$E$5:$E$81,MATCH(B6106,Intent_Analysis!$A$5:$A$81,0))</f>
        <v>2</v>
      </c>
    </row>
    <row r="6107" customFormat="false" ht="15" hidden="false" customHeight="false" outlineLevel="0" collapsed="false">
      <c r="A6107" s="0" t="s">
        <v>6431</v>
      </c>
      <c r="B6107" s="0" t="s">
        <v>116</v>
      </c>
      <c r="C6107" s="0" t="str">
        <f aca="false">INDEX(Intent_Analysis!$B$5:$B$81,MATCH(B6107,Intent_Analysis!$A$5:$A$81,0))</f>
        <v>Transfers</v>
      </c>
      <c r="D6107" s="0" t="n">
        <f aca="false">INDEX(Intent_Analysis!$E$5:$E$81,MATCH(B6107,Intent_Analysis!$A$5:$A$81,0))</f>
        <v>2</v>
      </c>
    </row>
    <row r="6108" customFormat="false" ht="15" hidden="false" customHeight="false" outlineLevel="0" collapsed="false">
      <c r="A6108" s="0" t="s">
        <v>6432</v>
      </c>
      <c r="B6108" s="0" t="s">
        <v>116</v>
      </c>
      <c r="C6108" s="0" t="str">
        <f aca="false">INDEX(Intent_Analysis!$B$5:$B$81,MATCH(B6108,Intent_Analysis!$A$5:$A$81,0))</f>
        <v>Transfers</v>
      </c>
      <c r="D6108" s="0" t="n">
        <f aca="false">INDEX(Intent_Analysis!$E$5:$E$81,MATCH(B6108,Intent_Analysis!$A$5:$A$81,0))</f>
        <v>2</v>
      </c>
    </row>
    <row r="6109" customFormat="false" ht="15" hidden="false" customHeight="false" outlineLevel="0" collapsed="false">
      <c r="A6109" s="0" t="s">
        <v>6433</v>
      </c>
      <c r="B6109" s="0" t="s">
        <v>116</v>
      </c>
      <c r="C6109" s="0" t="str">
        <f aca="false">INDEX(Intent_Analysis!$B$5:$B$81,MATCH(B6109,Intent_Analysis!$A$5:$A$81,0))</f>
        <v>Transfers</v>
      </c>
      <c r="D6109" s="0" t="n">
        <f aca="false">INDEX(Intent_Analysis!$E$5:$E$81,MATCH(B6109,Intent_Analysis!$A$5:$A$81,0))</f>
        <v>2</v>
      </c>
    </row>
    <row r="6110" customFormat="false" ht="15" hidden="false" customHeight="false" outlineLevel="0" collapsed="false">
      <c r="A6110" s="0" t="s">
        <v>6434</v>
      </c>
      <c r="B6110" s="0" t="s">
        <v>116</v>
      </c>
      <c r="C6110" s="0" t="str">
        <f aca="false">INDEX(Intent_Analysis!$B$5:$B$81,MATCH(B6110,Intent_Analysis!$A$5:$A$81,0))</f>
        <v>Transfers</v>
      </c>
      <c r="D6110" s="0" t="n">
        <f aca="false">INDEX(Intent_Analysis!$E$5:$E$81,MATCH(B6110,Intent_Analysis!$A$5:$A$81,0))</f>
        <v>2</v>
      </c>
    </row>
    <row r="6111" customFormat="false" ht="15" hidden="false" customHeight="false" outlineLevel="0" collapsed="false">
      <c r="A6111" s="0" t="s">
        <v>6435</v>
      </c>
      <c r="B6111" s="0" t="s">
        <v>116</v>
      </c>
      <c r="C6111" s="0" t="str">
        <f aca="false">INDEX(Intent_Analysis!$B$5:$B$81,MATCH(B6111,Intent_Analysis!$A$5:$A$81,0))</f>
        <v>Transfers</v>
      </c>
      <c r="D6111" s="0" t="n">
        <f aca="false">INDEX(Intent_Analysis!$E$5:$E$81,MATCH(B6111,Intent_Analysis!$A$5:$A$81,0))</f>
        <v>2</v>
      </c>
    </row>
    <row r="6112" customFormat="false" ht="15" hidden="false" customHeight="false" outlineLevel="0" collapsed="false">
      <c r="A6112" s="0" t="s">
        <v>6436</v>
      </c>
      <c r="B6112" s="0" t="s">
        <v>116</v>
      </c>
      <c r="C6112" s="0" t="str">
        <f aca="false">INDEX(Intent_Analysis!$B$5:$B$81,MATCH(B6112,Intent_Analysis!$A$5:$A$81,0))</f>
        <v>Transfers</v>
      </c>
      <c r="D6112" s="0" t="n">
        <f aca="false">INDEX(Intent_Analysis!$E$5:$E$81,MATCH(B6112,Intent_Analysis!$A$5:$A$81,0))</f>
        <v>2</v>
      </c>
    </row>
    <row r="6113" customFormat="false" ht="15" hidden="false" customHeight="false" outlineLevel="0" collapsed="false">
      <c r="A6113" s="0" t="s">
        <v>6437</v>
      </c>
      <c r="B6113" s="0" t="s">
        <v>116</v>
      </c>
      <c r="C6113" s="0" t="str">
        <f aca="false">INDEX(Intent_Analysis!$B$5:$B$81,MATCH(B6113,Intent_Analysis!$A$5:$A$81,0))</f>
        <v>Transfers</v>
      </c>
      <c r="D6113" s="0" t="n">
        <f aca="false">INDEX(Intent_Analysis!$E$5:$E$81,MATCH(B6113,Intent_Analysis!$A$5:$A$81,0))</f>
        <v>2</v>
      </c>
    </row>
    <row r="6114" customFormat="false" ht="15" hidden="false" customHeight="false" outlineLevel="0" collapsed="false">
      <c r="A6114" s="0" t="s">
        <v>6438</v>
      </c>
      <c r="B6114" s="0" t="s">
        <v>116</v>
      </c>
      <c r="C6114" s="0" t="str">
        <f aca="false">INDEX(Intent_Analysis!$B$5:$B$81,MATCH(B6114,Intent_Analysis!$A$5:$A$81,0))</f>
        <v>Transfers</v>
      </c>
      <c r="D6114" s="0" t="n">
        <f aca="false">INDEX(Intent_Analysis!$E$5:$E$81,MATCH(B6114,Intent_Analysis!$A$5:$A$81,0))</f>
        <v>2</v>
      </c>
    </row>
    <row r="6115" customFormat="false" ht="15" hidden="false" customHeight="false" outlineLevel="0" collapsed="false">
      <c r="A6115" s="0" t="s">
        <v>6439</v>
      </c>
      <c r="B6115" s="0" t="s">
        <v>116</v>
      </c>
      <c r="C6115" s="0" t="str">
        <f aca="false">INDEX(Intent_Analysis!$B$5:$B$81,MATCH(B6115,Intent_Analysis!$A$5:$A$81,0))</f>
        <v>Transfers</v>
      </c>
      <c r="D6115" s="0" t="n">
        <f aca="false">INDEX(Intent_Analysis!$E$5:$E$81,MATCH(B6115,Intent_Analysis!$A$5:$A$81,0))</f>
        <v>2</v>
      </c>
    </row>
    <row r="6116" customFormat="false" ht="15" hidden="false" customHeight="false" outlineLevel="0" collapsed="false">
      <c r="A6116" s="0" t="s">
        <v>6440</v>
      </c>
      <c r="B6116" s="0" t="s">
        <v>116</v>
      </c>
      <c r="C6116" s="0" t="str">
        <f aca="false">INDEX(Intent_Analysis!$B$5:$B$81,MATCH(B6116,Intent_Analysis!$A$5:$A$81,0))</f>
        <v>Transfers</v>
      </c>
      <c r="D6116" s="0" t="n">
        <f aca="false">INDEX(Intent_Analysis!$E$5:$E$81,MATCH(B6116,Intent_Analysis!$A$5:$A$81,0))</f>
        <v>2</v>
      </c>
    </row>
    <row r="6117" customFormat="false" ht="15" hidden="false" customHeight="false" outlineLevel="0" collapsed="false">
      <c r="A6117" s="0" t="s">
        <v>6441</v>
      </c>
      <c r="B6117" s="0" t="s">
        <v>116</v>
      </c>
      <c r="C6117" s="0" t="str">
        <f aca="false">INDEX(Intent_Analysis!$B$5:$B$81,MATCH(B6117,Intent_Analysis!$A$5:$A$81,0))</f>
        <v>Transfers</v>
      </c>
      <c r="D6117" s="0" t="n">
        <f aca="false">INDEX(Intent_Analysis!$E$5:$E$81,MATCH(B6117,Intent_Analysis!$A$5:$A$81,0))</f>
        <v>2</v>
      </c>
    </row>
    <row r="6118" customFormat="false" ht="15" hidden="false" customHeight="false" outlineLevel="0" collapsed="false">
      <c r="A6118" s="0" t="s">
        <v>6442</v>
      </c>
      <c r="B6118" s="0" t="s">
        <v>116</v>
      </c>
      <c r="C6118" s="0" t="str">
        <f aca="false">INDEX(Intent_Analysis!$B$5:$B$81,MATCH(B6118,Intent_Analysis!$A$5:$A$81,0))</f>
        <v>Transfers</v>
      </c>
      <c r="D6118" s="0" t="n">
        <f aca="false">INDEX(Intent_Analysis!$E$5:$E$81,MATCH(B6118,Intent_Analysis!$A$5:$A$81,0))</f>
        <v>2</v>
      </c>
    </row>
    <row r="6119" customFormat="false" ht="15" hidden="false" customHeight="false" outlineLevel="0" collapsed="false">
      <c r="A6119" s="0" t="s">
        <v>6443</v>
      </c>
      <c r="B6119" s="0" t="s">
        <v>116</v>
      </c>
      <c r="C6119" s="0" t="str">
        <f aca="false">INDEX(Intent_Analysis!$B$5:$B$81,MATCH(B6119,Intent_Analysis!$A$5:$A$81,0))</f>
        <v>Transfers</v>
      </c>
      <c r="D6119" s="0" t="n">
        <f aca="false">INDEX(Intent_Analysis!$E$5:$E$81,MATCH(B6119,Intent_Analysis!$A$5:$A$81,0))</f>
        <v>2</v>
      </c>
    </row>
    <row r="6120" customFormat="false" ht="15" hidden="false" customHeight="false" outlineLevel="0" collapsed="false">
      <c r="A6120" s="0" t="s">
        <v>6444</v>
      </c>
      <c r="B6120" s="0" t="s">
        <v>116</v>
      </c>
      <c r="C6120" s="0" t="str">
        <f aca="false">INDEX(Intent_Analysis!$B$5:$B$81,MATCH(B6120,Intent_Analysis!$A$5:$A$81,0))</f>
        <v>Transfers</v>
      </c>
      <c r="D6120" s="0" t="n">
        <f aca="false">INDEX(Intent_Analysis!$E$5:$E$81,MATCH(B6120,Intent_Analysis!$A$5:$A$81,0))</f>
        <v>2</v>
      </c>
    </row>
    <row r="6121" customFormat="false" ht="15" hidden="false" customHeight="false" outlineLevel="0" collapsed="false">
      <c r="A6121" s="0" t="s">
        <v>6445</v>
      </c>
      <c r="B6121" s="0" t="s">
        <v>116</v>
      </c>
      <c r="C6121" s="0" t="str">
        <f aca="false">INDEX(Intent_Analysis!$B$5:$B$81,MATCH(B6121,Intent_Analysis!$A$5:$A$81,0))</f>
        <v>Transfers</v>
      </c>
      <c r="D6121" s="0" t="n">
        <f aca="false">INDEX(Intent_Analysis!$E$5:$E$81,MATCH(B6121,Intent_Analysis!$A$5:$A$81,0))</f>
        <v>2</v>
      </c>
    </row>
    <row r="6122" customFormat="false" ht="15" hidden="false" customHeight="false" outlineLevel="0" collapsed="false">
      <c r="A6122" s="0" t="s">
        <v>6446</v>
      </c>
      <c r="B6122" s="0" t="s">
        <v>116</v>
      </c>
      <c r="C6122" s="0" t="str">
        <f aca="false">INDEX(Intent_Analysis!$B$5:$B$81,MATCH(B6122,Intent_Analysis!$A$5:$A$81,0))</f>
        <v>Transfers</v>
      </c>
      <c r="D6122" s="0" t="n">
        <f aca="false">INDEX(Intent_Analysis!$E$5:$E$81,MATCH(B6122,Intent_Analysis!$A$5:$A$81,0))</f>
        <v>2</v>
      </c>
    </row>
    <row r="6123" customFormat="false" ht="15" hidden="false" customHeight="false" outlineLevel="0" collapsed="false">
      <c r="A6123" s="0" t="s">
        <v>6447</v>
      </c>
      <c r="B6123" s="0" t="s">
        <v>116</v>
      </c>
      <c r="C6123" s="0" t="str">
        <f aca="false">INDEX(Intent_Analysis!$B$5:$B$81,MATCH(B6123,Intent_Analysis!$A$5:$A$81,0))</f>
        <v>Transfers</v>
      </c>
      <c r="D6123" s="0" t="n">
        <f aca="false">INDEX(Intent_Analysis!$E$5:$E$81,MATCH(B6123,Intent_Analysis!$A$5:$A$81,0))</f>
        <v>2</v>
      </c>
    </row>
    <row r="6124" customFormat="false" ht="15" hidden="false" customHeight="false" outlineLevel="0" collapsed="false">
      <c r="A6124" s="0" t="s">
        <v>6448</v>
      </c>
      <c r="B6124" s="0" t="s">
        <v>116</v>
      </c>
      <c r="C6124" s="0" t="str">
        <f aca="false">INDEX(Intent_Analysis!$B$5:$B$81,MATCH(B6124,Intent_Analysis!$A$5:$A$81,0))</f>
        <v>Transfers</v>
      </c>
      <c r="D6124" s="0" t="n">
        <f aca="false">INDEX(Intent_Analysis!$E$5:$E$81,MATCH(B6124,Intent_Analysis!$A$5:$A$81,0))</f>
        <v>2</v>
      </c>
    </row>
    <row r="6125" customFormat="false" ht="15" hidden="false" customHeight="false" outlineLevel="0" collapsed="false">
      <c r="A6125" s="0" t="s">
        <v>6449</v>
      </c>
      <c r="B6125" s="0" t="s">
        <v>116</v>
      </c>
      <c r="C6125" s="0" t="str">
        <f aca="false">INDEX(Intent_Analysis!$B$5:$B$81,MATCH(B6125,Intent_Analysis!$A$5:$A$81,0))</f>
        <v>Transfers</v>
      </c>
      <c r="D6125" s="0" t="n">
        <f aca="false">INDEX(Intent_Analysis!$E$5:$E$81,MATCH(B6125,Intent_Analysis!$A$5:$A$81,0))</f>
        <v>2</v>
      </c>
    </row>
    <row r="6126" customFormat="false" ht="15" hidden="false" customHeight="false" outlineLevel="0" collapsed="false">
      <c r="A6126" s="0" t="s">
        <v>6450</v>
      </c>
      <c r="B6126" s="0" t="s">
        <v>116</v>
      </c>
      <c r="C6126" s="0" t="str">
        <f aca="false">INDEX(Intent_Analysis!$B$5:$B$81,MATCH(B6126,Intent_Analysis!$A$5:$A$81,0))</f>
        <v>Transfers</v>
      </c>
      <c r="D6126" s="0" t="n">
        <f aca="false">INDEX(Intent_Analysis!$E$5:$E$81,MATCH(B6126,Intent_Analysis!$A$5:$A$81,0))</f>
        <v>2</v>
      </c>
    </row>
    <row r="6127" customFormat="false" ht="15" hidden="false" customHeight="false" outlineLevel="0" collapsed="false">
      <c r="A6127" s="0" t="s">
        <v>6451</v>
      </c>
      <c r="B6127" s="0" t="s">
        <v>116</v>
      </c>
      <c r="C6127" s="0" t="str">
        <f aca="false">INDEX(Intent_Analysis!$B$5:$B$81,MATCH(B6127,Intent_Analysis!$A$5:$A$81,0))</f>
        <v>Transfers</v>
      </c>
      <c r="D6127" s="0" t="n">
        <f aca="false">INDEX(Intent_Analysis!$E$5:$E$81,MATCH(B6127,Intent_Analysis!$A$5:$A$81,0))</f>
        <v>2</v>
      </c>
    </row>
    <row r="6128" customFormat="false" ht="15" hidden="false" customHeight="false" outlineLevel="0" collapsed="false">
      <c r="A6128" s="0" t="s">
        <v>6452</v>
      </c>
      <c r="B6128" s="0" t="s">
        <v>116</v>
      </c>
      <c r="C6128" s="0" t="str">
        <f aca="false">INDEX(Intent_Analysis!$B$5:$B$81,MATCH(B6128,Intent_Analysis!$A$5:$A$81,0))</f>
        <v>Transfers</v>
      </c>
      <c r="D6128" s="0" t="n">
        <f aca="false">INDEX(Intent_Analysis!$E$5:$E$81,MATCH(B6128,Intent_Analysis!$A$5:$A$81,0))</f>
        <v>2</v>
      </c>
    </row>
    <row r="6129" customFormat="false" ht="15" hidden="false" customHeight="false" outlineLevel="0" collapsed="false">
      <c r="A6129" s="0" t="s">
        <v>6453</v>
      </c>
      <c r="B6129" s="0" t="s">
        <v>116</v>
      </c>
      <c r="C6129" s="0" t="str">
        <f aca="false">INDEX(Intent_Analysis!$B$5:$B$81,MATCH(B6129,Intent_Analysis!$A$5:$A$81,0))</f>
        <v>Transfers</v>
      </c>
      <c r="D6129" s="0" t="n">
        <f aca="false">INDEX(Intent_Analysis!$E$5:$E$81,MATCH(B6129,Intent_Analysis!$A$5:$A$81,0))</f>
        <v>2</v>
      </c>
    </row>
    <row r="6130" customFormat="false" ht="15" hidden="false" customHeight="false" outlineLevel="0" collapsed="false">
      <c r="A6130" s="0" t="s">
        <v>6454</v>
      </c>
      <c r="B6130" s="0" t="s">
        <v>116</v>
      </c>
      <c r="C6130" s="0" t="str">
        <f aca="false">INDEX(Intent_Analysis!$B$5:$B$81,MATCH(B6130,Intent_Analysis!$A$5:$A$81,0))</f>
        <v>Transfers</v>
      </c>
      <c r="D6130" s="0" t="n">
        <f aca="false">INDEX(Intent_Analysis!$E$5:$E$81,MATCH(B6130,Intent_Analysis!$A$5:$A$81,0))</f>
        <v>2</v>
      </c>
    </row>
    <row r="6131" customFormat="false" ht="15" hidden="false" customHeight="false" outlineLevel="0" collapsed="false">
      <c r="A6131" s="0" t="s">
        <v>6455</v>
      </c>
      <c r="B6131" s="0" t="s">
        <v>116</v>
      </c>
      <c r="C6131" s="0" t="str">
        <f aca="false">INDEX(Intent_Analysis!$B$5:$B$81,MATCH(B6131,Intent_Analysis!$A$5:$A$81,0))</f>
        <v>Transfers</v>
      </c>
      <c r="D6131" s="0" t="n">
        <f aca="false">INDEX(Intent_Analysis!$E$5:$E$81,MATCH(B6131,Intent_Analysis!$A$5:$A$81,0))</f>
        <v>2</v>
      </c>
    </row>
    <row r="6132" customFormat="false" ht="15" hidden="false" customHeight="false" outlineLevel="0" collapsed="false">
      <c r="A6132" s="0" t="s">
        <v>6456</v>
      </c>
      <c r="B6132" s="0" t="s">
        <v>116</v>
      </c>
      <c r="C6132" s="0" t="str">
        <f aca="false">INDEX(Intent_Analysis!$B$5:$B$81,MATCH(B6132,Intent_Analysis!$A$5:$A$81,0))</f>
        <v>Transfers</v>
      </c>
      <c r="D6132" s="0" t="n">
        <f aca="false">INDEX(Intent_Analysis!$E$5:$E$81,MATCH(B6132,Intent_Analysis!$A$5:$A$81,0))</f>
        <v>2</v>
      </c>
    </row>
    <row r="6133" customFormat="false" ht="15" hidden="false" customHeight="false" outlineLevel="0" collapsed="false">
      <c r="A6133" s="0" t="s">
        <v>6457</v>
      </c>
      <c r="B6133" s="0" t="s">
        <v>116</v>
      </c>
      <c r="C6133" s="0" t="str">
        <f aca="false">INDEX(Intent_Analysis!$B$5:$B$81,MATCH(B6133,Intent_Analysis!$A$5:$A$81,0))</f>
        <v>Transfers</v>
      </c>
      <c r="D6133" s="0" t="n">
        <f aca="false">INDEX(Intent_Analysis!$E$5:$E$81,MATCH(B6133,Intent_Analysis!$A$5:$A$81,0))</f>
        <v>2</v>
      </c>
    </row>
    <row r="6134" customFormat="false" ht="15" hidden="false" customHeight="false" outlineLevel="0" collapsed="false">
      <c r="A6134" s="0" t="s">
        <v>6458</v>
      </c>
      <c r="B6134" s="0" t="s">
        <v>116</v>
      </c>
      <c r="C6134" s="0" t="str">
        <f aca="false">INDEX(Intent_Analysis!$B$5:$B$81,MATCH(B6134,Intent_Analysis!$A$5:$A$81,0))</f>
        <v>Transfers</v>
      </c>
      <c r="D6134" s="0" t="n">
        <f aca="false">INDEX(Intent_Analysis!$E$5:$E$81,MATCH(B6134,Intent_Analysis!$A$5:$A$81,0))</f>
        <v>2</v>
      </c>
    </row>
    <row r="6135" customFormat="false" ht="15" hidden="false" customHeight="false" outlineLevel="0" collapsed="false">
      <c r="A6135" s="0" t="s">
        <v>6459</v>
      </c>
      <c r="B6135" s="0" t="s">
        <v>116</v>
      </c>
      <c r="C6135" s="0" t="str">
        <f aca="false">INDEX(Intent_Analysis!$B$5:$B$81,MATCH(B6135,Intent_Analysis!$A$5:$A$81,0))</f>
        <v>Transfers</v>
      </c>
      <c r="D6135" s="0" t="n">
        <f aca="false">INDEX(Intent_Analysis!$E$5:$E$81,MATCH(B6135,Intent_Analysis!$A$5:$A$81,0))</f>
        <v>2</v>
      </c>
    </row>
    <row r="6136" customFormat="false" ht="15" hidden="false" customHeight="false" outlineLevel="0" collapsed="false">
      <c r="A6136" s="0" t="s">
        <v>6460</v>
      </c>
      <c r="B6136" s="0" t="s">
        <v>116</v>
      </c>
      <c r="C6136" s="0" t="str">
        <f aca="false">INDEX(Intent_Analysis!$B$5:$B$81,MATCH(B6136,Intent_Analysis!$A$5:$A$81,0))</f>
        <v>Transfers</v>
      </c>
      <c r="D6136" s="0" t="n">
        <f aca="false">INDEX(Intent_Analysis!$E$5:$E$81,MATCH(B6136,Intent_Analysis!$A$5:$A$81,0))</f>
        <v>2</v>
      </c>
    </row>
    <row r="6137" customFormat="false" ht="15" hidden="false" customHeight="false" outlineLevel="0" collapsed="false">
      <c r="A6137" s="0" t="s">
        <v>6461</v>
      </c>
      <c r="B6137" s="0" t="s">
        <v>116</v>
      </c>
      <c r="C6137" s="0" t="str">
        <f aca="false">INDEX(Intent_Analysis!$B$5:$B$81,MATCH(B6137,Intent_Analysis!$A$5:$A$81,0))</f>
        <v>Transfers</v>
      </c>
      <c r="D6137" s="0" t="n">
        <f aca="false">INDEX(Intent_Analysis!$E$5:$E$81,MATCH(B6137,Intent_Analysis!$A$5:$A$81,0))</f>
        <v>2</v>
      </c>
    </row>
    <row r="6138" customFormat="false" ht="15" hidden="false" customHeight="false" outlineLevel="0" collapsed="false">
      <c r="A6138" s="0" t="s">
        <v>6462</v>
      </c>
      <c r="B6138" s="0" t="s">
        <v>116</v>
      </c>
      <c r="C6138" s="0" t="str">
        <f aca="false">INDEX(Intent_Analysis!$B$5:$B$81,MATCH(B6138,Intent_Analysis!$A$5:$A$81,0))</f>
        <v>Transfers</v>
      </c>
      <c r="D6138" s="0" t="n">
        <f aca="false">INDEX(Intent_Analysis!$E$5:$E$81,MATCH(B6138,Intent_Analysis!$A$5:$A$81,0))</f>
        <v>2</v>
      </c>
    </row>
    <row r="6139" customFormat="false" ht="15" hidden="false" customHeight="false" outlineLevel="0" collapsed="false">
      <c r="A6139" s="0" t="s">
        <v>6463</v>
      </c>
      <c r="B6139" s="0" t="s">
        <v>40</v>
      </c>
      <c r="C6139" s="0" t="str">
        <f aca="false">INDEX(Intent_Analysis!$B$5:$B$81,MATCH(B6139,Intent_Analysis!$A$5:$A$81,0))</f>
        <v>Account &amp; identity</v>
      </c>
      <c r="D6139" s="0" t="n">
        <f aca="false">INDEX(Intent_Analysis!$E$5:$E$81,MATCH(B6139,Intent_Analysis!$A$5:$A$81,0))</f>
        <v>3</v>
      </c>
    </row>
    <row r="6140" customFormat="false" ht="15" hidden="false" customHeight="false" outlineLevel="0" collapsed="false">
      <c r="A6140" s="0" t="s">
        <v>6464</v>
      </c>
      <c r="B6140" s="0" t="s">
        <v>40</v>
      </c>
      <c r="C6140" s="0" t="str">
        <f aca="false">INDEX(Intent_Analysis!$B$5:$B$81,MATCH(B6140,Intent_Analysis!$A$5:$A$81,0))</f>
        <v>Account &amp; identity</v>
      </c>
      <c r="D6140" s="0" t="n">
        <f aca="false">INDEX(Intent_Analysis!$E$5:$E$81,MATCH(B6140,Intent_Analysis!$A$5:$A$81,0))</f>
        <v>3</v>
      </c>
    </row>
    <row r="6141" customFormat="false" ht="15" hidden="false" customHeight="false" outlineLevel="0" collapsed="false">
      <c r="A6141" s="0" t="s">
        <v>6465</v>
      </c>
      <c r="B6141" s="0" t="s">
        <v>40</v>
      </c>
      <c r="C6141" s="0" t="str">
        <f aca="false">INDEX(Intent_Analysis!$B$5:$B$81,MATCH(B6141,Intent_Analysis!$A$5:$A$81,0))</f>
        <v>Account &amp; identity</v>
      </c>
      <c r="D6141" s="0" t="n">
        <f aca="false">INDEX(Intent_Analysis!$E$5:$E$81,MATCH(B6141,Intent_Analysis!$A$5:$A$81,0))</f>
        <v>3</v>
      </c>
    </row>
    <row r="6142" customFormat="false" ht="15" hidden="false" customHeight="false" outlineLevel="0" collapsed="false">
      <c r="A6142" s="0" t="s">
        <v>6466</v>
      </c>
      <c r="B6142" s="0" t="s">
        <v>40</v>
      </c>
      <c r="C6142" s="0" t="str">
        <f aca="false">INDEX(Intent_Analysis!$B$5:$B$81,MATCH(B6142,Intent_Analysis!$A$5:$A$81,0))</f>
        <v>Account &amp; identity</v>
      </c>
      <c r="D6142" s="0" t="n">
        <f aca="false">INDEX(Intent_Analysis!$E$5:$E$81,MATCH(B6142,Intent_Analysis!$A$5:$A$81,0))</f>
        <v>3</v>
      </c>
    </row>
    <row r="6143" customFormat="false" ht="15" hidden="false" customHeight="false" outlineLevel="0" collapsed="false">
      <c r="A6143" s="0" t="s">
        <v>6467</v>
      </c>
      <c r="B6143" s="0" t="s">
        <v>40</v>
      </c>
      <c r="C6143" s="0" t="str">
        <f aca="false">INDEX(Intent_Analysis!$B$5:$B$81,MATCH(B6143,Intent_Analysis!$A$5:$A$81,0))</f>
        <v>Account &amp; identity</v>
      </c>
      <c r="D6143" s="0" t="n">
        <f aca="false">INDEX(Intent_Analysis!$E$5:$E$81,MATCH(B6143,Intent_Analysis!$A$5:$A$81,0))</f>
        <v>3</v>
      </c>
    </row>
    <row r="6144" customFormat="false" ht="15" hidden="false" customHeight="false" outlineLevel="0" collapsed="false">
      <c r="A6144" s="0" t="s">
        <v>6468</v>
      </c>
      <c r="B6144" s="0" t="s">
        <v>40</v>
      </c>
      <c r="C6144" s="0" t="str">
        <f aca="false">INDEX(Intent_Analysis!$B$5:$B$81,MATCH(B6144,Intent_Analysis!$A$5:$A$81,0))</f>
        <v>Account &amp; identity</v>
      </c>
      <c r="D6144" s="0" t="n">
        <f aca="false">INDEX(Intent_Analysis!$E$5:$E$81,MATCH(B6144,Intent_Analysis!$A$5:$A$81,0))</f>
        <v>3</v>
      </c>
    </row>
    <row r="6145" customFormat="false" ht="15" hidden="false" customHeight="false" outlineLevel="0" collapsed="false">
      <c r="A6145" s="0" t="s">
        <v>6469</v>
      </c>
      <c r="B6145" s="0" t="s">
        <v>40</v>
      </c>
      <c r="C6145" s="0" t="str">
        <f aca="false">INDEX(Intent_Analysis!$B$5:$B$81,MATCH(B6145,Intent_Analysis!$A$5:$A$81,0))</f>
        <v>Account &amp; identity</v>
      </c>
      <c r="D6145" s="0" t="n">
        <f aca="false">INDEX(Intent_Analysis!$E$5:$E$81,MATCH(B6145,Intent_Analysis!$A$5:$A$81,0))</f>
        <v>3</v>
      </c>
    </row>
    <row r="6146" customFormat="false" ht="15" hidden="false" customHeight="false" outlineLevel="0" collapsed="false">
      <c r="A6146" s="0" t="s">
        <v>6470</v>
      </c>
      <c r="B6146" s="0" t="s">
        <v>40</v>
      </c>
      <c r="C6146" s="0" t="str">
        <f aca="false">INDEX(Intent_Analysis!$B$5:$B$81,MATCH(B6146,Intent_Analysis!$A$5:$A$81,0))</f>
        <v>Account &amp; identity</v>
      </c>
      <c r="D6146" s="0" t="n">
        <f aca="false">INDEX(Intent_Analysis!$E$5:$E$81,MATCH(B6146,Intent_Analysis!$A$5:$A$81,0))</f>
        <v>3</v>
      </c>
    </row>
    <row r="6147" customFormat="false" ht="15" hidden="false" customHeight="false" outlineLevel="0" collapsed="false">
      <c r="A6147" s="0" t="s">
        <v>6471</v>
      </c>
      <c r="B6147" s="0" t="s">
        <v>40</v>
      </c>
      <c r="C6147" s="0" t="str">
        <f aca="false">INDEX(Intent_Analysis!$B$5:$B$81,MATCH(B6147,Intent_Analysis!$A$5:$A$81,0))</f>
        <v>Account &amp; identity</v>
      </c>
      <c r="D6147" s="0" t="n">
        <f aca="false">INDEX(Intent_Analysis!$E$5:$E$81,MATCH(B6147,Intent_Analysis!$A$5:$A$81,0))</f>
        <v>3</v>
      </c>
    </row>
    <row r="6148" customFormat="false" ht="15" hidden="false" customHeight="false" outlineLevel="0" collapsed="false">
      <c r="A6148" s="0" t="s">
        <v>6472</v>
      </c>
      <c r="B6148" s="0" t="s">
        <v>40</v>
      </c>
      <c r="C6148" s="0" t="str">
        <f aca="false">INDEX(Intent_Analysis!$B$5:$B$81,MATCH(B6148,Intent_Analysis!$A$5:$A$81,0))</f>
        <v>Account &amp; identity</v>
      </c>
      <c r="D6148" s="0" t="n">
        <f aca="false">INDEX(Intent_Analysis!$E$5:$E$81,MATCH(B6148,Intent_Analysis!$A$5:$A$81,0))</f>
        <v>3</v>
      </c>
    </row>
    <row r="6149" customFormat="false" ht="15" hidden="false" customHeight="false" outlineLevel="0" collapsed="false">
      <c r="A6149" s="0" t="s">
        <v>6473</v>
      </c>
      <c r="B6149" s="0" t="s">
        <v>40</v>
      </c>
      <c r="C6149" s="0" t="str">
        <f aca="false">INDEX(Intent_Analysis!$B$5:$B$81,MATCH(B6149,Intent_Analysis!$A$5:$A$81,0))</f>
        <v>Account &amp; identity</v>
      </c>
      <c r="D6149" s="0" t="n">
        <f aca="false">INDEX(Intent_Analysis!$E$5:$E$81,MATCH(B6149,Intent_Analysis!$A$5:$A$81,0))</f>
        <v>3</v>
      </c>
    </row>
    <row r="6150" customFormat="false" ht="15" hidden="false" customHeight="false" outlineLevel="0" collapsed="false">
      <c r="A6150" s="0" t="s">
        <v>6474</v>
      </c>
      <c r="B6150" s="0" t="s">
        <v>40</v>
      </c>
      <c r="C6150" s="0" t="str">
        <f aca="false">INDEX(Intent_Analysis!$B$5:$B$81,MATCH(B6150,Intent_Analysis!$A$5:$A$81,0))</f>
        <v>Account &amp; identity</v>
      </c>
      <c r="D6150" s="0" t="n">
        <f aca="false">INDEX(Intent_Analysis!$E$5:$E$81,MATCH(B6150,Intent_Analysis!$A$5:$A$81,0))</f>
        <v>3</v>
      </c>
    </row>
    <row r="6151" customFormat="false" ht="15" hidden="false" customHeight="false" outlineLevel="0" collapsed="false">
      <c r="A6151" s="0" t="s">
        <v>6475</v>
      </c>
      <c r="B6151" s="0" t="s">
        <v>40</v>
      </c>
      <c r="C6151" s="0" t="str">
        <f aca="false">INDEX(Intent_Analysis!$B$5:$B$81,MATCH(B6151,Intent_Analysis!$A$5:$A$81,0))</f>
        <v>Account &amp; identity</v>
      </c>
      <c r="D6151" s="0" t="n">
        <f aca="false">INDEX(Intent_Analysis!$E$5:$E$81,MATCH(B6151,Intent_Analysis!$A$5:$A$81,0))</f>
        <v>3</v>
      </c>
    </row>
    <row r="6152" customFormat="false" ht="15" hidden="false" customHeight="false" outlineLevel="0" collapsed="false">
      <c r="A6152" s="0" t="s">
        <v>6476</v>
      </c>
      <c r="B6152" s="0" t="s">
        <v>40</v>
      </c>
      <c r="C6152" s="0" t="str">
        <f aca="false">INDEX(Intent_Analysis!$B$5:$B$81,MATCH(B6152,Intent_Analysis!$A$5:$A$81,0))</f>
        <v>Account &amp; identity</v>
      </c>
      <c r="D6152" s="0" t="n">
        <f aca="false">INDEX(Intent_Analysis!$E$5:$E$81,MATCH(B6152,Intent_Analysis!$A$5:$A$81,0))</f>
        <v>3</v>
      </c>
    </row>
    <row r="6153" customFormat="false" ht="15" hidden="false" customHeight="false" outlineLevel="0" collapsed="false">
      <c r="A6153" s="0" t="s">
        <v>6477</v>
      </c>
      <c r="B6153" s="0" t="s">
        <v>40</v>
      </c>
      <c r="C6153" s="0" t="str">
        <f aca="false">INDEX(Intent_Analysis!$B$5:$B$81,MATCH(B6153,Intent_Analysis!$A$5:$A$81,0))</f>
        <v>Account &amp; identity</v>
      </c>
      <c r="D6153" s="0" t="n">
        <f aca="false">INDEX(Intent_Analysis!$E$5:$E$81,MATCH(B6153,Intent_Analysis!$A$5:$A$81,0))</f>
        <v>3</v>
      </c>
    </row>
    <row r="6154" customFormat="false" ht="15" hidden="false" customHeight="false" outlineLevel="0" collapsed="false">
      <c r="A6154" s="0" t="s">
        <v>6478</v>
      </c>
      <c r="B6154" s="0" t="s">
        <v>40</v>
      </c>
      <c r="C6154" s="0" t="str">
        <f aca="false">INDEX(Intent_Analysis!$B$5:$B$81,MATCH(B6154,Intent_Analysis!$A$5:$A$81,0))</f>
        <v>Account &amp; identity</v>
      </c>
      <c r="D6154" s="0" t="n">
        <f aca="false">INDEX(Intent_Analysis!$E$5:$E$81,MATCH(B6154,Intent_Analysis!$A$5:$A$81,0))</f>
        <v>3</v>
      </c>
    </row>
    <row r="6155" customFormat="false" ht="15" hidden="false" customHeight="false" outlineLevel="0" collapsed="false">
      <c r="A6155" s="0" t="s">
        <v>6479</v>
      </c>
      <c r="B6155" s="0" t="s">
        <v>40</v>
      </c>
      <c r="C6155" s="0" t="str">
        <f aca="false">INDEX(Intent_Analysis!$B$5:$B$81,MATCH(B6155,Intent_Analysis!$A$5:$A$81,0))</f>
        <v>Account &amp; identity</v>
      </c>
      <c r="D6155" s="0" t="n">
        <f aca="false">INDEX(Intent_Analysis!$E$5:$E$81,MATCH(B6155,Intent_Analysis!$A$5:$A$81,0))</f>
        <v>3</v>
      </c>
    </row>
    <row r="6156" customFormat="false" ht="15" hidden="false" customHeight="false" outlineLevel="0" collapsed="false">
      <c r="A6156" s="0" t="s">
        <v>6480</v>
      </c>
      <c r="B6156" s="0" t="s">
        <v>40</v>
      </c>
      <c r="C6156" s="0" t="str">
        <f aca="false">INDEX(Intent_Analysis!$B$5:$B$81,MATCH(B6156,Intent_Analysis!$A$5:$A$81,0))</f>
        <v>Account &amp; identity</v>
      </c>
      <c r="D6156" s="0" t="n">
        <f aca="false">INDEX(Intent_Analysis!$E$5:$E$81,MATCH(B6156,Intent_Analysis!$A$5:$A$81,0))</f>
        <v>3</v>
      </c>
    </row>
    <row r="6157" customFormat="false" ht="15" hidden="false" customHeight="false" outlineLevel="0" collapsed="false">
      <c r="A6157" s="0" t="s">
        <v>6481</v>
      </c>
      <c r="B6157" s="0" t="s">
        <v>40</v>
      </c>
      <c r="C6157" s="0" t="str">
        <f aca="false">INDEX(Intent_Analysis!$B$5:$B$81,MATCH(B6157,Intent_Analysis!$A$5:$A$81,0))</f>
        <v>Account &amp; identity</v>
      </c>
      <c r="D6157" s="0" t="n">
        <f aca="false">INDEX(Intent_Analysis!$E$5:$E$81,MATCH(B6157,Intent_Analysis!$A$5:$A$81,0))</f>
        <v>3</v>
      </c>
    </row>
    <row r="6158" customFormat="false" ht="15" hidden="false" customHeight="false" outlineLevel="0" collapsed="false">
      <c r="A6158" s="0" t="s">
        <v>6482</v>
      </c>
      <c r="B6158" s="0" t="s">
        <v>40</v>
      </c>
      <c r="C6158" s="0" t="str">
        <f aca="false">INDEX(Intent_Analysis!$B$5:$B$81,MATCH(B6158,Intent_Analysis!$A$5:$A$81,0))</f>
        <v>Account &amp; identity</v>
      </c>
      <c r="D6158" s="0" t="n">
        <f aca="false">INDEX(Intent_Analysis!$E$5:$E$81,MATCH(B6158,Intent_Analysis!$A$5:$A$81,0))</f>
        <v>3</v>
      </c>
    </row>
    <row r="6159" customFormat="false" ht="15" hidden="false" customHeight="false" outlineLevel="0" collapsed="false">
      <c r="A6159" s="0" t="s">
        <v>6483</v>
      </c>
      <c r="B6159" s="0" t="s">
        <v>40</v>
      </c>
      <c r="C6159" s="0" t="str">
        <f aca="false">INDEX(Intent_Analysis!$B$5:$B$81,MATCH(B6159,Intent_Analysis!$A$5:$A$81,0))</f>
        <v>Account &amp; identity</v>
      </c>
      <c r="D6159" s="0" t="n">
        <f aca="false">INDEX(Intent_Analysis!$E$5:$E$81,MATCH(B6159,Intent_Analysis!$A$5:$A$81,0))</f>
        <v>3</v>
      </c>
    </row>
    <row r="6160" customFormat="false" ht="15" hidden="false" customHeight="false" outlineLevel="0" collapsed="false">
      <c r="A6160" s="0" t="s">
        <v>6484</v>
      </c>
      <c r="B6160" s="0" t="s">
        <v>40</v>
      </c>
      <c r="C6160" s="0" t="str">
        <f aca="false">INDEX(Intent_Analysis!$B$5:$B$81,MATCH(B6160,Intent_Analysis!$A$5:$A$81,0))</f>
        <v>Account &amp; identity</v>
      </c>
      <c r="D6160" s="0" t="n">
        <f aca="false">INDEX(Intent_Analysis!$E$5:$E$81,MATCH(B6160,Intent_Analysis!$A$5:$A$81,0))</f>
        <v>3</v>
      </c>
    </row>
    <row r="6161" customFormat="false" ht="15" hidden="false" customHeight="false" outlineLevel="0" collapsed="false">
      <c r="A6161" s="0" t="s">
        <v>6485</v>
      </c>
      <c r="B6161" s="0" t="s">
        <v>40</v>
      </c>
      <c r="C6161" s="0" t="str">
        <f aca="false">INDEX(Intent_Analysis!$B$5:$B$81,MATCH(B6161,Intent_Analysis!$A$5:$A$81,0))</f>
        <v>Account &amp; identity</v>
      </c>
      <c r="D6161" s="0" t="n">
        <f aca="false">INDEX(Intent_Analysis!$E$5:$E$81,MATCH(B6161,Intent_Analysis!$A$5:$A$81,0))</f>
        <v>3</v>
      </c>
    </row>
    <row r="6162" customFormat="false" ht="15" hidden="false" customHeight="false" outlineLevel="0" collapsed="false">
      <c r="A6162" s="0" t="s">
        <v>6486</v>
      </c>
      <c r="B6162" s="0" t="s">
        <v>40</v>
      </c>
      <c r="C6162" s="0" t="str">
        <f aca="false">INDEX(Intent_Analysis!$B$5:$B$81,MATCH(B6162,Intent_Analysis!$A$5:$A$81,0))</f>
        <v>Account &amp; identity</v>
      </c>
      <c r="D6162" s="0" t="n">
        <f aca="false">INDEX(Intent_Analysis!$E$5:$E$81,MATCH(B6162,Intent_Analysis!$A$5:$A$81,0))</f>
        <v>3</v>
      </c>
    </row>
    <row r="6163" customFormat="false" ht="15" hidden="false" customHeight="false" outlineLevel="0" collapsed="false">
      <c r="A6163" s="0" t="s">
        <v>6487</v>
      </c>
      <c r="B6163" s="0" t="s">
        <v>40</v>
      </c>
      <c r="C6163" s="0" t="str">
        <f aca="false">INDEX(Intent_Analysis!$B$5:$B$81,MATCH(B6163,Intent_Analysis!$A$5:$A$81,0))</f>
        <v>Account &amp; identity</v>
      </c>
      <c r="D6163" s="0" t="n">
        <f aca="false">INDEX(Intent_Analysis!$E$5:$E$81,MATCH(B6163,Intent_Analysis!$A$5:$A$81,0))</f>
        <v>3</v>
      </c>
    </row>
    <row r="6164" customFormat="false" ht="15" hidden="false" customHeight="false" outlineLevel="0" collapsed="false">
      <c r="A6164" s="0" t="s">
        <v>6488</v>
      </c>
      <c r="B6164" s="0" t="s">
        <v>40</v>
      </c>
      <c r="C6164" s="0" t="str">
        <f aca="false">INDEX(Intent_Analysis!$B$5:$B$81,MATCH(B6164,Intent_Analysis!$A$5:$A$81,0))</f>
        <v>Account &amp; identity</v>
      </c>
      <c r="D6164" s="0" t="n">
        <f aca="false">INDEX(Intent_Analysis!$E$5:$E$81,MATCH(B6164,Intent_Analysis!$A$5:$A$81,0))</f>
        <v>3</v>
      </c>
    </row>
    <row r="6165" customFormat="false" ht="15" hidden="false" customHeight="false" outlineLevel="0" collapsed="false">
      <c r="A6165" s="0" t="s">
        <v>6489</v>
      </c>
      <c r="B6165" s="0" t="s">
        <v>40</v>
      </c>
      <c r="C6165" s="0" t="str">
        <f aca="false">INDEX(Intent_Analysis!$B$5:$B$81,MATCH(B6165,Intent_Analysis!$A$5:$A$81,0))</f>
        <v>Account &amp; identity</v>
      </c>
      <c r="D6165" s="0" t="n">
        <f aca="false">INDEX(Intent_Analysis!$E$5:$E$81,MATCH(B6165,Intent_Analysis!$A$5:$A$81,0))</f>
        <v>3</v>
      </c>
    </row>
    <row r="6166" customFormat="false" ht="15" hidden="false" customHeight="false" outlineLevel="0" collapsed="false">
      <c r="A6166" s="0" t="s">
        <v>6490</v>
      </c>
      <c r="B6166" s="0" t="s">
        <v>40</v>
      </c>
      <c r="C6166" s="0" t="str">
        <f aca="false">INDEX(Intent_Analysis!$B$5:$B$81,MATCH(B6166,Intent_Analysis!$A$5:$A$81,0))</f>
        <v>Account &amp; identity</v>
      </c>
      <c r="D6166" s="0" t="n">
        <f aca="false">INDEX(Intent_Analysis!$E$5:$E$81,MATCH(B6166,Intent_Analysis!$A$5:$A$81,0))</f>
        <v>3</v>
      </c>
    </row>
    <row r="6167" customFormat="false" ht="15" hidden="false" customHeight="false" outlineLevel="0" collapsed="false">
      <c r="A6167" s="0" t="s">
        <v>6491</v>
      </c>
      <c r="B6167" s="0" t="s">
        <v>40</v>
      </c>
      <c r="C6167" s="0" t="str">
        <f aca="false">INDEX(Intent_Analysis!$B$5:$B$81,MATCH(B6167,Intent_Analysis!$A$5:$A$81,0))</f>
        <v>Account &amp; identity</v>
      </c>
      <c r="D6167" s="0" t="n">
        <f aca="false">INDEX(Intent_Analysis!$E$5:$E$81,MATCH(B6167,Intent_Analysis!$A$5:$A$81,0))</f>
        <v>3</v>
      </c>
    </row>
    <row r="6168" customFormat="false" ht="15" hidden="false" customHeight="false" outlineLevel="0" collapsed="false">
      <c r="A6168" s="0" t="s">
        <v>6492</v>
      </c>
      <c r="B6168" s="0" t="s">
        <v>40</v>
      </c>
      <c r="C6168" s="0" t="str">
        <f aca="false">INDEX(Intent_Analysis!$B$5:$B$81,MATCH(B6168,Intent_Analysis!$A$5:$A$81,0))</f>
        <v>Account &amp; identity</v>
      </c>
      <c r="D6168" s="0" t="n">
        <f aca="false">INDEX(Intent_Analysis!$E$5:$E$81,MATCH(B6168,Intent_Analysis!$A$5:$A$81,0))</f>
        <v>3</v>
      </c>
    </row>
    <row r="6169" customFormat="false" ht="15" hidden="false" customHeight="false" outlineLevel="0" collapsed="false">
      <c r="A6169" s="0" t="s">
        <v>6493</v>
      </c>
      <c r="B6169" s="0" t="s">
        <v>40</v>
      </c>
      <c r="C6169" s="0" t="str">
        <f aca="false">INDEX(Intent_Analysis!$B$5:$B$81,MATCH(B6169,Intent_Analysis!$A$5:$A$81,0))</f>
        <v>Account &amp; identity</v>
      </c>
      <c r="D6169" s="0" t="n">
        <f aca="false">INDEX(Intent_Analysis!$E$5:$E$81,MATCH(B6169,Intent_Analysis!$A$5:$A$81,0))</f>
        <v>3</v>
      </c>
    </row>
    <row r="6170" customFormat="false" ht="15" hidden="false" customHeight="false" outlineLevel="0" collapsed="false">
      <c r="A6170" s="0" t="s">
        <v>6494</v>
      </c>
      <c r="B6170" s="0" t="s">
        <v>40</v>
      </c>
      <c r="C6170" s="0" t="str">
        <f aca="false">INDEX(Intent_Analysis!$B$5:$B$81,MATCH(B6170,Intent_Analysis!$A$5:$A$81,0))</f>
        <v>Account &amp; identity</v>
      </c>
      <c r="D6170" s="0" t="n">
        <f aca="false">INDEX(Intent_Analysis!$E$5:$E$81,MATCH(B6170,Intent_Analysis!$A$5:$A$81,0))</f>
        <v>3</v>
      </c>
    </row>
    <row r="6171" customFormat="false" ht="15" hidden="false" customHeight="false" outlineLevel="0" collapsed="false">
      <c r="A6171" s="0" t="s">
        <v>6495</v>
      </c>
      <c r="B6171" s="0" t="s">
        <v>40</v>
      </c>
      <c r="C6171" s="0" t="str">
        <f aca="false">INDEX(Intent_Analysis!$B$5:$B$81,MATCH(B6171,Intent_Analysis!$A$5:$A$81,0))</f>
        <v>Account &amp; identity</v>
      </c>
      <c r="D6171" s="0" t="n">
        <f aca="false">INDEX(Intent_Analysis!$E$5:$E$81,MATCH(B6171,Intent_Analysis!$A$5:$A$81,0))</f>
        <v>3</v>
      </c>
    </row>
    <row r="6172" customFormat="false" ht="15" hidden="false" customHeight="false" outlineLevel="0" collapsed="false">
      <c r="A6172" s="0" t="s">
        <v>6496</v>
      </c>
      <c r="B6172" s="0" t="s">
        <v>40</v>
      </c>
      <c r="C6172" s="0" t="str">
        <f aca="false">INDEX(Intent_Analysis!$B$5:$B$81,MATCH(B6172,Intent_Analysis!$A$5:$A$81,0))</f>
        <v>Account &amp; identity</v>
      </c>
      <c r="D6172" s="0" t="n">
        <f aca="false">INDEX(Intent_Analysis!$E$5:$E$81,MATCH(B6172,Intent_Analysis!$A$5:$A$81,0))</f>
        <v>3</v>
      </c>
    </row>
    <row r="6173" customFormat="false" ht="15" hidden="false" customHeight="false" outlineLevel="0" collapsed="false">
      <c r="A6173" s="0" t="s">
        <v>6497</v>
      </c>
      <c r="B6173" s="0" t="s">
        <v>40</v>
      </c>
      <c r="C6173" s="0" t="str">
        <f aca="false">INDEX(Intent_Analysis!$B$5:$B$81,MATCH(B6173,Intent_Analysis!$A$5:$A$81,0))</f>
        <v>Account &amp; identity</v>
      </c>
      <c r="D6173" s="0" t="n">
        <f aca="false">INDEX(Intent_Analysis!$E$5:$E$81,MATCH(B6173,Intent_Analysis!$A$5:$A$81,0))</f>
        <v>3</v>
      </c>
    </row>
    <row r="6174" customFormat="false" ht="15" hidden="false" customHeight="false" outlineLevel="0" collapsed="false">
      <c r="A6174" s="0" t="s">
        <v>6498</v>
      </c>
      <c r="B6174" s="0" t="s">
        <v>40</v>
      </c>
      <c r="C6174" s="0" t="str">
        <f aca="false">INDEX(Intent_Analysis!$B$5:$B$81,MATCH(B6174,Intent_Analysis!$A$5:$A$81,0))</f>
        <v>Account &amp; identity</v>
      </c>
      <c r="D6174" s="0" t="n">
        <f aca="false">INDEX(Intent_Analysis!$E$5:$E$81,MATCH(B6174,Intent_Analysis!$A$5:$A$81,0))</f>
        <v>3</v>
      </c>
    </row>
    <row r="6175" customFormat="false" ht="15" hidden="false" customHeight="false" outlineLevel="0" collapsed="false">
      <c r="A6175" s="0" t="s">
        <v>6499</v>
      </c>
      <c r="B6175" s="0" t="s">
        <v>40</v>
      </c>
      <c r="C6175" s="0" t="str">
        <f aca="false">INDEX(Intent_Analysis!$B$5:$B$81,MATCH(B6175,Intent_Analysis!$A$5:$A$81,0))</f>
        <v>Account &amp; identity</v>
      </c>
      <c r="D6175" s="0" t="n">
        <f aca="false">INDEX(Intent_Analysis!$E$5:$E$81,MATCH(B6175,Intent_Analysis!$A$5:$A$81,0))</f>
        <v>3</v>
      </c>
    </row>
    <row r="6176" customFormat="false" ht="15" hidden="false" customHeight="false" outlineLevel="0" collapsed="false">
      <c r="A6176" s="0" t="s">
        <v>6500</v>
      </c>
      <c r="B6176" s="0" t="s">
        <v>40</v>
      </c>
      <c r="C6176" s="0" t="str">
        <f aca="false">INDEX(Intent_Analysis!$B$5:$B$81,MATCH(B6176,Intent_Analysis!$A$5:$A$81,0))</f>
        <v>Account &amp; identity</v>
      </c>
      <c r="D6176" s="0" t="n">
        <f aca="false">INDEX(Intent_Analysis!$E$5:$E$81,MATCH(B6176,Intent_Analysis!$A$5:$A$81,0))</f>
        <v>3</v>
      </c>
    </row>
    <row r="6177" customFormat="false" ht="15" hidden="false" customHeight="false" outlineLevel="0" collapsed="false">
      <c r="A6177" s="0" t="s">
        <v>6501</v>
      </c>
      <c r="B6177" s="0" t="s">
        <v>40</v>
      </c>
      <c r="C6177" s="0" t="str">
        <f aca="false">INDEX(Intent_Analysis!$B$5:$B$81,MATCH(B6177,Intent_Analysis!$A$5:$A$81,0))</f>
        <v>Account &amp; identity</v>
      </c>
      <c r="D6177" s="0" t="n">
        <f aca="false">INDEX(Intent_Analysis!$E$5:$E$81,MATCH(B6177,Intent_Analysis!$A$5:$A$81,0))</f>
        <v>3</v>
      </c>
    </row>
    <row r="6178" customFormat="false" ht="15" hidden="false" customHeight="false" outlineLevel="0" collapsed="false">
      <c r="A6178" s="0" t="s">
        <v>6502</v>
      </c>
      <c r="B6178" s="0" t="s">
        <v>40</v>
      </c>
      <c r="C6178" s="0" t="str">
        <f aca="false">INDEX(Intent_Analysis!$B$5:$B$81,MATCH(B6178,Intent_Analysis!$A$5:$A$81,0))</f>
        <v>Account &amp; identity</v>
      </c>
      <c r="D6178" s="0" t="n">
        <f aca="false">INDEX(Intent_Analysis!$E$5:$E$81,MATCH(B6178,Intent_Analysis!$A$5:$A$81,0))</f>
        <v>3</v>
      </c>
    </row>
    <row r="6179" customFormat="false" ht="15" hidden="false" customHeight="false" outlineLevel="0" collapsed="false">
      <c r="A6179" s="0" t="s">
        <v>6503</v>
      </c>
      <c r="B6179" s="0" t="s">
        <v>40</v>
      </c>
      <c r="C6179" s="0" t="str">
        <f aca="false">INDEX(Intent_Analysis!$B$5:$B$81,MATCH(B6179,Intent_Analysis!$A$5:$A$81,0))</f>
        <v>Account &amp; identity</v>
      </c>
      <c r="D6179" s="0" t="n">
        <f aca="false">INDEX(Intent_Analysis!$E$5:$E$81,MATCH(B6179,Intent_Analysis!$A$5:$A$81,0))</f>
        <v>3</v>
      </c>
    </row>
    <row r="6180" customFormat="false" ht="15" hidden="false" customHeight="false" outlineLevel="0" collapsed="false">
      <c r="A6180" s="0" t="s">
        <v>6504</v>
      </c>
      <c r="B6180" s="0" t="s">
        <v>40</v>
      </c>
      <c r="C6180" s="0" t="str">
        <f aca="false">INDEX(Intent_Analysis!$B$5:$B$81,MATCH(B6180,Intent_Analysis!$A$5:$A$81,0))</f>
        <v>Account &amp; identity</v>
      </c>
      <c r="D6180" s="0" t="n">
        <f aca="false">INDEX(Intent_Analysis!$E$5:$E$81,MATCH(B6180,Intent_Analysis!$A$5:$A$81,0))</f>
        <v>3</v>
      </c>
    </row>
    <row r="6181" customFormat="false" ht="15" hidden="false" customHeight="false" outlineLevel="0" collapsed="false">
      <c r="A6181" s="0" t="s">
        <v>6505</v>
      </c>
      <c r="B6181" s="0" t="s">
        <v>40</v>
      </c>
      <c r="C6181" s="0" t="str">
        <f aca="false">INDEX(Intent_Analysis!$B$5:$B$81,MATCH(B6181,Intent_Analysis!$A$5:$A$81,0))</f>
        <v>Account &amp; identity</v>
      </c>
      <c r="D6181" s="0" t="n">
        <f aca="false">INDEX(Intent_Analysis!$E$5:$E$81,MATCH(B6181,Intent_Analysis!$A$5:$A$81,0))</f>
        <v>3</v>
      </c>
    </row>
    <row r="6182" customFormat="false" ht="15" hidden="false" customHeight="false" outlineLevel="0" collapsed="false">
      <c r="A6182" s="0" t="s">
        <v>6506</v>
      </c>
      <c r="B6182" s="0" t="s">
        <v>40</v>
      </c>
      <c r="C6182" s="0" t="str">
        <f aca="false">INDEX(Intent_Analysis!$B$5:$B$81,MATCH(B6182,Intent_Analysis!$A$5:$A$81,0))</f>
        <v>Account &amp; identity</v>
      </c>
      <c r="D6182" s="0" t="n">
        <f aca="false">INDEX(Intent_Analysis!$E$5:$E$81,MATCH(B6182,Intent_Analysis!$A$5:$A$81,0))</f>
        <v>3</v>
      </c>
    </row>
    <row r="6183" customFormat="false" ht="15" hidden="false" customHeight="false" outlineLevel="0" collapsed="false">
      <c r="A6183" s="0" t="s">
        <v>6507</v>
      </c>
      <c r="B6183" s="0" t="s">
        <v>40</v>
      </c>
      <c r="C6183" s="0" t="str">
        <f aca="false">INDEX(Intent_Analysis!$B$5:$B$81,MATCH(B6183,Intent_Analysis!$A$5:$A$81,0))</f>
        <v>Account &amp; identity</v>
      </c>
      <c r="D6183" s="0" t="n">
        <f aca="false">INDEX(Intent_Analysis!$E$5:$E$81,MATCH(B6183,Intent_Analysis!$A$5:$A$81,0))</f>
        <v>3</v>
      </c>
    </row>
    <row r="6184" customFormat="false" ht="15" hidden="false" customHeight="false" outlineLevel="0" collapsed="false">
      <c r="A6184" s="0" t="s">
        <v>6508</v>
      </c>
      <c r="B6184" s="0" t="s">
        <v>40</v>
      </c>
      <c r="C6184" s="0" t="str">
        <f aca="false">INDEX(Intent_Analysis!$B$5:$B$81,MATCH(B6184,Intent_Analysis!$A$5:$A$81,0))</f>
        <v>Account &amp; identity</v>
      </c>
      <c r="D6184" s="0" t="n">
        <f aca="false">INDEX(Intent_Analysis!$E$5:$E$81,MATCH(B6184,Intent_Analysis!$A$5:$A$81,0))</f>
        <v>3</v>
      </c>
    </row>
    <row r="6185" customFormat="false" ht="15" hidden="false" customHeight="false" outlineLevel="0" collapsed="false">
      <c r="A6185" s="0" t="s">
        <v>6509</v>
      </c>
      <c r="B6185" s="0" t="s">
        <v>40</v>
      </c>
      <c r="C6185" s="0" t="str">
        <f aca="false">INDEX(Intent_Analysis!$B$5:$B$81,MATCH(B6185,Intent_Analysis!$A$5:$A$81,0))</f>
        <v>Account &amp; identity</v>
      </c>
      <c r="D6185" s="0" t="n">
        <f aca="false">INDEX(Intent_Analysis!$E$5:$E$81,MATCH(B6185,Intent_Analysis!$A$5:$A$81,0))</f>
        <v>3</v>
      </c>
    </row>
    <row r="6186" customFormat="false" ht="15" hidden="false" customHeight="false" outlineLevel="0" collapsed="false">
      <c r="A6186" s="0" t="s">
        <v>6510</v>
      </c>
      <c r="B6186" s="0" t="s">
        <v>40</v>
      </c>
      <c r="C6186" s="0" t="str">
        <f aca="false">INDEX(Intent_Analysis!$B$5:$B$81,MATCH(B6186,Intent_Analysis!$A$5:$A$81,0))</f>
        <v>Account &amp; identity</v>
      </c>
      <c r="D6186" s="0" t="n">
        <f aca="false">INDEX(Intent_Analysis!$E$5:$E$81,MATCH(B6186,Intent_Analysis!$A$5:$A$81,0))</f>
        <v>3</v>
      </c>
    </row>
    <row r="6187" customFormat="false" ht="15" hidden="false" customHeight="false" outlineLevel="0" collapsed="false">
      <c r="A6187" s="0" t="s">
        <v>6511</v>
      </c>
      <c r="B6187" s="0" t="s">
        <v>40</v>
      </c>
      <c r="C6187" s="0" t="str">
        <f aca="false">INDEX(Intent_Analysis!$B$5:$B$81,MATCH(B6187,Intent_Analysis!$A$5:$A$81,0))</f>
        <v>Account &amp; identity</v>
      </c>
      <c r="D6187" s="0" t="n">
        <f aca="false">INDEX(Intent_Analysis!$E$5:$E$81,MATCH(B6187,Intent_Analysis!$A$5:$A$81,0))</f>
        <v>3</v>
      </c>
    </row>
    <row r="6188" customFormat="false" ht="15" hidden="false" customHeight="false" outlineLevel="0" collapsed="false">
      <c r="A6188" s="0" t="s">
        <v>6512</v>
      </c>
      <c r="B6188" s="0" t="s">
        <v>40</v>
      </c>
      <c r="C6188" s="0" t="str">
        <f aca="false">INDEX(Intent_Analysis!$B$5:$B$81,MATCH(B6188,Intent_Analysis!$A$5:$A$81,0))</f>
        <v>Account &amp; identity</v>
      </c>
      <c r="D6188" s="0" t="n">
        <f aca="false">INDEX(Intent_Analysis!$E$5:$E$81,MATCH(B6188,Intent_Analysis!$A$5:$A$81,0))</f>
        <v>3</v>
      </c>
    </row>
    <row r="6189" customFormat="false" ht="15" hidden="false" customHeight="false" outlineLevel="0" collapsed="false">
      <c r="A6189" s="0" t="s">
        <v>6513</v>
      </c>
      <c r="B6189" s="0" t="s">
        <v>40</v>
      </c>
      <c r="C6189" s="0" t="str">
        <f aca="false">INDEX(Intent_Analysis!$B$5:$B$81,MATCH(B6189,Intent_Analysis!$A$5:$A$81,0))</f>
        <v>Account &amp; identity</v>
      </c>
      <c r="D6189" s="0" t="n">
        <f aca="false">INDEX(Intent_Analysis!$E$5:$E$81,MATCH(B6189,Intent_Analysis!$A$5:$A$81,0))</f>
        <v>3</v>
      </c>
    </row>
    <row r="6190" customFormat="false" ht="15" hidden="false" customHeight="false" outlineLevel="0" collapsed="false">
      <c r="A6190" s="0" t="s">
        <v>6514</v>
      </c>
      <c r="B6190" s="0" t="s">
        <v>40</v>
      </c>
      <c r="C6190" s="0" t="str">
        <f aca="false">INDEX(Intent_Analysis!$B$5:$B$81,MATCH(B6190,Intent_Analysis!$A$5:$A$81,0))</f>
        <v>Account &amp; identity</v>
      </c>
      <c r="D6190" s="0" t="n">
        <f aca="false">INDEX(Intent_Analysis!$E$5:$E$81,MATCH(B6190,Intent_Analysis!$A$5:$A$81,0))</f>
        <v>3</v>
      </c>
    </row>
    <row r="6191" customFormat="false" ht="15" hidden="false" customHeight="false" outlineLevel="0" collapsed="false">
      <c r="A6191" s="0" t="s">
        <v>6515</v>
      </c>
      <c r="B6191" s="0" t="s">
        <v>40</v>
      </c>
      <c r="C6191" s="0" t="str">
        <f aca="false">INDEX(Intent_Analysis!$B$5:$B$81,MATCH(B6191,Intent_Analysis!$A$5:$A$81,0))</f>
        <v>Account &amp; identity</v>
      </c>
      <c r="D6191" s="0" t="n">
        <f aca="false">INDEX(Intent_Analysis!$E$5:$E$81,MATCH(B6191,Intent_Analysis!$A$5:$A$81,0))</f>
        <v>3</v>
      </c>
    </row>
    <row r="6192" customFormat="false" ht="15" hidden="false" customHeight="false" outlineLevel="0" collapsed="false">
      <c r="A6192" s="0" t="s">
        <v>6516</v>
      </c>
      <c r="B6192" s="0" t="s">
        <v>40</v>
      </c>
      <c r="C6192" s="0" t="str">
        <f aca="false">INDEX(Intent_Analysis!$B$5:$B$81,MATCH(B6192,Intent_Analysis!$A$5:$A$81,0))</f>
        <v>Account &amp; identity</v>
      </c>
      <c r="D6192" s="0" t="n">
        <f aca="false">INDEX(Intent_Analysis!$E$5:$E$81,MATCH(B6192,Intent_Analysis!$A$5:$A$81,0))</f>
        <v>3</v>
      </c>
    </row>
    <row r="6193" customFormat="false" ht="15" hidden="false" customHeight="false" outlineLevel="0" collapsed="false">
      <c r="A6193" s="0" t="s">
        <v>6517</v>
      </c>
      <c r="B6193" s="0" t="s">
        <v>40</v>
      </c>
      <c r="C6193" s="0" t="str">
        <f aca="false">INDEX(Intent_Analysis!$B$5:$B$81,MATCH(B6193,Intent_Analysis!$A$5:$A$81,0))</f>
        <v>Account &amp; identity</v>
      </c>
      <c r="D6193" s="0" t="n">
        <f aca="false">INDEX(Intent_Analysis!$E$5:$E$81,MATCH(B6193,Intent_Analysis!$A$5:$A$81,0))</f>
        <v>3</v>
      </c>
    </row>
    <row r="6194" customFormat="false" ht="15" hidden="false" customHeight="false" outlineLevel="0" collapsed="false">
      <c r="A6194" s="0" t="s">
        <v>6518</v>
      </c>
      <c r="B6194" s="0" t="s">
        <v>40</v>
      </c>
      <c r="C6194" s="0" t="str">
        <f aca="false">INDEX(Intent_Analysis!$B$5:$B$81,MATCH(B6194,Intent_Analysis!$A$5:$A$81,0))</f>
        <v>Account &amp; identity</v>
      </c>
      <c r="D6194" s="0" t="n">
        <f aca="false">INDEX(Intent_Analysis!$E$5:$E$81,MATCH(B6194,Intent_Analysis!$A$5:$A$81,0))</f>
        <v>3</v>
      </c>
    </row>
    <row r="6195" customFormat="false" ht="15" hidden="false" customHeight="false" outlineLevel="0" collapsed="false">
      <c r="A6195" s="0" t="s">
        <v>6519</v>
      </c>
      <c r="B6195" s="0" t="s">
        <v>40</v>
      </c>
      <c r="C6195" s="0" t="str">
        <f aca="false">INDEX(Intent_Analysis!$B$5:$B$81,MATCH(B6195,Intent_Analysis!$A$5:$A$81,0))</f>
        <v>Account &amp; identity</v>
      </c>
      <c r="D6195" s="0" t="n">
        <f aca="false">INDEX(Intent_Analysis!$E$5:$E$81,MATCH(B6195,Intent_Analysis!$A$5:$A$81,0))</f>
        <v>3</v>
      </c>
    </row>
    <row r="6196" customFormat="false" ht="15" hidden="false" customHeight="false" outlineLevel="0" collapsed="false">
      <c r="A6196" s="0" t="s">
        <v>6520</v>
      </c>
      <c r="B6196" s="0" t="s">
        <v>40</v>
      </c>
      <c r="C6196" s="0" t="str">
        <f aca="false">INDEX(Intent_Analysis!$B$5:$B$81,MATCH(B6196,Intent_Analysis!$A$5:$A$81,0))</f>
        <v>Account &amp; identity</v>
      </c>
      <c r="D6196" s="0" t="n">
        <f aca="false">INDEX(Intent_Analysis!$E$5:$E$81,MATCH(B6196,Intent_Analysis!$A$5:$A$81,0))</f>
        <v>3</v>
      </c>
    </row>
    <row r="6197" customFormat="false" ht="15" hidden="false" customHeight="false" outlineLevel="0" collapsed="false">
      <c r="A6197" s="0" t="s">
        <v>6521</v>
      </c>
      <c r="B6197" s="0" t="s">
        <v>40</v>
      </c>
      <c r="C6197" s="0" t="str">
        <f aca="false">INDEX(Intent_Analysis!$B$5:$B$81,MATCH(B6197,Intent_Analysis!$A$5:$A$81,0))</f>
        <v>Account &amp; identity</v>
      </c>
      <c r="D6197" s="0" t="n">
        <f aca="false">INDEX(Intent_Analysis!$E$5:$E$81,MATCH(B6197,Intent_Analysis!$A$5:$A$81,0))</f>
        <v>3</v>
      </c>
    </row>
    <row r="6198" customFormat="false" ht="15" hidden="false" customHeight="false" outlineLevel="0" collapsed="false">
      <c r="A6198" s="0" t="s">
        <v>6522</v>
      </c>
      <c r="B6198" s="0" t="s">
        <v>40</v>
      </c>
      <c r="C6198" s="0" t="str">
        <f aca="false">INDEX(Intent_Analysis!$B$5:$B$81,MATCH(B6198,Intent_Analysis!$A$5:$A$81,0))</f>
        <v>Account &amp; identity</v>
      </c>
      <c r="D6198" s="0" t="n">
        <f aca="false">INDEX(Intent_Analysis!$E$5:$E$81,MATCH(B6198,Intent_Analysis!$A$5:$A$81,0))</f>
        <v>3</v>
      </c>
    </row>
    <row r="6199" customFormat="false" ht="15" hidden="false" customHeight="false" outlineLevel="0" collapsed="false">
      <c r="A6199" s="0" t="s">
        <v>6523</v>
      </c>
      <c r="B6199" s="0" t="s">
        <v>40</v>
      </c>
      <c r="C6199" s="0" t="str">
        <f aca="false">INDEX(Intent_Analysis!$B$5:$B$81,MATCH(B6199,Intent_Analysis!$A$5:$A$81,0))</f>
        <v>Account &amp; identity</v>
      </c>
      <c r="D6199" s="0" t="n">
        <f aca="false">INDEX(Intent_Analysis!$E$5:$E$81,MATCH(B6199,Intent_Analysis!$A$5:$A$81,0))</f>
        <v>3</v>
      </c>
    </row>
    <row r="6200" customFormat="false" ht="15" hidden="false" customHeight="false" outlineLevel="0" collapsed="false">
      <c r="A6200" s="0" t="s">
        <v>6524</v>
      </c>
      <c r="B6200" s="0" t="s">
        <v>40</v>
      </c>
      <c r="C6200" s="0" t="str">
        <f aca="false">INDEX(Intent_Analysis!$B$5:$B$81,MATCH(B6200,Intent_Analysis!$A$5:$A$81,0))</f>
        <v>Account &amp; identity</v>
      </c>
      <c r="D6200" s="0" t="n">
        <f aca="false">INDEX(Intent_Analysis!$E$5:$E$81,MATCH(B6200,Intent_Analysis!$A$5:$A$81,0))</f>
        <v>3</v>
      </c>
    </row>
    <row r="6201" customFormat="false" ht="15" hidden="false" customHeight="false" outlineLevel="0" collapsed="false">
      <c r="A6201" s="0" t="s">
        <v>6525</v>
      </c>
      <c r="B6201" s="0" t="s">
        <v>40</v>
      </c>
      <c r="C6201" s="0" t="str">
        <f aca="false">INDEX(Intent_Analysis!$B$5:$B$81,MATCH(B6201,Intent_Analysis!$A$5:$A$81,0))</f>
        <v>Account &amp; identity</v>
      </c>
      <c r="D6201" s="0" t="n">
        <f aca="false">INDEX(Intent_Analysis!$E$5:$E$81,MATCH(B6201,Intent_Analysis!$A$5:$A$81,0))</f>
        <v>3</v>
      </c>
    </row>
    <row r="6202" customFormat="false" ht="15" hidden="false" customHeight="false" outlineLevel="0" collapsed="false">
      <c r="A6202" s="0" t="s">
        <v>6526</v>
      </c>
      <c r="B6202" s="0" t="s">
        <v>40</v>
      </c>
      <c r="C6202" s="0" t="str">
        <f aca="false">INDEX(Intent_Analysis!$B$5:$B$81,MATCH(B6202,Intent_Analysis!$A$5:$A$81,0))</f>
        <v>Account &amp; identity</v>
      </c>
      <c r="D6202" s="0" t="n">
        <f aca="false">INDEX(Intent_Analysis!$E$5:$E$81,MATCH(B6202,Intent_Analysis!$A$5:$A$81,0))</f>
        <v>3</v>
      </c>
    </row>
    <row r="6203" customFormat="false" ht="15" hidden="false" customHeight="false" outlineLevel="0" collapsed="false">
      <c r="A6203" s="0" t="s">
        <v>6527</v>
      </c>
      <c r="B6203" s="0" t="s">
        <v>40</v>
      </c>
      <c r="C6203" s="0" t="str">
        <f aca="false">INDEX(Intent_Analysis!$B$5:$B$81,MATCH(B6203,Intent_Analysis!$A$5:$A$81,0))</f>
        <v>Account &amp; identity</v>
      </c>
      <c r="D6203" s="0" t="n">
        <f aca="false">INDEX(Intent_Analysis!$E$5:$E$81,MATCH(B6203,Intent_Analysis!$A$5:$A$81,0))</f>
        <v>3</v>
      </c>
    </row>
    <row r="6204" customFormat="false" ht="15" hidden="false" customHeight="false" outlineLevel="0" collapsed="false">
      <c r="A6204" s="0" t="s">
        <v>6528</v>
      </c>
      <c r="B6204" s="0" t="s">
        <v>40</v>
      </c>
      <c r="C6204" s="0" t="str">
        <f aca="false">INDEX(Intent_Analysis!$B$5:$B$81,MATCH(B6204,Intent_Analysis!$A$5:$A$81,0))</f>
        <v>Account &amp; identity</v>
      </c>
      <c r="D6204" s="0" t="n">
        <f aca="false">INDEX(Intent_Analysis!$E$5:$E$81,MATCH(B6204,Intent_Analysis!$A$5:$A$81,0))</f>
        <v>3</v>
      </c>
    </row>
    <row r="6205" customFormat="false" ht="15" hidden="false" customHeight="false" outlineLevel="0" collapsed="false">
      <c r="A6205" s="0" t="s">
        <v>6529</v>
      </c>
      <c r="B6205" s="0" t="s">
        <v>40</v>
      </c>
      <c r="C6205" s="0" t="str">
        <f aca="false">INDEX(Intent_Analysis!$B$5:$B$81,MATCH(B6205,Intent_Analysis!$A$5:$A$81,0))</f>
        <v>Account &amp; identity</v>
      </c>
      <c r="D6205" s="0" t="n">
        <f aca="false">INDEX(Intent_Analysis!$E$5:$E$81,MATCH(B6205,Intent_Analysis!$A$5:$A$81,0))</f>
        <v>3</v>
      </c>
    </row>
    <row r="6206" customFormat="false" ht="15" hidden="false" customHeight="false" outlineLevel="0" collapsed="false">
      <c r="A6206" s="0" t="s">
        <v>6530</v>
      </c>
      <c r="B6206" s="0" t="s">
        <v>40</v>
      </c>
      <c r="C6206" s="0" t="str">
        <f aca="false">INDEX(Intent_Analysis!$B$5:$B$81,MATCH(B6206,Intent_Analysis!$A$5:$A$81,0))</f>
        <v>Account &amp; identity</v>
      </c>
      <c r="D6206" s="0" t="n">
        <f aca="false">INDEX(Intent_Analysis!$E$5:$E$81,MATCH(B6206,Intent_Analysis!$A$5:$A$81,0))</f>
        <v>3</v>
      </c>
    </row>
    <row r="6207" customFormat="false" ht="15" hidden="false" customHeight="false" outlineLevel="0" collapsed="false">
      <c r="A6207" s="0" t="s">
        <v>6531</v>
      </c>
      <c r="B6207" s="0" t="s">
        <v>40</v>
      </c>
      <c r="C6207" s="0" t="str">
        <f aca="false">INDEX(Intent_Analysis!$B$5:$B$81,MATCH(B6207,Intent_Analysis!$A$5:$A$81,0))</f>
        <v>Account &amp; identity</v>
      </c>
      <c r="D6207" s="0" t="n">
        <f aca="false">INDEX(Intent_Analysis!$E$5:$E$81,MATCH(B6207,Intent_Analysis!$A$5:$A$81,0))</f>
        <v>3</v>
      </c>
    </row>
    <row r="6208" customFormat="false" ht="15" hidden="false" customHeight="false" outlineLevel="0" collapsed="false">
      <c r="A6208" s="0" t="s">
        <v>6532</v>
      </c>
      <c r="B6208" s="0" t="s">
        <v>40</v>
      </c>
      <c r="C6208" s="0" t="str">
        <f aca="false">INDEX(Intent_Analysis!$B$5:$B$81,MATCH(B6208,Intent_Analysis!$A$5:$A$81,0))</f>
        <v>Account &amp; identity</v>
      </c>
      <c r="D6208" s="0" t="n">
        <f aca="false">INDEX(Intent_Analysis!$E$5:$E$81,MATCH(B6208,Intent_Analysis!$A$5:$A$81,0))</f>
        <v>3</v>
      </c>
    </row>
    <row r="6209" customFormat="false" ht="15" hidden="false" customHeight="false" outlineLevel="0" collapsed="false">
      <c r="A6209" s="0" t="s">
        <v>6533</v>
      </c>
      <c r="B6209" s="0" t="s">
        <v>40</v>
      </c>
      <c r="C6209" s="0" t="str">
        <f aca="false">INDEX(Intent_Analysis!$B$5:$B$81,MATCH(B6209,Intent_Analysis!$A$5:$A$81,0))</f>
        <v>Account &amp; identity</v>
      </c>
      <c r="D6209" s="0" t="n">
        <f aca="false">INDEX(Intent_Analysis!$E$5:$E$81,MATCH(B6209,Intent_Analysis!$A$5:$A$81,0))</f>
        <v>3</v>
      </c>
    </row>
    <row r="6210" customFormat="false" ht="15" hidden="false" customHeight="false" outlineLevel="0" collapsed="false">
      <c r="A6210" s="0" t="s">
        <v>6534</v>
      </c>
      <c r="B6210" s="0" t="s">
        <v>40</v>
      </c>
      <c r="C6210" s="0" t="str">
        <f aca="false">INDEX(Intent_Analysis!$B$5:$B$81,MATCH(B6210,Intent_Analysis!$A$5:$A$81,0))</f>
        <v>Account &amp; identity</v>
      </c>
      <c r="D6210" s="0" t="n">
        <f aca="false">INDEX(Intent_Analysis!$E$5:$E$81,MATCH(B6210,Intent_Analysis!$A$5:$A$81,0))</f>
        <v>3</v>
      </c>
    </row>
    <row r="6211" customFormat="false" ht="15" hidden="false" customHeight="false" outlineLevel="0" collapsed="false">
      <c r="A6211" s="0" t="s">
        <v>6535</v>
      </c>
      <c r="B6211" s="0" t="s">
        <v>40</v>
      </c>
      <c r="C6211" s="0" t="str">
        <f aca="false">INDEX(Intent_Analysis!$B$5:$B$81,MATCH(B6211,Intent_Analysis!$A$5:$A$81,0))</f>
        <v>Account &amp; identity</v>
      </c>
      <c r="D6211" s="0" t="n">
        <f aca="false">INDEX(Intent_Analysis!$E$5:$E$81,MATCH(B6211,Intent_Analysis!$A$5:$A$81,0))</f>
        <v>3</v>
      </c>
    </row>
    <row r="6212" customFormat="false" ht="15" hidden="false" customHeight="false" outlineLevel="0" collapsed="false">
      <c r="A6212" s="0" t="s">
        <v>6536</v>
      </c>
      <c r="B6212" s="0" t="s">
        <v>40</v>
      </c>
      <c r="C6212" s="0" t="str">
        <f aca="false">INDEX(Intent_Analysis!$B$5:$B$81,MATCH(B6212,Intent_Analysis!$A$5:$A$81,0))</f>
        <v>Account &amp; identity</v>
      </c>
      <c r="D6212" s="0" t="n">
        <f aca="false">INDEX(Intent_Analysis!$E$5:$E$81,MATCH(B6212,Intent_Analysis!$A$5:$A$81,0))</f>
        <v>3</v>
      </c>
    </row>
    <row r="6213" customFormat="false" ht="15" hidden="false" customHeight="false" outlineLevel="0" collapsed="false">
      <c r="A6213" s="0" t="s">
        <v>6537</v>
      </c>
      <c r="B6213" s="0" t="s">
        <v>40</v>
      </c>
      <c r="C6213" s="0" t="str">
        <f aca="false">INDEX(Intent_Analysis!$B$5:$B$81,MATCH(B6213,Intent_Analysis!$A$5:$A$81,0))</f>
        <v>Account &amp; identity</v>
      </c>
      <c r="D6213" s="0" t="n">
        <f aca="false">INDEX(Intent_Analysis!$E$5:$E$81,MATCH(B6213,Intent_Analysis!$A$5:$A$81,0))</f>
        <v>3</v>
      </c>
    </row>
    <row r="6214" customFormat="false" ht="15" hidden="false" customHeight="false" outlineLevel="0" collapsed="false">
      <c r="A6214" s="0" t="s">
        <v>6538</v>
      </c>
      <c r="B6214" s="0" t="s">
        <v>40</v>
      </c>
      <c r="C6214" s="0" t="str">
        <f aca="false">INDEX(Intent_Analysis!$B$5:$B$81,MATCH(B6214,Intent_Analysis!$A$5:$A$81,0))</f>
        <v>Account &amp; identity</v>
      </c>
      <c r="D6214" s="0" t="n">
        <f aca="false">INDEX(Intent_Analysis!$E$5:$E$81,MATCH(B6214,Intent_Analysis!$A$5:$A$81,0))</f>
        <v>3</v>
      </c>
    </row>
    <row r="6215" customFormat="false" ht="15" hidden="false" customHeight="false" outlineLevel="0" collapsed="false">
      <c r="A6215" s="0" t="s">
        <v>6539</v>
      </c>
      <c r="B6215" s="0" t="s">
        <v>40</v>
      </c>
      <c r="C6215" s="0" t="str">
        <f aca="false">INDEX(Intent_Analysis!$B$5:$B$81,MATCH(B6215,Intent_Analysis!$A$5:$A$81,0))</f>
        <v>Account &amp; identity</v>
      </c>
      <c r="D6215" s="0" t="n">
        <f aca="false">INDEX(Intent_Analysis!$E$5:$E$81,MATCH(B6215,Intent_Analysis!$A$5:$A$81,0))</f>
        <v>3</v>
      </c>
    </row>
    <row r="6216" customFormat="false" ht="15" hidden="false" customHeight="false" outlineLevel="0" collapsed="false">
      <c r="A6216" s="0" t="s">
        <v>6540</v>
      </c>
      <c r="B6216" s="0" t="s">
        <v>40</v>
      </c>
      <c r="C6216" s="0" t="str">
        <f aca="false">INDEX(Intent_Analysis!$B$5:$B$81,MATCH(B6216,Intent_Analysis!$A$5:$A$81,0))</f>
        <v>Account &amp; identity</v>
      </c>
      <c r="D6216" s="0" t="n">
        <f aca="false">INDEX(Intent_Analysis!$E$5:$E$81,MATCH(B6216,Intent_Analysis!$A$5:$A$81,0))</f>
        <v>3</v>
      </c>
    </row>
    <row r="6217" customFormat="false" ht="15" hidden="false" customHeight="false" outlineLevel="0" collapsed="false">
      <c r="A6217" s="0" t="s">
        <v>6541</v>
      </c>
      <c r="B6217" s="0" t="s">
        <v>40</v>
      </c>
      <c r="C6217" s="0" t="str">
        <f aca="false">INDEX(Intent_Analysis!$B$5:$B$81,MATCH(B6217,Intent_Analysis!$A$5:$A$81,0))</f>
        <v>Account &amp; identity</v>
      </c>
      <c r="D6217" s="0" t="n">
        <f aca="false">INDEX(Intent_Analysis!$E$5:$E$81,MATCH(B6217,Intent_Analysis!$A$5:$A$81,0))</f>
        <v>3</v>
      </c>
    </row>
    <row r="6218" customFormat="false" ht="15" hidden="false" customHeight="false" outlineLevel="0" collapsed="false">
      <c r="A6218" s="0" t="s">
        <v>6542</v>
      </c>
      <c r="B6218" s="0" t="s">
        <v>40</v>
      </c>
      <c r="C6218" s="0" t="str">
        <f aca="false">INDEX(Intent_Analysis!$B$5:$B$81,MATCH(B6218,Intent_Analysis!$A$5:$A$81,0))</f>
        <v>Account &amp; identity</v>
      </c>
      <c r="D6218" s="0" t="n">
        <f aca="false">INDEX(Intent_Analysis!$E$5:$E$81,MATCH(B6218,Intent_Analysis!$A$5:$A$81,0))</f>
        <v>3</v>
      </c>
    </row>
    <row r="6219" customFormat="false" ht="15" hidden="false" customHeight="false" outlineLevel="0" collapsed="false">
      <c r="A6219" s="0" t="s">
        <v>6543</v>
      </c>
      <c r="B6219" s="0" t="s">
        <v>40</v>
      </c>
      <c r="C6219" s="0" t="str">
        <f aca="false">INDEX(Intent_Analysis!$B$5:$B$81,MATCH(B6219,Intent_Analysis!$A$5:$A$81,0))</f>
        <v>Account &amp; identity</v>
      </c>
      <c r="D6219" s="0" t="n">
        <f aca="false">INDEX(Intent_Analysis!$E$5:$E$81,MATCH(B6219,Intent_Analysis!$A$5:$A$81,0))</f>
        <v>3</v>
      </c>
    </row>
    <row r="6220" customFormat="false" ht="15" hidden="false" customHeight="false" outlineLevel="0" collapsed="false">
      <c r="A6220" s="0" t="s">
        <v>6544</v>
      </c>
      <c r="B6220" s="0" t="s">
        <v>40</v>
      </c>
      <c r="C6220" s="0" t="str">
        <f aca="false">INDEX(Intent_Analysis!$B$5:$B$81,MATCH(B6220,Intent_Analysis!$A$5:$A$81,0))</f>
        <v>Account &amp; identity</v>
      </c>
      <c r="D6220" s="0" t="n">
        <f aca="false">INDEX(Intent_Analysis!$E$5:$E$81,MATCH(B6220,Intent_Analysis!$A$5:$A$81,0))</f>
        <v>3</v>
      </c>
    </row>
    <row r="6221" customFormat="false" ht="15" hidden="false" customHeight="false" outlineLevel="0" collapsed="false">
      <c r="A6221" s="0" t="s">
        <v>6545</v>
      </c>
      <c r="B6221" s="0" t="s">
        <v>40</v>
      </c>
      <c r="C6221" s="0" t="str">
        <f aca="false">INDEX(Intent_Analysis!$B$5:$B$81,MATCH(B6221,Intent_Analysis!$A$5:$A$81,0))</f>
        <v>Account &amp; identity</v>
      </c>
      <c r="D6221" s="0" t="n">
        <f aca="false">INDEX(Intent_Analysis!$E$5:$E$81,MATCH(B6221,Intent_Analysis!$A$5:$A$81,0))</f>
        <v>3</v>
      </c>
    </row>
    <row r="6222" customFormat="false" ht="15" hidden="false" customHeight="false" outlineLevel="0" collapsed="false">
      <c r="A6222" s="0" t="s">
        <v>6546</v>
      </c>
      <c r="B6222" s="0" t="s">
        <v>40</v>
      </c>
      <c r="C6222" s="0" t="str">
        <f aca="false">INDEX(Intent_Analysis!$B$5:$B$81,MATCH(B6222,Intent_Analysis!$A$5:$A$81,0))</f>
        <v>Account &amp; identity</v>
      </c>
      <c r="D6222" s="0" t="n">
        <f aca="false">INDEX(Intent_Analysis!$E$5:$E$81,MATCH(B6222,Intent_Analysis!$A$5:$A$81,0))</f>
        <v>3</v>
      </c>
    </row>
    <row r="6223" customFormat="false" ht="15" hidden="false" customHeight="false" outlineLevel="0" collapsed="false">
      <c r="A6223" s="0" t="s">
        <v>6547</v>
      </c>
      <c r="B6223" s="0" t="s">
        <v>40</v>
      </c>
      <c r="C6223" s="0" t="str">
        <f aca="false">INDEX(Intent_Analysis!$B$5:$B$81,MATCH(B6223,Intent_Analysis!$A$5:$A$81,0))</f>
        <v>Account &amp; identity</v>
      </c>
      <c r="D6223" s="0" t="n">
        <f aca="false">INDEX(Intent_Analysis!$E$5:$E$81,MATCH(B6223,Intent_Analysis!$A$5:$A$81,0))</f>
        <v>3</v>
      </c>
    </row>
    <row r="6224" customFormat="false" ht="15" hidden="false" customHeight="false" outlineLevel="0" collapsed="false">
      <c r="A6224" s="0" t="s">
        <v>6548</v>
      </c>
      <c r="B6224" s="0" t="s">
        <v>40</v>
      </c>
      <c r="C6224" s="0" t="str">
        <f aca="false">INDEX(Intent_Analysis!$B$5:$B$81,MATCH(B6224,Intent_Analysis!$A$5:$A$81,0))</f>
        <v>Account &amp; identity</v>
      </c>
      <c r="D6224" s="0" t="n">
        <f aca="false">INDEX(Intent_Analysis!$E$5:$E$81,MATCH(B6224,Intent_Analysis!$A$5:$A$81,0))</f>
        <v>3</v>
      </c>
    </row>
    <row r="6225" customFormat="false" ht="15" hidden="false" customHeight="false" outlineLevel="0" collapsed="false">
      <c r="A6225" s="0" t="s">
        <v>6549</v>
      </c>
      <c r="B6225" s="0" t="s">
        <v>40</v>
      </c>
      <c r="C6225" s="0" t="str">
        <f aca="false">INDEX(Intent_Analysis!$B$5:$B$81,MATCH(B6225,Intent_Analysis!$A$5:$A$81,0))</f>
        <v>Account &amp; identity</v>
      </c>
      <c r="D6225" s="0" t="n">
        <f aca="false">INDEX(Intent_Analysis!$E$5:$E$81,MATCH(B6225,Intent_Analysis!$A$5:$A$81,0))</f>
        <v>3</v>
      </c>
    </row>
    <row r="6226" customFormat="false" ht="15" hidden="false" customHeight="false" outlineLevel="0" collapsed="false">
      <c r="A6226" s="0" t="s">
        <v>6550</v>
      </c>
      <c r="B6226" s="0" t="s">
        <v>40</v>
      </c>
      <c r="C6226" s="0" t="str">
        <f aca="false">INDEX(Intent_Analysis!$B$5:$B$81,MATCH(B6226,Intent_Analysis!$A$5:$A$81,0))</f>
        <v>Account &amp; identity</v>
      </c>
      <c r="D6226" s="0" t="n">
        <f aca="false">INDEX(Intent_Analysis!$E$5:$E$81,MATCH(B6226,Intent_Analysis!$A$5:$A$81,0))</f>
        <v>3</v>
      </c>
    </row>
    <row r="6227" customFormat="false" ht="15" hidden="false" customHeight="false" outlineLevel="0" collapsed="false">
      <c r="A6227" s="0" t="s">
        <v>6551</v>
      </c>
      <c r="B6227" s="0" t="s">
        <v>40</v>
      </c>
      <c r="C6227" s="0" t="str">
        <f aca="false">INDEX(Intent_Analysis!$B$5:$B$81,MATCH(B6227,Intent_Analysis!$A$5:$A$81,0))</f>
        <v>Account &amp; identity</v>
      </c>
      <c r="D6227" s="0" t="n">
        <f aca="false">INDEX(Intent_Analysis!$E$5:$E$81,MATCH(B6227,Intent_Analysis!$A$5:$A$81,0))</f>
        <v>3</v>
      </c>
    </row>
    <row r="6228" customFormat="false" ht="15" hidden="false" customHeight="false" outlineLevel="0" collapsed="false">
      <c r="A6228" s="0" t="s">
        <v>6552</v>
      </c>
      <c r="B6228" s="0" t="s">
        <v>40</v>
      </c>
      <c r="C6228" s="0" t="str">
        <f aca="false">INDEX(Intent_Analysis!$B$5:$B$81,MATCH(B6228,Intent_Analysis!$A$5:$A$81,0))</f>
        <v>Account &amp; identity</v>
      </c>
      <c r="D6228" s="0" t="n">
        <f aca="false">INDEX(Intent_Analysis!$E$5:$E$81,MATCH(B6228,Intent_Analysis!$A$5:$A$81,0))</f>
        <v>3</v>
      </c>
    </row>
    <row r="6229" customFormat="false" ht="15" hidden="false" customHeight="false" outlineLevel="0" collapsed="false">
      <c r="A6229" s="0" t="s">
        <v>6553</v>
      </c>
      <c r="B6229" s="0" t="s">
        <v>40</v>
      </c>
      <c r="C6229" s="0" t="str">
        <f aca="false">INDEX(Intent_Analysis!$B$5:$B$81,MATCH(B6229,Intent_Analysis!$A$5:$A$81,0))</f>
        <v>Account &amp; identity</v>
      </c>
      <c r="D6229" s="0" t="n">
        <f aca="false">INDEX(Intent_Analysis!$E$5:$E$81,MATCH(B6229,Intent_Analysis!$A$5:$A$81,0))</f>
        <v>3</v>
      </c>
    </row>
    <row r="6230" customFormat="false" ht="15" hidden="false" customHeight="false" outlineLevel="0" collapsed="false">
      <c r="A6230" s="0" t="s">
        <v>6554</v>
      </c>
      <c r="B6230" s="0" t="s">
        <v>40</v>
      </c>
      <c r="C6230" s="0" t="str">
        <f aca="false">INDEX(Intent_Analysis!$B$5:$B$81,MATCH(B6230,Intent_Analysis!$A$5:$A$81,0))</f>
        <v>Account &amp; identity</v>
      </c>
      <c r="D6230" s="0" t="n">
        <f aca="false">INDEX(Intent_Analysis!$E$5:$E$81,MATCH(B6230,Intent_Analysis!$A$5:$A$81,0))</f>
        <v>3</v>
      </c>
    </row>
    <row r="6231" customFormat="false" ht="15" hidden="false" customHeight="false" outlineLevel="0" collapsed="false">
      <c r="A6231" s="0" t="s">
        <v>6555</v>
      </c>
      <c r="B6231" s="0" t="s">
        <v>40</v>
      </c>
      <c r="C6231" s="0" t="str">
        <f aca="false">INDEX(Intent_Analysis!$B$5:$B$81,MATCH(B6231,Intent_Analysis!$A$5:$A$81,0))</f>
        <v>Account &amp; identity</v>
      </c>
      <c r="D6231" s="0" t="n">
        <f aca="false">INDEX(Intent_Analysis!$E$5:$E$81,MATCH(B6231,Intent_Analysis!$A$5:$A$81,0))</f>
        <v>3</v>
      </c>
    </row>
    <row r="6232" customFormat="false" ht="15" hidden="false" customHeight="false" outlineLevel="0" collapsed="false">
      <c r="A6232" s="0" t="s">
        <v>6556</v>
      </c>
      <c r="B6232" s="0" t="s">
        <v>40</v>
      </c>
      <c r="C6232" s="0" t="str">
        <f aca="false">INDEX(Intent_Analysis!$B$5:$B$81,MATCH(B6232,Intent_Analysis!$A$5:$A$81,0))</f>
        <v>Account &amp; identity</v>
      </c>
      <c r="D6232" s="0" t="n">
        <f aca="false">INDEX(Intent_Analysis!$E$5:$E$81,MATCH(B6232,Intent_Analysis!$A$5:$A$81,0))</f>
        <v>3</v>
      </c>
    </row>
    <row r="6233" customFormat="false" ht="15" hidden="false" customHeight="false" outlineLevel="0" collapsed="false">
      <c r="A6233" s="0" t="s">
        <v>6557</v>
      </c>
      <c r="B6233" s="0" t="s">
        <v>40</v>
      </c>
      <c r="C6233" s="0" t="str">
        <f aca="false">INDEX(Intent_Analysis!$B$5:$B$81,MATCH(B6233,Intent_Analysis!$A$5:$A$81,0))</f>
        <v>Account &amp; identity</v>
      </c>
      <c r="D6233" s="0" t="n">
        <f aca="false">INDEX(Intent_Analysis!$E$5:$E$81,MATCH(B6233,Intent_Analysis!$A$5:$A$81,0))</f>
        <v>3</v>
      </c>
    </row>
    <row r="6234" customFormat="false" ht="15" hidden="false" customHeight="false" outlineLevel="0" collapsed="false">
      <c r="A6234" s="0" t="s">
        <v>6558</v>
      </c>
      <c r="B6234" s="0" t="s">
        <v>40</v>
      </c>
      <c r="C6234" s="0" t="str">
        <f aca="false">INDEX(Intent_Analysis!$B$5:$B$81,MATCH(B6234,Intent_Analysis!$A$5:$A$81,0))</f>
        <v>Account &amp; identity</v>
      </c>
      <c r="D6234" s="0" t="n">
        <f aca="false">INDEX(Intent_Analysis!$E$5:$E$81,MATCH(B6234,Intent_Analysis!$A$5:$A$81,0))</f>
        <v>3</v>
      </c>
    </row>
    <row r="6235" customFormat="false" ht="15" hidden="false" customHeight="false" outlineLevel="0" collapsed="false">
      <c r="A6235" s="0" t="s">
        <v>6559</v>
      </c>
      <c r="B6235" s="0" t="s">
        <v>40</v>
      </c>
      <c r="C6235" s="0" t="str">
        <f aca="false">INDEX(Intent_Analysis!$B$5:$B$81,MATCH(B6235,Intent_Analysis!$A$5:$A$81,0))</f>
        <v>Account &amp; identity</v>
      </c>
      <c r="D6235" s="0" t="n">
        <f aca="false">INDEX(Intent_Analysis!$E$5:$E$81,MATCH(B6235,Intent_Analysis!$A$5:$A$81,0))</f>
        <v>3</v>
      </c>
    </row>
    <row r="6236" customFormat="false" ht="15" hidden="false" customHeight="false" outlineLevel="0" collapsed="false">
      <c r="A6236" s="0" t="s">
        <v>6560</v>
      </c>
      <c r="B6236" s="0" t="s">
        <v>40</v>
      </c>
      <c r="C6236" s="0" t="str">
        <f aca="false">INDEX(Intent_Analysis!$B$5:$B$81,MATCH(B6236,Intent_Analysis!$A$5:$A$81,0))</f>
        <v>Account &amp; identity</v>
      </c>
      <c r="D6236" s="0" t="n">
        <f aca="false">INDEX(Intent_Analysis!$E$5:$E$81,MATCH(B6236,Intent_Analysis!$A$5:$A$81,0))</f>
        <v>3</v>
      </c>
    </row>
    <row r="6237" customFormat="false" ht="15" hidden="false" customHeight="false" outlineLevel="0" collapsed="false">
      <c r="A6237" s="0" t="s">
        <v>6561</v>
      </c>
      <c r="B6237" s="0" t="s">
        <v>40</v>
      </c>
      <c r="C6237" s="0" t="str">
        <f aca="false">INDEX(Intent_Analysis!$B$5:$B$81,MATCH(B6237,Intent_Analysis!$A$5:$A$81,0))</f>
        <v>Account &amp; identity</v>
      </c>
      <c r="D6237" s="0" t="n">
        <f aca="false">INDEX(Intent_Analysis!$E$5:$E$81,MATCH(B6237,Intent_Analysis!$A$5:$A$81,0))</f>
        <v>3</v>
      </c>
    </row>
    <row r="6238" customFormat="false" ht="15" hidden="false" customHeight="false" outlineLevel="0" collapsed="false">
      <c r="A6238" s="0" t="s">
        <v>6562</v>
      </c>
      <c r="B6238" s="0" t="s">
        <v>40</v>
      </c>
      <c r="C6238" s="0" t="str">
        <f aca="false">INDEX(Intent_Analysis!$B$5:$B$81,MATCH(B6238,Intent_Analysis!$A$5:$A$81,0))</f>
        <v>Account &amp; identity</v>
      </c>
      <c r="D6238" s="0" t="n">
        <f aca="false">INDEX(Intent_Analysis!$E$5:$E$81,MATCH(B6238,Intent_Analysis!$A$5:$A$81,0))</f>
        <v>3</v>
      </c>
    </row>
    <row r="6239" customFormat="false" ht="15" hidden="false" customHeight="false" outlineLevel="0" collapsed="false">
      <c r="A6239" s="0" t="s">
        <v>6563</v>
      </c>
      <c r="B6239" s="0" t="s">
        <v>40</v>
      </c>
      <c r="C6239" s="0" t="str">
        <f aca="false">INDEX(Intent_Analysis!$B$5:$B$81,MATCH(B6239,Intent_Analysis!$A$5:$A$81,0))</f>
        <v>Account &amp; identity</v>
      </c>
      <c r="D6239" s="0" t="n">
        <f aca="false">INDEX(Intent_Analysis!$E$5:$E$81,MATCH(B6239,Intent_Analysis!$A$5:$A$81,0))</f>
        <v>3</v>
      </c>
    </row>
    <row r="6240" customFormat="false" ht="15" hidden="false" customHeight="false" outlineLevel="0" collapsed="false">
      <c r="A6240" s="0" t="s">
        <v>6564</v>
      </c>
      <c r="B6240" s="0" t="s">
        <v>40</v>
      </c>
      <c r="C6240" s="0" t="str">
        <f aca="false">INDEX(Intent_Analysis!$B$5:$B$81,MATCH(B6240,Intent_Analysis!$A$5:$A$81,0))</f>
        <v>Account &amp; identity</v>
      </c>
      <c r="D6240" s="0" t="n">
        <f aca="false">INDEX(Intent_Analysis!$E$5:$E$81,MATCH(B6240,Intent_Analysis!$A$5:$A$81,0))</f>
        <v>3</v>
      </c>
    </row>
    <row r="6241" customFormat="false" ht="15" hidden="false" customHeight="false" outlineLevel="0" collapsed="false">
      <c r="A6241" s="0" t="s">
        <v>6565</v>
      </c>
      <c r="B6241" s="0" t="s">
        <v>40</v>
      </c>
      <c r="C6241" s="0" t="str">
        <f aca="false">INDEX(Intent_Analysis!$B$5:$B$81,MATCH(B6241,Intent_Analysis!$A$5:$A$81,0))</f>
        <v>Account &amp; identity</v>
      </c>
      <c r="D6241" s="0" t="n">
        <f aca="false">INDEX(Intent_Analysis!$E$5:$E$81,MATCH(B6241,Intent_Analysis!$A$5:$A$81,0))</f>
        <v>3</v>
      </c>
    </row>
    <row r="6242" customFormat="false" ht="15" hidden="false" customHeight="false" outlineLevel="0" collapsed="false">
      <c r="A6242" s="0" t="s">
        <v>6566</v>
      </c>
      <c r="B6242" s="0" t="s">
        <v>40</v>
      </c>
      <c r="C6242" s="0" t="str">
        <f aca="false">INDEX(Intent_Analysis!$B$5:$B$81,MATCH(B6242,Intent_Analysis!$A$5:$A$81,0))</f>
        <v>Account &amp; identity</v>
      </c>
      <c r="D6242" s="0" t="n">
        <f aca="false">INDEX(Intent_Analysis!$E$5:$E$81,MATCH(B6242,Intent_Analysis!$A$5:$A$81,0))</f>
        <v>3</v>
      </c>
    </row>
    <row r="6243" customFormat="false" ht="15" hidden="false" customHeight="false" outlineLevel="0" collapsed="false">
      <c r="A6243" s="0" t="s">
        <v>6567</v>
      </c>
      <c r="B6243" s="0" t="s">
        <v>40</v>
      </c>
      <c r="C6243" s="0" t="str">
        <f aca="false">INDEX(Intent_Analysis!$B$5:$B$81,MATCH(B6243,Intent_Analysis!$A$5:$A$81,0))</f>
        <v>Account &amp; identity</v>
      </c>
      <c r="D6243" s="0" t="n">
        <f aca="false">INDEX(Intent_Analysis!$E$5:$E$81,MATCH(B6243,Intent_Analysis!$A$5:$A$81,0))</f>
        <v>3</v>
      </c>
    </row>
    <row r="6244" customFormat="false" ht="15" hidden="false" customHeight="false" outlineLevel="0" collapsed="false">
      <c r="A6244" s="0" t="s">
        <v>6568</v>
      </c>
      <c r="B6244" s="0" t="s">
        <v>40</v>
      </c>
      <c r="C6244" s="0" t="str">
        <f aca="false">INDEX(Intent_Analysis!$B$5:$B$81,MATCH(B6244,Intent_Analysis!$A$5:$A$81,0))</f>
        <v>Account &amp; identity</v>
      </c>
      <c r="D6244" s="0" t="n">
        <f aca="false">INDEX(Intent_Analysis!$E$5:$E$81,MATCH(B6244,Intent_Analysis!$A$5:$A$81,0))</f>
        <v>3</v>
      </c>
    </row>
    <row r="6245" customFormat="false" ht="15" hidden="false" customHeight="false" outlineLevel="0" collapsed="false">
      <c r="A6245" s="0" t="s">
        <v>6569</v>
      </c>
      <c r="B6245" s="0" t="s">
        <v>40</v>
      </c>
      <c r="C6245" s="0" t="str">
        <f aca="false">INDEX(Intent_Analysis!$B$5:$B$81,MATCH(B6245,Intent_Analysis!$A$5:$A$81,0))</f>
        <v>Account &amp; identity</v>
      </c>
      <c r="D6245" s="0" t="n">
        <f aca="false">INDEX(Intent_Analysis!$E$5:$E$81,MATCH(B6245,Intent_Analysis!$A$5:$A$81,0))</f>
        <v>3</v>
      </c>
    </row>
    <row r="6246" customFormat="false" ht="15" hidden="false" customHeight="false" outlineLevel="0" collapsed="false">
      <c r="A6246" s="0" t="s">
        <v>6570</v>
      </c>
      <c r="B6246" s="0" t="s">
        <v>40</v>
      </c>
      <c r="C6246" s="0" t="str">
        <f aca="false">INDEX(Intent_Analysis!$B$5:$B$81,MATCH(B6246,Intent_Analysis!$A$5:$A$81,0))</f>
        <v>Account &amp; identity</v>
      </c>
      <c r="D6246" s="0" t="n">
        <f aca="false">INDEX(Intent_Analysis!$E$5:$E$81,MATCH(B6246,Intent_Analysis!$A$5:$A$81,0))</f>
        <v>3</v>
      </c>
    </row>
    <row r="6247" customFormat="false" ht="15" hidden="false" customHeight="false" outlineLevel="0" collapsed="false">
      <c r="A6247" s="0" t="s">
        <v>6571</v>
      </c>
      <c r="B6247" s="0" t="s">
        <v>71</v>
      </c>
      <c r="C6247" s="0" t="str">
        <f aca="false">INDEX(Intent_Analysis!$B$5:$B$81,MATCH(B6247,Intent_Analysis!$A$5:$A$81,0))</f>
        <v>Card usage &amp; features</v>
      </c>
      <c r="D6247" s="0" t="n">
        <f aca="false">INDEX(Intent_Analysis!$E$5:$E$81,MATCH(B6247,Intent_Analysis!$A$5:$A$81,0))</f>
        <v>2</v>
      </c>
    </row>
    <row r="6248" customFormat="false" ht="15" hidden="false" customHeight="false" outlineLevel="0" collapsed="false">
      <c r="A6248" s="0" t="s">
        <v>6572</v>
      </c>
      <c r="B6248" s="0" t="s">
        <v>71</v>
      </c>
      <c r="C6248" s="0" t="str">
        <f aca="false">INDEX(Intent_Analysis!$B$5:$B$81,MATCH(B6248,Intent_Analysis!$A$5:$A$81,0))</f>
        <v>Card usage &amp; features</v>
      </c>
      <c r="D6248" s="0" t="n">
        <f aca="false">INDEX(Intent_Analysis!$E$5:$E$81,MATCH(B6248,Intent_Analysis!$A$5:$A$81,0))</f>
        <v>2</v>
      </c>
    </row>
    <row r="6249" customFormat="false" ht="15" hidden="false" customHeight="false" outlineLevel="0" collapsed="false">
      <c r="A6249" s="0" t="s">
        <v>6573</v>
      </c>
      <c r="B6249" s="0" t="s">
        <v>71</v>
      </c>
      <c r="C6249" s="0" t="str">
        <f aca="false">INDEX(Intent_Analysis!$B$5:$B$81,MATCH(B6249,Intent_Analysis!$A$5:$A$81,0))</f>
        <v>Card usage &amp; features</v>
      </c>
      <c r="D6249" s="0" t="n">
        <f aca="false">INDEX(Intent_Analysis!$E$5:$E$81,MATCH(B6249,Intent_Analysis!$A$5:$A$81,0))</f>
        <v>2</v>
      </c>
    </row>
    <row r="6250" customFormat="false" ht="15" hidden="false" customHeight="false" outlineLevel="0" collapsed="false">
      <c r="A6250" s="0" t="s">
        <v>6574</v>
      </c>
      <c r="B6250" s="0" t="s">
        <v>71</v>
      </c>
      <c r="C6250" s="0" t="str">
        <f aca="false">INDEX(Intent_Analysis!$B$5:$B$81,MATCH(B6250,Intent_Analysis!$A$5:$A$81,0))</f>
        <v>Card usage &amp; features</v>
      </c>
      <c r="D6250" s="0" t="n">
        <f aca="false">INDEX(Intent_Analysis!$E$5:$E$81,MATCH(B6250,Intent_Analysis!$A$5:$A$81,0))</f>
        <v>2</v>
      </c>
    </row>
    <row r="6251" customFormat="false" ht="15" hidden="false" customHeight="false" outlineLevel="0" collapsed="false">
      <c r="A6251" s="0" t="s">
        <v>6575</v>
      </c>
      <c r="B6251" s="0" t="s">
        <v>71</v>
      </c>
      <c r="C6251" s="0" t="str">
        <f aca="false">INDEX(Intent_Analysis!$B$5:$B$81,MATCH(B6251,Intent_Analysis!$A$5:$A$81,0))</f>
        <v>Card usage &amp; features</v>
      </c>
      <c r="D6251" s="0" t="n">
        <f aca="false">INDEX(Intent_Analysis!$E$5:$E$81,MATCH(B6251,Intent_Analysis!$A$5:$A$81,0))</f>
        <v>2</v>
      </c>
    </row>
    <row r="6252" customFormat="false" ht="15" hidden="false" customHeight="false" outlineLevel="0" collapsed="false">
      <c r="A6252" s="0" t="s">
        <v>6576</v>
      </c>
      <c r="B6252" s="0" t="s">
        <v>71</v>
      </c>
      <c r="C6252" s="0" t="str">
        <f aca="false">INDEX(Intent_Analysis!$B$5:$B$81,MATCH(B6252,Intent_Analysis!$A$5:$A$81,0))</f>
        <v>Card usage &amp; features</v>
      </c>
      <c r="D6252" s="0" t="n">
        <f aca="false">INDEX(Intent_Analysis!$E$5:$E$81,MATCH(B6252,Intent_Analysis!$A$5:$A$81,0))</f>
        <v>2</v>
      </c>
    </row>
    <row r="6253" customFormat="false" ht="15" hidden="false" customHeight="false" outlineLevel="0" collapsed="false">
      <c r="A6253" s="0" t="s">
        <v>6577</v>
      </c>
      <c r="B6253" s="0" t="s">
        <v>71</v>
      </c>
      <c r="C6253" s="0" t="str">
        <f aca="false">INDEX(Intent_Analysis!$B$5:$B$81,MATCH(B6253,Intent_Analysis!$A$5:$A$81,0))</f>
        <v>Card usage &amp; features</v>
      </c>
      <c r="D6253" s="0" t="n">
        <f aca="false">INDEX(Intent_Analysis!$E$5:$E$81,MATCH(B6253,Intent_Analysis!$A$5:$A$81,0))</f>
        <v>2</v>
      </c>
    </row>
    <row r="6254" customFormat="false" ht="15" hidden="false" customHeight="false" outlineLevel="0" collapsed="false">
      <c r="A6254" s="0" t="s">
        <v>6578</v>
      </c>
      <c r="B6254" s="0" t="s">
        <v>71</v>
      </c>
      <c r="C6254" s="0" t="str">
        <f aca="false">INDEX(Intent_Analysis!$B$5:$B$81,MATCH(B6254,Intent_Analysis!$A$5:$A$81,0))</f>
        <v>Card usage &amp; features</v>
      </c>
      <c r="D6254" s="0" t="n">
        <f aca="false">INDEX(Intent_Analysis!$E$5:$E$81,MATCH(B6254,Intent_Analysis!$A$5:$A$81,0))</f>
        <v>2</v>
      </c>
    </row>
    <row r="6255" customFormat="false" ht="15" hidden="false" customHeight="false" outlineLevel="0" collapsed="false">
      <c r="A6255" s="0" t="s">
        <v>6579</v>
      </c>
      <c r="B6255" s="0" t="s">
        <v>71</v>
      </c>
      <c r="C6255" s="0" t="str">
        <f aca="false">INDEX(Intent_Analysis!$B$5:$B$81,MATCH(B6255,Intent_Analysis!$A$5:$A$81,0))</f>
        <v>Card usage &amp; features</v>
      </c>
      <c r="D6255" s="0" t="n">
        <f aca="false">INDEX(Intent_Analysis!$E$5:$E$81,MATCH(B6255,Intent_Analysis!$A$5:$A$81,0))</f>
        <v>2</v>
      </c>
    </row>
    <row r="6256" customFormat="false" ht="15" hidden="false" customHeight="false" outlineLevel="0" collapsed="false">
      <c r="A6256" s="0" t="s">
        <v>6580</v>
      </c>
      <c r="B6256" s="0" t="s">
        <v>71</v>
      </c>
      <c r="C6256" s="0" t="str">
        <f aca="false">INDEX(Intent_Analysis!$B$5:$B$81,MATCH(B6256,Intent_Analysis!$A$5:$A$81,0))</f>
        <v>Card usage &amp; features</v>
      </c>
      <c r="D6256" s="0" t="n">
        <f aca="false">INDEX(Intent_Analysis!$E$5:$E$81,MATCH(B6256,Intent_Analysis!$A$5:$A$81,0))</f>
        <v>2</v>
      </c>
    </row>
    <row r="6257" customFormat="false" ht="15" hidden="false" customHeight="false" outlineLevel="0" collapsed="false">
      <c r="A6257" s="0" t="s">
        <v>6581</v>
      </c>
      <c r="B6257" s="0" t="s">
        <v>71</v>
      </c>
      <c r="C6257" s="0" t="str">
        <f aca="false">INDEX(Intent_Analysis!$B$5:$B$81,MATCH(B6257,Intent_Analysis!$A$5:$A$81,0))</f>
        <v>Card usage &amp; features</v>
      </c>
      <c r="D6257" s="0" t="n">
        <f aca="false">INDEX(Intent_Analysis!$E$5:$E$81,MATCH(B6257,Intent_Analysis!$A$5:$A$81,0))</f>
        <v>2</v>
      </c>
    </row>
    <row r="6258" customFormat="false" ht="15" hidden="false" customHeight="false" outlineLevel="0" collapsed="false">
      <c r="A6258" s="0" t="s">
        <v>6582</v>
      </c>
      <c r="B6258" s="0" t="s">
        <v>71</v>
      </c>
      <c r="C6258" s="0" t="str">
        <f aca="false">INDEX(Intent_Analysis!$B$5:$B$81,MATCH(B6258,Intent_Analysis!$A$5:$A$81,0))</f>
        <v>Card usage &amp; features</v>
      </c>
      <c r="D6258" s="0" t="n">
        <f aca="false">INDEX(Intent_Analysis!$E$5:$E$81,MATCH(B6258,Intent_Analysis!$A$5:$A$81,0))</f>
        <v>2</v>
      </c>
    </row>
    <row r="6259" customFormat="false" ht="15" hidden="false" customHeight="false" outlineLevel="0" collapsed="false">
      <c r="A6259" s="0" t="s">
        <v>6583</v>
      </c>
      <c r="B6259" s="0" t="s">
        <v>71</v>
      </c>
      <c r="C6259" s="0" t="str">
        <f aca="false">INDEX(Intent_Analysis!$B$5:$B$81,MATCH(B6259,Intent_Analysis!$A$5:$A$81,0))</f>
        <v>Card usage &amp; features</v>
      </c>
      <c r="D6259" s="0" t="n">
        <f aca="false">INDEX(Intent_Analysis!$E$5:$E$81,MATCH(B6259,Intent_Analysis!$A$5:$A$81,0))</f>
        <v>2</v>
      </c>
    </row>
    <row r="6260" customFormat="false" ht="15" hidden="false" customHeight="false" outlineLevel="0" collapsed="false">
      <c r="A6260" s="0" t="s">
        <v>6584</v>
      </c>
      <c r="B6260" s="0" t="s">
        <v>71</v>
      </c>
      <c r="C6260" s="0" t="str">
        <f aca="false">INDEX(Intent_Analysis!$B$5:$B$81,MATCH(B6260,Intent_Analysis!$A$5:$A$81,0))</f>
        <v>Card usage &amp; features</v>
      </c>
      <c r="D6260" s="0" t="n">
        <f aca="false">INDEX(Intent_Analysis!$E$5:$E$81,MATCH(B6260,Intent_Analysis!$A$5:$A$81,0))</f>
        <v>2</v>
      </c>
    </row>
    <row r="6261" customFormat="false" ht="15" hidden="false" customHeight="false" outlineLevel="0" collapsed="false">
      <c r="A6261" s="0" t="s">
        <v>6585</v>
      </c>
      <c r="B6261" s="0" t="s">
        <v>71</v>
      </c>
      <c r="C6261" s="0" t="str">
        <f aca="false">INDEX(Intent_Analysis!$B$5:$B$81,MATCH(B6261,Intent_Analysis!$A$5:$A$81,0))</f>
        <v>Card usage &amp; features</v>
      </c>
      <c r="D6261" s="0" t="n">
        <f aca="false">INDEX(Intent_Analysis!$E$5:$E$81,MATCH(B6261,Intent_Analysis!$A$5:$A$81,0))</f>
        <v>2</v>
      </c>
    </row>
    <row r="6262" customFormat="false" ht="15" hidden="false" customHeight="false" outlineLevel="0" collapsed="false">
      <c r="A6262" s="0" t="s">
        <v>6586</v>
      </c>
      <c r="B6262" s="0" t="s">
        <v>71</v>
      </c>
      <c r="C6262" s="0" t="str">
        <f aca="false">INDEX(Intent_Analysis!$B$5:$B$81,MATCH(B6262,Intent_Analysis!$A$5:$A$81,0))</f>
        <v>Card usage &amp; features</v>
      </c>
      <c r="D6262" s="0" t="n">
        <f aca="false">INDEX(Intent_Analysis!$E$5:$E$81,MATCH(B6262,Intent_Analysis!$A$5:$A$81,0))</f>
        <v>2</v>
      </c>
    </row>
    <row r="6263" customFormat="false" ht="15" hidden="false" customHeight="false" outlineLevel="0" collapsed="false">
      <c r="A6263" s="0" t="s">
        <v>6587</v>
      </c>
      <c r="B6263" s="0" t="s">
        <v>71</v>
      </c>
      <c r="C6263" s="0" t="str">
        <f aca="false">INDEX(Intent_Analysis!$B$5:$B$81,MATCH(B6263,Intent_Analysis!$A$5:$A$81,0))</f>
        <v>Card usage &amp; features</v>
      </c>
      <c r="D6263" s="0" t="n">
        <f aca="false">INDEX(Intent_Analysis!$E$5:$E$81,MATCH(B6263,Intent_Analysis!$A$5:$A$81,0))</f>
        <v>2</v>
      </c>
    </row>
    <row r="6264" customFormat="false" ht="15" hidden="false" customHeight="false" outlineLevel="0" collapsed="false">
      <c r="A6264" s="0" t="s">
        <v>6588</v>
      </c>
      <c r="B6264" s="0" t="s">
        <v>71</v>
      </c>
      <c r="C6264" s="0" t="str">
        <f aca="false">INDEX(Intent_Analysis!$B$5:$B$81,MATCH(B6264,Intent_Analysis!$A$5:$A$81,0))</f>
        <v>Card usage &amp; features</v>
      </c>
      <c r="D6264" s="0" t="n">
        <f aca="false">INDEX(Intent_Analysis!$E$5:$E$81,MATCH(B6264,Intent_Analysis!$A$5:$A$81,0))</f>
        <v>2</v>
      </c>
    </row>
    <row r="6265" customFormat="false" ht="15" hidden="false" customHeight="false" outlineLevel="0" collapsed="false">
      <c r="A6265" s="0" t="s">
        <v>6589</v>
      </c>
      <c r="B6265" s="0" t="s">
        <v>71</v>
      </c>
      <c r="C6265" s="0" t="str">
        <f aca="false">INDEX(Intent_Analysis!$B$5:$B$81,MATCH(B6265,Intent_Analysis!$A$5:$A$81,0))</f>
        <v>Card usage &amp; features</v>
      </c>
      <c r="D6265" s="0" t="n">
        <f aca="false">INDEX(Intent_Analysis!$E$5:$E$81,MATCH(B6265,Intent_Analysis!$A$5:$A$81,0))</f>
        <v>2</v>
      </c>
    </row>
    <row r="6266" customFormat="false" ht="15" hidden="false" customHeight="false" outlineLevel="0" collapsed="false">
      <c r="A6266" s="0" t="s">
        <v>6590</v>
      </c>
      <c r="B6266" s="0" t="s">
        <v>71</v>
      </c>
      <c r="C6266" s="0" t="str">
        <f aca="false">INDEX(Intent_Analysis!$B$5:$B$81,MATCH(B6266,Intent_Analysis!$A$5:$A$81,0))</f>
        <v>Card usage &amp; features</v>
      </c>
      <c r="D6266" s="0" t="n">
        <f aca="false">INDEX(Intent_Analysis!$E$5:$E$81,MATCH(B6266,Intent_Analysis!$A$5:$A$81,0))</f>
        <v>2</v>
      </c>
    </row>
    <row r="6267" customFormat="false" ht="15" hidden="false" customHeight="false" outlineLevel="0" collapsed="false">
      <c r="A6267" s="0" t="s">
        <v>6591</v>
      </c>
      <c r="B6267" s="0" t="s">
        <v>71</v>
      </c>
      <c r="C6267" s="0" t="str">
        <f aca="false">INDEX(Intent_Analysis!$B$5:$B$81,MATCH(B6267,Intent_Analysis!$A$5:$A$81,0))</f>
        <v>Card usage &amp; features</v>
      </c>
      <c r="D6267" s="0" t="n">
        <f aca="false">INDEX(Intent_Analysis!$E$5:$E$81,MATCH(B6267,Intent_Analysis!$A$5:$A$81,0))</f>
        <v>2</v>
      </c>
    </row>
    <row r="6268" customFormat="false" ht="15" hidden="false" customHeight="false" outlineLevel="0" collapsed="false">
      <c r="A6268" s="0" t="s">
        <v>6592</v>
      </c>
      <c r="B6268" s="0" t="s">
        <v>71</v>
      </c>
      <c r="C6268" s="0" t="str">
        <f aca="false">INDEX(Intent_Analysis!$B$5:$B$81,MATCH(B6268,Intent_Analysis!$A$5:$A$81,0))</f>
        <v>Card usage &amp; features</v>
      </c>
      <c r="D6268" s="0" t="n">
        <f aca="false">INDEX(Intent_Analysis!$E$5:$E$81,MATCH(B6268,Intent_Analysis!$A$5:$A$81,0))</f>
        <v>2</v>
      </c>
    </row>
    <row r="6269" customFormat="false" ht="15" hidden="false" customHeight="false" outlineLevel="0" collapsed="false">
      <c r="A6269" s="0" t="s">
        <v>6593</v>
      </c>
      <c r="B6269" s="0" t="s">
        <v>71</v>
      </c>
      <c r="C6269" s="0" t="str">
        <f aca="false">INDEX(Intent_Analysis!$B$5:$B$81,MATCH(B6269,Intent_Analysis!$A$5:$A$81,0))</f>
        <v>Card usage &amp; features</v>
      </c>
      <c r="D6269" s="0" t="n">
        <f aca="false">INDEX(Intent_Analysis!$E$5:$E$81,MATCH(B6269,Intent_Analysis!$A$5:$A$81,0))</f>
        <v>2</v>
      </c>
    </row>
    <row r="6270" customFormat="false" ht="15" hidden="false" customHeight="false" outlineLevel="0" collapsed="false">
      <c r="A6270" s="0" t="s">
        <v>6594</v>
      </c>
      <c r="B6270" s="0" t="s">
        <v>71</v>
      </c>
      <c r="C6270" s="0" t="str">
        <f aca="false">INDEX(Intent_Analysis!$B$5:$B$81,MATCH(B6270,Intent_Analysis!$A$5:$A$81,0))</f>
        <v>Card usage &amp; features</v>
      </c>
      <c r="D6270" s="0" t="n">
        <f aca="false">INDEX(Intent_Analysis!$E$5:$E$81,MATCH(B6270,Intent_Analysis!$A$5:$A$81,0))</f>
        <v>2</v>
      </c>
    </row>
    <row r="6271" customFormat="false" ht="15" hidden="false" customHeight="false" outlineLevel="0" collapsed="false">
      <c r="A6271" s="0" t="s">
        <v>6595</v>
      </c>
      <c r="B6271" s="0" t="s">
        <v>71</v>
      </c>
      <c r="C6271" s="0" t="str">
        <f aca="false">INDEX(Intent_Analysis!$B$5:$B$81,MATCH(B6271,Intent_Analysis!$A$5:$A$81,0))</f>
        <v>Card usage &amp; features</v>
      </c>
      <c r="D6271" s="0" t="n">
        <f aca="false">INDEX(Intent_Analysis!$E$5:$E$81,MATCH(B6271,Intent_Analysis!$A$5:$A$81,0))</f>
        <v>2</v>
      </c>
    </row>
    <row r="6272" customFormat="false" ht="15" hidden="false" customHeight="false" outlineLevel="0" collapsed="false">
      <c r="A6272" s="0" t="s">
        <v>6596</v>
      </c>
      <c r="B6272" s="0" t="s">
        <v>71</v>
      </c>
      <c r="C6272" s="0" t="str">
        <f aca="false">INDEX(Intent_Analysis!$B$5:$B$81,MATCH(B6272,Intent_Analysis!$A$5:$A$81,0))</f>
        <v>Card usage &amp; features</v>
      </c>
      <c r="D6272" s="0" t="n">
        <f aca="false">INDEX(Intent_Analysis!$E$5:$E$81,MATCH(B6272,Intent_Analysis!$A$5:$A$81,0))</f>
        <v>2</v>
      </c>
    </row>
    <row r="6273" customFormat="false" ht="15" hidden="false" customHeight="false" outlineLevel="0" collapsed="false">
      <c r="A6273" s="0" t="s">
        <v>6597</v>
      </c>
      <c r="B6273" s="0" t="s">
        <v>71</v>
      </c>
      <c r="C6273" s="0" t="str">
        <f aca="false">INDEX(Intent_Analysis!$B$5:$B$81,MATCH(B6273,Intent_Analysis!$A$5:$A$81,0))</f>
        <v>Card usage &amp; features</v>
      </c>
      <c r="D6273" s="0" t="n">
        <f aca="false">INDEX(Intent_Analysis!$E$5:$E$81,MATCH(B6273,Intent_Analysis!$A$5:$A$81,0))</f>
        <v>2</v>
      </c>
    </row>
    <row r="6274" customFormat="false" ht="15" hidden="false" customHeight="false" outlineLevel="0" collapsed="false">
      <c r="A6274" s="0" t="s">
        <v>6598</v>
      </c>
      <c r="B6274" s="0" t="s">
        <v>71</v>
      </c>
      <c r="C6274" s="0" t="str">
        <f aca="false">INDEX(Intent_Analysis!$B$5:$B$81,MATCH(B6274,Intent_Analysis!$A$5:$A$81,0))</f>
        <v>Card usage &amp; features</v>
      </c>
      <c r="D6274" s="0" t="n">
        <f aca="false">INDEX(Intent_Analysis!$E$5:$E$81,MATCH(B6274,Intent_Analysis!$A$5:$A$81,0))</f>
        <v>2</v>
      </c>
    </row>
    <row r="6275" customFormat="false" ht="15" hidden="false" customHeight="false" outlineLevel="0" collapsed="false">
      <c r="A6275" s="0" t="s">
        <v>6599</v>
      </c>
      <c r="B6275" s="0" t="s">
        <v>71</v>
      </c>
      <c r="C6275" s="0" t="str">
        <f aca="false">INDEX(Intent_Analysis!$B$5:$B$81,MATCH(B6275,Intent_Analysis!$A$5:$A$81,0))</f>
        <v>Card usage &amp; features</v>
      </c>
      <c r="D6275" s="0" t="n">
        <f aca="false">INDEX(Intent_Analysis!$E$5:$E$81,MATCH(B6275,Intent_Analysis!$A$5:$A$81,0))</f>
        <v>2</v>
      </c>
    </row>
    <row r="6276" customFormat="false" ht="15" hidden="false" customHeight="false" outlineLevel="0" collapsed="false">
      <c r="A6276" s="0" t="s">
        <v>6600</v>
      </c>
      <c r="B6276" s="0" t="s">
        <v>71</v>
      </c>
      <c r="C6276" s="0" t="str">
        <f aca="false">INDEX(Intent_Analysis!$B$5:$B$81,MATCH(B6276,Intent_Analysis!$A$5:$A$81,0))</f>
        <v>Card usage &amp; features</v>
      </c>
      <c r="D6276" s="0" t="n">
        <f aca="false">INDEX(Intent_Analysis!$E$5:$E$81,MATCH(B6276,Intent_Analysis!$A$5:$A$81,0))</f>
        <v>2</v>
      </c>
    </row>
    <row r="6277" customFormat="false" ht="15" hidden="false" customHeight="false" outlineLevel="0" collapsed="false">
      <c r="A6277" s="0" t="s">
        <v>6601</v>
      </c>
      <c r="B6277" s="0" t="s">
        <v>71</v>
      </c>
      <c r="C6277" s="0" t="str">
        <f aca="false">INDEX(Intent_Analysis!$B$5:$B$81,MATCH(B6277,Intent_Analysis!$A$5:$A$81,0))</f>
        <v>Card usage &amp; features</v>
      </c>
      <c r="D6277" s="0" t="n">
        <f aca="false">INDEX(Intent_Analysis!$E$5:$E$81,MATCH(B6277,Intent_Analysis!$A$5:$A$81,0))</f>
        <v>2</v>
      </c>
    </row>
    <row r="6278" customFormat="false" ht="15" hidden="false" customHeight="false" outlineLevel="0" collapsed="false">
      <c r="A6278" s="0" t="s">
        <v>6602</v>
      </c>
      <c r="B6278" s="0" t="s">
        <v>71</v>
      </c>
      <c r="C6278" s="0" t="str">
        <f aca="false">INDEX(Intent_Analysis!$B$5:$B$81,MATCH(B6278,Intent_Analysis!$A$5:$A$81,0))</f>
        <v>Card usage &amp; features</v>
      </c>
      <c r="D6278" s="0" t="n">
        <f aca="false">INDEX(Intent_Analysis!$E$5:$E$81,MATCH(B6278,Intent_Analysis!$A$5:$A$81,0))</f>
        <v>2</v>
      </c>
    </row>
    <row r="6279" customFormat="false" ht="15" hidden="false" customHeight="false" outlineLevel="0" collapsed="false">
      <c r="A6279" s="0" t="s">
        <v>6603</v>
      </c>
      <c r="B6279" s="0" t="s">
        <v>71</v>
      </c>
      <c r="C6279" s="0" t="str">
        <f aca="false">INDEX(Intent_Analysis!$B$5:$B$81,MATCH(B6279,Intent_Analysis!$A$5:$A$81,0))</f>
        <v>Card usage &amp; features</v>
      </c>
      <c r="D6279" s="0" t="n">
        <f aca="false">INDEX(Intent_Analysis!$E$5:$E$81,MATCH(B6279,Intent_Analysis!$A$5:$A$81,0))</f>
        <v>2</v>
      </c>
    </row>
    <row r="6280" customFormat="false" ht="15" hidden="false" customHeight="false" outlineLevel="0" collapsed="false">
      <c r="A6280" s="0" t="s">
        <v>6604</v>
      </c>
      <c r="B6280" s="0" t="s">
        <v>71</v>
      </c>
      <c r="C6280" s="0" t="str">
        <f aca="false">INDEX(Intent_Analysis!$B$5:$B$81,MATCH(B6280,Intent_Analysis!$A$5:$A$81,0))</f>
        <v>Card usage &amp; features</v>
      </c>
      <c r="D6280" s="0" t="n">
        <f aca="false">INDEX(Intent_Analysis!$E$5:$E$81,MATCH(B6280,Intent_Analysis!$A$5:$A$81,0))</f>
        <v>2</v>
      </c>
    </row>
    <row r="6281" customFormat="false" ht="15" hidden="false" customHeight="false" outlineLevel="0" collapsed="false">
      <c r="A6281" s="0" t="s">
        <v>6605</v>
      </c>
      <c r="B6281" s="0" t="s">
        <v>71</v>
      </c>
      <c r="C6281" s="0" t="str">
        <f aca="false">INDEX(Intent_Analysis!$B$5:$B$81,MATCH(B6281,Intent_Analysis!$A$5:$A$81,0))</f>
        <v>Card usage &amp; features</v>
      </c>
      <c r="D6281" s="0" t="n">
        <f aca="false">INDEX(Intent_Analysis!$E$5:$E$81,MATCH(B6281,Intent_Analysis!$A$5:$A$81,0))</f>
        <v>2</v>
      </c>
    </row>
    <row r="6282" customFormat="false" ht="15" hidden="false" customHeight="false" outlineLevel="0" collapsed="false">
      <c r="A6282" s="0" t="s">
        <v>6606</v>
      </c>
      <c r="B6282" s="0" t="s">
        <v>71</v>
      </c>
      <c r="C6282" s="0" t="str">
        <f aca="false">INDEX(Intent_Analysis!$B$5:$B$81,MATCH(B6282,Intent_Analysis!$A$5:$A$81,0))</f>
        <v>Card usage &amp; features</v>
      </c>
      <c r="D6282" s="0" t="n">
        <f aca="false">INDEX(Intent_Analysis!$E$5:$E$81,MATCH(B6282,Intent_Analysis!$A$5:$A$81,0))</f>
        <v>2</v>
      </c>
    </row>
    <row r="6283" customFormat="false" ht="15" hidden="false" customHeight="false" outlineLevel="0" collapsed="false">
      <c r="A6283" s="0" t="s">
        <v>6607</v>
      </c>
      <c r="B6283" s="0" t="s">
        <v>71</v>
      </c>
      <c r="C6283" s="0" t="str">
        <f aca="false">INDEX(Intent_Analysis!$B$5:$B$81,MATCH(B6283,Intent_Analysis!$A$5:$A$81,0))</f>
        <v>Card usage &amp; features</v>
      </c>
      <c r="D6283" s="0" t="n">
        <f aca="false">INDEX(Intent_Analysis!$E$5:$E$81,MATCH(B6283,Intent_Analysis!$A$5:$A$81,0))</f>
        <v>2</v>
      </c>
    </row>
    <row r="6284" customFormat="false" ht="15" hidden="false" customHeight="false" outlineLevel="0" collapsed="false">
      <c r="A6284" s="0" t="s">
        <v>6608</v>
      </c>
      <c r="B6284" s="0" t="s">
        <v>71</v>
      </c>
      <c r="C6284" s="0" t="str">
        <f aca="false">INDEX(Intent_Analysis!$B$5:$B$81,MATCH(B6284,Intent_Analysis!$A$5:$A$81,0))</f>
        <v>Card usage &amp; features</v>
      </c>
      <c r="D6284" s="0" t="n">
        <f aca="false">INDEX(Intent_Analysis!$E$5:$E$81,MATCH(B6284,Intent_Analysis!$A$5:$A$81,0))</f>
        <v>2</v>
      </c>
    </row>
    <row r="6285" customFormat="false" ht="15" hidden="false" customHeight="false" outlineLevel="0" collapsed="false">
      <c r="A6285" s="0" t="s">
        <v>6609</v>
      </c>
      <c r="B6285" s="0" t="s">
        <v>71</v>
      </c>
      <c r="C6285" s="0" t="str">
        <f aca="false">INDEX(Intent_Analysis!$B$5:$B$81,MATCH(B6285,Intent_Analysis!$A$5:$A$81,0))</f>
        <v>Card usage &amp; features</v>
      </c>
      <c r="D6285" s="0" t="n">
        <f aca="false">INDEX(Intent_Analysis!$E$5:$E$81,MATCH(B6285,Intent_Analysis!$A$5:$A$81,0))</f>
        <v>2</v>
      </c>
    </row>
    <row r="6286" customFormat="false" ht="15" hidden="false" customHeight="false" outlineLevel="0" collapsed="false">
      <c r="A6286" s="0" t="s">
        <v>6610</v>
      </c>
      <c r="B6286" s="0" t="s">
        <v>71</v>
      </c>
      <c r="C6286" s="0" t="str">
        <f aca="false">INDEX(Intent_Analysis!$B$5:$B$81,MATCH(B6286,Intent_Analysis!$A$5:$A$81,0))</f>
        <v>Card usage &amp; features</v>
      </c>
      <c r="D6286" s="0" t="n">
        <f aca="false">INDEX(Intent_Analysis!$E$5:$E$81,MATCH(B6286,Intent_Analysis!$A$5:$A$81,0))</f>
        <v>2</v>
      </c>
    </row>
    <row r="6287" customFormat="false" ht="15" hidden="false" customHeight="false" outlineLevel="0" collapsed="false">
      <c r="A6287" s="0" t="s">
        <v>6611</v>
      </c>
      <c r="B6287" s="0" t="s">
        <v>71</v>
      </c>
      <c r="C6287" s="0" t="str">
        <f aca="false">INDEX(Intent_Analysis!$B$5:$B$81,MATCH(B6287,Intent_Analysis!$A$5:$A$81,0))</f>
        <v>Card usage &amp; features</v>
      </c>
      <c r="D6287" s="0" t="n">
        <f aca="false">INDEX(Intent_Analysis!$E$5:$E$81,MATCH(B6287,Intent_Analysis!$A$5:$A$81,0))</f>
        <v>2</v>
      </c>
    </row>
    <row r="6288" customFormat="false" ht="15" hidden="false" customHeight="false" outlineLevel="0" collapsed="false">
      <c r="A6288" s="0" t="s">
        <v>6612</v>
      </c>
      <c r="B6288" s="0" t="s">
        <v>71</v>
      </c>
      <c r="C6288" s="0" t="str">
        <f aca="false">INDEX(Intent_Analysis!$B$5:$B$81,MATCH(B6288,Intent_Analysis!$A$5:$A$81,0))</f>
        <v>Card usage &amp; features</v>
      </c>
      <c r="D6288" s="0" t="n">
        <f aca="false">INDEX(Intent_Analysis!$E$5:$E$81,MATCH(B6288,Intent_Analysis!$A$5:$A$81,0))</f>
        <v>2</v>
      </c>
    </row>
    <row r="6289" customFormat="false" ht="15" hidden="false" customHeight="false" outlineLevel="0" collapsed="false">
      <c r="A6289" s="0" t="s">
        <v>6613</v>
      </c>
      <c r="B6289" s="0" t="s">
        <v>71</v>
      </c>
      <c r="C6289" s="0" t="str">
        <f aca="false">INDEX(Intent_Analysis!$B$5:$B$81,MATCH(B6289,Intent_Analysis!$A$5:$A$81,0))</f>
        <v>Card usage &amp; features</v>
      </c>
      <c r="D6289" s="0" t="n">
        <f aca="false">INDEX(Intent_Analysis!$E$5:$E$81,MATCH(B6289,Intent_Analysis!$A$5:$A$81,0))</f>
        <v>2</v>
      </c>
    </row>
    <row r="6290" customFormat="false" ht="15" hidden="false" customHeight="false" outlineLevel="0" collapsed="false">
      <c r="A6290" s="0" t="s">
        <v>6614</v>
      </c>
      <c r="B6290" s="0" t="s">
        <v>71</v>
      </c>
      <c r="C6290" s="0" t="str">
        <f aca="false">INDEX(Intent_Analysis!$B$5:$B$81,MATCH(B6290,Intent_Analysis!$A$5:$A$81,0))</f>
        <v>Card usage &amp; features</v>
      </c>
      <c r="D6290" s="0" t="n">
        <f aca="false">INDEX(Intent_Analysis!$E$5:$E$81,MATCH(B6290,Intent_Analysis!$A$5:$A$81,0))</f>
        <v>2</v>
      </c>
    </row>
    <row r="6291" customFormat="false" ht="15" hidden="false" customHeight="false" outlineLevel="0" collapsed="false">
      <c r="A6291" s="0" t="s">
        <v>6615</v>
      </c>
      <c r="B6291" s="0" t="s">
        <v>71</v>
      </c>
      <c r="C6291" s="0" t="str">
        <f aca="false">INDEX(Intent_Analysis!$B$5:$B$81,MATCH(B6291,Intent_Analysis!$A$5:$A$81,0))</f>
        <v>Card usage &amp; features</v>
      </c>
      <c r="D6291" s="0" t="n">
        <f aca="false">INDEX(Intent_Analysis!$E$5:$E$81,MATCH(B6291,Intent_Analysis!$A$5:$A$81,0))</f>
        <v>2</v>
      </c>
    </row>
    <row r="6292" customFormat="false" ht="15" hidden="false" customHeight="false" outlineLevel="0" collapsed="false">
      <c r="A6292" s="0" t="s">
        <v>6616</v>
      </c>
      <c r="B6292" s="0" t="s">
        <v>71</v>
      </c>
      <c r="C6292" s="0" t="str">
        <f aca="false">INDEX(Intent_Analysis!$B$5:$B$81,MATCH(B6292,Intent_Analysis!$A$5:$A$81,0))</f>
        <v>Card usage &amp; features</v>
      </c>
      <c r="D6292" s="0" t="n">
        <f aca="false">INDEX(Intent_Analysis!$E$5:$E$81,MATCH(B6292,Intent_Analysis!$A$5:$A$81,0))</f>
        <v>2</v>
      </c>
    </row>
    <row r="6293" customFormat="false" ht="15" hidden="false" customHeight="false" outlineLevel="0" collapsed="false">
      <c r="A6293" s="0" t="s">
        <v>6617</v>
      </c>
      <c r="B6293" s="0" t="s">
        <v>71</v>
      </c>
      <c r="C6293" s="0" t="str">
        <f aca="false">INDEX(Intent_Analysis!$B$5:$B$81,MATCH(B6293,Intent_Analysis!$A$5:$A$81,0))</f>
        <v>Card usage &amp; features</v>
      </c>
      <c r="D6293" s="0" t="n">
        <f aca="false">INDEX(Intent_Analysis!$E$5:$E$81,MATCH(B6293,Intent_Analysis!$A$5:$A$81,0))</f>
        <v>2</v>
      </c>
    </row>
    <row r="6294" customFormat="false" ht="15" hidden="false" customHeight="false" outlineLevel="0" collapsed="false">
      <c r="A6294" s="0" t="s">
        <v>6618</v>
      </c>
      <c r="B6294" s="0" t="s">
        <v>71</v>
      </c>
      <c r="C6294" s="0" t="str">
        <f aca="false">INDEX(Intent_Analysis!$B$5:$B$81,MATCH(B6294,Intent_Analysis!$A$5:$A$81,0))</f>
        <v>Card usage &amp; features</v>
      </c>
      <c r="D6294" s="0" t="n">
        <f aca="false">INDEX(Intent_Analysis!$E$5:$E$81,MATCH(B6294,Intent_Analysis!$A$5:$A$81,0))</f>
        <v>2</v>
      </c>
    </row>
    <row r="6295" customFormat="false" ht="15" hidden="false" customHeight="false" outlineLevel="0" collapsed="false">
      <c r="A6295" s="0" t="s">
        <v>6619</v>
      </c>
      <c r="B6295" s="0" t="s">
        <v>71</v>
      </c>
      <c r="C6295" s="0" t="str">
        <f aca="false">INDEX(Intent_Analysis!$B$5:$B$81,MATCH(B6295,Intent_Analysis!$A$5:$A$81,0))</f>
        <v>Card usage &amp; features</v>
      </c>
      <c r="D6295" s="0" t="n">
        <f aca="false">INDEX(Intent_Analysis!$E$5:$E$81,MATCH(B6295,Intent_Analysis!$A$5:$A$81,0))</f>
        <v>2</v>
      </c>
    </row>
    <row r="6296" customFormat="false" ht="15" hidden="false" customHeight="false" outlineLevel="0" collapsed="false">
      <c r="A6296" s="0" t="s">
        <v>6620</v>
      </c>
      <c r="B6296" s="0" t="s">
        <v>71</v>
      </c>
      <c r="C6296" s="0" t="str">
        <f aca="false">INDEX(Intent_Analysis!$B$5:$B$81,MATCH(B6296,Intent_Analysis!$A$5:$A$81,0))</f>
        <v>Card usage &amp; features</v>
      </c>
      <c r="D6296" s="0" t="n">
        <f aca="false">INDEX(Intent_Analysis!$E$5:$E$81,MATCH(B6296,Intent_Analysis!$A$5:$A$81,0))</f>
        <v>2</v>
      </c>
    </row>
    <row r="6297" customFormat="false" ht="15" hidden="false" customHeight="false" outlineLevel="0" collapsed="false">
      <c r="A6297" s="0" t="s">
        <v>6621</v>
      </c>
      <c r="B6297" s="0" t="s">
        <v>71</v>
      </c>
      <c r="C6297" s="0" t="str">
        <f aca="false">INDEX(Intent_Analysis!$B$5:$B$81,MATCH(B6297,Intent_Analysis!$A$5:$A$81,0))</f>
        <v>Card usage &amp; features</v>
      </c>
      <c r="D6297" s="0" t="n">
        <f aca="false">INDEX(Intent_Analysis!$E$5:$E$81,MATCH(B6297,Intent_Analysis!$A$5:$A$81,0))</f>
        <v>2</v>
      </c>
    </row>
    <row r="6298" customFormat="false" ht="15" hidden="false" customHeight="false" outlineLevel="0" collapsed="false">
      <c r="A6298" s="0" t="s">
        <v>6622</v>
      </c>
      <c r="B6298" s="0" t="s">
        <v>71</v>
      </c>
      <c r="C6298" s="0" t="str">
        <f aca="false">INDEX(Intent_Analysis!$B$5:$B$81,MATCH(B6298,Intent_Analysis!$A$5:$A$81,0))</f>
        <v>Card usage &amp; features</v>
      </c>
      <c r="D6298" s="0" t="n">
        <f aca="false">INDEX(Intent_Analysis!$E$5:$E$81,MATCH(B6298,Intent_Analysis!$A$5:$A$81,0))</f>
        <v>2</v>
      </c>
    </row>
    <row r="6299" customFormat="false" ht="15" hidden="false" customHeight="false" outlineLevel="0" collapsed="false">
      <c r="A6299" s="0" t="s">
        <v>6623</v>
      </c>
      <c r="B6299" s="0" t="s">
        <v>71</v>
      </c>
      <c r="C6299" s="0" t="str">
        <f aca="false">INDEX(Intent_Analysis!$B$5:$B$81,MATCH(B6299,Intent_Analysis!$A$5:$A$81,0))</f>
        <v>Card usage &amp; features</v>
      </c>
      <c r="D6299" s="0" t="n">
        <f aca="false">INDEX(Intent_Analysis!$E$5:$E$81,MATCH(B6299,Intent_Analysis!$A$5:$A$81,0))</f>
        <v>2</v>
      </c>
    </row>
    <row r="6300" customFormat="false" ht="15" hidden="false" customHeight="false" outlineLevel="0" collapsed="false">
      <c r="A6300" s="0" t="s">
        <v>6624</v>
      </c>
      <c r="B6300" s="0" t="s">
        <v>71</v>
      </c>
      <c r="C6300" s="0" t="str">
        <f aca="false">INDEX(Intent_Analysis!$B$5:$B$81,MATCH(B6300,Intent_Analysis!$A$5:$A$81,0))</f>
        <v>Card usage &amp; features</v>
      </c>
      <c r="D6300" s="0" t="n">
        <f aca="false">INDEX(Intent_Analysis!$E$5:$E$81,MATCH(B6300,Intent_Analysis!$A$5:$A$81,0))</f>
        <v>2</v>
      </c>
    </row>
    <row r="6301" customFormat="false" ht="15" hidden="false" customHeight="false" outlineLevel="0" collapsed="false">
      <c r="A6301" s="0" t="s">
        <v>6625</v>
      </c>
      <c r="B6301" s="0" t="s">
        <v>71</v>
      </c>
      <c r="C6301" s="0" t="str">
        <f aca="false">INDEX(Intent_Analysis!$B$5:$B$81,MATCH(B6301,Intent_Analysis!$A$5:$A$81,0))</f>
        <v>Card usage &amp; features</v>
      </c>
      <c r="D6301" s="0" t="n">
        <f aca="false">INDEX(Intent_Analysis!$E$5:$E$81,MATCH(B6301,Intent_Analysis!$A$5:$A$81,0))</f>
        <v>2</v>
      </c>
    </row>
    <row r="6302" customFormat="false" ht="15" hidden="false" customHeight="false" outlineLevel="0" collapsed="false">
      <c r="A6302" s="0" t="s">
        <v>6626</v>
      </c>
      <c r="B6302" s="0" t="s">
        <v>71</v>
      </c>
      <c r="C6302" s="0" t="str">
        <f aca="false">INDEX(Intent_Analysis!$B$5:$B$81,MATCH(B6302,Intent_Analysis!$A$5:$A$81,0))</f>
        <v>Card usage &amp; features</v>
      </c>
      <c r="D6302" s="0" t="n">
        <f aca="false">INDEX(Intent_Analysis!$E$5:$E$81,MATCH(B6302,Intent_Analysis!$A$5:$A$81,0))</f>
        <v>2</v>
      </c>
    </row>
    <row r="6303" customFormat="false" ht="15" hidden="false" customHeight="false" outlineLevel="0" collapsed="false">
      <c r="A6303" s="0" t="s">
        <v>6627</v>
      </c>
      <c r="B6303" s="0" t="s">
        <v>71</v>
      </c>
      <c r="C6303" s="0" t="str">
        <f aca="false">INDEX(Intent_Analysis!$B$5:$B$81,MATCH(B6303,Intent_Analysis!$A$5:$A$81,0))</f>
        <v>Card usage &amp; features</v>
      </c>
      <c r="D6303" s="0" t="n">
        <f aca="false">INDEX(Intent_Analysis!$E$5:$E$81,MATCH(B6303,Intent_Analysis!$A$5:$A$81,0))</f>
        <v>2</v>
      </c>
    </row>
    <row r="6304" customFormat="false" ht="15" hidden="false" customHeight="false" outlineLevel="0" collapsed="false">
      <c r="A6304" s="0" t="s">
        <v>6628</v>
      </c>
      <c r="B6304" s="0" t="s">
        <v>71</v>
      </c>
      <c r="C6304" s="0" t="str">
        <f aca="false">INDEX(Intent_Analysis!$B$5:$B$81,MATCH(B6304,Intent_Analysis!$A$5:$A$81,0))</f>
        <v>Card usage &amp; features</v>
      </c>
      <c r="D6304" s="0" t="n">
        <f aca="false">INDEX(Intent_Analysis!$E$5:$E$81,MATCH(B6304,Intent_Analysis!$A$5:$A$81,0))</f>
        <v>2</v>
      </c>
    </row>
    <row r="6305" customFormat="false" ht="15" hidden="false" customHeight="false" outlineLevel="0" collapsed="false">
      <c r="A6305" s="0" t="s">
        <v>6629</v>
      </c>
      <c r="B6305" s="0" t="s">
        <v>71</v>
      </c>
      <c r="C6305" s="0" t="str">
        <f aca="false">INDEX(Intent_Analysis!$B$5:$B$81,MATCH(B6305,Intent_Analysis!$A$5:$A$81,0))</f>
        <v>Card usage &amp; features</v>
      </c>
      <c r="D6305" s="0" t="n">
        <f aca="false">INDEX(Intent_Analysis!$E$5:$E$81,MATCH(B6305,Intent_Analysis!$A$5:$A$81,0))</f>
        <v>2</v>
      </c>
    </row>
    <row r="6306" customFormat="false" ht="15" hidden="false" customHeight="false" outlineLevel="0" collapsed="false">
      <c r="A6306" s="0" t="s">
        <v>6630</v>
      </c>
      <c r="B6306" s="0" t="s">
        <v>71</v>
      </c>
      <c r="C6306" s="0" t="str">
        <f aca="false">INDEX(Intent_Analysis!$B$5:$B$81,MATCH(B6306,Intent_Analysis!$A$5:$A$81,0))</f>
        <v>Card usage &amp; features</v>
      </c>
      <c r="D6306" s="0" t="n">
        <f aca="false">INDEX(Intent_Analysis!$E$5:$E$81,MATCH(B6306,Intent_Analysis!$A$5:$A$81,0))</f>
        <v>2</v>
      </c>
    </row>
    <row r="6307" customFormat="false" ht="15" hidden="false" customHeight="false" outlineLevel="0" collapsed="false">
      <c r="A6307" s="0" t="s">
        <v>6631</v>
      </c>
      <c r="B6307" s="0" t="s">
        <v>71</v>
      </c>
      <c r="C6307" s="0" t="str">
        <f aca="false">INDEX(Intent_Analysis!$B$5:$B$81,MATCH(B6307,Intent_Analysis!$A$5:$A$81,0))</f>
        <v>Card usage &amp; features</v>
      </c>
      <c r="D6307" s="0" t="n">
        <f aca="false">INDEX(Intent_Analysis!$E$5:$E$81,MATCH(B6307,Intent_Analysis!$A$5:$A$81,0))</f>
        <v>2</v>
      </c>
    </row>
    <row r="6308" customFormat="false" ht="15" hidden="false" customHeight="false" outlineLevel="0" collapsed="false">
      <c r="A6308" s="0" t="s">
        <v>6632</v>
      </c>
      <c r="B6308" s="0" t="s">
        <v>53</v>
      </c>
      <c r="C6308" s="0" t="str">
        <f aca="false">INDEX(Intent_Analysis!$B$5:$B$81,MATCH(B6308,Intent_Analysis!$A$5:$A$81,0))</f>
        <v>Card payments &amp; refunds</v>
      </c>
      <c r="D6308" s="0" t="n">
        <f aca="false">INDEX(Intent_Analysis!$E$5:$E$81,MATCH(B6308,Intent_Analysis!$A$5:$A$81,0))</f>
        <v>3</v>
      </c>
    </row>
    <row r="6309" customFormat="false" ht="15" hidden="false" customHeight="false" outlineLevel="0" collapsed="false">
      <c r="A6309" s="0" t="s">
        <v>6633</v>
      </c>
      <c r="B6309" s="0" t="s">
        <v>53</v>
      </c>
      <c r="C6309" s="0" t="str">
        <f aca="false">INDEX(Intent_Analysis!$B$5:$B$81,MATCH(B6309,Intent_Analysis!$A$5:$A$81,0))</f>
        <v>Card payments &amp; refunds</v>
      </c>
      <c r="D6309" s="0" t="n">
        <f aca="false">INDEX(Intent_Analysis!$E$5:$E$81,MATCH(B6309,Intent_Analysis!$A$5:$A$81,0))</f>
        <v>3</v>
      </c>
    </row>
    <row r="6310" customFormat="false" ht="15" hidden="false" customHeight="false" outlineLevel="0" collapsed="false">
      <c r="A6310" s="0" t="s">
        <v>6634</v>
      </c>
      <c r="B6310" s="0" t="s">
        <v>53</v>
      </c>
      <c r="C6310" s="0" t="str">
        <f aca="false">INDEX(Intent_Analysis!$B$5:$B$81,MATCH(B6310,Intent_Analysis!$A$5:$A$81,0))</f>
        <v>Card payments &amp; refunds</v>
      </c>
      <c r="D6310" s="0" t="n">
        <f aca="false">INDEX(Intent_Analysis!$E$5:$E$81,MATCH(B6310,Intent_Analysis!$A$5:$A$81,0))</f>
        <v>3</v>
      </c>
    </row>
    <row r="6311" customFormat="false" ht="15" hidden="false" customHeight="false" outlineLevel="0" collapsed="false">
      <c r="A6311" s="0" t="s">
        <v>6635</v>
      </c>
      <c r="B6311" s="0" t="s">
        <v>53</v>
      </c>
      <c r="C6311" s="0" t="str">
        <f aca="false">INDEX(Intent_Analysis!$B$5:$B$81,MATCH(B6311,Intent_Analysis!$A$5:$A$81,0))</f>
        <v>Card payments &amp; refunds</v>
      </c>
      <c r="D6311" s="0" t="n">
        <f aca="false">INDEX(Intent_Analysis!$E$5:$E$81,MATCH(B6311,Intent_Analysis!$A$5:$A$81,0))</f>
        <v>3</v>
      </c>
    </row>
    <row r="6312" customFormat="false" ht="15" hidden="false" customHeight="false" outlineLevel="0" collapsed="false">
      <c r="A6312" s="0" t="s">
        <v>6636</v>
      </c>
      <c r="B6312" s="0" t="s">
        <v>53</v>
      </c>
      <c r="C6312" s="0" t="str">
        <f aca="false">INDEX(Intent_Analysis!$B$5:$B$81,MATCH(B6312,Intent_Analysis!$A$5:$A$81,0))</f>
        <v>Card payments &amp; refunds</v>
      </c>
      <c r="D6312" s="0" t="n">
        <f aca="false">INDEX(Intent_Analysis!$E$5:$E$81,MATCH(B6312,Intent_Analysis!$A$5:$A$81,0))</f>
        <v>3</v>
      </c>
    </row>
    <row r="6313" customFormat="false" ht="15" hidden="false" customHeight="false" outlineLevel="0" collapsed="false">
      <c r="A6313" s="0" t="s">
        <v>6637</v>
      </c>
      <c r="B6313" s="0" t="s">
        <v>53</v>
      </c>
      <c r="C6313" s="0" t="str">
        <f aca="false">INDEX(Intent_Analysis!$B$5:$B$81,MATCH(B6313,Intent_Analysis!$A$5:$A$81,0))</f>
        <v>Card payments &amp; refunds</v>
      </c>
      <c r="D6313" s="0" t="n">
        <f aca="false">INDEX(Intent_Analysis!$E$5:$E$81,MATCH(B6313,Intent_Analysis!$A$5:$A$81,0))</f>
        <v>3</v>
      </c>
    </row>
    <row r="6314" customFormat="false" ht="15" hidden="false" customHeight="false" outlineLevel="0" collapsed="false">
      <c r="A6314" s="0" t="s">
        <v>6638</v>
      </c>
      <c r="B6314" s="0" t="s">
        <v>53</v>
      </c>
      <c r="C6314" s="0" t="str">
        <f aca="false">INDEX(Intent_Analysis!$B$5:$B$81,MATCH(B6314,Intent_Analysis!$A$5:$A$81,0))</f>
        <v>Card payments &amp; refunds</v>
      </c>
      <c r="D6314" s="0" t="n">
        <f aca="false">INDEX(Intent_Analysis!$E$5:$E$81,MATCH(B6314,Intent_Analysis!$A$5:$A$81,0))</f>
        <v>3</v>
      </c>
    </row>
    <row r="6315" customFormat="false" ht="15" hidden="false" customHeight="false" outlineLevel="0" collapsed="false">
      <c r="A6315" s="0" t="s">
        <v>6639</v>
      </c>
      <c r="B6315" s="0" t="s">
        <v>53</v>
      </c>
      <c r="C6315" s="0" t="str">
        <f aca="false">INDEX(Intent_Analysis!$B$5:$B$81,MATCH(B6315,Intent_Analysis!$A$5:$A$81,0))</f>
        <v>Card payments &amp; refunds</v>
      </c>
      <c r="D6315" s="0" t="n">
        <f aca="false">INDEX(Intent_Analysis!$E$5:$E$81,MATCH(B6315,Intent_Analysis!$A$5:$A$81,0))</f>
        <v>3</v>
      </c>
    </row>
    <row r="6316" customFormat="false" ht="15" hidden="false" customHeight="false" outlineLevel="0" collapsed="false">
      <c r="A6316" s="0" t="s">
        <v>6640</v>
      </c>
      <c r="B6316" s="0" t="s">
        <v>53</v>
      </c>
      <c r="C6316" s="0" t="str">
        <f aca="false">INDEX(Intent_Analysis!$B$5:$B$81,MATCH(B6316,Intent_Analysis!$A$5:$A$81,0))</f>
        <v>Card payments &amp; refunds</v>
      </c>
      <c r="D6316" s="0" t="n">
        <f aca="false">INDEX(Intent_Analysis!$E$5:$E$81,MATCH(B6316,Intent_Analysis!$A$5:$A$81,0))</f>
        <v>3</v>
      </c>
    </row>
    <row r="6317" customFormat="false" ht="15" hidden="false" customHeight="false" outlineLevel="0" collapsed="false">
      <c r="A6317" s="0" t="s">
        <v>6641</v>
      </c>
      <c r="B6317" s="0" t="s">
        <v>53</v>
      </c>
      <c r="C6317" s="0" t="str">
        <f aca="false">INDEX(Intent_Analysis!$B$5:$B$81,MATCH(B6317,Intent_Analysis!$A$5:$A$81,0))</f>
        <v>Card payments &amp; refunds</v>
      </c>
      <c r="D6317" s="0" t="n">
        <f aca="false">INDEX(Intent_Analysis!$E$5:$E$81,MATCH(B6317,Intent_Analysis!$A$5:$A$81,0))</f>
        <v>3</v>
      </c>
    </row>
    <row r="6318" customFormat="false" ht="15" hidden="false" customHeight="false" outlineLevel="0" collapsed="false">
      <c r="A6318" s="0" t="s">
        <v>6642</v>
      </c>
      <c r="B6318" s="0" t="s">
        <v>53</v>
      </c>
      <c r="C6318" s="0" t="str">
        <f aca="false">INDEX(Intent_Analysis!$B$5:$B$81,MATCH(B6318,Intent_Analysis!$A$5:$A$81,0))</f>
        <v>Card payments &amp; refunds</v>
      </c>
      <c r="D6318" s="0" t="n">
        <f aca="false">INDEX(Intent_Analysis!$E$5:$E$81,MATCH(B6318,Intent_Analysis!$A$5:$A$81,0))</f>
        <v>3</v>
      </c>
    </row>
    <row r="6319" customFormat="false" ht="15" hidden="false" customHeight="false" outlineLevel="0" collapsed="false">
      <c r="A6319" s="0" t="s">
        <v>6643</v>
      </c>
      <c r="B6319" s="0" t="s">
        <v>53</v>
      </c>
      <c r="C6319" s="0" t="str">
        <f aca="false">INDEX(Intent_Analysis!$B$5:$B$81,MATCH(B6319,Intent_Analysis!$A$5:$A$81,0))</f>
        <v>Card payments &amp; refunds</v>
      </c>
      <c r="D6319" s="0" t="n">
        <f aca="false">INDEX(Intent_Analysis!$E$5:$E$81,MATCH(B6319,Intent_Analysis!$A$5:$A$81,0))</f>
        <v>3</v>
      </c>
    </row>
    <row r="6320" customFormat="false" ht="15" hidden="false" customHeight="false" outlineLevel="0" collapsed="false">
      <c r="A6320" s="0" t="s">
        <v>6644</v>
      </c>
      <c r="B6320" s="0" t="s">
        <v>53</v>
      </c>
      <c r="C6320" s="0" t="str">
        <f aca="false">INDEX(Intent_Analysis!$B$5:$B$81,MATCH(B6320,Intent_Analysis!$A$5:$A$81,0))</f>
        <v>Card payments &amp; refunds</v>
      </c>
      <c r="D6320" s="0" t="n">
        <f aca="false">INDEX(Intent_Analysis!$E$5:$E$81,MATCH(B6320,Intent_Analysis!$A$5:$A$81,0))</f>
        <v>3</v>
      </c>
    </row>
    <row r="6321" customFormat="false" ht="15" hidden="false" customHeight="false" outlineLevel="0" collapsed="false">
      <c r="A6321" s="0" t="s">
        <v>6645</v>
      </c>
      <c r="B6321" s="0" t="s">
        <v>53</v>
      </c>
      <c r="C6321" s="0" t="str">
        <f aca="false">INDEX(Intent_Analysis!$B$5:$B$81,MATCH(B6321,Intent_Analysis!$A$5:$A$81,0))</f>
        <v>Card payments &amp; refunds</v>
      </c>
      <c r="D6321" s="0" t="n">
        <f aca="false">INDEX(Intent_Analysis!$E$5:$E$81,MATCH(B6321,Intent_Analysis!$A$5:$A$81,0))</f>
        <v>3</v>
      </c>
    </row>
    <row r="6322" customFormat="false" ht="15" hidden="false" customHeight="false" outlineLevel="0" collapsed="false">
      <c r="A6322" s="0" t="s">
        <v>6646</v>
      </c>
      <c r="B6322" s="0" t="s">
        <v>53</v>
      </c>
      <c r="C6322" s="0" t="str">
        <f aca="false">INDEX(Intent_Analysis!$B$5:$B$81,MATCH(B6322,Intent_Analysis!$A$5:$A$81,0))</f>
        <v>Card payments &amp; refunds</v>
      </c>
      <c r="D6322" s="0" t="n">
        <f aca="false">INDEX(Intent_Analysis!$E$5:$E$81,MATCH(B6322,Intent_Analysis!$A$5:$A$81,0))</f>
        <v>3</v>
      </c>
    </row>
    <row r="6323" customFormat="false" ht="15" hidden="false" customHeight="false" outlineLevel="0" collapsed="false">
      <c r="A6323" s="0" t="s">
        <v>6647</v>
      </c>
      <c r="B6323" s="0" t="s">
        <v>53</v>
      </c>
      <c r="C6323" s="0" t="str">
        <f aca="false">INDEX(Intent_Analysis!$B$5:$B$81,MATCH(B6323,Intent_Analysis!$A$5:$A$81,0))</f>
        <v>Card payments &amp; refunds</v>
      </c>
      <c r="D6323" s="0" t="n">
        <f aca="false">INDEX(Intent_Analysis!$E$5:$E$81,MATCH(B6323,Intent_Analysis!$A$5:$A$81,0))</f>
        <v>3</v>
      </c>
    </row>
    <row r="6324" customFormat="false" ht="15" hidden="false" customHeight="false" outlineLevel="0" collapsed="false">
      <c r="A6324" s="0" t="s">
        <v>6648</v>
      </c>
      <c r="B6324" s="0" t="s">
        <v>53</v>
      </c>
      <c r="C6324" s="0" t="str">
        <f aca="false">INDEX(Intent_Analysis!$B$5:$B$81,MATCH(B6324,Intent_Analysis!$A$5:$A$81,0))</f>
        <v>Card payments &amp; refunds</v>
      </c>
      <c r="D6324" s="0" t="n">
        <f aca="false">INDEX(Intent_Analysis!$E$5:$E$81,MATCH(B6324,Intent_Analysis!$A$5:$A$81,0))</f>
        <v>3</v>
      </c>
    </row>
    <row r="6325" customFormat="false" ht="15" hidden="false" customHeight="false" outlineLevel="0" collapsed="false">
      <c r="A6325" s="0" t="s">
        <v>6649</v>
      </c>
      <c r="B6325" s="0" t="s">
        <v>53</v>
      </c>
      <c r="C6325" s="0" t="str">
        <f aca="false">INDEX(Intent_Analysis!$B$5:$B$81,MATCH(B6325,Intent_Analysis!$A$5:$A$81,0))</f>
        <v>Card payments &amp; refunds</v>
      </c>
      <c r="D6325" s="0" t="n">
        <f aca="false">INDEX(Intent_Analysis!$E$5:$E$81,MATCH(B6325,Intent_Analysis!$A$5:$A$81,0))</f>
        <v>3</v>
      </c>
    </row>
    <row r="6326" customFormat="false" ht="15" hidden="false" customHeight="false" outlineLevel="0" collapsed="false">
      <c r="A6326" s="0" t="s">
        <v>6650</v>
      </c>
      <c r="B6326" s="0" t="s">
        <v>53</v>
      </c>
      <c r="C6326" s="0" t="str">
        <f aca="false">INDEX(Intent_Analysis!$B$5:$B$81,MATCH(B6326,Intent_Analysis!$A$5:$A$81,0))</f>
        <v>Card payments &amp; refunds</v>
      </c>
      <c r="D6326" s="0" t="n">
        <f aca="false">INDEX(Intent_Analysis!$E$5:$E$81,MATCH(B6326,Intent_Analysis!$A$5:$A$81,0))</f>
        <v>3</v>
      </c>
    </row>
    <row r="6327" customFormat="false" ht="15" hidden="false" customHeight="false" outlineLevel="0" collapsed="false">
      <c r="A6327" s="0" t="s">
        <v>6651</v>
      </c>
      <c r="B6327" s="0" t="s">
        <v>53</v>
      </c>
      <c r="C6327" s="0" t="str">
        <f aca="false">INDEX(Intent_Analysis!$B$5:$B$81,MATCH(B6327,Intent_Analysis!$A$5:$A$81,0))</f>
        <v>Card payments &amp; refunds</v>
      </c>
      <c r="D6327" s="0" t="n">
        <f aca="false">INDEX(Intent_Analysis!$E$5:$E$81,MATCH(B6327,Intent_Analysis!$A$5:$A$81,0))</f>
        <v>3</v>
      </c>
    </row>
    <row r="6328" customFormat="false" ht="15" hidden="false" customHeight="false" outlineLevel="0" collapsed="false">
      <c r="A6328" s="0" t="s">
        <v>6652</v>
      </c>
      <c r="B6328" s="0" t="s">
        <v>53</v>
      </c>
      <c r="C6328" s="0" t="str">
        <f aca="false">INDEX(Intent_Analysis!$B$5:$B$81,MATCH(B6328,Intent_Analysis!$A$5:$A$81,0))</f>
        <v>Card payments &amp; refunds</v>
      </c>
      <c r="D6328" s="0" t="n">
        <f aca="false">INDEX(Intent_Analysis!$E$5:$E$81,MATCH(B6328,Intent_Analysis!$A$5:$A$81,0))</f>
        <v>3</v>
      </c>
    </row>
    <row r="6329" customFormat="false" ht="15" hidden="false" customHeight="false" outlineLevel="0" collapsed="false">
      <c r="A6329" s="0" t="s">
        <v>6653</v>
      </c>
      <c r="B6329" s="0" t="s">
        <v>53</v>
      </c>
      <c r="C6329" s="0" t="str">
        <f aca="false">INDEX(Intent_Analysis!$B$5:$B$81,MATCH(B6329,Intent_Analysis!$A$5:$A$81,0))</f>
        <v>Card payments &amp; refunds</v>
      </c>
      <c r="D6329" s="0" t="n">
        <f aca="false">INDEX(Intent_Analysis!$E$5:$E$81,MATCH(B6329,Intent_Analysis!$A$5:$A$81,0))</f>
        <v>3</v>
      </c>
    </row>
    <row r="6330" customFormat="false" ht="15" hidden="false" customHeight="false" outlineLevel="0" collapsed="false">
      <c r="A6330" s="0" t="s">
        <v>6654</v>
      </c>
      <c r="B6330" s="0" t="s">
        <v>53</v>
      </c>
      <c r="C6330" s="0" t="str">
        <f aca="false">INDEX(Intent_Analysis!$B$5:$B$81,MATCH(B6330,Intent_Analysis!$A$5:$A$81,0))</f>
        <v>Card payments &amp; refunds</v>
      </c>
      <c r="D6330" s="0" t="n">
        <f aca="false">INDEX(Intent_Analysis!$E$5:$E$81,MATCH(B6330,Intent_Analysis!$A$5:$A$81,0))</f>
        <v>3</v>
      </c>
    </row>
    <row r="6331" customFormat="false" ht="15" hidden="false" customHeight="false" outlineLevel="0" collapsed="false">
      <c r="A6331" s="0" t="s">
        <v>6655</v>
      </c>
      <c r="B6331" s="0" t="s">
        <v>53</v>
      </c>
      <c r="C6331" s="0" t="str">
        <f aca="false">INDEX(Intent_Analysis!$B$5:$B$81,MATCH(B6331,Intent_Analysis!$A$5:$A$81,0))</f>
        <v>Card payments &amp; refunds</v>
      </c>
      <c r="D6331" s="0" t="n">
        <f aca="false">INDEX(Intent_Analysis!$E$5:$E$81,MATCH(B6331,Intent_Analysis!$A$5:$A$81,0))</f>
        <v>3</v>
      </c>
    </row>
    <row r="6332" customFormat="false" ht="15" hidden="false" customHeight="false" outlineLevel="0" collapsed="false">
      <c r="A6332" s="0" t="s">
        <v>6656</v>
      </c>
      <c r="B6332" s="0" t="s">
        <v>53</v>
      </c>
      <c r="C6332" s="0" t="str">
        <f aca="false">INDEX(Intent_Analysis!$B$5:$B$81,MATCH(B6332,Intent_Analysis!$A$5:$A$81,0))</f>
        <v>Card payments &amp; refunds</v>
      </c>
      <c r="D6332" s="0" t="n">
        <f aca="false">INDEX(Intent_Analysis!$E$5:$E$81,MATCH(B6332,Intent_Analysis!$A$5:$A$81,0))</f>
        <v>3</v>
      </c>
    </row>
    <row r="6333" customFormat="false" ht="15" hidden="false" customHeight="false" outlineLevel="0" collapsed="false">
      <c r="A6333" s="0" t="s">
        <v>6657</v>
      </c>
      <c r="B6333" s="0" t="s">
        <v>53</v>
      </c>
      <c r="C6333" s="0" t="str">
        <f aca="false">INDEX(Intent_Analysis!$B$5:$B$81,MATCH(B6333,Intent_Analysis!$A$5:$A$81,0))</f>
        <v>Card payments &amp; refunds</v>
      </c>
      <c r="D6333" s="0" t="n">
        <f aca="false">INDEX(Intent_Analysis!$E$5:$E$81,MATCH(B6333,Intent_Analysis!$A$5:$A$81,0))</f>
        <v>3</v>
      </c>
    </row>
    <row r="6334" customFormat="false" ht="15" hidden="false" customHeight="false" outlineLevel="0" collapsed="false">
      <c r="A6334" s="0" t="s">
        <v>6658</v>
      </c>
      <c r="B6334" s="0" t="s">
        <v>53</v>
      </c>
      <c r="C6334" s="0" t="str">
        <f aca="false">INDEX(Intent_Analysis!$B$5:$B$81,MATCH(B6334,Intent_Analysis!$A$5:$A$81,0))</f>
        <v>Card payments &amp; refunds</v>
      </c>
      <c r="D6334" s="0" t="n">
        <f aca="false">INDEX(Intent_Analysis!$E$5:$E$81,MATCH(B6334,Intent_Analysis!$A$5:$A$81,0))</f>
        <v>3</v>
      </c>
    </row>
    <row r="6335" customFormat="false" ht="15" hidden="false" customHeight="false" outlineLevel="0" collapsed="false">
      <c r="A6335" s="0" t="s">
        <v>6659</v>
      </c>
      <c r="B6335" s="0" t="s">
        <v>53</v>
      </c>
      <c r="C6335" s="0" t="str">
        <f aca="false">INDEX(Intent_Analysis!$B$5:$B$81,MATCH(B6335,Intent_Analysis!$A$5:$A$81,0))</f>
        <v>Card payments &amp; refunds</v>
      </c>
      <c r="D6335" s="0" t="n">
        <f aca="false">INDEX(Intent_Analysis!$E$5:$E$81,MATCH(B6335,Intent_Analysis!$A$5:$A$81,0))</f>
        <v>3</v>
      </c>
    </row>
    <row r="6336" customFormat="false" ht="15" hidden="false" customHeight="false" outlineLevel="0" collapsed="false">
      <c r="A6336" s="0" t="s">
        <v>6660</v>
      </c>
      <c r="B6336" s="0" t="s">
        <v>53</v>
      </c>
      <c r="C6336" s="0" t="str">
        <f aca="false">INDEX(Intent_Analysis!$B$5:$B$81,MATCH(B6336,Intent_Analysis!$A$5:$A$81,0))</f>
        <v>Card payments &amp; refunds</v>
      </c>
      <c r="D6336" s="0" t="n">
        <f aca="false">INDEX(Intent_Analysis!$E$5:$E$81,MATCH(B6336,Intent_Analysis!$A$5:$A$81,0))</f>
        <v>3</v>
      </c>
    </row>
    <row r="6337" customFormat="false" ht="15" hidden="false" customHeight="false" outlineLevel="0" collapsed="false">
      <c r="A6337" s="0" t="s">
        <v>6661</v>
      </c>
      <c r="B6337" s="0" t="s">
        <v>53</v>
      </c>
      <c r="C6337" s="0" t="str">
        <f aca="false">INDEX(Intent_Analysis!$B$5:$B$81,MATCH(B6337,Intent_Analysis!$A$5:$A$81,0))</f>
        <v>Card payments &amp; refunds</v>
      </c>
      <c r="D6337" s="0" t="n">
        <f aca="false">INDEX(Intent_Analysis!$E$5:$E$81,MATCH(B6337,Intent_Analysis!$A$5:$A$81,0))</f>
        <v>3</v>
      </c>
    </row>
    <row r="6338" customFormat="false" ht="15" hidden="false" customHeight="false" outlineLevel="0" collapsed="false">
      <c r="A6338" s="0" t="s">
        <v>6662</v>
      </c>
      <c r="B6338" s="0" t="s">
        <v>53</v>
      </c>
      <c r="C6338" s="0" t="str">
        <f aca="false">INDEX(Intent_Analysis!$B$5:$B$81,MATCH(B6338,Intent_Analysis!$A$5:$A$81,0))</f>
        <v>Card payments &amp; refunds</v>
      </c>
      <c r="D6338" s="0" t="n">
        <f aca="false">INDEX(Intent_Analysis!$E$5:$E$81,MATCH(B6338,Intent_Analysis!$A$5:$A$81,0))</f>
        <v>3</v>
      </c>
    </row>
    <row r="6339" customFormat="false" ht="15" hidden="false" customHeight="false" outlineLevel="0" collapsed="false">
      <c r="A6339" s="0" t="s">
        <v>6663</v>
      </c>
      <c r="B6339" s="0" t="s">
        <v>53</v>
      </c>
      <c r="C6339" s="0" t="str">
        <f aca="false">INDEX(Intent_Analysis!$B$5:$B$81,MATCH(B6339,Intent_Analysis!$A$5:$A$81,0))</f>
        <v>Card payments &amp; refunds</v>
      </c>
      <c r="D6339" s="0" t="n">
        <f aca="false">INDEX(Intent_Analysis!$E$5:$E$81,MATCH(B6339,Intent_Analysis!$A$5:$A$81,0))</f>
        <v>3</v>
      </c>
    </row>
    <row r="6340" customFormat="false" ht="15" hidden="false" customHeight="false" outlineLevel="0" collapsed="false">
      <c r="A6340" s="0" t="s">
        <v>6664</v>
      </c>
      <c r="B6340" s="0" t="s">
        <v>53</v>
      </c>
      <c r="C6340" s="0" t="str">
        <f aca="false">INDEX(Intent_Analysis!$B$5:$B$81,MATCH(B6340,Intent_Analysis!$A$5:$A$81,0))</f>
        <v>Card payments &amp; refunds</v>
      </c>
      <c r="D6340" s="0" t="n">
        <f aca="false">INDEX(Intent_Analysis!$E$5:$E$81,MATCH(B6340,Intent_Analysis!$A$5:$A$81,0))</f>
        <v>3</v>
      </c>
    </row>
    <row r="6341" customFormat="false" ht="15" hidden="false" customHeight="false" outlineLevel="0" collapsed="false">
      <c r="A6341" s="0" t="s">
        <v>6665</v>
      </c>
      <c r="B6341" s="0" t="s">
        <v>53</v>
      </c>
      <c r="C6341" s="0" t="str">
        <f aca="false">INDEX(Intent_Analysis!$B$5:$B$81,MATCH(B6341,Intent_Analysis!$A$5:$A$81,0))</f>
        <v>Card payments &amp; refunds</v>
      </c>
      <c r="D6341" s="0" t="n">
        <f aca="false">INDEX(Intent_Analysis!$E$5:$E$81,MATCH(B6341,Intent_Analysis!$A$5:$A$81,0))</f>
        <v>3</v>
      </c>
    </row>
    <row r="6342" customFormat="false" ht="15" hidden="false" customHeight="false" outlineLevel="0" collapsed="false">
      <c r="A6342" s="0" t="s">
        <v>6666</v>
      </c>
      <c r="B6342" s="0" t="s">
        <v>53</v>
      </c>
      <c r="C6342" s="0" t="str">
        <f aca="false">INDEX(Intent_Analysis!$B$5:$B$81,MATCH(B6342,Intent_Analysis!$A$5:$A$81,0))</f>
        <v>Card payments &amp; refunds</v>
      </c>
      <c r="D6342" s="0" t="n">
        <f aca="false">INDEX(Intent_Analysis!$E$5:$E$81,MATCH(B6342,Intent_Analysis!$A$5:$A$81,0))</f>
        <v>3</v>
      </c>
    </row>
    <row r="6343" customFormat="false" ht="15" hidden="false" customHeight="false" outlineLevel="0" collapsed="false">
      <c r="A6343" s="0" t="s">
        <v>6667</v>
      </c>
      <c r="B6343" s="0" t="s">
        <v>53</v>
      </c>
      <c r="C6343" s="0" t="str">
        <f aca="false">INDEX(Intent_Analysis!$B$5:$B$81,MATCH(B6343,Intent_Analysis!$A$5:$A$81,0))</f>
        <v>Card payments &amp; refunds</v>
      </c>
      <c r="D6343" s="0" t="n">
        <f aca="false">INDEX(Intent_Analysis!$E$5:$E$81,MATCH(B6343,Intent_Analysis!$A$5:$A$81,0))</f>
        <v>3</v>
      </c>
    </row>
    <row r="6344" customFormat="false" ht="15" hidden="false" customHeight="false" outlineLevel="0" collapsed="false">
      <c r="A6344" s="0" t="s">
        <v>6668</v>
      </c>
      <c r="B6344" s="0" t="s">
        <v>53</v>
      </c>
      <c r="C6344" s="0" t="str">
        <f aca="false">INDEX(Intent_Analysis!$B$5:$B$81,MATCH(B6344,Intent_Analysis!$A$5:$A$81,0))</f>
        <v>Card payments &amp; refunds</v>
      </c>
      <c r="D6344" s="0" t="n">
        <f aca="false">INDEX(Intent_Analysis!$E$5:$E$81,MATCH(B6344,Intent_Analysis!$A$5:$A$81,0))</f>
        <v>3</v>
      </c>
    </row>
    <row r="6345" customFormat="false" ht="15" hidden="false" customHeight="false" outlineLevel="0" collapsed="false">
      <c r="A6345" s="0" t="s">
        <v>6669</v>
      </c>
      <c r="B6345" s="0" t="s">
        <v>53</v>
      </c>
      <c r="C6345" s="0" t="str">
        <f aca="false">INDEX(Intent_Analysis!$B$5:$B$81,MATCH(B6345,Intent_Analysis!$A$5:$A$81,0))</f>
        <v>Card payments &amp; refunds</v>
      </c>
      <c r="D6345" s="0" t="n">
        <f aca="false">INDEX(Intent_Analysis!$E$5:$E$81,MATCH(B6345,Intent_Analysis!$A$5:$A$81,0))</f>
        <v>3</v>
      </c>
    </row>
    <row r="6346" customFormat="false" ht="15" hidden="false" customHeight="false" outlineLevel="0" collapsed="false">
      <c r="A6346" s="0" t="s">
        <v>6670</v>
      </c>
      <c r="B6346" s="0" t="s">
        <v>53</v>
      </c>
      <c r="C6346" s="0" t="str">
        <f aca="false">INDEX(Intent_Analysis!$B$5:$B$81,MATCH(B6346,Intent_Analysis!$A$5:$A$81,0))</f>
        <v>Card payments &amp; refunds</v>
      </c>
      <c r="D6346" s="0" t="n">
        <f aca="false">INDEX(Intent_Analysis!$E$5:$E$81,MATCH(B6346,Intent_Analysis!$A$5:$A$81,0))</f>
        <v>3</v>
      </c>
    </row>
    <row r="6347" customFormat="false" ht="15" hidden="false" customHeight="false" outlineLevel="0" collapsed="false">
      <c r="A6347" s="0" t="s">
        <v>6671</v>
      </c>
      <c r="B6347" s="0" t="s">
        <v>53</v>
      </c>
      <c r="C6347" s="0" t="str">
        <f aca="false">INDEX(Intent_Analysis!$B$5:$B$81,MATCH(B6347,Intent_Analysis!$A$5:$A$81,0))</f>
        <v>Card payments &amp; refunds</v>
      </c>
      <c r="D6347" s="0" t="n">
        <f aca="false">INDEX(Intent_Analysis!$E$5:$E$81,MATCH(B6347,Intent_Analysis!$A$5:$A$81,0))</f>
        <v>3</v>
      </c>
    </row>
    <row r="6348" customFormat="false" ht="15" hidden="false" customHeight="false" outlineLevel="0" collapsed="false">
      <c r="A6348" s="0" t="s">
        <v>6672</v>
      </c>
      <c r="B6348" s="0" t="s">
        <v>53</v>
      </c>
      <c r="C6348" s="0" t="str">
        <f aca="false">INDEX(Intent_Analysis!$B$5:$B$81,MATCH(B6348,Intent_Analysis!$A$5:$A$81,0))</f>
        <v>Card payments &amp; refunds</v>
      </c>
      <c r="D6348" s="0" t="n">
        <f aca="false">INDEX(Intent_Analysis!$E$5:$E$81,MATCH(B6348,Intent_Analysis!$A$5:$A$81,0))</f>
        <v>3</v>
      </c>
    </row>
    <row r="6349" customFormat="false" ht="15" hidden="false" customHeight="false" outlineLevel="0" collapsed="false">
      <c r="A6349" s="0" t="s">
        <v>6673</v>
      </c>
      <c r="B6349" s="0" t="s">
        <v>53</v>
      </c>
      <c r="C6349" s="0" t="str">
        <f aca="false">INDEX(Intent_Analysis!$B$5:$B$81,MATCH(B6349,Intent_Analysis!$A$5:$A$81,0))</f>
        <v>Card payments &amp; refunds</v>
      </c>
      <c r="D6349" s="0" t="n">
        <f aca="false">INDEX(Intent_Analysis!$E$5:$E$81,MATCH(B6349,Intent_Analysis!$A$5:$A$81,0))</f>
        <v>3</v>
      </c>
    </row>
    <row r="6350" customFormat="false" ht="15" hidden="false" customHeight="false" outlineLevel="0" collapsed="false">
      <c r="A6350" s="0" t="s">
        <v>6674</v>
      </c>
      <c r="B6350" s="0" t="s">
        <v>53</v>
      </c>
      <c r="C6350" s="0" t="str">
        <f aca="false">INDEX(Intent_Analysis!$B$5:$B$81,MATCH(B6350,Intent_Analysis!$A$5:$A$81,0))</f>
        <v>Card payments &amp; refunds</v>
      </c>
      <c r="D6350" s="0" t="n">
        <f aca="false">INDEX(Intent_Analysis!$E$5:$E$81,MATCH(B6350,Intent_Analysis!$A$5:$A$81,0))</f>
        <v>3</v>
      </c>
    </row>
    <row r="6351" customFormat="false" ht="15" hidden="false" customHeight="false" outlineLevel="0" collapsed="false">
      <c r="A6351" s="0" t="s">
        <v>6675</v>
      </c>
      <c r="B6351" s="0" t="s">
        <v>53</v>
      </c>
      <c r="C6351" s="0" t="str">
        <f aca="false">INDEX(Intent_Analysis!$B$5:$B$81,MATCH(B6351,Intent_Analysis!$A$5:$A$81,0))</f>
        <v>Card payments &amp; refunds</v>
      </c>
      <c r="D6351" s="0" t="n">
        <f aca="false">INDEX(Intent_Analysis!$E$5:$E$81,MATCH(B6351,Intent_Analysis!$A$5:$A$81,0))</f>
        <v>3</v>
      </c>
    </row>
    <row r="6352" customFormat="false" ht="15" hidden="false" customHeight="false" outlineLevel="0" collapsed="false">
      <c r="A6352" s="0" t="s">
        <v>6676</v>
      </c>
      <c r="B6352" s="0" t="s">
        <v>53</v>
      </c>
      <c r="C6352" s="0" t="str">
        <f aca="false">INDEX(Intent_Analysis!$B$5:$B$81,MATCH(B6352,Intent_Analysis!$A$5:$A$81,0))</f>
        <v>Card payments &amp; refunds</v>
      </c>
      <c r="D6352" s="0" t="n">
        <f aca="false">INDEX(Intent_Analysis!$E$5:$E$81,MATCH(B6352,Intent_Analysis!$A$5:$A$81,0))</f>
        <v>3</v>
      </c>
    </row>
    <row r="6353" customFormat="false" ht="15" hidden="false" customHeight="false" outlineLevel="0" collapsed="false">
      <c r="A6353" s="0" t="s">
        <v>6677</v>
      </c>
      <c r="B6353" s="0" t="s">
        <v>53</v>
      </c>
      <c r="C6353" s="0" t="str">
        <f aca="false">INDEX(Intent_Analysis!$B$5:$B$81,MATCH(B6353,Intent_Analysis!$A$5:$A$81,0))</f>
        <v>Card payments &amp; refunds</v>
      </c>
      <c r="D6353" s="0" t="n">
        <f aca="false">INDEX(Intent_Analysis!$E$5:$E$81,MATCH(B6353,Intent_Analysis!$A$5:$A$81,0))</f>
        <v>3</v>
      </c>
    </row>
    <row r="6354" customFormat="false" ht="15" hidden="false" customHeight="false" outlineLevel="0" collapsed="false">
      <c r="A6354" s="0" t="s">
        <v>6678</v>
      </c>
      <c r="B6354" s="0" t="s">
        <v>53</v>
      </c>
      <c r="C6354" s="0" t="str">
        <f aca="false">INDEX(Intent_Analysis!$B$5:$B$81,MATCH(B6354,Intent_Analysis!$A$5:$A$81,0))</f>
        <v>Card payments &amp; refunds</v>
      </c>
      <c r="D6354" s="0" t="n">
        <f aca="false">INDEX(Intent_Analysis!$E$5:$E$81,MATCH(B6354,Intent_Analysis!$A$5:$A$81,0))</f>
        <v>3</v>
      </c>
    </row>
    <row r="6355" customFormat="false" ht="15" hidden="false" customHeight="false" outlineLevel="0" collapsed="false">
      <c r="A6355" s="0" t="s">
        <v>6679</v>
      </c>
      <c r="B6355" s="0" t="s">
        <v>53</v>
      </c>
      <c r="C6355" s="0" t="str">
        <f aca="false">INDEX(Intent_Analysis!$B$5:$B$81,MATCH(B6355,Intent_Analysis!$A$5:$A$81,0))</f>
        <v>Card payments &amp; refunds</v>
      </c>
      <c r="D6355" s="0" t="n">
        <f aca="false">INDEX(Intent_Analysis!$E$5:$E$81,MATCH(B6355,Intent_Analysis!$A$5:$A$81,0))</f>
        <v>3</v>
      </c>
    </row>
    <row r="6356" customFormat="false" ht="15" hidden="false" customHeight="false" outlineLevel="0" collapsed="false">
      <c r="A6356" s="0" t="s">
        <v>6680</v>
      </c>
      <c r="B6356" s="0" t="s">
        <v>53</v>
      </c>
      <c r="C6356" s="0" t="str">
        <f aca="false">INDEX(Intent_Analysis!$B$5:$B$81,MATCH(B6356,Intent_Analysis!$A$5:$A$81,0))</f>
        <v>Card payments &amp; refunds</v>
      </c>
      <c r="D6356" s="0" t="n">
        <f aca="false">INDEX(Intent_Analysis!$E$5:$E$81,MATCH(B6356,Intent_Analysis!$A$5:$A$81,0))</f>
        <v>3</v>
      </c>
    </row>
    <row r="6357" customFormat="false" ht="15" hidden="false" customHeight="false" outlineLevel="0" collapsed="false">
      <c r="A6357" s="0" t="s">
        <v>6681</v>
      </c>
      <c r="B6357" s="0" t="s">
        <v>53</v>
      </c>
      <c r="C6357" s="0" t="str">
        <f aca="false">INDEX(Intent_Analysis!$B$5:$B$81,MATCH(B6357,Intent_Analysis!$A$5:$A$81,0))</f>
        <v>Card payments &amp; refunds</v>
      </c>
      <c r="D6357" s="0" t="n">
        <f aca="false">INDEX(Intent_Analysis!$E$5:$E$81,MATCH(B6357,Intent_Analysis!$A$5:$A$81,0))</f>
        <v>3</v>
      </c>
    </row>
    <row r="6358" customFormat="false" ht="15" hidden="false" customHeight="false" outlineLevel="0" collapsed="false">
      <c r="A6358" s="0" t="s">
        <v>6682</v>
      </c>
      <c r="B6358" s="0" t="s">
        <v>53</v>
      </c>
      <c r="C6358" s="0" t="str">
        <f aca="false">INDEX(Intent_Analysis!$B$5:$B$81,MATCH(B6358,Intent_Analysis!$A$5:$A$81,0))</f>
        <v>Card payments &amp; refunds</v>
      </c>
      <c r="D6358" s="0" t="n">
        <f aca="false">INDEX(Intent_Analysis!$E$5:$E$81,MATCH(B6358,Intent_Analysis!$A$5:$A$81,0))</f>
        <v>3</v>
      </c>
    </row>
    <row r="6359" customFormat="false" ht="15" hidden="false" customHeight="false" outlineLevel="0" collapsed="false">
      <c r="A6359" s="0" t="s">
        <v>6683</v>
      </c>
      <c r="B6359" s="0" t="s">
        <v>53</v>
      </c>
      <c r="C6359" s="0" t="str">
        <f aca="false">INDEX(Intent_Analysis!$B$5:$B$81,MATCH(B6359,Intent_Analysis!$A$5:$A$81,0))</f>
        <v>Card payments &amp; refunds</v>
      </c>
      <c r="D6359" s="0" t="n">
        <f aca="false">INDEX(Intent_Analysis!$E$5:$E$81,MATCH(B6359,Intent_Analysis!$A$5:$A$81,0))</f>
        <v>3</v>
      </c>
    </row>
    <row r="6360" customFormat="false" ht="15" hidden="false" customHeight="false" outlineLevel="0" collapsed="false">
      <c r="A6360" s="0" t="s">
        <v>6684</v>
      </c>
      <c r="B6360" s="0" t="s">
        <v>53</v>
      </c>
      <c r="C6360" s="0" t="str">
        <f aca="false">INDEX(Intent_Analysis!$B$5:$B$81,MATCH(B6360,Intent_Analysis!$A$5:$A$81,0))</f>
        <v>Card payments &amp; refunds</v>
      </c>
      <c r="D6360" s="0" t="n">
        <f aca="false">INDEX(Intent_Analysis!$E$5:$E$81,MATCH(B6360,Intent_Analysis!$A$5:$A$81,0))</f>
        <v>3</v>
      </c>
    </row>
    <row r="6361" customFormat="false" ht="15" hidden="false" customHeight="false" outlineLevel="0" collapsed="false">
      <c r="A6361" s="0" t="s">
        <v>6685</v>
      </c>
      <c r="B6361" s="0" t="s">
        <v>53</v>
      </c>
      <c r="C6361" s="0" t="str">
        <f aca="false">INDEX(Intent_Analysis!$B$5:$B$81,MATCH(B6361,Intent_Analysis!$A$5:$A$81,0))</f>
        <v>Card payments &amp; refunds</v>
      </c>
      <c r="D6361" s="0" t="n">
        <f aca="false">INDEX(Intent_Analysis!$E$5:$E$81,MATCH(B6361,Intent_Analysis!$A$5:$A$81,0))</f>
        <v>3</v>
      </c>
    </row>
    <row r="6362" customFormat="false" ht="15" hidden="false" customHeight="false" outlineLevel="0" collapsed="false">
      <c r="A6362" s="0" t="s">
        <v>6686</v>
      </c>
      <c r="B6362" s="0" t="s">
        <v>53</v>
      </c>
      <c r="C6362" s="0" t="str">
        <f aca="false">INDEX(Intent_Analysis!$B$5:$B$81,MATCH(B6362,Intent_Analysis!$A$5:$A$81,0))</f>
        <v>Card payments &amp; refunds</v>
      </c>
      <c r="D6362" s="0" t="n">
        <f aca="false">INDEX(Intent_Analysis!$E$5:$E$81,MATCH(B6362,Intent_Analysis!$A$5:$A$81,0))</f>
        <v>3</v>
      </c>
    </row>
    <row r="6363" customFormat="false" ht="15" hidden="false" customHeight="false" outlineLevel="0" collapsed="false">
      <c r="A6363" s="0" t="s">
        <v>6687</v>
      </c>
      <c r="B6363" s="0" t="s">
        <v>53</v>
      </c>
      <c r="C6363" s="0" t="str">
        <f aca="false">INDEX(Intent_Analysis!$B$5:$B$81,MATCH(B6363,Intent_Analysis!$A$5:$A$81,0))</f>
        <v>Card payments &amp; refunds</v>
      </c>
      <c r="D6363" s="0" t="n">
        <f aca="false">INDEX(Intent_Analysis!$E$5:$E$81,MATCH(B6363,Intent_Analysis!$A$5:$A$81,0))</f>
        <v>3</v>
      </c>
    </row>
    <row r="6364" customFormat="false" ht="15" hidden="false" customHeight="false" outlineLevel="0" collapsed="false">
      <c r="A6364" s="0" t="s">
        <v>6688</v>
      </c>
      <c r="B6364" s="0" t="s">
        <v>53</v>
      </c>
      <c r="C6364" s="0" t="str">
        <f aca="false">INDEX(Intent_Analysis!$B$5:$B$81,MATCH(B6364,Intent_Analysis!$A$5:$A$81,0))</f>
        <v>Card payments &amp; refunds</v>
      </c>
      <c r="D6364" s="0" t="n">
        <f aca="false">INDEX(Intent_Analysis!$E$5:$E$81,MATCH(B6364,Intent_Analysis!$A$5:$A$81,0))</f>
        <v>3</v>
      </c>
    </row>
    <row r="6365" customFormat="false" ht="15" hidden="false" customHeight="false" outlineLevel="0" collapsed="false">
      <c r="A6365" s="0" t="s">
        <v>6689</v>
      </c>
      <c r="B6365" s="0" t="s">
        <v>53</v>
      </c>
      <c r="C6365" s="0" t="str">
        <f aca="false">INDEX(Intent_Analysis!$B$5:$B$81,MATCH(B6365,Intent_Analysis!$A$5:$A$81,0))</f>
        <v>Card payments &amp; refunds</v>
      </c>
      <c r="D6365" s="0" t="n">
        <f aca="false">INDEX(Intent_Analysis!$E$5:$E$81,MATCH(B6365,Intent_Analysis!$A$5:$A$81,0))</f>
        <v>3</v>
      </c>
    </row>
    <row r="6366" customFormat="false" ht="15" hidden="false" customHeight="false" outlineLevel="0" collapsed="false">
      <c r="A6366" s="0" t="s">
        <v>6690</v>
      </c>
      <c r="B6366" s="0" t="s">
        <v>53</v>
      </c>
      <c r="C6366" s="0" t="str">
        <f aca="false">INDEX(Intent_Analysis!$B$5:$B$81,MATCH(B6366,Intent_Analysis!$A$5:$A$81,0))</f>
        <v>Card payments &amp; refunds</v>
      </c>
      <c r="D6366" s="0" t="n">
        <f aca="false">INDEX(Intent_Analysis!$E$5:$E$81,MATCH(B6366,Intent_Analysis!$A$5:$A$81,0))</f>
        <v>3</v>
      </c>
    </row>
    <row r="6367" customFormat="false" ht="15" hidden="false" customHeight="false" outlineLevel="0" collapsed="false">
      <c r="A6367" s="0" t="s">
        <v>6691</v>
      </c>
      <c r="B6367" s="0" t="s">
        <v>53</v>
      </c>
      <c r="C6367" s="0" t="str">
        <f aca="false">INDEX(Intent_Analysis!$B$5:$B$81,MATCH(B6367,Intent_Analysis!$A$5:$A$81,0))</f>
        <v>Card payments &amp; refunds</v>
      </c>
      <c r="D6367" s="0" t="n">
        <f aca="false">INDEX(Intent_Analysis!$E$5:$E$81,MATCH(B6367,Intent_Analysis!$A$5:$A$81,0))</f>
        <v>3</v>
      </c>
    </row>
    <row r="6368" customFormat="false" ht="15" hidden="false" customHeight="false" outlineLevel="0" collapsed="false">
      <c r="A6368" s="0" t="s">
        <v>6692</v>
      </c>
      <c r="B6368" s="0" t="s">
        <v>53</v>
      </c>
      <c r="C6368" s="0" t="str">
        <f aca="false">INDEX(Intent_Analysis!$B$5:$B$81,MATCH(B6368,Intent_Analysis!$A$5:$A$81,0))</f>
        <v>Card payments &amp; refunds</v>
      </c>
      <c r="D6368" s="0" t="n">
        <f aca="false">INDEX(Intent_Analysis!$E$5:$E$81,MATCH(B6368,Intent_Analysis!$A$5:$A$81,0))</f>
        <v>3</v>
      </c>
    </row>
    <row r="6369" customFormat="false" ht="15" hidden="false" customHeight="false" outlineLevel="0" collapsed="false">
      <c r="A6369" s="0" t="s">
        <v>6693</v>
      </c>
      <c r="B6369" s="0" t="s">
        <v>53</v>
      </c>
      <c r="C6369" s="0" t="str">
        <f aca="false">INDEX(Intent_Analysis!$B$5:$B$81,MATCH(B6369,Intent_Analysis!$A$5:$A$81,0))</f>
        <v>Card payments &amp; refunds</v>
      </c>
      <c r="D6369" s="0" t="n">
        <f aca="false">INDEX(Intent_Analysis!$E$5:$E$81,MATCH(B6369,Intent_Analysis!$A$5:$A$81,0))</f>
        <v>3</v>
      </c>
    </row>
    <row r="6370" customFormat="false" ht="15" hidden="false" customHeight="false" outlineLevel="0" collapsed="false">
      <c r="A6370" s="0" t="s">
        <v>6694</v>
      </c>
      <c r="B6370" s="0" t="s">
        <v>53</v>
      </c>
      <c r="C6370" s="0" t="str">
        <f aca="false">INDEX(Intent_Analysis!$B$5:$B$81,MATCH(B6370,Intent_Analysis!$A$5:$A$81,0))</f>
        <v>Card payments &amp; refunds</v>
      </c>
      <c r="D6370" s="0" t="n">
        <f aca="false">INDEX(Intent_Analysis!$E$5:$E$81,MATCH(B6370,Intent_Analysis!$A$5:$A$81,0))</f>
        <v>3</v>
      </c>
    </row>
    <row r="6371" customFormat="false" ht="15" hidden="false" customHeight="false" outlineLevel="0" collapsed="false">
      <c r="A6371" s="0" t="s">
        <v>6695</v>
      </c>
      <c r="B6371" s="0" t="s">
        <v>53</v>
      </c>
      <c r="C6371" s="0" t="str">
        <f aca="false">INDEX(Intent_Analysis!$B$5:$B$81,MATCH(B6371,Intent_Analysis!$A$5:$A$81,0))</f>
        <v>Card payments &amp; refunds</v>
      </c>
      <c r="D6371" s="0" t="n">
        <f aca="false">INDEX(Intent_Analysis!$E$5:$E$81,MATCH(B6371,Intent_Analysis!$A$5:$A$81,0))</f>
        <v>3</v>
      </c>
    </row>
    <row r="6372" customFormat="false" ht="15" hidden="false" customHeight="false" outlineLevel="0" collapsed="false">
      <c r="A6372" s="0" t="s">
        <v>6696</v>
      </c>
      <c r="B6372" s="0" t="s">
        <v>53</v>
      </c>
      <c r="C6372" s="0" t="str">
        <f aca="false">INDEX(Intent_Analysis!$B$5:$B$81,MATCH(B6372,Intent_Analysis!$A$5:$A$81,0))</f>
        <v>Card payments &amp; refunds</v>
      </c>
      <c r="D6372" s="0" t="n">
        <f aca="false">INDEX(Intent_Analysis!$E$5:$E$81,MATCH(B6372,Intent_Analysis!$A$5:$A$81,0))</f>
        <v>3</v>
      </c>
    </row>
    <row r="6373" customFormat="false" ht="15" hidden="false" customHeight="false" outlineLevel="0" collapsed="false">
      <c r="A6373" s="0" t="s">
        <v>6697</v>
      </c>
      <c r="B6373" s="0" t="s">
        <v>53</v>
      </c>
      <c r="C6373" s="0" t="str">
        <f aca="false">INDEX(Intent_Analysis!$B$5:$B$81,MATCH(B6373,Intent_Analysis!$A$5:$A$81,0))</f>
        <v>Card payments &amp; refunds</v>
      </c>
      <c r="D6373" s="0" t="n">
        <f aca="false">INDEX(Intent_Analysis!$E$5:$E$81,MATCH(B6373,Intent_Analysis!$A$5:$A$81,0))</f>
        <v>3</v>
      </c>
    </row>
    <row r="6374" customFormat="false" ht="15" hidden="false" customHeight="false" outlineLevel="0" collapsed="false">
      <c r="A6374" s="0" t="s">
        <v>6698</v>
      </c>
      <c r="B6374" s="0" t="s">
        <v>53</v>
      </c>
      <c r="C6374" s="0" t="str">
        <f aca="false">INDEX(Intent_Analysis!$B$5:$B$81,MATCH(B6374,Intent_Analysis!$A$5:$A$81,0))</f>
        <v>Card payments &amp; refunds</v>
      </c>
      <c r="D6374" s="0" t="n">
        <f aca="false">INDEX(Intent_Analysis!$E$5:$E$81,MATCH(B6374,Intent_Analysis!$A$5:$A$81,0))</f>
        <v>3</v>
      </c>
    </row>
    <row r="6375" customFormat="false" ht="15" hidden="false" customHeight="false" outlineLevel="0" collapsed="false">
      <c r="A6375" s="0" t="s">
        <v>6699</v>
      </c>
      <c r="B6375" s="0" t="s">
        <v>53</v>
      </c>
      <c r="C6375" s="0" t="str">
        <f aca="false">INDEX(Intent_Analysis!$B$5:$B$81,MATCH(B6375,Intent_Analysis!$A$5:$A$81,0))</f>
        <v>Card payments &amp; refunds</v>
      </c>
      <c r="D6375" s="0" t="n">
        <f aca="false">INDEX(Intent_Analysis!$E$5:$E$81,MATCH(B6375,Intent_Analysis!$A$5:$A$81,0))</f>
        <v>3</v>
      </c>
    </row>
    <row r="6376" customFormat="false" ht="15" hidden="false" customHeight="false" outlineLevel="0" collapsed="false">
      <c r="A6376" s="0" t="s">
        <v>6700</v>
      </c>
      <c r="B6376" s="0" t="s">
        <v>53</v>
      </c>
      <c r="C6376" s="0" t="str">
        <f aca="false">INDEX(Intent_Analysis!$B$5:$B$81,MATCH(B6376,Intent_Analysis!$A$5:$A$81,0))</f>
        <v>Card payments &amp; refunds</v>
      </c>
      <c r="D6376" s="0" t="n">
        <f aca="false">INDEX(Intent_Analysis!$E$5:$E$81,MATCH(B6376,Intent_Analysis!$A$5:$A$81,0))</f>
        <v>3</v>
      </c>
    </row>
    <row r="6377" customFormat="false" ht="15" hidden="false" customHeight="false" outlineLevel="0" collapsed="false">
      <c r="A6377" s="0" t="s">
        <v>6701</v>
      </c>
      <c r="B6377" s="0" t="s">
        <v>53</v>
      </c>
      <c r="C6377" s="0" t="str">
        <f aca="false">INDEX(Intent_Analysis!$B$5:$B$81,MATCH(B6377,Intent_Analysis!$A$5:$A$81,0))</f>
        <v>Card payments &amp; refunds</v>
      </c>
      <c r="D6377" s="0" t="n">
        <f aca="false">INDEX(Intent_Analysis!$E$5:$E$81,MATCH(B6377,Intent_Analysis!$A$5:$A$81,0))</f>
        <v>3</v>
      </c>
    </row>
    <row r="6378" customFormat="false" ht="15" hidden="false" customHeight="false" outlineLevel="0" collapsed="false">
      <c r="A6378" s="0" t="s">
        <v>6702</v>
      </c>
      <c r="B6378" s="0" t="s">
        <v>53</v>
      </c>
      <c r="C6378" s="0" t="str">
        <f aca="false">INDEX(Intent_Analysis!$B$5:$B$81,MATCH(B6378,Intent_Analysis!$A$5:$A$81,0))</f>
        <v>Card payments &amp; refunds</v>
      </c>
      <c r="D6378" s="0" t="n">
        <f aca="false">INDEX(Intent_Analysis!$E$5:$E$81,MATCH(B6378,Intent_Analysis!$A$5:$A$81,0))</f>
        <v>3</v>
      </c>
    </row>
    <row r="6379" customFormat="false" ht="15" hidden="false" customHeight="false" outlineLevel="0" collapsed="false">
      <c r="A6379" s="0" t="s">
        <v>6703</v>
      </c>
      <c r="B6379" s="0" t="s">
        <v>53</v>
      </c>
      <c r="C6379" s="0" t="str">
        <f aca="false">INDEX(Intent_Analysis!$B$5:$B$81,MATCH(B6379,Intent_Analysis!$A$5:$A$81,0))</f>
        <v>Card payments &amp; refunds</v>
      </c>
      <c r="D6379" s="0" t="n">
        <f aca="false">INDEX(Intent_Analysis!$E$5:$E$81,MATCH(B6379,Intent_Analysis!$A$5:$A$81,0))</f>
        <v>3</v>
      </c>
    </row>
    <row r="6380" customFormat="false" ht="15" hidden="false" customHeight="false" outlineLevel="0" collapsed="false">
      <c r="A6380" s="0" t="s">
        <v>6704</v>
      </c>
      <c r="B6380" s="0" t="s">
        <v>53</v>
      </c>
      <c r="C6380" s="0" t="str">
        <f aca="false">INDEX(Intent_Analysis!$B$5:$B$81,MATCH(B6380,Intent_Analysis!$A$5:$A$81,0))</f>
        <v>Card payments &amp; refunds</v>
      </c>
      <c r="D6380" s="0" t="n">
        <f aca="false">INDEX(Intent_Analysis!$E$5:$E$81,MATCH(B6380,Intent_Analysis!$A$5:$A$81,0))</f>
        <v>3</v>
      </c>
    </row>
    <row r="6381" customFormat="false" ht="15" hidden="false" customHeight="false" outlineLevel="0" collapsed="false">
      <c r="A6381" s="0" t="s">
        <v>6705</v>
      </c>
      <c r="B6381" s="0" t="s">
        <v>53</v>
      </c>
      <c r="C6381" s="0" t="str">
        <f aca="false">INDEX(Intent_Analysis!$B$5:$B$81,MATCH(B6381,Intent_Analysis!$A$5:$A$81,0))</f>
        <v>Card payments &amp; refunds</v>
      </c>
      <c r="D6381" s="0" t="n">
        <f aca="false">INDEX(Intent_Analysis!$E$5:$E$81,MATCH(B6381,Intent_Analysis!$A$5:$A$81,0))</f>
        <v>3</v>
      </c>
    </row>
    <row r="6382" customFormat="false" ht="15" hidden="false" customHeight="false" outlineLevel="0" collapsed="false">
      <c r="A6382" s="0" t="s">
        <v>6706</v>
      </c>
      <c r="B6382" s="0" t="s">
        <v>53</v>
      </c>
      <c r="C6382" s="0" t="str">
        <f aca="false">INDEX(Intent_Analysis!$B$5:$B$81,MATCH(B6382,Intent_Analysis!$A$5:$A$81,0))</f>
        <v>Card payments &amp; refunds</v>
      </c>
      <c r="D6382" s="0" t="n">
        <f aca="false">INDEX(Intent_Analysis!$E$5:$E$81,MATCH(B6382,Intent_Analysis!$A$5:$A$81,0))</f>
        <v>3</v>
      </c>
    </row>
    <row r="6383" customFormat="false" ht="15" hidden="false" customHeight="false" outlineLevel="0" collapsed="false">
      <c r="A6383" s="0" t="s">
        <v>6707</v>
      </c>
      <c r="B6383" s="0" t="s">
        <v>53</v>
      </c>
      <c r="C6383" s="0" t="str">
        <f aca="false">INDEX(Intent_Analysis!$B$5:$B$81,MATCH(B6383,Intent_Analysis!$A$5:$A$81,0))</f>
        <v>Card payments &amp; refunds</v>
      </c>
      <c r="D6383" s="0" t="n">
        <f aca="false">INDEX(Intent_Analysis!$E$5:$E$81,MATCH(B6383,Intent_Analysis!$A$5:$A$81,0))</f>
        <v>3</v>
      </c>
    </row>
    <row r="6384" customFormat="false" ht="15" hidden="false" customHeight="false" outlineLevel="0" collapsed="false">
      <c r="A6384" s="0" t="s">
        <v>6708</v>
      </c>
      <c r="B6384" s="0" t="s">
        <v>53</v>
      </c>
      <c r="C6384" s="0" t="str">
        <f aca="false">INDEX(Intent_Analysis!$B$5:$B$81,MATCH(B6384,Intent_Analysis!$A$5:$A$81,0))</f>
        <v>Card payments &amp; refunds</v>
      </c>
      <c r="D6384" s="0" t="n">
        <f aca="false">INDEX(Intent_Analysis!$E$5:$E$81,MATCH(B6384,Intent_Analysis!$A$5:$A$81,0))</f>
        <v>3</v>
      </c>
    </row>
    <row r="6385" customFormat="false" ht="15" hidden="false" customHeight="false" outlineLevel="0" collapsed="false">
      <c r="A6385" s="0" t="s">
        <v>6709</v>
      </c>
      <c r="B6385" s="0" t="s">
        <v>53</v>
      </c>
      <c r="C6385" s="0" t="str">
        <f aca="false">INDEX(Intent_Analysis!$B$5:$B$81,MATCH(B6385,Intent_Analysis!$A$5:$A$81,0))</f>
        <v>Card payments &amp; refunds</v>
      </c>
      <c r="D6385" s="0" t="n">
        <f aca="false">INDEX(Intent_Analysis!$E$5:$E$81,MATCH(B6385,Intent_Analysis!$A$5:$A$81,0))</f>
        <v>3</v>
      </c>
    </row>
    <row r="6386" customFormat="false" ht="15" hidden="false" customHeight="false" outlineLevel="0" collapsed="false">
      <c r="A6386" s="0" t="s">
        <v>6710</v>
      </c>
      <c r="B6386" s="0" t="s">
        <v>53</v>
      </c>
      <c r="C6386" s="0" t="str">
        <f aca="false">INDEX(Intent_Analysis!$B$5:$B$81,MATCH(B6386,Intent_Analysis!$A$5:$A$81,0))</f>
        <v>Card payments &amp; refunds</v>
      </c>
      <c r="D6386" s="0" t="n">
        <f aca="false">INDEX(Intent_Analysis!$E$5:$E$81,MATCH(B6386,Intent_Analysis!$A$5:$A$81,0))</f>
        <v>3</v>
      </c>
    </row>
    <row r="6387" customFormat="false" ht="15" hidden="false" customHeight="false" outlineLevel="0" collapsed="false">
      <c r="A6387" s="0" t="s">
        <v>6711</v>
      </c>
      <c r="B6387" s="0" t="s">
        <v>53</v>
      </c>
      <c r="C6387" s="0" t="str">
        <f aca="false">INDEX(Intent_Analysis!$B$5:$B$81,MATCH(B6387,Intent_Analysis!$A$5:$A$81,0))</f>
        <v>Card payments &amp; refunds</v>
      </c>
      <c r="D6387" s="0" t="n">
        <f aca="false">INDEX(Intent_Analysis!$E$5:$E$81,MATCH(B6387,Intent_Analysis!$A$5:$A$81,0))</f>
        <v>3</v>
      </c>
    </row>
    <row r="6388" customFormat="false" ht="15" hidden="false" customHeight="false" outlineLevel="0" collapsed="false">
      <c r="A6388" s="0" t="s">
        <v>6712</v>
      </c>
      <c r="B6388" s="0" t="s">
        <v>53</v>
      </c>
      <c r="C6388" s="0" t="str">
        <f aca="false">INDEX(Intent_Analysis!$B$5:$B$81,MATCH(B6388,Intent_Analysis!$A$5:$A$81,0))</f>
        <v>Card payments &amp; refunds</v>
      </c>
      <c r="D6388" s="0" t="n">
        <f aca="false">INDEX(Intent_Analysis!$E$5:$E$81,MATCH(B6388,Intent_Analysis!$A$5:$A$81,0))</f>
        <v>3</v>
      </c>
    </row>
    <row r="6389" customFormat="false" ht="15" hidden="false" customHeight="false" outlineLevel="0" collapsed="false">
      <c r="A6389" s="0" t="s">
        <v>6713</v>
      </c>
      <c r="B6389" s="0" t="s">
        <v>53</v>
      </c>
      <c r="C6389" s="0" t="str">
        <f aca="false">INDEX(Intent_Analysis!$B$5:$B$81,MATCH(B6389,Intent_Analysis!$A$5:$A$81,0))</f>
        <v>Card payments &amp; refunds</v>
      </c>
      <c r="D6389" s="0" t="n">
        <f aca="false">INDEX(Intent_Analysis!$E$5:$E$81,MATCH(B6389,Intent_Analysis!$A$5:$A$81,0))</f>
        <v>3</v>
      </c>
    </row>
    <row r="6390" customFormat="false" ht="15" hidden="false" customHeight="false" outlineLevel="0" collapsed="false">
      <c r="A6390" s="0" t="s">
        <v>6714</v>
      </c>
      <c r="B6390" s="0" t="s">
        <v>53</v>
      </c>
      <c r="C6390" s="0" t="str">
        <f aca="false">INDEX(Intent_Analysis!$B$5:$B$81,MATCH(B6390,Intent_Analysis!$A$5:$A$81,0))</f>
        <v>Card payments &amp; refunds</v>
      </c>
      <c r="D6390" s="0" t="n">
        <f aca="false">INDEX(Intent_Analysis!$E$5:$E$81,MATCH(B6390,Intent_Analysis!$A$5:$A$81,0))</f>
        <v>3</v>
      </c>
    </row>
    <row r="6391" customFormat="false" ht="15" hidden="false" customHeight="false" outlineLevel="0" collapsed="false">
      <c r="A6391" s="0" t="s">
        <v>6715</v>
      </c>
      <c r="B6391" s="0" t="s">
        <v>53</v>
      </c>
      <c r="C6391" s="0" t="str">
        <f aca="false">INDEX(Intent_Analysis!$B$5:$B$81,MATCH(B6391,Intent_Analysis!$A$5:$A$81,0))</f>
        <v>Card payments &amp; refunds</v>
      </c>
      <c r="D6391" s="0" t="n">
        <f aca="false">INDEX(Intent_Analysis!$E$5:$E$81,MATCH(B6391,Intent_Analysis!$A$5:$A$81,0))</f>
        <v>3</v>
      </c>
    </row>
    <row r="6392" customFormat="false" ht="15" hidden="false" customHeight="false" outlineLevel="0" collapsed="false">
      <c r="A6392" s="0" t="s">
        <v>6716</v>
      </c>
      <c r="B6392" s="0" t="s">
        <v>53</v>
      </c>
      <c r="C6392" s="0" t="str">
        <f aca="false">INDEX(Intent_Analysis!$B$5:$B$81,MATCH(B6392,Intent_Analysis!$A$5:$A$81,0))</f>
        <v>Card payments &amp; refunds</v>
      </c>
      <c r="D6392" s="0" t="n">
        <f aca="false">INDEX(Intent_Analysis!$E$5:$E$81,MATCH(B6392,Intent_Analysis!$A$5:$A$81,0))</f>
        <v>3</v>
      </c>
    </row>
    <row r="6393" customFormat="false" ht="15" hidden="false" customHeight="false" outlineLevel="0" collapsed="false">
      <c r="A6393" s="0" t="s">
        <v>6717</v>
      </c>
      <c r="B6393" s="0" t="s">
        <v>53</v>
      </c>
      <c r="C6393" s="0" t="str">
        <f aca="false">INDEX(Intent_Analysis!$B$5:$B$81,MATCH(B6393,Intent_Analysis!$A$5:$A$81,0))</f>
        <v>Card payments &amp; refunds</v>
      </c>
      <c r="D6393" s="0" t="n">
        <f aca="false">INDEX(Intent_Analysis!$E$5:$E$81,MATCH(B6393,Intent_Analysis!$A$5:$A$81,0))</f>
        <v>3</v>
      </c>
    </row>
    <row r="6394" customFormat="false" ht="15" hidden="false" customHeight="false" outlineLevel="0" collapsed="false">
      <c r="A6394" s="0" t="s">
        <v>6718</v>
      </c>
      <c r="B6394" s="0" t="s">
        <v>53</v>
      </c>
      <c r="C6394" s="0" t="str">
        <f aca="false">INDEX(Intent_Analysis!$B$5:$B$81,MATCH(B6394,Intent_Analysis!$A$5:$A$81,0))</f>
        <v>Card payments &amp; refunds</v>
      </c>
      <c r="D6394" s="0" t="n">
        <f aca="false">INDEX(Intent_Analysis!$E$5:$E$81,MATCH(B6394,Intent_Analysis!$A$5:$A$81,0))</f>
        <v>3</v>
      </c>
    </row>
    <row r="6395" customFormat="false" ht="15" hidden="false" customHeight="false" outlineLevel="0" collapsed="false">
      <c r="A6395" s="0" t="s">
        <v>6719</v>
      </c>
      <c r="B6395" s="0" t="s">
        <v>53</v>
      </c>
      <c r="C6395" s="0" t="str">
        <f aca="false">INDEX(Intent_Analysis!$B$5:$B$81,MATCH(B6395,Intent_Analysis!$A$5:$A$81,0))</f>
        <v>Card payments &amp; refunds</v>
      </c>
      <c r="D6395" s="0" t="n">
        <f aca="false">INDEX(Intent_Analysis!$E$5:$E$81,MATCH(B6395,Intent_Analysis!$A$5:$A$81,0))</f>
        <v>3</v>
      </c>
    </row>
    <row r="6396" customFormat="false" ht="15" hidden="false" customHeight="false" outlineLevel="0" collapsed="false">
      <c r="A6396" s="0" t="s">
        <v>6720</v>
      </c>
      <c r="B6396" s="0" t="s">
        <v>53</v>
      </c>
      <c r="C6396" s="0" t="str">
        <f aca="false">INDEX(Intent_Analysis!$B$5:$B$81,MATCH(B6396,Intent_Analysis!$A$5:$A$81,0))</f>
        <v>Card payments &amp; refunds</v>
      </c>
      <c r="D6396" s="0" t="n">
        <f aca="false">INDEX(Intent_Analysis!$E$5:$E$81,MATCH(B6396,Intent_Analysis!$A$5:$A$81,0))</f>
        <v>3</v>
      </c>
    </row>
    <row r="6397" customFormat="false" ht="15" hidden="false" customHeight="false" outlineLevel="0" collapsed="false">
      <c r="A6397" s="0" t="s">
        <v>6721</v>
      </c>
      <c r="B6397" s="0" t="s">
        <v>53</v>
      </c>
      <c r="C6397" s="0" t="str">
        <f aca="false">INDEX(Intent_Analysis!$B$5:$B$81,MATCH(B6397,Intent_Analysis!$A$5:$A$81,0))</f>
        <v>Card payments &amp; refunds</v>
      </c>
      <c r="D6397" s="0" t="n">
        <f aca="false">INDEX(Intent_Analysis!$E$5:$E$81,MATCH(B6397,Intent_Analysis!$A$5:$A$81,0))</f>
        <v>3</v>
      </c>
    </row>
    <row r="6398" customFormat="false" ht="15" hidden="false" customHeight="false" outlineLevel="0" collapsed="false">
      <c r="A6398" s="0" t="s">
        <v>6722</v>
      </c>
      <c r="B6398" s="0" t="s">
        <v>53</v>
      </c>
      <c r="C6398" s="0" t="str">
        <f aca="false">INDEX(Intent_Analysis!$B$5:$B$81,MATCH(B6398,Intent_Analysis!$A$5:$A$81,0))</f>
        <v>Card payments &amp; refunds</v>
      </c>
      <c r="D6398" s="0" t="n">
        <f aca="false">INDEX(Intent_Analysis!$E$5:$E$81,MATCH(B6398,Intent_Analysis!$A$5:$A$81,0))</f>
        <v>3</v>
      </c>
    </row>
    <row r="6399" customFormat="false" ht="15" hidden="false" customHeight="false" outlineLevel="0" collapsed="false">
      <c r="A6399" s="0" t="s">
        <v>6723</v>
      </c>
      <c r="B6399" s="0" t="s">
        <v>53</v>
      </c>
      <c r="C6399" s="0" t="str">
        <f aca="false">INDEX(Intent_Analysis!$B$5:$B$81,MATCH(B6399,Intent_Analysis!$A$5:$A$81,0))</f>
        <v>Card payments &amp; refunds</v>
      </c>
      <c r="D6399" s="0" t="n">
        <f aca="false">INDEX(Intent_Analysis!$E$5:$E$81,MATCH(B6399,Intent_Analysis!$A$5:$A$81,0))</f>
        <v>3</v>
      </c>
    </row>
    <row r="6400" customFormat="false" ht="15" hidden="false" customHeight="false" outlineLevel="0" collapsed="false">
      <c r="A6400" s="0" t="s">
        <v>6724</v>
      </c>
      <c r="B6400" s="0" t="s">
        <v>53</v>
      </c>
      <c r="C6400" s="0" t="str">
        <f aca="false">INDEX(Intent_Analysis!$B$5:$B$81,MATCH(B6400,Intent_Analysis!$A$5:$A$81,0))</f>
        <v>Card payments &amp; refunds</v>
      </c>
      <c r="D6400" s="0" t="n">
        <f aca="false">INDEX(Intent_Analysis!$E$5:$E$81,MATCH(B6400,Intent_Analysis!$A$5:$A$81,0))</f>
        <v>3</v>
      </c>
    </row>
    <row r="6401" customFormat="false" ht="15" hidden="false" customHeight="false" outlineLevel="0" collapsed="false">
      <c r="A6401" s="0" t="s">
        <v>6725</v>
      </c>
      <c r="B6401" s="0" t="s">
        <v>53</v>
      </c>
      <c r="C6401" s="0" t="str">
        <f aca="false">INDEX(Intent_Analysis!$B$5:$B$81,MATCH(B6401,Intent_Analysis!$A$5:$A$81,0))</f>
        <v>Card payments &amp; refunds</v>
      </c>
      <c r="D6401" s="0" t="n">
        <f aca="false">INDEX(Intent_Analysis!$E$5:$E$81,MATCH(B6401,Intent_Analysis!$A$5:$A$81,0))</f>
        <v>3</v>
      </c>
    </row>
    <row r="6402" customFormat="false" ht="15" hidden="false" customHeight="false" outlineLevel="0" collapsed="false">
      <c r="A6402" s="0" t="s">
        <v>6726</v>
      </c>
      <c r="B6402" s="0" t="s">
        <v>53</v>
      </c>
      <c r="C6402" s="0" t="str">
        <f aca="false">INDEX(Intent_Analysis!$B$5:$B$81,MATCH(B6402,Intent_Analysis!$A$5:$A$81,0))</f>
        <v>Card payments &amp; refunds</v>
      </c>
      <c r="D6402" s="0" t="n">
        <f aca="false">INDEX(Intent_Analysis!$E$5:$E$81,MATCH(B6402,Intent_Analysis!$A$5:$A$81,0))</f>
        <v>3</v>
      </c>
    </row>
    <row r="6403" customFormat="false" ht="15" hidden="false" customHeight="false" outlineLevel="0" collapsed="false">
      <c r="A6403" s="0" t="s">
        <v>6727</v>
      </c>
      <c r="B6403" s="0" t="s">
        <v>53</v>
      </c>
      <c r="C6403" s="0" t="str">
        <f aca="false">INDEX(Intent_Analysis!$B$5:$B$81,MATCH(B6403,Intent_Analysis!$A$5:$A$81,0))</f>
        <v>Card payments &amp; refunds</v>
      </c>
      <c r="D6403" s="0" t="n">
        <f aca="false">INDEX(Intent_Analysis!$E$5:$E$81,MATCH(B6403,Intent_Analysis!$A$5:$A$81,0))</f>
        <v>3</v>
      </c>
    </row>
    <row r="6404" customFormat="false" ht="15" hidden="false" customHeight="false" outlineLevel="0" collapsed="false">
      <c r="A6404" s="0" t="s">
        <v>6728</v>
      </c>
      <c r="B6404" s="0" t="s">
        <v>53</v>
      </c>
      <c r="C6404" s="0" t="str">
        <f aca="false">INDEX(Intent_Analysis!$B$5:$B$81,MATCH(B6404,Intent_Analysis!$A$5:$A$81,0))</f>
        <v>Card payments &amp; refunds</v>
      </c>
      <c r="D6404" s="0" t="n">
        <f aca="false">INDEX(Intent_Analysis!$E$5:$E$81,MATCH(B6404,Intent_Analysis!$A$5:$A$81,0))</f>
        <v>3</v>
      </c>
    </row>
    <row r="6405" customFormat="false" ht="15" hidden="false" customHeight="false" outlineLevel="0" collapsed="false">
      <c r="A6405" s="0" t="s">
        <v>6729</v>
      </c>
      <c r="B6405" s="0" t="s">
        <v>53</v>
      </c>
      <c r="C6405" s="0" t="str">
        <f aca="false">INDEX(Intent_Analysis!$B$5:$B$81,MATCH(B6405,Intent_Analysis!$A$5:$A$81,0))</f>
        <v>Card payments &amp; refunds</v>
      </c>
      <c r="D6405" s="0" t="n">
        <f aca="false">INDEX(Intent_Analysis!$E$5:$E$81,MATCH(B6405,Intent_Analysis!$A$5:$A$81,0))</f>
        <v>3</v>
      </c>
    </row>
    <row r="6406" customFormat="false" ht="15" hidden="false" customHeight="false" outlineLevel="0" collapsed="false">
      <c r="A6406" s="0" t="s">
        <v>6730</v>
      </c>
      <c r="B6406" s="0" t="s">
        <v>53</v>
      </c>
      <c r="C6406" s="0" t="str">
        <f aca="false">INDEX(Intent_Analysis!$B$5:$B$81,MATCH(B6406,Intent_Analysis!$A$5:$A$81,0))</f>
        <v>Card payments &amp; refunds</v>
      </c>
      <c r="D6406" s="0" t="n">
        <f aca="false">INDEX(Intent_Analysis!$E$5:$E$81,MATCH(B6406,Intent_Analysis!$A$5:$A$81,0))</f>
        <v>3</v>
      </c>
    </row>
    <row r="6407" customFormat="false" ht="15" hidden="false" customHeight="false" outlineLevel="0" collapsed="false">
      <c r="A6407" s="0" t="s">
        <v>6731</v>
      </c>
      <c r="B6407" s="0" t="s">
        <v>53</v>
      </c>
      <c r="C6407" s="0" t="str">
        <f aca="false">INDEX(Intent_Analysis!$B$5:$B$81,MATCH(B6407,Intent_Analysis!$A$5:$A$81,0))</f>
        <v>Card payments &amp; refunds</v>
      </c>
      <c r="D6407" s="0" t="n">
        <f aca="false">INDEX(Intent_Analysis!$E$5:$E$81,MATCH(B6407,Intent_Analysis!$A$5:$A$81,0))</f>
        <v>3</v>
      </c>
    </row>
    <row r="6408" customFormat="false" ht="15" hidden="false" customHeight="false" outlineLevel="0" collapsed="false">
      <c r="A6408" s="0" t="s">
        <v>6732</v>
      </c>
      <c r="B6408" s="0" t="s">
        <v>53</v>
      </c>
      <c r="C6408" s="0" t="str">
        <f aca="false">INDEX(Intent_Analysis!$B$5:$B$81,MATCH(B6408,Intent_Analysis!$A$5:$A$81,0))</f>
        <v>Card payments &amp; refunds</v>
      </c>
      <c r="D6408" s="0" t="n">
        <f aca="false">INDEX(Intent_Analysis!$E$5:$E$81,MATCH(B6408,Intent_Analysis!$A$5:$A$81,0))</f>
        <v>3</v>
      </c>
    </row>
    <row r="6409" customFormat="false" ht="15" hidden="false" customHeight="false" outlineLevel="0" collapsed="false">
      <c r="A6409" s="0" t="s">
        <v>6733</v>
      </c>
      <c r="B6409" s="0" t="s">
        <v>53</v>
      </c>
      <c r="C6409" s="0" t="str">
        <f aca="false">INDEX(Intent_Analysis!$B$5:$B$81,MATCH(B6409,Intent_Analysis!$A$5:$A$81,0))</f>
        <v>Card payments &amp; refunds</v>
      </c>
      <c r="D6409" s="0" t="n">
        <f aca="false">INDEX(Intent_Analysis!$E$5:$E$81,MATCH(B6409,Intent_Analysis!$A$5:$A$81,0))</f>
        <v>3</v>
      </c>
    </row>
    <row r="6410" customFormat="false" ht="15" hidden="false" customHeight="false" outlineLevel="0" collapsed="false">
      <c r="A6410" s="0" t="s">
        <v>6734</v>
      </c>
      <c r="B6410" s="0" t="s">
        <v>53</v>
      </c>
      <c r="C6410" s="0" t="str">
        <f aca="false">INDEX(Intent_Analysis!$B$5:$B$81,MATCH(B6410,Intent_Analysis!$A$5:$A$81,0))</f>
        <v>Card payments &amp; refunds</v>
      </c>
      <c r="D6410" s="0" t="n">
        <f aca="false">INDEX(Intent_Analysis!$E$5:$E$81,MATCH(B6410,Intent_Analysis!$A$5:$A$81,0))</f>
        <v>3</v>
      </c>
    </row>
    <row r="6411" customFormat="false" ht="15" hidden="false" customHeight="false" outlineLevel="0" collapsed="false">
      <c r="A6411" s="0" t="s">
        <v>6735</v>
      </c>
      <c r="B6411" s="0" t="s">
        <v>53</v>
      </c>
      <c r="C6411" s="0" t="str">
        <f aca="false">INDEX(Intent_Analysis!$B$5:$B$81,MATCH(B6411,Intent_Analysis!$A$5:$A$81,0))</f>
        <v>Card payments &amp; refunds</v>
      </c>
      <c r="D6411" s="0" t="n">
        <f aca="false">INDEX(Intent_Analysis!$E$5:$E$81,MATCH(B6411,Intent_Analysis!$A$5:$A$81,0))</f>
        <v>3</v>
      </c>
    </row>
    <row r="6412" customFormat="false" ht="15" hidden="false" customHeight="false" outlineLevel="0" collapsed="false">
      <c r="A6412" s="0" t="s">
        <v>6736</v>
      </c>
      <c r="B6412" s="0" t="s">
        <v>53</v>
      </c>
      <c r="C6412" s="0" t="str">
        <f aca="false">INDEX(Intent_Analysis!$B$5:$B$81,MATCH(B6412,Intent_Analysis!$A$5:$A$81,0))</f>
        <v>Card payments &amp; refunds</v>
      </c>
      <c r="D6412" s="0" t="n">
        <f aca="false">INDEX(Intent_Analysis!$E$5:$E$81,MATCH(B6412,Intent_Analysis!$A$5:$A$81,0))</f>
        <v>3</v>
      </c>
    </row>
    <row r="6413" customFormat="false" ht="15" hidden="false" customHeight="false" outlineLevel="0" collapsed="false">
      <c r="A6413" s="0" t="s">
        <v>6737</v>
      </c>
      <c r="B6413" s="0" t="s">
        <v>53</v>
      </c>
      <c r="C6413" s="0" t="str">
        <f aca="false">INDEX(Intent_Analysis!$B$5:$B$81,MATCH(B6413,Intent_Analysis!$A$5:$A$81,0))</f>
        <v>Card payments &amp; refunds</v>
      </c>
      <c r="D6413" s="0" t="n">
        <f aca="false">INDEX(Intent_Analysis!$E$5:$E$81,MATCH(B6413,Intent_Analysis!$A$5:$A$81,0))</f>
        <v>3</v>
      </c>
    </row>
    <row r="6414" customFormat="false" ht="15" hidden="false" customHeight="false" outlineLevel="0" collapsed="false">
      <c r="A6414" s="0" t="s">
        <v>6738</v>
      </c>
      <c r="B6414" s="0" t="s">
        <v>53</v>
      </c>
      <c r="C6414" s="0" t="str">
        <f aca="false">INDEX(Intent_Analysis!$B$5:$B$81,MATCH(B6414,Intent_Analysis!$A$5:$A$81,0))</f>
        <v>Card payments &amp; refunds</v>
      </c>
      <c r="D6414" s="0" t="n">
        <f aca="false">INDEX(Intent_Analysis!$E$5:$E$81,MATCH(B6414,Intent_Analysis!$A$5:$A$81,0))</f>
        <v>3</v>
      </c>
    </row>
    <row r="6415" customFormat="false" ht="15" hidden="false" customHeight="false" outlineLevel="0" collapsed="false">
      <c r="A6415" s="0" t="s">
        <v>6739</v>
      </c>
      <c r="B6415" s="0" t="s">
        <v>53</v>
      </c>
      <c r="C6415" s="0" t="str">
        <f aca="false">INDEX(Intent_Analysis!$B$5:$B$81,MATCH(B6415,Intent_Analysis!$A$5:$A$81,0))</f>
        <v>Card payments &amp; refunds</v>
      </c>
      <c r="D6415" s="0" t="n">
        <f aca="false">INDEX(Intent_Analysis!$E$5:$E$81,MATCH(B6415,Intent_Analysis!$A$5:$A$81,0))</f>
        <v>3</v>
      </c>
    </row>
    <row r="6416" customFormat="false" ht="15" hidden="false" customHeight="false" outlineLevel="0" collapsed="false">
      <c r="A6416" s="0" t="s">
        <v>6740</v>
      </c>
      <c r="B6416" s="0" t="s">
        <v>53</v>
      </c>
      <c r="C6416" s="0" t="str">
        <f aca="false">INDEX(Intent_Analysis!$B$5:$B$81,MATCH(B6416,Intent_Analysis!$A$5:$A$81,0))</f>
        <v>Card payments &amp; refunds</v>
      </c>
      <c r="D6416" s="0" t="n">
        <f aca="false">INDEX(Intent_Analysis!$E$5:$E$81,MATCH(B6416,Intent_Analysis!$A$5:$A$81,0))</f>
        <v>3</v>
      </c>
    </row>
    <row r="6417" customFormat="false" ht="15" hidden="false" customHeight="false" outlineLevel="0" collapsed="false">
      <c r="A6417" s="0" t="s">
        <v>6741</v>
      </c>
      <c r="B6417" s="0" t="s">
        <v>53</v>
      </c>
      <c r="C6417" s="0" t="str">
        <f aca="false">INDEX(Intent_Analysis!$B$5:$B$81,MATCH(B6417,Intent_Analysis!$A$5:$A$81,0))</f>
        <v>Card payments &amp; refunds</v>
      </c>
      <c r="D6417" s="0" t="n">
        <f aca="false">INDEX(Intent_Analysis!$E$5:$E$81,MATCH(B6417,Intent_Analysis!$A$5:$A$81,0))</f>
        <v>3</v>
      </c>
    </row>
    <row r="6418" customFormat="false" ht="15" hidden="false" customHeight="false" outlineLevel="0" collapsed="false">
      <c r="A6418" s="0" t="s">
        <v>6742</v>
      </c>
      <c r="B6418" s="0" t="s">
        <v>53</v>
      </c>
      <c r="C6418" s="0" t="str">
        <f aca="false">INDEX(Intent_Analysis!$B$5:$B$81,MATCH(B6418,Intent_Analysis!$A$5:$A$81,0))</f>
        <v>Card payments &amp; refunds</v>
      </c>
      <c r="D6418" s="0" t="n">
        <f aca="false">INDEX(Intent_Analysis!$E$5:$E$81,MATCH(B6418,Intent_Analysis!$A$5:$A$81,0))</f>
        <v>3</v>
      </c>
    </row>
    <row r="6419" customFormat="false" ht="15" hidden="false" customHeight="false" outlineLevel="0" collapsed="false">
      <c r="A6419" s="0" t="s">
        <v>6743</v>
      </c>
      <c r="B6419" s="0" t="s">
        <v>53</v>
      </c>
      <c r="C6419" s="0" t="str">
        <f aca="false">INDEX(Intent_Analysis!$B$5:$B$81,MATCH(B6419,Intent_Analysis!$A$5:$A$81,0))</f>
        <v>Card payments &amp; refunds</v>
      </c>
      <c r="D6419" s="0" t="n">
        <f aca="false">INDEX(Intent_Analysis!$E$5:$E$81,MATCH(B6419,Intent_Analysis!$A$5:$A$81,0))</f>
        <v>3</v>
      </c>
    </row>
    <row r="6420" customFormat="false" ht="15" hidden="false" customHeight="false" outlineLevel="0" collapsed="false">
      <c r="A6420" s="0" t="s">
        <v>6744</v>
      </c>
      <c r="B6420" s="0" t="s">
        <v>53</v>
      </c>
      <c r="C6420" s="0" t="str">
        <f aca="false">INDEX(Intent_Analysis!$B$5:$B$81,MATCH(B6420,Intent_Analysis!$A$5:$A$81,0))</f>
        <v>Card payments &amp; refunds</v>
      </c>
      <c r="D6420" s="0" t="n">
        <f aca="false">INDEX(Intent_Analysis!$E$5:$E$81,MATCH(B6420,Intent_Analysis!$A$5:$A$81,0))</f>
        <v>3</v>
      </c>
    </row>
    <row r="6421" customFormat="false" ht="15" hidden="false" customHeight="false" outlineLevel="0" collapsed="false">
      <c r="A6421" s="0" t="s">
        <v>6745</v>
      </c>
      <c r="B6421" s="0" t="s">
        <v>53</v>
      </c>
      <c r="C6421" s="0" t="str">
        <f aca="false">INDEX(Intent_Analysis!$B$5:$B$81,MATCH(B6421,Intent_Analysis!$A$5:$A$81,0))</f>
        <v>Card payments &amp; refunds</v>
      </c>
      <c r="D6421" s="0" t="n">
        <f aca="false">INDEX(Intent_Analysis!$E$5:$E$81,MATCH(B6421,Intent_Analysis!$A$5:$A$81,0))</f>
        <v>3</v>
      </c>
    </row>
    <row r="6422" customFormat="false" ht="15" hidden="false" customHeight="false" outlineLevel="0" collapsed="false">
      <c r="A6422" s="0" t="s">
        <v>6746</v>
      </c>
      <c r="B6422" s="0" t="s">
        <v>53</v>
      </c>
      <c r="C6422" s="0" t="str">
        <f aca="false">INDEX(Intent_Analysis!$B$5:$B$81,MATCH(B6422,Intent_Analysis!$A$5:$A$81,0))</f>
        <v>Card payments &amp; refunds</v>
      </c>
      <c r="D6422" s="0" t="n">
        <f aca="false">INDEX(Intent_Analysis!$E$5:$E$81,MATCH(B6422,Intent_Analysis!$A$5:$A$81,0))</f>
        <v>3</v>
      </c>
    </row>
    <row r="6423" customFormat="false" ht="15" hidden="false" customHeight="false" outlineLevel="0" collapsed="false">
      <c r="A6423" s="0" t="s">
        <v>6747</v>
      </c>
      <c r="B6423" s="0" t="s">
        <v>53</v>
      </c>
      <c r="C6423" s="0" t="str">
        <f aca="false">INDEX(Intent_Analysis!$B$5:$B$81,MATCH(B6423,Intent_Analysis!$A$5:$A$81,0))</f>
        <v>Card payments &amp; refunds</v>
      </c>
      <c r="D6423" s="0" t="n">
        <f aca="false">INDEX(Intent_Analysis!$E$5:$E$81,MATCH(B6423,Intent_Analysis!$A$5:$A$81,0))</f>
        <v>3</v>
      </c>
    </row>
    <row r="6424" customFormat="false" ht="15" hidden="false" customHeight="false" outlineLevel="0" collapsed="false">
      <c r="A6424" s="0" t="s">
        <v>6748</v>
      </c>
      <c r="B6424" s="0" t="s">
        <v>53</v>
      </c>
      <c r="C6424" s="0" t="str">
        <f aca="false">INDEX(Intent_Analysis!$B$5:$B$81,MATCH(B6424,Intent_Analysis!$A$5:$A$81,0))</f>
        <v>Card payments &amp; refunds</v>
      </c>
      <c r="D6424" s="0" t="n">
        <f aca="false">INDEX(Intent_Analysis!$E$5:$E$81,MATCH(B6424,Intent_Analysis!$A$5:$A$81,0))</f>
        <v>3</v>
      </c>
    </row>
    <row r="6425" customFormat="false" ht="15" hidden="false" customHeight="false" outlineLevel="0" collapsed="false">
      <c r="A6425" s="0" t="s">
        <v>6749</v>
      </c>
      <c r="B6425" s="0" t="s">
        <v>53</v>
      </c>
      <c r="C6425" s="0" t="str">
        <f aca="false">INDEX(Intent_Analysis!$B$5:$B$81,MATCH(B6425,Intent_Analysis!$A$5:$A$81,0))</f>
        <v>Card payments &amp; refunds</v>
      </c>
      <c r="D6425" s="0" t="n">
        <f aca="false">INDEX(Intent_Analysis!$E$5:$E$81,MATCH(B6425,Intent_Analysis!$A$5:$A$81,0))</f>
        <v>3</v>
      </c>
    </row>
    <row r="6426" customFormat="false" ht="15" hidden="false" customHeight="false" outlineLevel="0" collapsed="false">
      <c r="A6426" s="0" t="s">
        <v>6750</v>
      </c>
      <c r="B6426" s="0" t="s">
        <v>53</v>
      </c>
      <c r="C6426" s="0" t="str">
        <f aca="false">INDEX(Intent_Analysis!$B$5:$B$81,MATCH(B6426,Intent_Analysis!$A$5:$A$81,0))</f>
        <v>Card payments &amp; refunds</v>
      </c>
      <c r="D6426" s="0" t="n">
        <f aca="false">INDEX(Intent_Analysis!$E$5:$E$81,MATCH(B6426,Intent_Analysis!$A$5:$A$81,0))</f>
        <v>3</v>
      </c>
    </row>
    <row r="6427" customFormat="false" ht="15" hidden="false" customHeight="false" outlineLevel="0" collapsed="false">
      <c r="A6427" s="0" t="s">
        <v>6751</v>
      </c>
      <c r="B6427" s="0" t="s">
        <v>53</v>
      </c>
      <c r="C6427" s="0" t="str">
        <f aca="false">INDEX(Intent_Analysis!$B$5:$B$81,MATCH(B6427,Intent_Analysis!$A$5:$A$81,0))</f>
        <v>Card payments &amp; refunds</v>
      </c>
      <c r="D6427" s="0" t="n">
        <f aca="false">INDEX(Intent_Analysis!$E$5:$E$81,MATCH(B6427,Intent_Analysis!$A$5:$A$81,0))</f>
        <v>3</v>
      </c>
    </row>
    <row r="6428" customFormat="false" ht="15" hidden="false" customHeight="false" outlineLevel="0" collapsed="false">
      <c r="A6428" s="0" t="s">
        <v>6752</v>
      </c>
      <c r="B6428" s="0" t="s">
        <v>53</v>
      </c>
      <c r="C6428" s="0" t="str">
        <f aca="false">INDEX(Intent_Analysis!$B$5:$B$81,MATCH(B6428,Intent_Analysis!$A$5:$A$81,0))</f>
        <v>Card payments &amp; refunds</v>
      </c>
      <c r="D6428" s="0" t="n">
        <f aca="false">INDEX(Intent_Analysis!$E$5:$E$81,MATCH(B6428,Intent_Analysis!$A$5:$A$81,0))</f>
        <v>3</v>
      </c>
    </row>
    <row r="6429" customFormat="false" ht="15" hidden="false" customHeight="false" outlineLevel="0" collapsed="false">
      <c r="A6429" s="0" t="s">
        <v>6753</v>
      </c>
      <c r="B6429" s="0" t="s">
        <v>53</v>
      </c>
      <c r="C6429" s="0" t="str">
        <f aca="false">INDEX(Intent_Analysis!$B$5:$B$81,MATCH(B6429,Intent_Analysis!$A$5:$A$81,0))</f>
        <v>Card payments &amp; refunds</v>
      </c>
      <c r="D6429" s="0" t="n">
        <f aca="false">INDEX(Intent_Analysis!$E$5:$E$81,MATCH(B6429,Intent_Analysis!$A$5:$A$81,0))</f>
        <v>3</v>
      </c>
    </row>
    <row r="6430" customFormat="false" ht="15" hidden="false" customHeight="false" outlineLevel="0" collapsed="false">
      <c r="A6430" s="0" t="s">
        <v>6754</v>
      </c>
      <c r="B6430" s="0" t="s">
        <v>53</v>
      </c>
      <c r="C6430" s="0" t="str">
        <f aca="false">INDEX(Intent_Analysis!$B$5:$B$81,MATCH(B6430,Intent_Analysis!$A$5:$A$81,0))</f>
        <v>Card payments &amp; refunds</v>
      </c>
      <c r="D6430" s="0" t="n">
        <f aca="false">INDEX(Intent_Analysis!$E$5:$E$81,MATCH(B6430,Intent_Analysis!$A$5:$A$81,0))</f>
        <v>3</v>
      </c>
    </row>
    <row r="6431" customFormat="false" ht="15" hidden="false" customHeight="false" outlineLevel="0" collapsed="false">
      <c r="A6431" s="0" t="s">
        <v>6755</v>
      </c>
      <c r="B6431" s="0" t="s">
        <v>53</v>
      </c>
      <c r="C6431" s="0" t="str">
        <f aca="false">INDEX(Intent_Analysis!$B$5:$B$81,MATCH(B6431,Intent_Analysis!$A$5:$A$81,0))</f>
        <v>Card payments &amp; refunds</v>
      </c>
      <c r="D6431" s="0" t="n">
        <f aca="false">INDEX(Intent_Analysis!$E$5:$E$81,MATCH(B6431,Intent_Analysis!$A$5:$A$81,0))</f>
        <v>3</v>
      </c>
    </row>
    <row r="6432" customFormat="false" ht="15" hidden="false" customHeight="false" outlineLevel="0" collapsed="false">
      <c r="A6432" s="0" t="s">
        <v>6756</v>
      </c>
      <c r="B6432" s="0" t="s">
        <v>53</v>
      </c>
      <c r="C6432" s="0" t="str">
        <f aca="false">INDEX(Intent_Analysis!$B$5:$B$81,MATCH(B6432,Intent_Analysis!$A$5:$A$81,0))</f>
        <v>Card payments &amp; refunds</v>
      </c>
      <c r="D6432" s="0" t="n">
        <f aca="false">INDEX(Intent_Analysis!$E$5:$E$81,MATCH(B6432,Intent_Analysis!$A$5:$A$81,0))</f>
        <v>3</v>
      </c>
    </row>
    <row r="6433" customFormat="false" ht="15" hidden="false" customHeight="false" outlineLevel="0" collapsed="false">
      <c r="A6433" s="0" t="s">
        <v>6757</v>
      </c>
      <c r="B6433" s="0" t="s">
        <v>53</v>
      </c>
      <c r="C6433" s="0" t="str">
        <f aca="false">INDEX(Intent_Analysis!$B$5:$B$81,MATCH(B6433,Intent_Analysis!$A$5:$A$81,0))</f>
        <v>Card payments &amp; refunds</v>
      </c>
      <c r="D6433" s="0" t="n">
        <f aca="false">INDEX(Intent_Analysis!$E$5:$E$81,MATCH(B6433,Intent_Analysis!$A$5:$A$81,0))</f>
        <v>3</v>
      </c>
    </row>
    <row r="6434" customFormat="false" ht="15" hidden="false" customHeight="false" outlineLevel="0" collapsed="false">
      <c r="A6434" s="0" t="s">
        <v>6758</v>
      </c>
      <c r="B6434" s="0" t="s">
        <v>53</v>
      </c>
      <c r="C6434" s="0" t="str">
        <f aca="false">INDEX(Intent_Analysis!$B$5:$B$81,MATCH(B6434,Intent_Analysis!$A$5:$A$81,0))</f>
        <v>Card payments &amp; refunds</v>
      </c>
      <c r="D6434" s="0" t="n">
        <f aca="false">INDEX(Intent_Analysis!$E$5:$E$81,MATCH(B6434,Intent_Analysis!$A$5:$A$81,0))</f>
        <v>3</v>
      </c>
    </row>
    <row r="6435" customFormat="false" ht="15" hidden="false" customHeight="false" outlineLevel="0" collapsed="false">
      <c r="A6435" s="0" t="s">
        <v>6759</v>
      </c>
      <c r="B6435" s="0" t="s">
        <v>53</v>
      </c>
      <c r="C6435" s="0" t="str">
        <f aca="false">INDEX(Intent_Analysis!$B$5:$B$81,MATCH(B6435,Intent_Analysis!$A$5:$A$81,0))</f>
        <v>Card payments &amp; refunds</v>
      </c>
      <c r="D6435" s="0" t="n">
        <f aca="false">INDEX(Intent_Analysis!$E$5:$E$81,MATCH(B6435,Intent_Analysis!$A$5:$A$81,0))</f>
        <v>3</v>
      </c>
    </row>
    <row r="6436" customFormat="false" ht="15" hidden="false" customHeight="false" outlineLevel="0" collapsed="false">
      <c r="A6436" s="0" t="s">
        <v>6760</v>
      </c>
      <c r="B6436" s="0" t="s">
        <v>53</v>
      </c>
      <c r="C6436" s="0" t="str">
        <f aca="false">INDEX(Intent_Analysis!$B$5:$B$81,MATCH(B6436,Intent_Analysis!$A$5:$A$81,0))</f>
        <v>Card payments &amp; refunds</v>
      </c>
      <c r="D6436" s="0" t="n">
        <f aca="false">INDEX(Intent_Analysis!$E$5:$E$81,MATCH(B6436,Intent_Analysis!$A$5:$A$81,0))</f>
        <v>3</v>
      </c>
    </row>
    <row r="6437" customFormat="false" ht="15" hidden="false" customHeight="false" outlineLevel="0" collapsed="false">
      <c r="A6437" s="0" t="s">
        <v>6761</v>
      </c>
      <c r="B6437" s="0" t="s">
        <v>53</v>
      </c>
      <c r="C6437" s="0" t="str">
        <f aca="false">INDEX(Intent_Analysis!$B$5:$B$81,MATCH(B6437,Intent_Analysis!$A$5:$A$81,0))</f>
        <v>Card payments &amp; refunds</v>
      </c>
      <c r="D6437" s="0" t="n">
        <f aca="false">INDEX(Intent_Analysis!$E$5:$E$81,MATCH(B6437,Intent_Analysis!$A$5:$A$81,0))</f>
        <v>3</v>
      </c>
    </row>
    <row r="6438" customFormat="false" ht="15" hidden="false" customHeight="false" outlineLevel="0" collapsed="false">
      <c r="A6438" s="0" t="s">
        <v>6762</v>
      </c>
      <c r="B6438" s="0" t="s">
        <v>53</v>
      </c>
      <c r="C6438" s="0" t="str">
        <f aca="false">INDEX(Intent_Analysis!$B$5:$B$81,MATCH(B6438,Intent_Analysis!$A$5:$A$81,0))</f>
        <v>Card payments &amp; refunds</v>
      </c>
      <c r="D6438" s="0" t="n">
        <f aca="false">INDEX(Intent_Analysis!$E$5:$E$81,MATCH(B6438,Intent_Analysis!$A$5:$A$81,0))</f>
        <v>3</v>
      </c>
    </row>
    <row r="6439" customFormat="false" ht="15" hidden="false" customHeight="false" outlineLevel="0" collapsed="false">
      <c r="A6439" s="0" t="s">
        <v>6763</v>
      </c>
      <c r="B6439" s="0" t="s">
        <v>53</v>
      </c>
      <c r="C6439" s="0" t="str">
        <f aca="false">INDEX(Intent_Analysis!$B$5:$B$81,MATCH(B6439,Intent_Analysis!$A$5:$A$81,0))</f>
        <v>Card payments &amp; refunds</v>
      </c>
      <c r="D6439" s="0" t="n">
        <f aca="false">INDEX(Intent_Analysis!$E$5:$E$81,MATCH(B6439,Intent_Analysis!$A$5:$A$81,0))</f>
        <v>3</v>
      </c>
    </row>
    <row r="6440" customFormat="false" ht="15" hidden="false" customHeight="false" outlineLevel="0" collapsed="false">
      <c r="A6440" s="0" t="s">
        <v>6764</v>
      </c>
      <c r="B6440" s="0" t="s">
        <v>53</v>
      </c>
      <c r="C6440" s="0" t="str">
        <f aca="false">INDEX(Intent_Analysis!$B$5:$B$81,MATCH(B6440,Intent_Analysis!$A$5:$A$81,0))</f>
        <v>Card payments &amp; refunds</v>
      </c>
      <c r="D6440" s="0" t="n">
        <f aca="false">INDEX(Intent_Analysis!$E$5:$E$81,MATCH(B6440,Intent_Analysis!$A$5:$A$81,0))</f>
        <v>3</v>
      </c>
    </row>
    <row r="6441" customFormat="false" ht="15" hidden="false" customHeight="false" outlineLevel="0" collapsed="false">
      <c r="A6441" s="0" t="s">
        <v>6765</v>
      </c>
      <c r="B6441" s="0" t="s">
        <v>53</v>
      </c>
      <c r="C6441" s="0" t="str">
        <f aca="false">INDEX(Intent_Analysis!$B$5:$B$81,MATCH(B6441,Intent_Analysis!$A$5:$A$81,0))</f>
        <v>Card payments &amp; refunds</v>
      </c>
      <c r="D6441" s="0" t="n">
        <f aca="false">INDEX(Intent_Analysis!$E$5:$E$81,MATCH(B6441,Intent_Analysis!$A$5:$A$81,0))</f>
        <v>3</v>
      </c>
    </row>
    <row r="6442" customFormat="false" ht="15" hidden="false" customHeight="false" outlineLevel="0" collapsed="false">
      <c r="A6442" s="0" t="s">
        <v>6766</v>
      </c>
      <c r="B6442" s="0" t="s">
        <v>53</v>
      </c>
      <c r="C6442" s="0" t="str">
        <f aca="false">INDEX(Intent_Analysis!$B$5:$B$81,MATCH(B6442,Intent_Analysis!$A$5:$A$81,0))</f>
        <v>Card payments &amp; refunds</v>
      </c>
      <c r="D6442" s="0" t="n">
        <f aca="false">INDEX(Intent_Analysis!$E$5:$E$81,MATCH(B6442,Intent_Analysis!$A$5:$A$81,0))</f>
        <v>3</v>
      </c>
    </row>
    <row r="6443" customFormat="false" ht="15" hidden="false" customHeight="false" outlineLevel="0" collapsed="false">
      <c r="A6443" s="0" t="s">
        <v>6767</v>
      </c>
      <c r="B6443" s="0" t="s">
        <v>53</v>
      </c>
      <c r="C6443" s="0" t="str">
        <f aca="false">INDEX(Intent_Analysis!$B$5:$B$81,MATCH(B6443,Intent_Analysis!$A$5:$A$81,0))</f>
        <v>Card payments &amp; refunds</v>
      </c>
      <c r="D6443" s="0" t="n">
        <f aca="false">INDEX(Intent_Analysis!$E$5:$E$81,MATCH(B6443,Intent_Analysis!$A$5:$A$81,0))</f>
        <v>3</v>
      </c>
    </row>
    <row r="6444" customFormat="false" ht="15" hidden="false" customHeight="false" outlineLevel="0" collapsed="false">
      <c r="A6444" s="0" t="s">
        <v>6768</v>
      </c>
      <c r="B6444" s="0" t="s">
        <v>53</v>
      </c>
      <c r="C6444" s="0" t="str">
        <f aca="false">INDEX(Intent_Analysis!$B$5:$B$81,MATCH(B6444,Intent_Analysis!$A$5:$A$81,0))</f>
        <v>Card payments &amp; refunds</v>
      </c>
      <c r="D6444" s="0" t="n">
        <f aca="false">INDEX(Intent_Analysis!$E$5:$E$81,MATCH(B6444,Intent_Analysis!$A$5:$A$81,0))</f>
        <v>3</v>
      </c>
    </row>
    <row r="6445" customFormat="false" ht="15" hidden="false" customHeight="false" outlineLevel="0" collapsed="false">
      <c r="A6445" s="0" t="s">
        <v>6769</v>
      </c>
      <c r="B6445" s="0" t="s">
        <v>53</v>
      </c>
      <c r="C6445" s="0" t="str">
        <f aca="false">INDEX(Intent_Analysis!$B$5:$B$81,MATCH(B6445,Intent_Analysis!$A$5:$A$81,0))</f>
        <v>Card payments &amp; refunds</v>
      </c>
      <c r="D6445" s="0" t="n">
        <f aca="false">INDEX(Intent_Analysis!$E$5:$E$81,MATCH(B6445,Intent_Analysis!$A$5:$A$81,0))</f>
        <v>3</v>
      </c>
    </row>
    <row r="6446" customFormat="false" ht="15" hidden="false" customHeight="false" outlineLevel="0" collapsed="false">
      <c r="A6446" s="0" t="s">
        <v>6770</v>
      </c>
      <c r="B6446" s="0" t="s">
        <v>53</v>
      </c>
      <c r="C6446" s="0" t="str">
        <f aca="false">INDEX(Intent_Analysis!$B$5:$B$81,MATCH(B6446,Intent_Analysis!$A$5:$A$81,0))</f>
        <v>Card payments &amp; refunds</v>
      </c>
      <c r="D6446" s="0" t="n">
        <f aca="false">INDEX(Intent_Analysis!$E$5:$E$81,MATCH(B6446,Intent_Analysis!$A$5:$A$81,0))</f>
        <v>3</v>
      </c>
    </row>
    <row r="6447" customFormat="false" ht="15" hidden="false" customHeight="false" outlineLevel="0" collapsed="false">
      <c r="A6447" s="0" t="s">
        <v>6771</v>
      </c>
      <c r="B6447" s="0" t="s">
        <v>53</v>
      </c>
      <c r="C6447" s="0" t="str">
        <f aca="false">INDEX(Intent_Analysis!$B$5:$B$81,MATCH(B6447,Intent_Analysis!$A$5:$A$81,0))</f>
        <v>Card payments &amp; refunds</v>
      </c>
      <c r="D6447" s="0" t="n">
        <f aca="false">INDEX(Intent_Analysis!$E$5:$E$81,MATCH(B6447,Intent_Analysis!$A$5:$A$81,0))</f>
        <v>3</v>
      </c>
    </row>
    <row r="6448" customFormat="false" ht="15" hidden="false" customHeight="false" outlineLevel="0" collapsed="false">
      <c r="A6448" s="0" t="s">
        <v>6772</v>
      </c>
      <c r="B6448" s="0" t="s">
        <v>53</v>
      </c>
      <c r="C6448" s="0" t="str">
        <f aca="false">INDEX(Intent_Analysis!$B$5:$B$81,MATCH(B6448,Intent_Analysis!$A$5:$A$81,0))</f>
        <v>Card payments &amp; refunds</v>
      </c>
      <c r="D6448" s="0" t="n">
        <f aca="false">INDEX(Intent_Analysis!$E$5:$E$81,MATCH(B6448,Intent_Analysis!$A$5:$A$81,0))</f>
        <v>3</v>
      </c>
    </row>
    <row r="6449" customFormat="false" ht="15" hidden="false" customHeight="false" outlineLevel="0" collapsed="false">
      <c r="A6449" s="0" t="s">
        <v>6773</v>
      </c>
      <c r="B6449" s="0" t="s">
        <v>53</v>
      </c>
      <c r="C6449" s="0" t="str">
        <f aca="false">INDEX(Intent_Analysis!$B$5:$B$81,MATCH(B6449,Intent_Analysis!$A$5:$A$81,0))</f>
        <v>Card payments &amp; refunds</v>
      </c>
      <c r="D6449" s="0" t="n">
        <f aca="false">INDEX(Intent_Analysis!$E$5:$E$81,MATCH(B6449,Intent_Analysis!$A$5:$A$81,0))</f>
        <v>3</v>
      </c>
    </row>
    <row r="6450" customFormat="false" ht="15" hidden="false" customHeight="false" outlineLevel="0" collapsed="false">
      <c r="A6450" s="0" t="s">
        <v>6774</v>
      </c>
      <c r="B6450" s="0" t="s">
        <v>53</v>
      </c>
      <c r="C6450" s="0" t="str">
        <f aca="false">INDEX(Intent_Analysis!$B$5:$B$81,MATCH(B6450,Intent_Analysis!$A$5:$A$81,0))</f>
        <v>Card payments &amp; refunds</v>
      </c>
      <c r="D6450" s="0" t="n">
        <f aca="false">INDEX(Intent_Analysis!$E$5:$E$81,MATCH(B6450,Intent_Analysis!$A$5:$A$81,0))</f>
        <v>3</v>
      </c>
    </row>
    <row r="6451" customFormat="false" ht="15" hidden="false" customHeight="false" outlineLevel="0" collapsed="false">
      <c r="A6451" s="0" t="s">
        <v>6775</v>
      </c>
      <c r="B6451" s="0" t="s">
        <v>53</v>
      </c>
      <c r="C6451" s="0" t="str">
        <f aca="false">INDEX(Intent_Analysis!$B$5:$B$81,MATCH(B6451,Intent_Analysis!$A$5:$A$81,0))</f>
        <v>Card payments &amp; refunds</v>
      </c>
      <c r="D6451" s="0" t="n">
        <f aca="false">INDEX(Intent_Analysis!$E$5:$E$81,MATCH(B6451,Intent_Analysis!$A$5:$A$81,0))</f>
        <v>3</v>
      </c>
    </row>
    <row r="6452" customFormat="false" ht="15" hidden="false" customHeight="false" outlineLevel="0" collapsed="false">
      <c r="A6452" s="0" t="s">
        <v>6776</v>
      </c>
      <c r="B6452" s="0" t="s">
        <v>53</v>
      </c>
      <c r="C6452" s="0" t="str">
        <f aca="false">INDEX(Intent_Analysis!$B$5:$B$81,MATCH(B6452,Intent_Analysis!$A$5:$A$81,0))</f>
        <v>Card payments &amp; refunds</v>
      </c>
      <c r="D6452" s="0" t="n">
        <f aca="false">INDEX(Intent_Analysis!$E$5:$E$81,MATCH(B6452,Intent_Analysis!$A$5:$A$81,0))</f>
        <v>3</v>
      </c>
    </row>
    <row r="6453" customFormat="false" ht="15" hidden="false" customHeight="false" outlineLevel="0" collapsed="false">
      <c r="A6453" s="0" t="s">
        <v>6777</v>
      </c>
      <c r="B6453" s="0" t="s">
        <v>53</v>
      </c>
      <c r="C6453" s="0" t="str">
        <f aca="false">INDEX(Intent_Analysis!$B$5:$B$81,MATCH(B6453,Intent_Analysis!$A$5:$A$81,0))</f>
        <v>Card payments &amp; refunds</v>
      </c>
      <c r="D6453" s="0" t="n">
        <f aca="false">INDEX(Intent_Analysis!$E$5:$E$81,MATCH(B6453,Intent_Analysis!$A$5:$A$81,0))</f>
        <v>3</v>
      </c>
    </row>
    <row r="6454" customFormat="false" ht="15" hidden="false" customHeight="false" outlineLevel="0" collapsed="false">
      <c r="A6454" s="0" t="s">
        <v>6778</v>
      </c>
      <c r="B6454" s="0" t="s">
        <v>53</v>
      </c>
      <c r="C6454" s="0" t="str">
        <f aca="false">INDEX(Intent_Analysis!$B$5:$B$81,MATCH(B6454,Intent_Analysis!$A$5:$A$81,0))</f>
        <v>Card payments &amp; refunds</v>
      </c>
      <c r="D6454" s="0" t="n">
        <f aca="false">INDEX(Intent_Analysis!$E$5:$E$81,MATCH(B6454,Intent_Analysis!$A$5:$A$81,0))</f>
        <v>3</v>
      </c>
    </row>
    <row r="6455" customFormat="false" ht="15" hidden="false" customHeight="false" outlineLevel="0" collapsed="false">
      <c r="A6455" s="0" t="s">
        <v>6779</v>
      </c>
      <c r="B6455" s="0" t="s">
        <v>53</v>
      </c>
      <c r="C6455" s="0" t="str">
        <f aca="false">INDEX(Intent_Analysis!$B$5:$B$81,MATCH(B6455,Intent_Analysis!$A$5:$A$81,0))</f>
        <v>Card payments &amp; refunds</v>
      </c>
      <c r="D6455" s="0" t="n">
        <f aca="false">INDEX(Intent_Analysis!$E$5:$E$81,MATCH(B6455,Intent_Analysis!$A$5:$A$81,0))</f>
        <v>3</v>
      </c>
    </row>
    <row r="6456" customFormat="false" ht="15" hidden="false" customHeight="false" outlineLevel="0" collapsed="false">
      <c r="A6456" s="0" t="s">
        <v>6780</v>
      </c>
      <c r="B6456" s="0" t="s">
        <v>53</v>
      </c>
      <c r="C6456" s="0" t="str">
        <f aca="false">INDEX(Intent_Analysis!$B$5:$B$81,MATCH(B6456,Intent_Analysis!$A$5:$A$81,0))</f>
        <v>Card payments &amp; refunds</v>
      </c>
      <c r="D6456" s="0" t="n">
        <f aca="false">INDEX(Intent_Analysis!$E$5:$E$81,MATCH(B6456,Intent_Analysis!$A$5:$A$81,0))</f>
        <v>3</v>
      </c>
    </row>
    <row r="6457" customFormat="false" ht="15" hidden="false" customHeight="false" outlineLevel="0" collapsed="false">
      <c r="A6457" s="0" t="s">
        <v>6781</v>
      </c>
      <c r="B6457" s="0" t="s">
        <v>53</v>
      </c>
      <c r="C6457" s="0" t="str">
        <f aca="false">INDEX(Intent_Analysis!$B$5:$B$81,MATCH(B6457,Intent_Analysis!$A$5:$A$81,0))</f>
        <v>Card payments &amp; refunds</v>
      </c>
      <c r="D6457" s="0" t="n">
        <f aca="false">INDEX(Intent_Analysis!$E$5:$E$81,MATCH(B6457,Intent_Analysis!$A$5:$A$81,0))</f>
        <v>3</v>
      </c>
    </row>
    <row r="6458" customFormat="false" ht="15" hidden="false" customHeight="false" outlineLevel="0" collapsed="false">
      <c r="A6458" s="0" t="s">
        <v>6782</v>
      </c>
      <c r="B6458" s="0" t="s">
        <v>53</v>
      </c>
      <c r="C6458" s="0" t="str">
        <f aca="false">INDEX(Intent_Analysis!$B$5:$B$81,MATCH(B6458,Intent_Analysis!$A$5:$A$81,0))</f>
        <v>Card payments &amp; refunds</v>
      </c>
      <c r="D6458" s="0" t="n">
        <f aca="false">INDEX(Intent_Analysis!$E$5:$E$81,MATCH(B6458,Intent_Analysis!$A$5:$A$81,0))</f>
        <v>3</v>
      </c>
    </row>
    <row r="6459" customFormat="false" ht="15" hidden="false" customHeight="false" outlineLevel="0" collapsed="false">
      <c r="A6459" s="0" t="s">
        <v>6783</v>
      </c>
      <c r="B6459" s="0" t="s">
        <v>53</v>
      </c>
      <c r="C6459" s="0" t="str">
        <f aca="false">INDEX(Intent_Analysis!$B$5:$B$81,MATCH(B6459,Intent_Analysis!$A$5:$A$81,0))</f>
        <v>Card payments &amp; refunds</v>
      </c>
      <c r="D6459" s="0" t="n">
        <f aca="false">INDEX(Intent_Analysis!$E$5:$E$81,MATCH(B6459,Intent_Analysis!$A$5:$A$81,0))</f>
        <v>3</v>
      </c>
    </row>
    <row r="6460" customFormat="false" ht="15" hidden="false" customHeight="false" outlineLevel="0" collapsed="false">
      <c r="A6460" s="0" t="s">
        <v>6784</v>
      </c>
      <c r="B6460" s="0" t="s">
        <v>53</v>
      </c>
      <c r="C6460" s="0" t="str">
        <f aca="false">INDEX(Intent_Analysis!$B$5:$B$81,MATCH(B6460,Intent_Analysis!$A$5:$A$81,0))</f>
        <v>Card payments &amp; refunds</v>
      </c>
      <c r="D6460" s="0" t="n">
        <f aca="false">INDEX(Intent_Analysis!$E$5:$E$81,MATCH(B6460,Intent_Analysis!$A$5:$A$81,0))</f>
        <v>3</v>
      </c>
    </row>
    <row r="6461" customFormat="false" ht="15" hidden="false" customHeight="false" outlineLevel="0" collapsed="false">
      <c r="A6461" s="0" t="s">
        <v>6785</v>
      </c>
      <c r="B6461" s="0" t="s">
        <v>53</v>
      </c>
      <c r="C6461" s="0" t="str">
        <f aca="false">INDEX(Intent_Analysis!$B$5:$B$81,MATCH(B6461,Intent_Analysis!$A$5:$A$81,0))</f>
        <v>Card payments &amp; refunds</v>
      </c>
      <c r="D6461" s="0" t="n">
        <f aca="false">INDEX(Intent_Analysis!$E$5:$E$81,MATCH(B6461,Intent_Analysis!$A$5:$A$81,0))</f>
        <v>3</v>
      </c>
    </row>
    <row r="6462" customFormat="false" ht="15" hidden="false" customHeight="false" outlineLevel="0" collapsed="false">
      <c r="A6462" s="0" t="s">
        <v>6786</v>
      </c>
      <c r="B6462" s="0" t="s">
        <v>53</v>
      </c>
      <c r="C6462" s="0" t="str">
        <f aca="false">INDEX(Intent_Analysis!$B$5:$B$81,MATCH(B6462,Intent_Analysis!$A$5:$A$81,0))</f>
        <v>Card payments &amp; refunds</v>
      </c>
      <c r="D6462" s="0" t="n">
        <f aca="false">INDEX(Intent_Analysis!$E$5:$E$81,MATCH(B6462,Intent_Analysis!$A$5:$A$81,0))</f>
        <v>3</v>
      </c>
    </row>
    <row r="6463" customFormat="false" ht="15" hidden="false" customHeight="false" outlineLevel="0" collapsed="false">
      <c r="A6463" s="0" t="s">
        <v>6787</v>
      </c>
      <c r="B6463" s="0" t="s">
        <v>53</v>
      </c>
      <c r="C6463" s="0" t="str">
        <f aca="false">INDEX(Intent_Analysis!$B$5:$B$81,MATCH(B6463,Intent_Analysis!$A$5:$A$81,0))</f>
        <v>Card payments &amp; refunds</v>
      </c>
      <c r="D6463" s="0" t="n">
        <f aca="false">INDEX(Intent_Analysis!$E$5:$E$81,MATCH(B6463,Intent_Analysis!$A$5:$A$81,0))</f>
        <v>3</v>
      </c>
    </row>
    <row r="6464" customFormat="false" ht="15" hidden="false" customHeight="false" outlineLevel="0" collapsed="false">
      <c r="A6464" s="0" t="s">
        <v>6788</v>
      </c>
      <c r="B6464" s="0" t="s">
        <v>53</v>
      </c>
      <c r="C6464" s="0" t="str">
        <f aca="false">INDEX(Intent_Analysis!$B$5:$B$81,MATCH(B6464,Intent_Analysis!$A$5:$A$81,0))</f>
        <v>Card payments &amp; refunds</v>
      </c>
      <c r="D6464" s="0" t="n">
        <f aca="false">INDEX(Intent_Analysis!$E$5:$E$81,MATCH(B6464,Intent_Analysis!$A$5:$A$81,0))</f>
        <v>3</v>
      </c>
    </row>
    <row r="6465" customFormat="false" ht="15" hidden="false" customHeight="false" outlineLevel="0" collapsed="false">
      <c r="A6465" s="0" t="s">
        <v>6789</v>
      </c>
      <c r="B6465" s="0" t="s">
        <v>53</v>
      </c>
      <c r="C6465" s="0" t="str">
        <f aca="false">INDEX(Intent_Analysis!$B$5:$B$81,MATCH(B6465,Intent_Analysis!$A$5:$A$81,0))</f>
        <v>Card payments &amp; refunds</v>
      </c>
      <c r="D6465" s="0" t="n">
        <f aca="false">INDEX(Intent_Analysis!$E$5:$E$81,MATCH(B6465,Intent_Analysis!$A$5:$A$81,0))</f>
        <v>3</v>
      </c>
    </row>
    <row r="6466" customFormat="false" ht="15" hidden="false" customHeight="false" outlineLevel="0" collapsed="false">
      <c r="A6466" s="0" t="s">
        <v>6790</v>
      </c>
      <c r="B6466" s="0" t="s">
        <v>53</v>
      </c>
      <c r="C6466" s="0" t="str">
        <f aca="false">INDEX(Intent_Analysis!$B$5:$B$81,MATCH(B6466,Intent_Analysis!$A$5:$A$81,0))</f>
        <v>Card payments &amp; refunds</v>
      </c>
      <c r="D6466" s="0" t="n">
        <f aca="false">INDEX(Intent_Analysis!$E$5:$E$81,MATCH(B6466,Intent_Analysis!$A$5:$A$81,0))</f>
        <v>3</v>
      </c>
    </row>
    <row r="6467" customFormat="false" ht="15" hidden="false" customHeight="false" outlineLevel="0" collapsed="false">
      <c r="A6467" s="0" t="s">
        <v>6791</v>
      </c>
      <c r="B6467" s="0" t="s">
        <v>53</v>
      </c>
      <c r="C6467" s="0" t="str">
        <f aca="false">INDEX(Intent_Analysis!$B$5:$B$81,MATCH(B6467,Intent_Analysis!$A$5:$A$81,0))</f>
        <v>Card payments &amp; refunds</v>
      </c>
      <c r="D6467" s="0" t="n">
        <f aca="false">INDEX(Intent_Analysis!$E$5:$E$81,MATCH(B6467,Intent_Analysis!$A$5:$A$81,0))</f>
        <v>3</v>
      </c>
    </row>
    <row r="6468" customFormat="false" ht="15" hidden="false" customHeight="false" outlineLevel="0" collapsed="false">
      <c r="A6468" s="0" t="s">
        <v>6792</v>
      </c>
      <c r="B6468" s="0" t="s">
        <v>53</v>
      </c>
      <c r="C6468" s="0" t="str">
        <f aca="false">INDEX(Intent_Analysis!$B$5:$B$81,MATCH(B6468,Intent_Analysis!$A$5:$A$81,0))</f>
        <v>Card payments &amp; refunds</v>
      </c>
      <c r="D6468" s="0" t="n">
        <f aca="false">INDEX(Intent_Analysis!$E$5:$E$81,MATCH(B6468,Intent_Analysis!$A$5:$A$81,0))</f>
        <v>3</v>
      </c>
    </row>
    <row r="6469" customFormat="false" ht="15" hidden="false" customHeight="false" outlineLevel="0" collapsed="false">
      <c r="A6469" s="0" t="s">
        <v>6793</v>
      </c>
      <c r="B6469" s="0" t="s">
        <v>53</v>
      </c>
      <c r="C6469" s="0" t="str">
        <f aca="false">INDEX(Intent_Analysis!$B$5:$B$81,MATCH(B6469,Intent_Analysis!$A$5:$A$81,0))</f>
        <v>Card payments &amp; refunds</v>
      </c>
      <c r="D6469" s="0" t="n">
        <f aca="false">INDEX(Intent_Analysis!$E$5:$E$81,MATCH(B6469,Intent_Analysis!$A$5:$A$81,0))</f>
        <v>3</v>
      </c>
    </row>
    <row r="6470" customFormat="false" ht="15" hidden="false" customHeight="false" outlineLevel="0" collapsed="false">
      <c r="A6470" s="0" t="s">
        <v>6794</v>
      </c>
      <c r="B6470" s="0" t="s">
        <v>53</v>
      </c>
      <c r="C6470" s="0" t="str">
        <f aca="false">INDEX(Intent_Analysis!$B$5:$B$81,MATCH(B6470,Intent_Analysis!$A$5:$A$81,0))</f>
        <v>Card payments &amp; refunds</v>
      </c>
      <c r="D6470" s="0" t="n">
        <f aca="false">INDEX(Intent_Analysis!$E$5:$E$81,MATCH(B6470,Intent_Analysis!$A$5:$A$81,0))</f>
        <v>3</v>
      </c>
    </row>
    <row r="6471" customFormat="false" ht="15" hidden="false" customHeight="false" outlineLevel="0" collapsed="false">
      <c r="A6471" s="0" t="s">
        <v>6795</v>
      </c>
      <c r="B6471" s="0" t="s">
        <v>53</v>
      </c>
      <c r="C6471" s="0" t="str">
        <f aca="false">INDEX(Intent_Analysis!$B$5:$B$81,MATCH(B6471,Intent_Analysis!$A$5:$A$81,0))</f>
        <v>Card payments &amp; refunds</v>
      </c>
      <c r="D6471" s="0" t="n">
        <f aca="false">INDEX(Intent_Analysis!$E$5:$E$81,MATCH(B6471,Intent_Analysis!$A$5:$A$81,0))</f>
        <v>3</v>
      </c>
    </row>
    <row r="6472" customFormat="false" ht="15" hidden="false" customHeight="false" outlineLevel="0" collapsed="false">
      <c r="A6472" s="0" t="s">
        <v>6796</v>
      </c>
      <c r="B6472" s="0" t="s">
        <v>53</v>
      </c>
      <c r="C6472" s="0" t="str">
        <f aca="false">INDEX(Intent_Analysis!$B$5:$B$81,MATCH(B6472,Intent_Analysis!$A$5:$A$81,0))</f>
        <v>Card payments &amp; refunds</v>
      </c>
      <c r="D6472" s="0" t="n">
        <f aca="false">INDEX(Intent_Analysis!$E$5:$E$81,MATCH(B6472,Intent_Analysis!$A$5:$A$81,0))</f>
        <v>3</v>
      </c>
    </row>
    <row r="6473" customFormat="false" ht="15" hidden="false" customHeight="false" outlineLevel="0" collapsed="false">
      <c r="A6473" s="0" t="s">
        <v>6797</v>
      </c>
      <c r="B6473" s="0" t="s">
        <v>53</v>
      </c>
      <c r="C6473" s="0" t="str">
        <f aca="false">INDEX(Intent_Analysis!$B$5:$B$81,MATCH(B6473,Intent_Analysis!$A$5:$A$81,0))</f>
        <v>Card payments &amp; refunds</v>
      </c>
      <c r="D6473" s="0" t="n">
        <f aca="false">INDEX(Intent_Analysis!$E$5:$E$81,MATCH(B6473,Intent_Analysis!$A$5:$A$81,0))</f>
        <v>3</v>
      </c>
    </row>
    <row r="6474" customFormat="false" ht="15" hidden="false" customHeight="false" outlineLevel="0" collapsed="false">
      <c r="A6474" s="0" t="s">
        <v>6798</v>
      </c>
      <c r="B6474" s="0" t="s">
        <v>53</v>
      </c>
      <c r="C6474" s="0" t="str">
        <f aca="false">INDEX(Intent_Analysis!$B$5:$B$81,MATCH(B6474,Intent_Analysis!$A$5:$A$81,0))</f>
        <v>Card payments &amp; refunds</v>
      </c>
      <c r="D6474" s="0" t="n">
        <f aca="false">INDEX(Intent_Analysis!$E$5:$E$81,MATCH(B6474,Intent_Analysis!$A$5:$A$81,0))</f>
        <v>3</v>
      </c>
    </row>
    <row r="6475" customFormat="false" ht="15" hidden="false" customHeight="false" outlineLevel="0" collapsed="false">
      <c r="A6475" s="0" t="s">
        <v>6799</v>
      </c>
      <c r="B6475" s="0" t="s">
        <v>53</v>
      </c>
      <c r="C6475" s="0" t="str">
        <f aca="false">INDEX(Intent_Analysis!$B$5:$B$81,MATCH(B6475,Intent_Analysis!$A$5:$A$81,0))</f>
        <v>Card payments &amp; refunds</v>
      </c>
      <c r="D6475" s="0" t="n">
        <f aca="false">INDEX(Intent_Analysis!$E$5:$E$81,MATCH(B6475,Intent_Analysis!$A$5:$A$81,0))</f>
        <v>3</v>
      </c>
    </row>
    <row r="6476" customFormat="false" ht="15" hidden="false" customHeight="false" outlineLevel="0" collapsed="false">
      <c r="A6476" s="0" t="s">
        <v>6800</v>
      </c>
      <c r="B6476" s="0" t="s">
        <v>53</v>
      </c>
      <c r="C6476" s="0" t="str">
        <f aca="false">INDEX(Intent_Analysis!$B$5:$B$81,MATCH(B6476,Intent_Analysis!$A$5:$A$81,0))</f>
        <v>Card payments &amp; refunds</v>
      </c>
      <c r="D6476" s="0" t="n">
        <f aca="false">INDEX(Intent_Analysis!$E$5:$E$81,MATCH(B6476,Intent_Analysis!$A$5:$A$81,0))</f>
        <v>3</v>
      </c>
    </row>
    <row r="6477" customFormat="false" ht="15" hidden="false" customHeight="false" outlineLevel="0" collapsed="false">
      <c r="A6477" s="0" t="s">
        <v>6801</v>
      </c>
      <c r="B6477" s="0" t="s">
        <v>53</v>
      </c>
      <c r="C6477" s="0" t="str">
        <f aca="false">INDEX(Intent_Analysis!$B$5:$B$81,MATCH(B6477,Intent_Analysis!$A$5:$A$81,0))</f>
        <v>Card payments &amp; refunds</v>
      </c>
      <c r="D6477" s="0" t="n">
        <f aca="false">INDEX(Intent_Analysis!$E$5:$E$81,MATCH(B6477,Intent_Analysis!$A$5:$A$81,0))</f>
        <v>3</v>
      </c>
    </row>
    <row r="6478" customFormat="false" ht="15" hidden="false" customHeight="false" outlineLevel="0" collapsed="false">
      <c r="A6478" s="0" t="s">
        <v>6802</v>
      </c>
      <c r="B6478" s="0" t="s">
        <v>53</v>
      </c>
      <c r="C6478" s="0" t="str">
        <f aca="false">INDEX(Intent_Analysis!$B$5:$B$81,MATCH(B6478,Intent_Analysis!$A$5:$A$81,0))</f>
        <v>Card payments &amp; refunds</v>
      </c>
      <c r="D6478" s="0" t="n">
        <f aca="false">INDEX(Intent_Analysis!$E$5:$E$81,MATCH(B6478,Intent_Analysis!$A$5:$A$81,0))</f>
        <v>3</v>
      </c>
    </row>
    <row r="6479" customFormat="false" ht="15" hidden="false" customHeight="false" outlineLevel="0" collapsed="false">
      <c r="A6479" s="0" t="s">
        <v>6803</v>
      </c>
      <c r="B6479" s="0" t="s">
        <v>53</v>
      </c>
      <c r="C6479" s="0" t="str">
        <f aca="false">INDEX(Intent_Analysis!$B$5:$B$81,MATCH(B6479,Intent_Analysis!$A$5:$A$81,0))</f>
        <v>Card payments &amp; refunds</v>
      </c>
      <c r="D6479" s="0" t="n">
        <f aca="false">INDEX(Intent_Analysis!$E$5:$E$81,MATCH(B6479,Intent_Analysis!$A$5:$A$81,0))</f>
        <v>3</v>
      </c>
    </row>
    <row r="6480" customFormat="false" ht="15" hidden="false" customHeight="false" outlineLevel="0" collapsed="false">
      <c r="A6480" s="0" t="s">
        <v>6804</v>
      </c>
      <c r="B6480" s="0" t="s">
        <v>53</v>
      </c>
      <c r="C6480" s="0" t="str">
        <f aca="false">INDEX(Intent_Analysis!$B$5:$B$81,MATCH(B6480,Intent_Analysis!$A$5:$A$81,0))</f>
        <v>Card payments &amp; refunds</v>
      </c>
      <c r="D6480" s="0" t="n">
        <f aca="false">INDEX(Intent_Analysis!$E$5:$E$81,MATCH(B6480,Intent_Analysis!$A$5:$A$81,0))</f>
        <v>3</v>
      </c>
    </row>
    <row r="6481" customFormat="false" ht="15" hidden="false" customHeight="false" outlineLevel="0" collapsed="false">
      <c r="A6481" s="0" t="s">
        <v>6805</v>
      </c>
      <c r="B6481" s="0" t="s">
        <v>53</v>
      </c>
      <c r="C6481" s="0" t="str">
        <f aca="false">INDEX(Intent_Analysis!$B$5:$B$81,MATCH(B6481,Intent_Analysis!$A$5:$A$81,0))</f>
        <v>Card payments &amp; refunds</v>
      </c>
      <c r="D6481" s="0" t="n">
        <f aca="false">INDEX(Intent_Analysis!$E$5:$E$81,MATCH(B6481,Intent_Analysis!$A$5:$A$81,0))</f>
        <v>3</v>
      </c>
    </row>
    <row r="6482" customFormat="false" ht="15" hidden="false" customHeight="false" outlineLevel="0" collapsed="false">
      <c r="A6482" s="0" t="s">
        <v>6806</v>
      </c>
      <c r="B6482" s="0" t="s">
        <v>53</v>
      </c>
      <c r="C6482" s="0" t="str">
        <f aca="false">INDEX(Intent_Analysis!$B$5:$B$81,MATCH(B6482,Intent_Analysis!$A$5:$A$81,0))</f>
        <v>Card payments &amp; refunds</v>
      </c>
      <c r="D6482" s="0" t="n">
        <f aca="false">INDEX(Intent_Analysis!$E$5:$E$81,MATCH(B6482,Intent_Analysis!$A$5:$A$81,0))</f>
        <v>3</v>
      </c>
    </row>
    <row r="6483" customFormat="false" ht="15" hidden="false" customHeight="false" outlineLevel="0" collapsed="false">
      <c r="A6483" s="0" t="s">
        <v>6807</v>
      </c>
      <c r="B6483" s="0" t="s">
        <v>38</v>
      </c>
      <c r="C6483" s="0" t="str">
        <f aca="false">INDEX(Intent_Analysis!$B$5:$B$81,MATCH(B6483,Intent_Analysis!$A$5:$A$81,0))</f>
        <v>Account &amp; identity</v>
      </c>
      <c r="D6483" s="0" t="n">
        <f aca="false">INDEX(Intent_Analysis!$E$5:$E$81,MATCH(B6483,Intent_Analysis!$A$5:$A$81,0))</f>
        <v>1</v>
      </c>
    </row>
    <row r="6484" customFormat="false" ht="15" hidden="false" customHeight="false" outlineLevel="0" collapsed="false">
      <c r="A6484" s="0" t="s">
        <v>6808</v>
      </c>
      <c r="B6484" s="0" t="s">
        <v>38</v>
      </c>
      <c r="C6484" s="0" t="str">
        <f aca="false">INDEX(Intent_Analysis!$B$5:$B$81,MATCH(B6484,Intent_Analysis!$A$5:$A$81,0))</f>
        <v>Account &amp; identity</v>
      </c>
      <c r="D6484" s="0" t="n">
        <f aca="false">INDEX(Intent_Analysis!$E$5:$E$81,MATCH(B6484,Intent_Analysis!$A$5:$A$81,0))</f>
        <v>1</v>
      </c>
    </row>
    <row r="6485" customFormat="false" ht="15" hidden="false" customHeight="false" outlineLevel="0" collapsed="false">
      <c r="A6485" s="0" t="s">
        <v>6809</v>
      </c>
      <c r="B6485" s="0" t="s">
        <v>38</v>
      </c>
      <c r="C6485" s="0" t="str">
        <f aca="false">INDEX(Intent_Analysis!$B$5:$B$81,MATCH(B6485,Intent_Analysis!$A$5:$A$81,0))</f>
        <v>Account &amp; identity</v>
      </c>
      <c r="D6485" s="0" t="n">
        <f aca="false">INDEX(Intent_Analysis!$E$5:$E$81,MATCH(B6485,Intent_Analysis!$A$5:$A$81,0))</f>
        <v>1</v>
      </c>
    </row>
    <row r="6486" customFormat="false" ht="15" hidden="false" customHeight="false" outlineLevel="0" collapsed="false">
      <c r="A6486" s="0" t="s">
        <v>6810</v>
      </c>
      <c r="B6486" s="0" t="s">
        <v>38</v>
      </c>
      <c r="C6486" s="0" t="str">
        <f aca="false">INDEX(Intent_Analysis!$B$5:$B$81,MATCH(B6486,Intent_Analysis!$A$5:$A$81,0))</f>
        <v>Account &amp; identity</v>
      </c>
      <c r="D6486" s="0" t="n">
        <f aca="false">INDEX(Intent_Analysis!$E$5:$E$81,MATCH(B6486,Intent_Analysis!$A$5:$A$81,0))</f>
        <v>1</v>
      </c>
    </row>
    <row r="6487" customFormat="false" ht="15" hidden="false" customHeight="false" outlineLevel="0" collapsed="false">
      <c r="A6487" s="0" t="s">
        <v>6811</v>
      </c>
      <c r="B6487" s="0" t="s">
        <v>38</v>
      </c>
      <c r="C6487" s="0" t="str">
        <f aca="false">INDEX(Intent_Analysis!$B$5:$B$81,MATCH(B6487,Intent_Analysis!$A$5:$A$81,0))</f>
        <v>Account &amp; identity</v>
      </c>
      <c r="D6487" s="0" t="n">
        <f aca="false">INDEX(Intent_Analysis!$E$5:$E$81,MATCH(B6487,Intent_Analysis!$A$5:$A$81,0))</f>
        <v>1</v>
      </c>
    </row>
    <row r="6488" customFormat="false" ht="15" hidden="false" customHeight="false" outlineLevel="0" collapsed="false">
      <c r="A6488" s="0" t="s">
        <v>6812</v>
      </c>
      <c r="B6488" s="0" t="s">
        <v>38</v>
      </c>
      <c r="C6488" s="0" t="str">
        <f aca="false">INDEX(Intent_Analysis!$B$5:$B$81,MATCH(B6488,Intent_Analysis!$A$5:$A$81,0))</f>
        <v>Account &amp; identity</v>
      </c>
      <c r="D6488" s="0" t="n">
        <f aca="false">INDEX(Intent_Analysis!$E$5:$E$81,MATCH(B6488,Intent_Analysis!$A$5:$A$81,0))</f>
        <v>1</v>
      </c>
    </row>
    <row r="6489" customFormat="false" ht="15" hidden="false" customHeight="false" outlineLevel="0" collapsed="false">
      <c r="A6489" s="0" t="s">
        <v>6813</v>
      </c>
      <c r="B6489" s="0" t="s">
        <v>38</v>
      </c>
      <c r="C6489" s="0" t="str">
        <f aca="false">INDEX(Intent_Analysis!$B$5:$B$81,MATCH(B6489,Intent_Analysis!$A$5:$A$81,0))</f>
        <v>Account &amp; identity</v>
      </c>
      <c r="D6489" s="0" t="n">
        <f aca="false">INDEX(Intent_Analysis!$E$5:$E$81,MATCH(B6489,Intent_Analysis!$A$5:$A$81,0))</f>
        <v>1</v>
      </c>
    </row>
    <row r="6490" customFormat="false" ht="15" hidden="false" customHeight="false" outlineLevel="0" collapsed="false">
      <c r="A6490" s="0" t="s">
        <v>6814</v>
      </c>
      <c r="B6490" s="0" t="s">
        <v>38</v>
      </c>
      <c r="C6490" s="0" t="str">
        <f aca="false">INDEX(Intent_Analysis!$B$5:$B$81,MATCH(B6490,Intent_Analysis!$A$5:$A$81,0))</f>
        <v>Account &amp; identity</v>
      </c>
      <c r="D6490" s="0" t="n">
        <f aca="false">INDEX(Intent_Analysis!$E$5:$E$81,MATCH(B6490,Intent_Analysis!$A$5:$A$81,0))</f>
        <v>1</v>
      </c>
    </row>
    <row r="6491" customFormat="false" ht="15" hidden="false" customHeight="false" outlineLevel="0" collapsed="false">
      <c r="A6491" s="0" t="s">
        <v>6815</v>
      </c>
      <c r="B6491" s="0" t="s">
        <v>38</v>
      </c>
      <c r="C6491" s="0" t="str">
        <f aca="false">INDEX(Intent_Analysis!$B$5:$B$81,MATCH(B6491,Intent_Analysis!$A$5:$A$81,0))</f>
        <v>Account &amp; identity</v>
      </c>
      <c r="D6491" s="0" t="n">
        <f aca="false">INDEX(Intent_Analysis!$E$5:$E$81,MATCH(B6491,Intent_Analysis!$A$5:$A$81,0))</f>
        <v>1</v>
      </c>
    </row>
    <row r="6492" customFormat="false" ht="15" hidden="false" customHeight="false" outlineLevel="0" collapsed="false">
      <c r="A6492" s="0" t="s">
        <v>6816</v>
      </c>
      <c r="B6492" s="0" t="s">
        <v>38</v>
      </c>
      <c r="C6492" s="0" t="str">
        <f aca="false">INDEX(Intent_Analysis!$B$5:$B$81,MATCH(B6492,Intent_Analysis!$A$5:$A$81,0))</f>
        <v>Account &amp; identity</v>
      </c>
      <c r="D6492" s="0" t="n">
        <f aca="false">INDEX(Intent_Analysis!$E$5:$E$81,MATCH(B6492,Intent_Analysis!$A$5:$A$81,0))</f>
        <v>1</v>
      </c>
    </row>
    <row r="6493" customFormat="false" ht="15" hidden="false" customHeight="false" outlineLevel="0" collapsed="false">
      <c r="A6493" s="0" t="s">
        <v>6817</v>
      </c>
      <c r="B6493" s="0" t="s">
        <v>38</v>
      </c>
      <c r="C6493" s="0" t="str">
        <f aca="false">INDEX(Intent_Analysis!$B$5:$B$81,MATCH(B6493,Intent_Analysis!$A$5:$A$81,0))</f>
        <v>Account &amp; identity</v>
      </c>
      <c r="D6493" s="0" t="n">
        <f aca="false">INDEX(Intent_Analysis!$E$5:$E$81,MATCH(B6493,Intent_Analysis!$A$5:$A$81,0))</f>
        <v>1</v>
      </c>
    </row>
    <row r="6494" customFormat="false" ht="15" hidden="false" customHeight="false" outlineLevel="0" collapsed="false">
      <c r="A6494" s="0" t="s">
        <v>6818</v>
      </c>
      <c r="B6494" s="0" t="s">
        <v>38</v>
      </c>
      <c r="C6494" s="0" t="str">
        <f aca="false">INDEX(Intent_Analysis!$B$5:$B$81,MATCH(B6494,Intent_Analysis!$A$5:$A$81,0))</f>
        <v>Account &amp; identity</v>
      </c>
      <c r="D6494" s="0" t="n">
        <f aca="false">INDEX(Intent_Analysis!$E$5:$E$81,MATCH(B6494,Intent_Analysis!$A$5:$A$81,0))</f>
        <v>1</v>
      </c>
    </row>
    <row r="6495" customFormat="false" ht="15" hidden="false" customHeight="false" outlineLevel="0" collapsed="false">
      <c r="A6495" s="0" t="s">
        <v>6819</v>
      </c>
      <c r="B6495" s="0" t="s">
        <v>38</v>
      </c>
      <c r="C6495" s="0" t="str">
        <f aca="false">INDEX(Intent_Analysis!$B$5:$B$81,MATCH(B6495,Intent_Analysis!$A$5:$A$81,0))</f>
        <v>Account &amp; identity</v>
      </c>
      <c r="D6495" s="0" t="n">
        <f aca="false">INDEX(Intent_Analysis!$E$5:$E$81,MATCH(B6495,Intent_Analysis!$A$5:$A$81,0))</f>
        <v>1</v>
      </c>
    </row>
    <row r="6496" customFormat="false" ht="15" hidden="false" customHeight="false" outlineLevel="0" collapsed="false">
      <c r="A6496" s="0" t="s">
        <v>6820</v>
      </c>
      <c r="B6496" s="0" t="s">
        <v>38</v>
      </c>
      <c r="C6496" s="0" t="str">
        <f aca="false">INDEX(Intent_Analysis!$B$5:$B$81,MATCH(B6496,Intent_Analysis!$A$5:$A$81,0))</f>
        <v>Account &amp; identity</v>
      </c>
      <c r="D6496" s="0" t="n">
        <f aca="false">INDEX(Intent_Analysis!$E$5:$E$81,MATCH(B6496,Intent_Analysis!$A$5:$A$81,0))</f>
        <v>1</v>
      </c>
    </row>
    <row r="6497" customFormat="false" ht="15" hidden="false" customHeight="false" outlineLevel="0" collapsed="false">
      <c r="A6497" s="0" t="s">
        <v>6821</v>
      </c>
      <c r="B6497" s="0" t="s">
        <v>38</v>
      </c>
      <c r="C6497" s="0" t="str">
        <f aca="false">INDEX(Intent_Analysis!$B$5:$B$81,MATCH(B6497,Intent_Analysis!$A$5:$A$81,0))</f>
        <v>Account &amp; identity</v>
      </c>
      <c r="D6497" s="0" t="n">
        <f aca="false">INDEX(Intent_Analysis!$E$5:$E$81,MATCH(B6497,Intent_Analysis!$A$5:$A$81,0))</f>
        <v>1</v>
      </c>
    </row>
    <row r="6498" customFormat="false" ht="15" hidden="false" customHeight="false" outlineLevel="0" collapsed="false">
      <c r="A6498" s="0" t="s">
        <v>6822</v>
      </c>
      <c r="B6498" s="0" t="s">
        <v>38</v>
      </c>
      <c r="C6498" s="0" t="str">
        <f aca="false">INDEX(Intent_Analysis!$B$5:$B$81,MATCH(B6498,Intent_Analysis!$A$5:$A$81,0))</f>
        <v>Account &amp; identity</v>
      </c>
      <c r="D6498" s="0" t="n">
        <f aca="false">INDEX(Intent_Analysis!$E$5:$E$81,MATCH(B6498,Intent_Analysis!$A$5:$A$81,0))</f>
        <v>1</v>
      </c>
    </row>
    <row r="6499" customFormat="false" ht="15" hidden="false" customHeight="false" outlineLevel="0" collapsed="false">
      <c r="A6499" s="0" t="s">
        <v>6823</v>
      </c>
      <c r="B6499" s="0" t="s">
        <v>38</v>
      </c>
      <c r="C6499" s="0" t="str">
        <f aca="false">INDEX(Intent_Analysis!$B$5:$B$81,MATCH(B6499,Intent_Analysis!$A$5:$A$81,0))</f>
        <v>Account &amp; identity</v>
      </c>
      <c r="D6499" s="0" t="n">
        <f aca="false">INDEX(Intent_Analysis!$E$5:$E$81,MATCH(B6499,Intent_Analysis!$A$5:$A$81,0))</f>
        <v>1</v>
      </c>
    </row>
    <row r="6500" customFormat="false" ht="15" hidden="false" customHeight="false" outlineLevel="0" collapsed="false">
      <c r="A6500" s="0" t="s">
        <v>6824</v>
      </c>
      <c r="B6500" s="0" t="s">
        <v>38</v>
      </c>
      <c r="C6500" s="0" t="str">
        <f aca="false">INDEX(Intent_Analysis!$B$5:$B$81,MATCH(B6500,Intent_Analysis!$A$5:$A$81,0))</f>
        <v>Account &amp; identity</v>
      </c>
      <c r="D6500" s="0" t="n">
        <f aca="false">INDEX(Intent_Analysis!$E$5:$E$81,MATCH(B6500,Intent_Analysis!$A$5:$A$81,0))</f>
        <v>1</v>
      </c>
    </row>
    <row r="6501" customFormat="false" ht="15" hidden="false" customHeight="false" outlineLevel="0" collapsed="false">
      <c r="A6501" s="0" t="s">
        <v>6825</v>
      </c>
      <c r="B6501" s="0" t="s">
        <v>38</v>
      </c>
      <c r="C6501" s="0" t="str">
        <f aca="false">INDEX(Intent_Analysis!$B$5:$B$81,MATCH(B6501,Intent_Analysis!$A$5:$A$81,0))</f>
        <v>Account &amp; identity</v>
      </c>
      <c r="D6501" s="0" t="n">
        <f aca="false">INDEX(Intent_Analysis!$E$5:$E$81,MATCH(B6501,Intent_Analysis!$A$5:$A$81,0))</f>
        <v>1</v>
      </c>
    </row>
    <row r="6502" customFormat="false" ht="15" hidden="false" customHeight="false" outlineLevel="0" collapsed="false">
      <c r="A6502" s="0" t="s">
        <v>6826</v>
      </c>
      <c r="B6502" s="0" t="s">
        <v>38</v>
      </c>
      <c r="C6502" s="0" t="str">
        <f aca="false">INDEX(Intent_Analysis!$B$5:$B$81,MATCH(B6502,Intent_Analysis!$A$5:$A$81,0))</f>
        <v>Account &amp; identity</v>
      </c>
      <c r="D6502" s="0" t="n">
        <f aca="false">INDEX(Intent_Analysis!$E$5:$E$81,MATCH(B6502,Intent_Analysis!$A$5:$A$81,0))</f>
        <v>1</v>
      </c>
    </row>
    <row r="6503" customFormat="false" ht="15" hidden="false" customHeight="false" outlineLevel="0" collapsed="false">
      <c r="A6503" s="0" t="s">
        <v>6827</v>
      </c>
      <c r="B6503" s="0" t="s">
        <v>38</v>
      </c>
      <c r="C6503" s="0" t="str">
        <f aca="false">INDEX(Intent_Analysis!$B$5:$B$81,MATCH(B6503,Intent_Analysis!$A$5:$A$81,0))</f>
        <v>Account &amp; identity</v>
      </c>
      <c r="D6503" s="0" t="n">
        <f aca="false">INDEX(Intent_Analysis!$E$5:$E$81,MATCH(B6503,Intent_Analysis!$A$5:$A$81,0))</f>
        <v>1</v>
      </c>
    </row>
    <row r="6504" customFormat="false" ht="15" hidden="false" customHeight="false" outlineLevel="0" collapsed="false">
      <c r="A6504" s="0" t="s">
        <v>6828</v>
      </c>
      <c r="B6504" s="0" t="s">
        <v>38</v>
      </c>
      <c r="C6504" s="0" t="str">
        <f aca="false">INDEX(Intent_Analysis!$B$5:$B$81,MATCH(B6504,Intent_Analysis!$A$5:$A$81,0))</f>
        <v>Account &amp; identity</v>
      </c>
      <c r="D6504" s="0" t="n">
        <f aca="false">INDEX(Intent_Analysis!$E$5:$E$81,MATCH(B6504,Intent_Analysis!$A$5:$A$81,0))</f>
        <v>1</v>
      </c>
    </row>
    <row r="6505" customFormat="false" ht="15" hidden="false" customHeight="false" outlineLevel="0" collapsed="false">
      <c r="A6505" s="0" t="s">
        <v>6829</v>
      </c>
      <c r="B6505" s="0" t="s">
        <v>38</v>
      </c>
      <c r="C6505" s="0" t="str">
        <f aca="false">INDEX(Intent_Analysis!$B$5:$B$81,MATCH(B6505,Intent_Analysis!$A$5:$A$81,0))</f>
        <v>Account &amp; identity</v>
      </c>
      <c r="D6505" s="0" t="n">
        <f aca="false">INDEX(Intent_Analysis!$E$5:$E$81,MATCH(B6505,Intent_Analysis!$A$5:$A$81,0))</f>
        <v>1</v>
      </c>
    </row>
    <row r="6506" customFormat="false" ht="15" hidden="false" customHeight="false" outlineLevel="0" collapsed="false">
      <c r="A6506" s="0" t="s">
        <v>6830</v>
      </c>
      <c r="B6506" s="0" t="s">
        <v>38</v>
      </c>
      <c r="C6506" s="0" t="str">
        <f aca="false">INDEX(Intent_Analysis!$B$5:$B$81,MATCH(B6506,Intent_Analysis!$A$5:$A$81,0))</f>
        <v>Account &amp; identity</v>
      </c>
      <c r="D6506" s="0" t="n">
        <f aca="false">INDEX(Intent_Analysis!$E$5:$E$81,MATCH(B6506,Intent_Analysis!$A$5:$A$81,0))</f>
        <v>1</v>
      </c>
    </row>
    <row r="6507" customFormat="false" ht="15" hidden="false" customHeight="false" outlineLevel="0" collapsed="false">
      <c r="A6507" s="0" t="s">
        <v>6831</v>
      </c>
      <c r="B6507" s="0" t="s">
        <v>38</v>
      </c>
      <c r="C6507" s="0" t="str">
        <f aca="false">INDEX(Intent_Analysis!$B$5:$B$81,MATCH(B6507,Intent_Analysis!$A$5:$A$81,0))</f>
        <v>Account &amp; identity</v>
      </c>
      <c r="D6507" s="0" t="n">
        <f aca="false">INDEX(Intent_Analysis!$E$5:$E$81,MATCH(B6507,Intent_Analysis!$A$5:$A$81,0))</f>
        <v>1</v>
      </c>
    </row>
    <row r="6508" customFormat="false" ht="15" hidden="false" customHeight="false" outlineLevel="0" collapsed="false">
      <c r="A6508" s="0" t="s">
        <v>6832</v>
      </c>
      <c r="B6508" s="0" t="s">
        <v>38</v>
      </c>
      <c r="C6508" s="0" t="str">
        <f aca="false">INDEX(Intent_Analysis!$B$5:$B$81,MATCH(B6508,Intent_Analysis!$A$5:$A$81,0))</f>
        <v>Account &amp; identity</v>
      </c>
      <c r="D6508" s="0" t="n">
        <f aca="false">INDEX(Intent_Analysis!$E$5:$E$81,MATCH(B6508,Intent_Analysis!$A$5:$A$81,0))</f>
        <v>1</v>
      </c>
    </row>
    <row r="6509" customFormat="false" ht="15" hidden="false" customHeight="false" outlineLevel="0" collapsed="false">
      <c r="A6509" s="0" t="s">
        <v>6833</v>
      </c>
      <c r="B6509" s="0" t="s">
        <v>38</v>
      </c>
      <c r="C6509" s="0" t="str">
        <f aca="false">INDEX(Intent_Analysis!$B$5:$B$81,MATCH(B6509,Intent_Analysis!$A$5:$A$81,0))</f>
        <v>Account &amp; identity</v>
      </c>
      <c r="D6509" s="0" t="n">
        <f aca="false">INDEX(Intent_Analysis!$E$5:$E$81,MATCH(B6509,Intent_Analysis!$A$5:$A$81,0))</f>
        <v>1</v>
      </c>
    </row>
    <row r="6510" customFormat="false" ht="15" hidden="false" customHeight="false" outlineLevel="0" collapsed="false">
      <c r="A6510" s="0" t="s">
        <v>6834</v>
      </c>
      <c r="B6510" s="0" t="s">
        <v>38</v>
      </c>
      <c r="C6510" s="0" t="str">
        <f aca="false">INDEX(Intent_Analysis!$B$5:$B$81,MATCH(B6510,Intent_Analysis!$A$5:$A$81,0))</f>
        <v>Account &amp; identity</v>
      </c>
      <c r="D6510" s="0" t="n">
        <f aca="false">INDEX(Intent_Analysis!$E$5:$E$81,MATCH(B6510,Intent_Analysis!$A$5:$A$81,0))</f>
        <v>1</v>
      </c>
    </row>
    <row r="6511" customFormat="false" ht="15" hidden="false" customHeight="false" outlineLevel="0" collapsed="false">
      <c r="A6511" s="0" t="s">
        <v>6835</v>
      </c>
      <c r="B6511" s="0" t="s">
        <v>38</v>
      </c>
      <c r="C6511" s="0" t="str">
        <f aca="false">INDEX(Intent_Analysis!$B$5:$B$81,MATCH(B6511,Intent_Analysis!$A$5:$A$81,0))</f>
        <v>Account &amp; identity</v>
      </c>
      <c r="D6511" s="0" t="n">
        <f aca="false">INDEX(Intent_Analysis!$E$5:$E$81,MATCH(B6511,Intent_Analysis!$A$5:$A$81,0))</f>
        <v>1</v>
      </c>
    </row>
    <row r="6512" customFormat="false" ht="15" hidden="false" customHeight="false" outlineLevel="0" collapsed="false">
      <c r="A6512" s="0" t="s">
        <v>6836</v>
      </c>
      <c r="B6512" s="0" t="s">
        <v>38</v>
      </c>
      <c r="C6512" s="0" t="str">
        <f aca="false">INDEX(Intent_Analysis!$B$5:$B$81,MATCH(B6512,Intent_Analysis!$A$5:$A$81,0))</f>
        <v>Account &amp; identity</v>
      </c>
      <c r="D6512" s="0" t="n">
        <f aca="false">INDEX(Intent_Analysis!$E$5:$E$81,MATCH(B6512,Intent_Analysis!$A$5:$A$81,0))</f>
        <v>1</v>
      </c>
    </row>
    <row r="6513" customFormat="false" ht="15" hidden="false" customHeight="false" outlineLevel="0" collapsed="false">
      <c r="A6513" s="0" t="s">
        <v>6837</v>
      </c>
      <c r="B6513" s="0" t="s">
        <v>38</v>
      </c>
      <c r="C6513" s="0" t="str">
        <f aca="false">INDEX(Intent_Analysis!$B$5:$B$81,MATCH(B6513,Intent_Analysis!$A$5:$A$81,0))</f>
        <v>Account &amp; identity</v>
      </c>
      <c r="D6513" s="0" t="n">
        <f aca="false">INDEX(Intent_Analysis!$E$5:$E$81,MATCH(B6513,Intent_Analysis!$A$5:$A$81,0))</f>
        <v>1</v>
      </c>
    </row>
    <row r="6514" customFormat="false" ht="15" hidden="false" customHeight="false" outlineLevel="0" collapsed="false">
      <c r="A6514" s="0" t="s">
        <v>6838</v>
      </c>
      <c r="B6514" s="0" t="s">
        <v>38</v>
      </c>
      <c r="C6514" s="0" t="str">
        <f aca="false">INDEX(Intent_Analysis!$B$5:$B$81,MATCH(B6514,Intent_Analysis!$A$5:$A$81,0))</f>
        <v>Account &amp; identity</v>
      </c>
      <c r="D6514" s="0" t="n">
        <f aca="false">INDEX(Intent_Analysis!$E$5:$E$81,MATCH(B6514,Intent_Analysis!$A$5:$A$81,0))</f>
        <v>1</v>
      </c>
    </row>
    <row r="6515" customFormat="false" ht="15" hidden="false" customHeight="false" outlineLevel="0" collapsed="false">
      <c r="A6515" s="0" t="s">
        <v>6839</v>
      </c>
      <c r="B6515" s="0" t="s">
        <v>38</v>
      </c>
      <c r="C6515" s="0" t="str">
        <f aca="false">INDEX(Intent_Analysis!$B$5:$B$81,MATCH(B6515,Intent_Analysis!$A$5:$A$81,0))</f>
        <v>Account &amp; identity</v>
      </c>
      <c r="D6515" s="0" t="n">
        <f aca="false">INDEX(Intent_Analysis!$E$5:$E$81,MATCH(B6515,Intent_Analysis!$A$5:$A$81,0))</f>
        <v>1</v>
      </c>
    </row>
    <row r="6516" customFormat="false" ht="15" hidden="false" customHeight="false" outlineLevel="0" collapsed="false">
      <c r="A6516" s="0" t="s">
        <v>6840</v>
      </c>
      <c r="B6516" s="0" t="s">
        <v>38</v>
      </c>
      <c r="C6516" s="0" t="str">
        <f aca="false">INDEX(Intent_Analysis!$B$5:$B$81,MATCH(B6516,Intent_Analysis!$A$5:$A$81,0))</f>
        <v>Account &amp; identity</v>
      </c>
      <c r="D6516" s="0" t="n">
        <f aca="false">INDEX(Intent_Analysis!$E$5:$E$81,MATCH(B6516,Intent_Analysis!$A$5:$A$81,0))</f>
        <v>1</v>
      </c>
    </row>
    <row r="6517" customFormat="false" ht="15" hidden="false" customHeight="false" outlineLevel="0" collapsed="false">
      <c r="A6517" s="0" t="s">
        <v>6841</v>
      </c>
      <c r="B6517" s="0" t="s">
        <v>38</v>
      </c>
      <c r="C6517" s="0" t="str">
        <f aca="false">INDEX(Intent_Analysis!$B$5:$B$81,MATCH(B6517,Intent_Analysis!$A$5:$A$81,0))</f>
        <v>Account &amp; identity</v>
      </c>
      <c r="D6517" s="0" t="n">
        <f aca="false">INDEX(Intent_Analysis!$E$5:$E$81,MATCH(B6517,Intent_Analysis!$A$5:$A$81,0))</f>
        <v>1</v>
      </c>
    </row>
    <row r="6518" customFormat="false" ht="15" hidden="false" customHeight="false" outlineLevel="0" collapsed="false">
      <c r="A6518" s="0" t="s">
        <v>6842</v>
      </c>
      <c r="B6518" s="0" t="s">
        <v>38</v>
      </c>
      <c r="C6518" s="0" t="str">
        <f aca="false">INDEX(Intent_Analysis!$B$5:$B$81,MATCH(B6518,Intent_Analysis!$A$5:$A$81,0))</f>
        <v>Account &amp; identity</v>
      </c>
      <c r="D6518" s="0" t="n">
        <f aca="false">INDEX(Intent_Analysis!$E$5:$E$81,MATCH(B6518,Intent_Analysis!$A$5:$A$81,0))</f>
        <v>1</v>
      </c>
    </row>
    <row r="6519" customFormat="false" ht="15" hidden="false" customHeight="false" outlineLevel="0" collapsed="false">
      <c r="A6519" s="0" t="s">
        <v>6843</v>
      </c>
      <c r="B6519" s="0" t="s">
        <v>38</v>
      </c>
      <c r="C6519" s="0" t="str">
        <f aca="false">INDEX(Intent_Analysis!$B$5:$B$81,MATCH(B6519,Intent_Analysis!$A$5:$A$81,0))</f>
        <v>Account &amp; identity</v>
      </c>
      <c r="D6519" s="0" t="n">
        <f aca="false">INDEX(Intent_Analysis!$E$5:$E$81,MATCH(B6519,Intent_Analysis!$A$5:$A$81,0))</f>
        <v>1</v>
      </c>
    </row>
    <row r="6520" customFormat="false" ht="15" hidden="false" customHeight="false" outlineLevel="0" collapsed="false">
      <c r="A6520" s="0" t="s">
        <v>6844</v>
      </c>
      <c r="B6520" s="0" t="s">
        <v>38</v>
      </c>
      <c r="C6520" s="0" t="str">
        <f aca="false">INDEX(Intent_Analysis!$B$5:$B$81,MATCH(B6520,Intent_Analysis!$A$5:$A$81,0))</f>
        <v>Account &amp; identity</v>
      </c>
      <c r="D6520" s="0" t="n">
        <f aca="false">INDEX(Intent_Analysis!$E$5:$E$81,MATCH(B6520,Intent_Analysis!$A$5:$A$81,0))</f>
        <v>1</v>
      </c>
    </row>
    <row r="6521" customFormat="false" ht="15" hidden="false" customHeight="false" outlineLevel="0" collapsed="false">
      <c r="A6521" s="0" t="s">
        <v>6845</v>
      </c>
      <c r="B6521" s="0" t="s">
        <v>38</v>
      </c>
      <c r="C6521" s="0" t="str">
        <f aca="false">INDEX(Intent_Analysis!$B$5:$B$81,MATCH(B6521,Intent_Analysis!$A$5:$A$81,0))</f>
        <v>Account &amp; identity</v>
      </c>
      <c r="D6521" s="0" t="n">
        <f aca="false">INDEX(Intent_Analysis!$E$5:$E$81,MATCH(B6521,Intent_Analysis!$A$5:$A$81,0))</f>
        <v>1</v>
      </c>
    </row>
    <row r="6522" customFormat="false" ht="15" hidden="false" customHeight="false" outlineLevel="0" collapsed="false">
      <c r="A6522" s="0" t="s">
        <v>6846</v>
      </c>
      <c r="B6522" s="0" t="s">
        <v>38</v>
      </c>
      <c r="C6522" s="0" t="str">
        <f aca="false">INDEX(Intent_Analysis!$B$5:$B$81,MATCH(B6522,Intent_Analysis!$A$5:$A$81,0))</f>
        <v>Account &amp; identity</v>
      </c>
      <c r="D6522" s="0" t="n">
        <f aca="false">INDEX(Intent_Analysis!$E$5:$E$81,MATCH(B6522,Intent_Analysis!$A$5:$A$81,0))</f>
        <v>1</v>
      </c>
    </row>
    <row r="6523" customFormat="false" ht="15" hidden="false" customHeight="false" outlineLevel="0" collapsed="false">
      <c r="A6523" s="0" t="s">
        <v>6847</v>
      </c>
      <c r="B6523" s="0" t="s">
        <v>38</v>
      </c>
      <c r="C6523" s="0" t="str">
        <f aca="false">INDEX(Intent_Analysis!$B$5:$B$81,MATCH(B6523,Intent_Analysis!$A$5:$A$81,0))</f>
        <v>Account &amp; identity</v>
      </c>
      <c r="D6523" s="0" t="n">
        <f aca="false">INDEX(Intent_Analysis!$E$5:$E$81,MATCH(B6523,Intent_Analysis!$A$5:$A$81,0))</f>
        <v>1</v>
      </c>
    </row>
    <row r="6524" customFormat="false" ht="15" hidden="false" customHeight="false" outlineLevel="0" collapsed="false">
      <c r="A6524" s="0" t="s">
        <v>6848</v>
      </c>
      <c r="B6524" s="0" t="s">
        <v>38</v>
      </c>
      <c r="C6524" s="0" t="str">
        <f aca="false">INDEX(Intent_Analysis!$B$5:$B$81,MATCH(B6524,Intent_Analysis!$A$5:$A$81,0))</f>
        <v>Account &amp; identity</v>
      </c>
      <c r="D6524" s="0" t="n">
        <f aca="false">INDEX(Intent_Analysis!$E$5:$E$81,MATCH(B6524,Intent_Analysis!$A$5:$A$81,0))</f>
        <v>1</v>
      </c>
    </row>
    <row r="6525" customFormat="false" ht="15" hidden="false" customHeight="false" outlineLevel="0" collapsed="false">
      <c r="A6525" s="0" t="s">
        <v>6849</v>
      </c>
      <c r="B6525" s="0" t="s">
        <v>38</v>
      </c>
      <c r="C6525" s="0" t="str">
        <f aca="false">INDEX(Intent_Analysis!$B$5:$B$81,MATCH(B6525,Intent_Analysis!$A$5:$A$81,0))</f>
        <v>Account &amp; identity</v>
      </c>
      <c r="D6525" s="0" t="n">
        <f aca="false">INDEX(Intent_Analysis!$E$5:$E$81,MATCH(B6525,Intent_Analysis!$A$5:$A$81,0))</f>
        <v>1</v>
      </c>
    </row>
    <row r="6526" customFormat="false" ht="15" hidden="false" customHeight="false" outlineLevel="0" collapsed="false">
      <c r="A6526" s="0" t="s">
        <v>6850</v>
      </c>
      <c r="B6526" s="0" t="s">
        <v>38</v>
      </c>
      <c r="C6526" s="0" t="str">
        <f aca="false">INDEX(Intent_Analysis!$B$5:$B$81,MATCH(B6526,Intent_Analysis!$A$5:$A$81,0))</f>
        <v>Account &amp; identity</v>
      </c>
      <c r="D6526" s="0" t="n">
        <f aca="false">INDEX(Intent_Analysis!$E$5:$E$81,MATCH(B6526,Intent_Analysis!$A$5:$A$81,0))</f>
        <v>1</v>
      </c>
    </row>
    <row r="6527" customFormat="false" ht="15" hidden="false" customHeight="false" outlineLevel="0" collapsed="false">
      <c r="A6527" s="0" t="s">
        <v>6851</v>
      </c>
      <c r="B6527" s="0" t="s">
        <v>38</v>
      </c>
      <c r="C6527" s="0" t="str">
        <f aca="false">INDEX(Intent_Analysis!$B$5:$B$81,MATCH(B6527,Intent_Analysis!$A$5:$A$81,0))</f>
        <v>Account &amp; identity</v>
      </c>
      <c r="D6527" s="0" t="n">
        <f aca="false">INDEX(Intent_Analysis!$E$5:$E$81,MATCH(B6527,Intent_Analysis!$A$5:$A$81,0))</f>
        <v>1</v>
      </c>
    </row>
    <row r="6528" customFormat="false" ht="15" hidden="false" customHeight="false" outlineLevel="0" collapsed="false">
      <c r="A6528" s="0" t="s">
        <v>6852</v>
      </c>
      <c r="B6528" s="0" t="s">
        <v>38</v>
      </c>
      <c r="C6528" s="0" t="str">
        <f aca="false">INDEX(Intent_Analysis!$B$5:$B$81,MATCH(B6528,Intent_Analysis!$A$5:$A$81,0))</f>
        <v>Account &amp; identity</v>
      </c>
      <c r="D6528" s="0" t="n">
        <f aca="false">INDEX(Intent_Analysis!$E$5:$E$81,MATCH(B6528,Intent_Analysis!$A$5:$A$81,0))</f>
        <v>1</v>
      </c>
    </row>
    <row r="6529" customFormat="false" ht="15" hidden="false" customHeight="false" outlineLevel="0" collapsed="false">
      <c r="A6529" s="0" t="s">
        <v>6853</v>
      </c>
      <c r="B6529" s="0" t="s">
        <v>38</v>
      </c>
      <c r="C6529" s="0" t="str">
        <f aca="false">INDEX(Intent_Analysis!$B$5:$B$81,MATCH(B6529,Intent_Analysis!$A$5:$A$81,0))</f>
        <v>Account &amp; identity</v>
      </c>
      <c r="D6529" s="0" t="n">
        <f aca="false">INDEX(Intent_Analysis!$E$5:$E$81,MATCH(B6529,Intent_Analysis!$A$5:$A$81,0))</f>
        <v>1</v>
      </c>
    </row>
    <row r="6530" customFormat="false" ht="15" hidden="false" customHeight="false" outlineLevel="0" collapsed="false">
      <c r="A6530" s="0" t="s">
        <v>6854</v>
      </c>
      <c r="B6530" s="0" t="s">
        <v>38</v>
      </c>
      <c r="C6530" s="0" t="str">
        <f aca="false">INDEX(Intent_Analysis!$B$5:$B$81,MATCH(B6530,Intent_Analysis!$A$5:$A$81,0))</f>
        <v>Account &amp; identity</v>
      </c>
      <c r="D6530" s="0" t="n">
        <f aca="false">INDEX(Intent_Analysis!$E$5:$E$81,MATCH(B6530,Intent_Analysis!$A$5:$A$81,0))</f>
        <v>1</v>
      </c>
    </row>
    <row r="6531" customFormat="false" ht="15" hidden="false" customHeight="false" outlineLevel="0" collapsed="false">
      <c r="A6531" s="0" t="s">
        <v>6855</v>
      </c>
      <c r="B6531" s="0" t="s">
        <v>38</v>
      </c>
      <c r="C6531" s="0" t="str">
        <f aca="false">INDEX(Intent_Analysis!$B$5:$B$81,MATCH(B6531,Intent_Analysis!$A$5:$A$81,0))</f>
        <v>Account &amp; identity</v>
      </c>
      <c r="D6531" s="0" t="n">
        <f aca="false">INDEX(Intent_Analysis!$E$5:$E$81,MATCH(B6531,Intent_Analysis!$A$5:$A$81,0))</f>
        <v>1</v>
      </c>
    </row>
    <row r="6532" customFormat="false" ht="15" hidden="false" customHeight="false" outlineLevel="0" collapsed="false">
      <c r="A6532" s="0" t="s">
        <v>6856</v>
      </c>
      <c r="B6532" s="0" t="s">
        <v>38</v>
      </c>
      <c r="C6532" s="0" t="str">
        <f aca="false">INDEX(Intent_Analysis!$B$5:$B$81,MATCH(B6532,Intent_Analysis!$A$5:$A$81,0))</f>
        <v>Account &amp; identity</v>
      </c>
      <c r="D6532" s="0" t="n">
        <f aca="false">INDEX(Intent_Analysis!$E$5:$E$81,MATCH(B6532,Intent_Analysis!$A$5:$A$81,0))</f>
        <v>1</v>
      </c>
    </row>
    <row r="6533" customFormat="false" ht="15" hidden="false" customHeight="false" outlineLevel="0" collapsed="false">
      <c r="A6533" s="0" t="s">
        <v>6857</v>
      </c>
      <c r="B6533" s="0" t="s">
        <v>38</v>
      </c>
      <c r="C6533" s="0" t="str">
        <f aca="false">INDEX(Intent_Analysis!$B$5:$B$81,MATCH(B6533,Intent_Analysis!$A$5:$A$81,0))</f>
        <v>Account &amp; identity</v>
      </c>
      <c r="D6533" s="0" t="n">
        <f aca="false">INDEX(Intent_Analysis!$E$5:$E$81,MATCH(B6533,Intent_Analysis!$A$5:$A$81,0))</f>
        <v>1</v>
      </c>
    </row>
    <row r="6534" customFormat="false" ht="15" hidden="false" customHeight="false" outlineLevel="0" collapsed="false">
      <c r="A6534" s="0" t="s">
        <v>6858</v>
      </c>
      <c r="B6534" s="0" t="s">
        <v>38</v>
      </c>
      <c r="C6534" s="0" t="str">
        <f aca="false">INDEX(Intent_Analysis!$B$5:$B$81,MATCH(B6534,Intent_Analysis!$A$5:$A$81,0))</f>
        <v>Account &amp; identity</v>
      </c>
      <c r="D6534" s="0" t="n">
        <f aca="false">INDEX(Intent_Analysis!$E$5:$E$81,MATCH(B6534,Intent_Analysis!$A$5:$A$81,0))</f>
        <v>1</v>
      </c>
    </row>
    <row r="6535" customFormat="false" ht="15" hidden="false" customHeight="false" outlineLevel="0" collapsed="false">
      <c r="A6535" s="0" t="s">
        <v>6859</v>
      </c>
      <c r="B6535" s="0" t="s">
        <v>38</v>
      </c>
      <c r="C6535" s="0" t="str">
        <f aca="false">INDEX(Intent_Analysis!$B$5:$B$81,MATCH(B6535,Intent_Analysis!$A$5:$A$81,0))</f>
        <v>Account &amp; identity</v>
      </c>
      <c r="D6535" s="0" t="n">
        <f aca="false">INDEX(Intent_Analysis!$E$5:$E$81,MATCH(B6535,Intent_Analysis!$A$5:$A$81,0))</f>
        <v>1</v>
      </c>
    </row>
    <row r="6536" customFormat="false" ht="15" hidden="false" customHeight="false" outlineLevel="0" collapsed="false">
      <c r="A6536" s="0" t="s">
        <v>6860</v>
      </c>
      <c r="B6536" s="0" t="s">
        <v>38</v>
      </c>
      <c r="C6536" s="0" t="str">
        <f aca="false">INDEX(Intent_Analysis!$B$5:$B$81,MATCH(B6536,Intent_Analysis!$A$5:$A$81,0))</f>
        <v>Account &amp; identity</v>
      </c>
      <c r="D6536" s="0" t="n">
        <f aca="false">INDEX(Intent_Analysis!$E$5:$E$81,MATCH(B6536,Intent_Analysis!$A$5:$A$81,0))</f>
        <v>1</v>
      </c>
    </row>
    <row r="6537" customFormat="false" ht="15" hidden="false" customHeight="false" outlineLevel="0" collapsed="false">
      <c r="A6537" s="0" t="s">
        <v>6861</v>
      </c>
      <c r="B6537" s="0" t="s">
        <v>38</v>
      </c>
      <c r="C6537" s="0" t="str">
        <f aca="false">INDEX(Intent_Analysis!$B$5:$B$81,MATCH(B6537,Intent_Analysis!$A$5:$A$81,0))</f>
        <v>Account &amp; identity</v>
      </c>
      <c r="D6537" s="0" t="n">
        <f aca="false">INDEX(Intent_Analysis!$E$5:$E$81,MATCH(B6537,Intent_Analysis!$A$5:$A$81,0))</f>
        <v>1</v>
      </c>
    </row>
    <row r="6538" customFormat="false" ht="15" hidden="false" customHeight="false" outlineLevel="0" collapsed="false">
      <c r="A6538" s="0" t="s">
        <v>6862</v>
      </c>
      <c r="B6538" s="0" t="s">
        <v>38</v>
      </c>
      <c r="C6538" s="0" t="str">
        <f aca="false">INDEX(Intent_Analysis!$B$5:$B$81,MATCH(B6538,Intent_Analysis!$A$5:$A$81,0))</f>
        <v>Account &amp; identity</v>
      </c>
      <c r="D6538" s="0" t="n">
        <f aca="false">INDEX(Intent_Analysis!$E$5:$E$81,MATCH(B6538,Intent_Analysis!$A$5:$A$81,0))</f>
        <v>1</v>
      </c>
    </row>
    <row r="6539" customFormat="false" ht="15" hidden="false" customHeight="false" outlineLevel="0" collapsed="false">
      <c r="A6539" s="0" t="s">
        <v>6863</v>
      </c>
      <c r="B6539" s="0" t="s">
        <v>38</v>
      </c>
      <c r="C6539" s="0" t="str">
        <f aca="false">INDEX(Intent_Analysis!$B$5:$B$81,MATCH(B6539,Intent_Analysis!$A$5:$A$81,0))</f>
        <v>Account &amp; identity</v>
      </c>
      <c r="D6539" s="0" t="n">
        <f aca="false">INDEX(Intent_Analysis!$E$5:$E$81,MATCH(B6539,Intent_Analysis!$A$5:$A$81,0))</f>
        <v>1</v>
      </c>
    </row>
    <row r="6540" customFormat="false" ht="15" hidden="false" customHeight="false" outlineLevel="0" collapsed="false">
      <c r="A6540" s="0" t="s">
        <v>6864</v>
      </c>
      <c r="B6540" s="0" t="s">
        <v>38</v>
      </c>
      <c r="C6540" s="0" t="str">
        <f aca="false">INDEX(Intent_Analysis!$B$5:$B$81,MATCH(B6540,Intent_Analysis!$A$5:$A$81,0))</f>
        <v>Account &amp; identity</v>
      </c>
      <c r="D6540" s="0" t="n">
        <f aca="false">INDEX(Intent_Analysis!$E$5:$E$81,MATCH(B6540,Intent_Analysis!$A$5:$A$81,0))</f>
        <v>1</v>
      </c>
    </row>
    <row r="6541" customFormat="false" ht="15" hidden="false" customHeight="false" outlineLevel="0" collapsed="false">
      <c r="A6541" s="0" t="s">
        <v>6865</v>
      </c>
      <c r="B6541" s="0" t="s">
        <v>38</v>
      </c>
      <c r="C6541" s="0" t="str">
        <f aca="false">INDEX(Intent_Analysis!$B$5:$B$81,MATCH(B6541,Intent_Analysis!$A$5:$A$81,0))</f>
        <v>Account &amp; identity</v>
      </c>
      <c r="D6541" s="0" t="n">
        <f aca="false">INDEX(Intent_Analysis!$E$5:$E$81,MATCH(B6541,Intent_Analysis!$A$5:$A$81,0))</f>
        <v>1</v>
      </c>
    </row>
    <row r="6542" customFormat="false" ht="15" hidden="false" customHeight="false" outlineLevel="0" collapsed="false">
      <c r="A6542" s="0" t="s">
        <v>6866</v>
      </c>
      <c r="B6542" s="0" t="s">
        <v>38</v>
      </c>
      <c r="C6542" s="0" t="str">
        <f aca="false">INDEX(Intent_Analysis!$B$5:$B$81,MATCH(B6542,Intent_Analysis!$A$5:$A$81,0))</f>
        <v>Account &amp; identity</v>
      </c>
      <c r="D6542" s="0" t="n">
        <f aca="false">INDEX(Intent_Analysis!$E$5:$E$81,MATCH(B6542,Intent_Analysis!$A$5:$A$81,0))</f>
        <v>1</v>
      </c>
    </row>
    <row r="6543" customFormat="false" ht="15" hidden="false" customHeight="false" outlineLevel="0" collapsed="false">
      <c r="A6543" s="0" t="s">
        <v>6867</v>
      </c>
      <c r="B6543" s="0" t="s">
        <v>38</v>
      </c>
      <c r="C6543" s="0" t="str">
        <f aca="false">INDEX(Intent_Analysis!$B$5:$B$81,MATCH(B6543,Intent_Analysis!$A$5:$A$81,0))</f>
        <v>Account &amp; identity</v>
      </c>
      <c r="D6543" s="0" t="n">
        <f aca="false">INDEX(Intent_Analysis!$E$5:$E$81,MATCH(B6543,Intent_Analysis!$A$5:$A$81,0))</f>
        <v>1</v>
      </c>
    </row>
    <row r="6544" customFormat="false" ht="15" hidden="false" customHeight="false" outlineLevel="0" collapsed="false">
      <c r="A6544" s="0" t="s">
        <v>6868</v>
      </c>
      <c r="B6544" s="0" t="s">
        <v>38</v>
      </c>
      <c r="C6544" s="0" t="str">
        <f aca="false">INDEX(Intent_Analysis!$B$5:$B$81,MATCH(B6544,Intent_Analysis!$A$5:$A$81,0))</f>
        <v>Account &amp; identity</v>
      </c>
      <c r="D6544" s="0" t="n">
        <f aca="false">INDEX(Intent_Analysis!$E$5:$E$81,MATCH(B6544,Intent_Analysis!$A$5:$A$81,0))</f>
        <v>1</v>
      </c>
    </row>
    <row r="6545" customFormat="false" ht="15" hidden="false" customHeight="false" outlineLevel="0" collapsed="false">
      <c r="A6545" s="0" t="s">
        <v>6869</v>
      </c>
      <c r="B6545" s="0" t="s">
        <v>38</v>
      </c>
      <c r="C6545" s="0" t="str">
        <f aca="false">INDEX(Intent_Analysis!$B$5:$B$81,MATCH(B6545,Intent_Analysis!$A$5:$A$81,0))</f>
        <v>Account &amp; identity</v>
      </c>
      <c r="D6545" s="0" t="n">
        <f aca="false">INDEX(Intent_Analysis!$E$5:$E$81,MATCH(B6545,Intent_Analysis!$A$5:$A$81,0))</f>
        <v>1</v>
      </c>
    </row>
    <row r="6546" customFormat="false" ht="15" hidden="false" customHeight="false" outlineLevel="0" collapsed="false">
      <c r="A6546" s="0" t="s">
        <v>6870</v>
      </c>
      <c r="B6546" s="0" t="s">
        <v>38</v>
      </c>
      <c r="C6546" s="0" t="str">
        <f aca="false">INDEX(Intent_Analysis!$B$5:$B$81,MATCH(B6546,Intent_Analysis!$A$5:$A$81,0))</f>
        <v>Account &amp; identity</v>
      </c>
      <c r="D6546" s="0" t="n">
        <f aca="false">INDEX(Intent_Analysis!$E$5:$E$81,MATCH(B6546,Intent_Analysis!$A$5:$A$81,0))</f>
        <v>1</v>
      </c>
    </row>
    <row r="6547" customFormat="false" ht="15" hidden="false" customHeight="false" outlineLevel="0" collapsed="false">
      <c r="A6547" s="0" t="s">
        <v>6871</v>
      </c>
      <c r="B6547" s="0" t="s">
        <v>38</v>
      </c>
      <c r="C6547" s="0" t="str">
        <f aca="false">INDEX(Intent_Analysis!$B$5:$B$81,MATCH(B6547,Intent_Analysis!$A$5:$A$81,0))</f>
        <v>Account &amp; identity</v>
      </c>
      <c r="D6547" s="0" t="n">
        <f aca="false">INDEX(Intent_Analysis!$E$5:$E$81,MATCH(B6547,Intent_Analysis!$A$5:$A$81,0))</f>
        <v>1</v>
      </c>
    </row>
    <row r="6548" customFormat="false" ht="15" hidden="false" customHeight="false" outlineLevel="0" collapsed="false">
      <c r="A6548" s="0" t="s">
        <v>6872</v>
      </c>
      <c r="B6548" s="0" t="s">
        <v>38</v>
      </c>
      <c r="C6548" s="0" t="str">
        <f aca="false">INDEX(Intent_Analysis!$B$5:$B$81,MATCH(B6548,Intent_Analysis!$A$5:$A$81,0))</f>
        <v>Account &amp; identity</v>
      </c>
      <c r="D6548" s="0" t="n">
        <f aca="false">INDEX(Intent_Analysis!$E$5:$E$81,MATCH(B6548,Intent_Analysis!$A$5:$A$81,0))</f>
        <v>1</v>
      </c>
    </row>
    <row r="6549" customFormat="false" ht="15" hidden="false" customHeight="false" outlineLevel="0" collapsed="false">
      <c r="A6549" s="0" t="s">
        <v>6873</v>
      </c>
      <c r="B6549" s="0" t="s">
        <v>38</v>
      </c>
      <c r="C6549" s="0" t="str">
        <f aca="false">INDEX(Intent_Analysis!$B$5:$B$81,MATCH(B6549,Intent_Analysis!$A$5:$A$81,0))</f>
        <v>Account &amp; identity</v>
      </c>
      <c r="D6549" s="0" t="n">
        <f aca="false">INDEX(Intent_Analysis!$E$5:$E$81,MATCH(B6549,Intent_Analysis!$A$5:$A$81,0))</f>
        <v>1</v>
      </c>
    </row>
    <row r="6550" customFormat="false" ht="15" hidden="false" customHeight="false" outlineLevel="0" collapsed="false">
      <c r="A6550" s="0" t="s">
        <v>6874</v>
      </c>
      <c r="B6550" s="0" t="s">
        <v>38</v>
      </c>
      <c r="C6550" s="0" t="str">
        <f aca="false">INDEX(Intent_Analysis!$B$5:$B$81,MATCH(B6550,Intent_Analysis!$A$5:$A$81,0))</f>
        <v>Account &amp; identity</v>
      </c>
      <c r="D6550" s="0" t="n">
        <f aca="false">INDEX(Intent_Analysis!$E$5:$E$81,MATCH(B6550,Intent_Analysis!$A$5:$A$81,0))</f>
        <v>1</v>
      </c>
    </row>
    <row r="6551" customFormat="false" ht="15" hidden="false" customHeight="false" outlineLevel="0" collapsed="false">
      <c r="A6551" s="0" t="s">
        <v>6875</v>
      </c>
      <c r="B6551" s="0" t="s">
        <v>38</v>
      </c>
      <c r="C6551" s="0" t="str">
        <f aca="false">INDEX(Intent_Analysis!$B$5:$B$81,MATCH(B6551,Intent_Analysis!$A$5:$A$81,0))</f>
        <v>Account &amp; identity</v>
      </c>
      <c r="D6551" s="0" t="n">
        <f aca="false">INDEX(Intent_Analysis!$E$5:$E$81,MATCH(B6551,Intent_Analysis!$A$5:$A$81,0))</f>
        <v>1</v>
      </c>
    </row>
    <row r="6552" customFormat="false" ht="15" hidden="false" customHeight="false" outlineLevel="0" collapsed="false">
      <c r="A6552" s="0" t="s">
        <v>6876</v>
      </c>
      <c r="B6552" s="0" t="s">
        <v>38</v>
      </c>
      <c r="C6552" s="0" t="str">
        <f aca="false">INDEX(Intent_Analysis!$B$5:$B$81,MATCH(B6552,Intent_Analysis!$A$5:$A$81,0))</f>
        <v>Account &amp; identity</v>
      </c>
      <c r="D6552" s="0" t="n">
        <f aca="false">INDEX(Intent_Analysis!$E$5:$E$81,MATCH(B6552,Intent_Analysis!$A$5:$A$81,0))</f>
        <v>1</v>
      </c>
    </row>
    <row r="6553" customFormat="false" ht="15" hidden="false" customHeight="false" outlineLevel="0" collapsed="false">
      <c r="A6553" s="0" t="s">
        <v>6877</v>
      </c>
      <c r="B6553" s="0" t="s">
        <v>38</v>
      </c>
      <c r="C6553" s="0" t="str">
        <f aca="false">INDEX(Intent_Analysis!$B$5:$B$81,MATCH(B6553,Intent_Analysis!$A$5:$A$81,0))</f>
        <v>Account &amp; identity</v>
      </c>
      <c r="D6553" s="0" t="n">
        <f aca="false">INDEX(Intent_Analysis!$E$5:$E$81,MATCH(B6553,Intent_Analysis!$A$5:$A$81,0))</f>
        <v>1</v>
      </c>
    </row>
    <row r="6554" customFormat="false" ht="15" hidden="false" customHeight="false" outlineLevel="0" collapsed="false">
      <c r="A6554" s="0" t="s">
        <v>6878</v>
      </c>
      <c r="B6554" s="0" t="s">
        <v>38</v>
      </c>
      <c r="C6554" s="0" t="str">
        <f aca="false">INDEX(Intent_Analysis!$B$5:$B$81,MATCH(B6554,Intent_Analysis!$A$5:$A$81,0))</f>
        <v>Account &amp; identity</v>
      </c>
      <c r="D6554" s="0" t="n">
        <f aca="false">INDEX(Intent_Analysis!$E$5:$E$81,MATCH(B6554,Intent_Analysis!$A$5:$A$81,0))</f>
        <v>1</v>
      </c>
    </row>
    <row r="6555" customFormat="false" ht="15" hidden="false" customHeight="false" outlineLevel="0" collapsed="false">
      <c r="A6555" s="0" t="s">
        <v>6879</v>
      </c>
      <c r="B6555" s="0" t="s">
        <v>38</v>
      </c>
      <c r="C6555" s="0" t="str">
        <f aca="false">INDEX(Intent_Analysis!$B$5:$B$81,MATCH(B6555,Intent_Analysis!$A$5:$A$81,0))</f>
        <v>Account &amp; identity</v>
      </c>
      <c r="D6555" s="0" t="n">
        <f aca="false">INDEX(Intent_Analysis!$E$5:$E$81,MATCH(B6555,Intent_Analysis!$A$5:$A$81,0))</f>
        <v>1</v>
      </c>
    </row>
    <row r="6556" customFormat="false" ht="15" hidden="false" customHeight="false" outlineLevel="0" collapsed="false">
      <c r="A6556" s="0" t="s">
        <v>6880</v>
      </c>
      <c r="B6556" s="0" t="s">
        <v>38</v>
      </c>
      <c r="C6556" s="0" t="str">
        <f aca="false">INDEX(Intent_Analysis!$B$5:$B$81,MATCH(B6556,Intent_Analysis!$A$5:$A$81,0))</f>
        <v>Account &amp; identity</v>
      </c>
      <c r="D6556" s="0" t="n">
        <f aca="false">INDEX(Intent_Analysis!$E$5:$E$81,MATCH(B6556,Intent_Analysis!$A$5:$A$81,0))</f>
        <v>1</v>
      </c>
    </row>
    <row r="6557" customFormat="false" ht="15" hidden="false" customHeight="false" outlineLevel="0" collapsed="false">
      <c r="A6557" s="0" t="s">
        <v>6881</v>
      </c>
      <c r="B6557" s="0" t="s">
        <v>38</v>
      </c>
      <c r="C6557" s="0" t="str">
        <f aca="false">INDEX(Intent_Analysis!$B$5:$B$81,MATCH(B6557,Intent_Analysis!$A$5:$A$81,0))</f>
        <v>Account &amp; identity</v>
      </c>
      <c r="D6557" s="0" t="n">
        <f aca="false">INDEX(Intent_Analysis!$E$5:$E$81,MATCH(B6557,Intent_Analysis!$A$5:$A$81,0))</f>
        <v>1</v>
      </c>
    </row>
    <row r="6558" customFormat="false" ht="15" hidden="false" customHeight="false" outlineLevel="0" collapsed="false">
      <c r="A6558" s="0" t="s">
        <v>6882</v>
      </c>
      <c r="B6558" s="0" t="s">
        <v>38</v>
      </c>
      <c r="C6558" s="0" t="str">
        <f aca="false">INDEX(Intent_Analysis!$B$5:$B$81,MATCH(B6558,Intent_Analysis!$A$5:$A$81,0))</f>
        <v>Account &amp; identity</v>
      </c>
      <c r="D6558" s="0" t="n">
        <f aca="false">INDEX(Intent_Analysis!$E$5:$E$81,MATCH(B6558,Intent_Analysis!$A$5:$A$81,0))</f>
        <v>1</v>
      </c>
    </row>
    <row r="6559" customFormat="false" ht="15" hidden="false" customHeight="false" outlineLevel="0" collapsed="false">
      <c r="A6559" s="0" t="s">
        <v>6883</v>
      </c>
      <c r="B6559" s="0" t="s">
        <v>38</v>
      </c>
      <c r="C6559" s="0" t="str">
        <f aca="false">INDEX(Intent_Analysis!$B$5:$B$81,MATCH(B6559,Intent_Analysis!$A$5:$A$81,0))</f>
        <v>Account &amp; identity</v>
      </c>
      <c r="D6559" s="0" t="n">
        <f aca="false">INDEX(Intent_Analysis!$E$5:$E$81,MATCH(B6559,Intent_Analysis!$A$5:$A$81,0))</f>
        <v>1</v>
      </c>
    </row>
    <row r="6560" customFormat="false" ht="15" hidden="false" customHeight="false" outlineLevel="0" collapsed="false">
      <c r="A6560" s="0" t="s">
        <v>6884</v>
      </c>
      <c r="B6560" s="0" t="s">
        <v>38</v>
      </c>
      <c r="C6560" s="0" t="str">
        <f aca="false">INDEX(Intent_Analysis!$B$5:$B$81,MATCH(B6560,Intent_Analysis!$A$5:$A$81,0))</f>
        <v>Account &amp; identity</v>
      </c>
      <c r="D6560" s="0" t="n">
        <f aca="false">INDEX(Intent_Analysis!$E$5:$E$81,MATCH(B6560,Intent_Analysis!$A$5:$A$81,0))</f>
        <v>1</v>
      </c>
    </row>
    <row r="6561" customFormat="false" ht="15" hidden="false" customHeight="false" outlineLevel="0" collapsed="false">
      <c r="A6561" s="0" t="s">
        <v>6885</v>
      </c>
      <c r="B6561" s="0" t="s">
        <v>38</v>
      </c>
      <c r="C6561" s="0" t="str">
        <f aca="false">INDEX(Intent_Analysis!$B$5:$B$81,MATCH(B6561,Intent_Analysis!$A$5:$A$81,0))</f>
        <v>Account &amp; identity</v>
      </c>
      <c r="D6561" s="0" t="n">
        <f aca="false">INDEX(Intent_Analysis!$E$5:$E$81,MATCH(B6561,Intent_Analysis!$A$5:$A$81,0))</f>
        <v>1</v>
      </c>
    </row>
    <row r="6562" customFormat="false" ht="15" hidden="false" customHeight="false" outlineLevel="0" collapsed="false">
      <c r="A6562" s="0" t="s">
        <v>6886</v>
      </c>
      <c r="B6562" s="0" t="s">
        <v>38</v>
      </c>
      <c r="C6562" s="0" t="str">
        <f aca="false">INDEX(Intent_Analysis!$B$5:$B$81,MATCH(B6562,Intent_Analysis!$A$5:$A$81,0))</f>
        <v>Account &amp; identity</v>
      </c>
      <c r="D6562" s="0" t="n">
        <f aca="false">INDEX(Intent_Analysis!$E$5:$E$81,MATCH(B6562,Intent_Analysis!$A$5:$A$81,0))</f>
        <v>1</v>
      </c>
    </row>
    <row r="6563" customFormat="false" ht="15" hidden="false" customHeight="false" outlineLevel="0" collapsed="false">
      <c r="A6563" s="0" t="s">
        <v>6887</v>
      </c>
      <c r="B6563" s="0" t="s">
        <v>38</v>
      </c>
      <c r="C6563" s="0" t="str">
        <f aca="false">INDEX(Intent_Analysis!$B$5:$B$81,MATCH(B6563,Intent_Analysis!$A$5:$A$81,0))</f>
        <v>Account &amp; identity</v>
      </c>
      <c r="D6563" s="0" t="n">
        <f aca="false">INDEX(Intent_Analysis!$E$5:$E$81,MATCH(B6563,Intent_Analysis!$A$5:$A$81,0))</f>
        <v>1</v>
      </c>
    </row>
    <row r="6564" customFormat="false" ht="15" hidden="false" customHeight="false" outlineLevel="0" collapsed="false">
      <c r="A6564" s="0" t="s">
        <v>6888</v>
      </c>
      <c r="B6564" s="0" t="s">
        <v>38</v>
      </c>
      <c r="C6564" s="0" t="str">
        <f aca="false">INDEX(Intent_Analysis!$B$5:$B$81,MATCH(B6564,Intent_Analysis!$A$5:$A$81,0))</f>
        <v>Account &amp; identity</v>
      </c>
      <c r="D6564" s="0" t="n">
        <f aca="false">INDEX(Intent_Analysis!$E$5:$E$81,MATCH(B6564,Intent_Analysis!$A$5:$A$81,0))</f>
        <v>1</v>
      </c>
    </row>
    <row r="6565" customFormat="false" ht="15" hidden="false" customHeight="false" outlineLevel="0" collapsed="false">
      <c r="A6565" s="0" t="s">
        <v>6889</v>
      </c>
      <c r="B6565" s="0" t="s">
        <v>38</v>
      </c>
      <c r="C6565" s="0" t="str">
        <f aca="false">INDEX(Intent_Analysis!$B$5:$B$81,MATCH(B6565,Intent_Analysis!$A$5:$A$81,0))</f>
        <v>Account &amp; identity</v>
      </c>
      <c r="D6565" s="0" t="n">
        <f aca="false">INDEX(Intent_Analysis!$E$5:$E$81,MATCH(B6565,Intent_Analysis!$A$5:$A$81,0))</f>
        <v>1</v>
      </c>
    </row>
    <row r="6566" customFormat="false" ht="15" hidden="false" customHeight="false" outlineLevel="0" collapsed="false">
      <c r="A6566" s="0" t="s">
        <v>6890</v>
      </c>
      <c r="B6566" s="0" t="s">
        <v>38</v>
      </c>
      <c r="C6566" s="0" t="str">
        <f aca="false">INDEX(Intent_Analysis!$B$5:$B$81,MATCH(B6566,Intent_Analysis!$A$5:$A$81,0))</f>
        <v>Account &amp; identity</v>
      </c>
      <c r="D6566" s="0" t="n">
        <f aca="false">INDEX(Intent_Analysis!$E$5:$E$81,MATCH(B6566,Intent_Analysis!$A$5:$A$81,0))</f>
        <v>1</v>
      </c>
    </row>
    <row r="6567" customFormat="false" ht="15" hidden="false" customHeight="false" outlineLevel="0" collapsed="false">
      <c r="A6567" s="0" t="s">
        <v>6891</v>
      </c>
      <c r="B6567" s="0" t="s">
        <v>38</v>
      </c>
      <c r="C6567" s="0" t="str">
        <f aca="false">INDEX(Intent_Analysis!$B$5:$B$81,MATCH(B6567,Intent_Analysis!$A$5:$A$81,0))</f>
        <v>Account &amp; identity</v>
      </c>
      <c r="D6567" s="0" t="n">
        <f aca="false">INDEX(Intent_Analysis!$E$5:$E$81,MATCH(B6567,Intent_Analysis!$A$5:$A$81,0))</f>
        <v>1</v>
      </c>
    </row>
    <row r="6568" customFormat="false" ht="15" hidden="false" customHeight="false" outlineLevel="0" collapsed="false">
      <c r="A6568" s="0" t="s">
        <v>6892</v>
      </c>
      <c r="B6568" s="0" t="s">
        <v>38</v>
      </c>
      <c r="C6568" s="0" t="str">
        <f aca="false">INDEX(Intent_Analysis!$B$5:$B$81,MATCH(B6568,Intent_Analysis!$A$5:$A$81,0))</f>
        <v>Account &amp; identity</v>
      </c>
      <c r="D6568" s="0" t="n">
        <f aca="false">INDEX(Intent_Analysis!$E$5:$E$81,MATCH(B6568,Intent_Analysis!$A$5:$A$81,0))</f>
        <v>1</v>
      </c>
    </row>
    <row r="6569" customFormat="false" ht="15" hidden="false" customHeight="false" outlineLevel="0" collapsed="false">
      <c r="A6569" s="0" t="s">
        <v>6893</v>
      </c>
      <c r="B6569" s="0" t="s">
        <v>38</v>
      </c>
      <c r="C6569" s="0" t="str">
        <f aca="false">INDEX(Intent_Analysis!$B$5:$B$81,MATCH(B6569,Intent_Analysis!$A$5:$A$81,0))</f>
        <v>Account &amp; identity</v>
      </c>
      <c r="D6569" s="0" t="n">
        <f aca="false">INDEX(Intent_Analysis!$E$5:$E$81,MATCH(B6569,Intent_Analysis!$A$5:$A$81,0))</f>
        <v>1</v>
      </c>
    </row>
    <row r="6570" customFormat="false" ht="15" hidden="false" customHeight="false" outlineLevel="0" collapsed="false">
      <c r="A6570" s="0" t="s">
        <v>6894</v>
      </c>
      <c r="B6570" s="0" t="s">
        <v>38</v>
      </c>
      <c r="C6570" s="0" t="str">
        <f aca="false">INDEX(Intent_Analysis!$B$5:$B$81,MATCH(B6570,Intent_Analysis!$A$5:$A$81,0))</f>
        <v>Account &amp; identity</v>
      </c>
      <c r="D6570" s="0" t="n">
        <f aca="false">INDEX(Intent_Analysis!$E$5:$E$81,MATCH(B6570,Intent_Analysis!$A$5:$A$81,0))</f>
        <v>1</v>
      </c>
    </row>
    <row r="6571" customFormat="false" ht="15" hidden="false" customHeight="false" outlineLevel="0" collapsed="false">
      <c r="A6571" s="0" t="s">
        <v>6895</v>
      </c>
      <c r="B6571" s="0" t="s">
        <v>38</v>
      </c>
      <c r="C6571" s="0" t="str">
        <f aca="false">INDEX(Intent_Analysis!$B$5:$B$81,MATCH(B6571,Intent_Analysis!$A$5:$A$81,0))</f>
        <v>Account &amp; identity</v>
      </c>
      <c r="D6571" s="0" t="n">
        <f aca="false">INDEX(Intent_Analysis!$E$5:$E$81,MATCH(B6571,Intent_Analysis!$A$5:$A$81,0))</f>
        <v>1</v>
      </c>
    </row>
    <row r="6572" customFormat="false" ht="15" hidden="false" customHeight="false" outlineLevel="0" collapsed="false">
      <c r="A6572" s="0" t="s">
        <v>6896</v>
      </c>
      <c r="B6572" s="0" t="s">
        <v>38</v>
      </c>
      <c r="C6572" s="0" t="str">
        <f aca="false">INDEX(Intent_Analysis!$B$5:$B$81,MATCH(B6572,Intent_Analysis!$A$5:$A$81,0))</f>
        <v>Account &amp; identity</v>
      </c>
      <c r="D6572" s="0" t="n">
        <f aca="false">INDEX(Intent_Analysis!$E$5:$E$81,MATCH(B6572,Intent_Analysis!$A$5:$A$81,0))</f>
        <v>1</v>
      </c>
    </row>
    <row r="6573" customFormat="false" ht="15" hidden="false" customHeight="false" outlineLevel="0" collapsed="false">
      <c r="A6573" s="0" t="s">
        <v>6897</v>
      </c>
      <c r="B6573" s="0" t="s">
        <v>38</v>
      </c>
      <c r="C6573" s="0" t="str">
        <f aca="false">INDEX(Intent_Analysis!$B$5:$B$81,MATCH(B6573,Intent_Analysis!$A$5:$A$81,0))</f>
        <v>Account &amp; identity</v>
      </c>
      <c r="D6573" s="0" t="n">
        <f aca="false">INDEX(Intent_Analysis!$E$5:$E$81,MATCH(B6573,Intent_Analysis!$A$5:$A$81,0))</f>
        <v>1</v>
      </c>
    </row>
    <row r="6574" customFormat="false" ht="15" hidden="false" customHeight="false" outlineLevel="0" collapsed="false">
      <c r="A6574" s="0" t="s">
        <v>6898</v>
      </c>
      <c r="B6574" s="0" t="s">
        <v>38</v>
      </c>
      <c r="C6574" s="0" t="str">
        <f aca="false">INDEX(Intent_Analysis!$B$5:$B$81,MATCH(B6574,Intent_Analysis!$A$5:$A$81,0))</f>
        <v>Account &amp; identity</v>
      </c>
      <c r="D6574" s="0" t="n">
        <f aca="false">INDEX(Intent_Analysis!$E$5:$E$81,MATCH(B6574,Intent_Analysis!$A$5:$A$81,0))</f>
        <v>1</v>
      </c>
    </row>
    <row r="6575" customFormat="false" ht="15" hidden="false" customHeight="false" outlineLevel="0" collapsed="false">
      <c r="A6575" s="0" t="s">
        <v>6899</v>
      </c>
      <c r="B6575" s="0" t="s">
        <v>38</v>
      </c>
      <c r="C6575" s="0" t="str">
        <f aca="false">INDEX(Intent_Analysis!$B$5:$B$81,MATCH(B6575,Intent_Analysis!$A$5:$A$81,0))</f>
        <v>Account &amp; identity</v>
      </c>
      <c r="D6575" s="0" t="n">
        <f aca="false">INDEX(Intent_Analysis!$E$5:$E$81,MATCH(B6575,Intent_Analysis!$A$5:$A$81,0))</f>
        <v>1</v>
      </c>
    </row>
    <row r="6576" customFormat="false" ht="15" hidden="false" customHeight="false" outlineLevel="0" collapsed="false">
      <c r="A6576" s="0" t="s">
        <v>6900</v>
      </c>
      <c r="B6576" s="0" t="s">
        <v>38</v>
      </c>
      <c r="C6576" s="0" t="str">
        <f aca="false">INDEX(Intent_Analysis!$B$5:$B$81,MATCH(B6576,Intent_Analysis!$A$5:$A$81,0))</f>
        <v>Account &amp; identity</v>
      </c>
      <c r="D6576" s="0" t="n">
        <f aca="false">INDEX(Intent_Analysis!$E$5:$E$81,MATCH(B6576,Intent_Analysis!$A$5:$A$81,0))</f>
        <v>1</v>
      </c>
    </row>
    <row r="6577" customFormat="false" ht="15" hidden="false" customHeight="false" outlineLevel="0" collapsed="false">
      <c r="A6577" s="0" t="s">
        <v>6901</v>
      </c>
      <c r="B6577" s="0" t="s">
        <v>38</v>
      </c>
      <c r="C6577" s="0" t="str">
        <f aca="false">INDEX(Intent_Analysis!$B$5:$B$81,MATCH(B6577,Intent_Analysis!$A$5:$A$81,0))</f>
        <v>Account &amp; identity</v>
      </c>
      <c r="D6577" s="0" t="n">
        <f aca="false">INDEX(Intent_Analysis!$E$5:$E$81,MATCH(B6577,Intent_Analysis!$A$5:$A$81,0))</f>
        <v>1</v>
      </c>
    </row>
    <row r="6578" customFormat="false" ht="15" hidden="false" customHeight="false" outlineLevel="0" collapsed="false">
      <c r="A6578" s="0" t="s">
        <v>6902</v>
      </c>
      <c r="B6578" s="0" t="s">
        <v>38</v>
      </c>
      <c r="C6578" s="0" t="str">
        <f aca="false">INDEX(Intent_Analysis!$B$5:$B$81,MATCH(B6578,Intent_Analysis!$A$5:$A$81,0))</f>
        <v>Account &amp; identity</v>
      </c>
      <c r="D6578" s="0" t="n">
        <f aca="false">INDEX(Intent_Analysis!$E$5:$E$81,MATCH(B6578,Intent_Analysis!$A$5:$A$81,0))</f>
        <v>1</v>
      </c>
    </row>
    <row r="6579" customFormat="false" ht="15" hidden="false" customHeight="false" outlineLevel="0" collapsed="false">
      <c r="A6579" s="0" t="s">
        <v>6903</v>
      </c>
      <c r="B6579" s="0" t="s">
        <v>38</v>
      </c>
      <c r="C6579" s="0" t="str">
        <f aca="false">INDEX(Intent_Analysis!$B$5:$B$81,MATCH(B6579,Intent_Analysis!$A$5:$A$81,0))</f>
        <v>Account &amp; identity</v>
      </c>
      <c r="D6579" s="0" t="n">
        <f aca="false">INDEX(Intent_Analysis!$E$5:$E$81,MATCH(B6579,Intent_Analysis!$A$5:$A$81,0))</f>
        <v>1</v>
      </c>
    </row>
    <row r="6580" customFormat="false" ht="15" hidden="false" customHeight="false" outlineLevel="0" collapsed="false">
      <c r="A6580" s="0" t="s">
        <v>6904</v>
      </c>
      <c r="B6580" s="0" t="s">
        <v>38</v>
      </c>
      <c r="C6580" s="0" t="str">
        <f aca="false">INDEX(Intent_Analysis!$B$5:$B$81,MATCH(B6580,Intent_Analysis!$A$5:$A$81,0))</f>
        <v>Account &amp; identity</v>
      </c>
      <c r="D6580" s="0" t="n">
        <f aca="false">INDEX(Intent_Analysis!$E$5:$E$81,MATCH(B6580,Intent_Analysis!$A$5:$A$81,0))</f>
        <v>1</v>
      </c>
    </row>
    <row r="6581" customFormat="false" ht="15" hidden="false" customHeight="false" outlineLevel="0" collapsed="false">
      <c r="A6581" s="0" t="s">
        <v>6905</v>
      </c>
      <c r="B6581" s="0" t="s">
        <v>38</v>
      </c>
      <c r="C6581" s="0" t="str">
        <f aca="false">INDEX(Intent_Analysis!$B$5:$B$81,MATCH(B6581,Intent_Analysis!$A$5:$A$81,0))</f>
        <v>Account &amp; identity</v>
      </c>
      <c r="D6581" s="0" t="n">
        <f aca="false">INDEX(Intent_Analysis!$E$5:$E$81,MATCH(B6581,Intent_Analysis!$A$5:$A$81,0))</f>
        <v>1</v>
      </c>
    </row>
    <row r="6582" customFormat="false" ht="15" hidden="false" customHeight="false" outlineLevel="0" collapsed="false">
      <c r="A6582" s="0" t="s">
        <v>6906</v>
      </c>
      <c r="B6582" s="0" t="s">
        <v>38</v>
      </c>
      <c r="C6582" s="0" t="str">
        <f aca="false">INDEX(Intent_Analysis!$B$5:$B$81,MATCH(B6582,Intent_Analysis!$A$5:$A$81,0))</f>
        <v>Account &amp; identity</v>
      </c>
      <c r="D6582" s="0" t="n">
        <f aca="false">INDEX(Intent_Analysis!$E$5:$E$81,MATCH(B6582,Intent_Analysis!$A$5:$A$81,0))</f>
        <v>1</v>
      </c>
    </row>
    <row r="6583" customFormat="false" ht="15" hidden="false" customHeight="false" outlineLevel="0" collapsed="false">
      <c r="A6583" s="0" t="s">
        <v>6907</v>
      </c>
      <c r="B6583" s="0" t="s">
        <v>38</v>
      </c>
      <c r="C6583" s="0" t="str">
        <f aca="false">INDEX(Intent_Analysis!$B$5:$B$81,MATCH(B6583,Intent_Analysis!$A$5:$A$81,0))</f>
        <v>Account &amp; identity</v>
      </c>
      <c r="D6583" s="0" t="n">
        <f aca="false">INDEX(Intent_Analysis!$E$5:$E$81,MATCH(B6583,Intent_Analysis!$A$5:$A$81,0))</f>
        <v>1</v>
      </c>
    </row>
    <row r="6584" customFormat="false" ht="15" hidden="false" customHeight="false" outlineLevel="0" collapsed="false">
      <c r="A6584" s="0" t="s">
        <v>6908</v>
      </c>
      <c r="B6584" s="0" t="s">
        <v>38</v>
      </c>
      <c r="C6584" s="0" t="str">
        <f aca="false">INDEX(Intent_Analysis!$B$5:$B$81,MATCH(B6584,Intent_Analysis!$A$5:$A$81,0))</f>
        <v>Account &amp; identity</v>
      </c>
      <c r="D6584" s="0" t="n">
        <f aca="false">INDEX(Intent_Analysis!$E$5:$E$81,MATCH(B6584,Intent_Analysis!$A$5:$A$81,0))</f>
        <v>1</v>
      </c>
    </row>
    <row r="6585" customFormat="false" ht="15" hidden="false" customHeight="false" outlineLevel="0" collapsed="false">
      <c r="A6585" s="0" t="s">
        <v>6909</v>
      </c>
      <c r="B6585" s="0" t="s">
        <v>38</v>
      </c>
      <c r="C6585" s="0" t="str">
        <f aca="false">INDEX(Intent_Analysis!$B$5:$B$81,MATCH(B6585,Intent_Analysis!$A$5:$A$81,0))</f>
        <v>Account &amp; identity</v>
      </c>
      <c r="D6585" s="0" t="n">
        <f aca="false">INDEX(Intent_Analysis!$E$5:$E$81,MATCH(B6585,Intent_Analysis!$A$5:$A$81,0))</f>
        <v>1</v>
      </c>
    </row>
    <row r="6586" customFormat="false" ht="15" hidden="false" customHeight="false" outlineLevel="0" collapsed="false">
      <c r="A6586" s="0" t="s">
        <v>6910</v>
      </c>
      <c r="B6586" s="0" t="s">
        <v>38</v>
      </c>
      <c r="C6586" s="0" t="str">
        <f aca="false">INDEX(Intent_Analysis!$B$5:$B$81,MATCH(B6586,Intent_Analysis!$A$5:$A$81,0))</f>
        <v>Account &amp; identity</v>
      </c>
      <c r="D6586" s="0" t="n">
        <f aca="false">INDEX(Intent_Analysis!$E$5:$E$81,MATCH(B6586,Intent_Analysis!$A$5:$A$81,0))</f>
        <v>1</v>
      </c>
    </row>
    <row r="6587" customFormat="false" ht="15" hidden="false" customHeight="false" outlineLevel="0" collapsed="false">
      <c r="A6587" s="0" t="s">
        <v>6911</v>
      </c>
      <c r="B6587" s="0" t="s">
        <v>38</v>
      </c>
      <c r="C6587" s="0" t="str">
        <f aca="false">INDEX(Intent_Analysis!$B$5:$B$81,MATCH(B6587,Intent_Analysis!$A$5:$A$81,0))</f>
        <v>Account &amp; identity</v>
      </c>
      <c r="D6587" s="0" t="n">
        <f aca="false">INDEX(Intent_Analysis!$E$5:$E$81,MATCH(B6587,Intent_Analysis!$A$5:$A$81,0))</f>
        <v>1</v>
      </c>
    </row>
    <row r="6588" customFormat="false" ht="15" hidden="false" customHeight="false" outlineLevel="0" collapsed="false">
      <c r="A6588" s="0" t="s">
        <v>6912</v>
      </c>
      <c r="B6588" s="0" t="s">
        <v>38</v>
      </c>
      <c r="C6588" s="0" t="str">
        <f aca="false">INDEX(Intent_Analysis!$B$5:$B$81,MATCH(B6588,Intent_Analysis!$A$5:$A$81,0))</f>
        <v>Account &amp; identity</v>
      </c>
      <c r="D6588" s="0" t="n">
        <f aca="false">INDEX(Intent_Analysis!$E$5:$E$81,MATCH(B6588,Intent_Analysis!$A$5:$A$81,0))</f>
        <v>1</v>
      </c>
    </row>
    <row r="6589" customFormat="false" ht="15" hidden="false" customHeight="false" outlineLevel="0" collapsed="false">
      <c r="A6589" s="0" t="s">
        <v>6913</v>
      </c>
      <c r="B6589" s="0" t="s">
        <v>38</v>
      </c>
      <c r="C6589" s="0" t="str">
        <f aca="false">INDEX(Intent_Analysis!$B$5:$B$81,MATCH(B6589,Intent_Analysis!$A$5:$A$81,0))</f>
        <v>Account &amp; identity</v>
      </c>
      <c r="D6589" s="0" t="n">
        <f aca="false">INDEX(Intent_Analysis!$E$5:$E$81,MATCH(B6589,Intent_Analysis!$A$5:$A$81,0))</f>
        <v>1</v>
      </c>
    </row>
    <row r="6590" customFormat="false" ht="15" hidden="false" customHeight="false" outlineLevel="0" collapsed="false">
      <c r="A6590" s="0" t="s">
        <v>6914</v>
      </c>
      <c r="B6590" s="0" t="s">
        <v>38</v>
      </c>
      <c r="C6590" s="0" t="str">
        <f aca="false">INDEX(Intent_Analysis!$B$5:$B$81,MATCH(B6590,Intent_Analysis!$A$5:$A$81,0))</f>
        <v>Account &amp; identity</v>
      </c>
      <c r="D6590" s="0" t="n">
        <f aca="false">INDEX(Intent_Analysis!$E$5:$E$81,MATCH(B6590,Intent_Analysis!$A$5:$A$81,0))</f>
        <v>1</v>
      </c>
    </row>
    <row r="6591" customFormat="false" ht="15" hidden="false" customHeight="false" outlineLevel="0" collapsed="false">
      <c r="A6591" s="0" t="s">
        <v>6915</v>
      </c>
      <c r="B6591" s="0" t="s">
        <v>38</v>
      </c>
      <c r="C6591" s="0" t="str">
        <f aca="false">INDEX(Intent_Analysis!$B$5:$B$81,MATCH(B6591,Intent_Analysis!$A$5:$A$81,0))</f>
        <v>Account &amp; identity</v>
      </c>
      <c r="D6591" s="0" t="n">
        <f aca="false">INDEX(Intent_Analysis!$E$5:$E$81,MATCH(B6591,Intent_Analysis!$A$5:$A$81,0))</f>
        <v>1</v>
      </c>
    </row>
    <row r="6592" customFormat="false" ht="15" hidden="false" customHeight="false" outlineLevel="0" collapsed="false">
      <c r="A6592" s="0" t="s">
        <v>6916</v>
      </c>
      <c r="B6592" s="0" t="s">
        <v>38</v>
      </c>
      <c r="C6592" s="0" t="str">
        <f aca="false">INDEX(Intent_Analysis!$B$5:$B$81,MATCH(B6592,Intent_Analysis!$A$5:$A$81,0))</f>
        <v>Account &amp; identity</v>
      </c>
      <c r="D6592" s="0" t="n">
        <f aca="false">INDEX(Intent_Analysis!$E$5:$E$81,MATCH(B6592,Intent_Analysis!$A$5:$A$81,0))</f>
        <v>1</v>
      </c>
    </row>
    <row r="6593" customFormat="false" ht="15" hidden="false" customHeight="false" outlineLevel="0" collapsed="false">
      <c r="A6593" s="0" t="s">
        <v>6917</v>
      </c>
      <c r="B6593" s="0" t="s">
        <v>38</v>
      </c>
      <c r="C6593" s="0" t="str">
        <f aca="false">INDEX(Intent_Analysis!$B$5:$B$81,MATCH(B6593,Intent_Analysis!$A$5:$A$81,0))</f>
        <v>Account &amp; identity</v>
      </c>
      <c r="D6593" s="0" t="n">
        <f aca="false">INDEX(Intent_Analysis!$E$5:$E$81,MATCH(B6593,Intent_Analysis!$A$5:$A$81,0))</f>
        <v>1</v>
      </c>
    </row>
    <row r="6594" customFormat="false" ht="15" hidden="false" customHeight="false" outlineLevel="0" collapsed="false">
      <c r="A6594" s="0" t="s">
        <v>6918</v>
      </c>
      <c r="B6594" s="0" t="s">
        <v>38</v>
      </c>
      <c r="C6594" s="0" t="str">
        <f aca="false">INDEX(Intent_Analysis!$B$5:$B$81,MATCH(B6594,Intent_Analysis!$A$5:$A$81,0))</f>
        <v>Account &amp; identity</v>
      </c>
      <c r="D6594" s="0" t="n">
        <f aca="false">INDEX(Intent_Analysis!$E$5:$E$81,MATCH(B6594,Intent_Analysis!$A$5:$A$81,0))</f>
        <v>1</v>
      </c>
    </row>
    <row r="6595" customFormat="false" ht="15" hidden="false" customHeight="false" outlineLevel="0" collapsed="false">
      <c r="A6595" s="0" t="s">
        <v>6919</v>
      </c>
      <c r="B6595" s="0" t="s">
        <v>38</v>
      </c>
      <c r="C6595" s="0" t="str">
        <f aca="false">INDEX(Intent_Analysis!$B$5:$B$81,MATCH(B6595,Intent_Analysis!$A$5:$A$81,0))</f>
        <v>Account &amp; identity</v>
      </c>
      <c r="D6595" s="0" t="n">
        <f aca="false">INDEX(Intent_Analysis!$E$5:$E$81,MATCH(B6595,Intent_Analysis!$A$5:$A$81,0))</f>
        <v>1</v>
      </c>
    </row>
    <row r="6596" customFormat="false" ht="15" hidden="false" customHeight="false" outlineLevel="0" collapsed="false">
      <c r="A6596" s="0" t="s">
        <v>6920</v>
      </c>
      <c r="B6596" s="0" t="s">
        <v>119</v>
      </c>
      <c r="C6596" s="0" t="str">
        <f aca="false">INDEX(Intent_Analysis!$B$5:$B$81,MATCH(B6596,Intent_Analysis!$A$5:$A$81,0))</f>
        <v>Transfers</v>
      </c>
      <c r="D6596" s="0" t="n">
        <f aca="false">INDEX(Intent_Analysis!$E$5:$E$81,MATCH(B6596,Intent_Analysis!$A$5:$A$81,0))</f>
        <v>1</v>
      </c>
    </row>
    <row r="6597" customFormat="false" ht="15" hidden="false" customHeight="false" outlineLevel="0" collapsed="false">
      <c r="A6597" s="0" t="s">
        <v>6921</v>
      </c>
      <c r="B6597" s="0" t="s">
        <v>119</v>
      </c>
      <c r="C6597" s="0" t="str">
        <f aca="false">INDEX(Intent_Analysis!$B$5:$B$81,MATCH(B6597,Intent_Analysis!$A$5:$A$81,0))</f>
        <v>Transfers</v>
      </c>
      <c r="D6597" s="0" t="n">
        <f aca="false">INDEX(Intent_Analysis!$E$5:$E$81,MATCH(B6597,Intent_Analysis!$A$5:$A$81,0))</f>
        <v>1</v>
      </c>
    </row>
    <row r="6598" customFormat="false" ht="15" hidden="false" customHeight="false" outlineLevel="0" collapsed="false">
      <c r="A6598" s="0" t="s">
        <v>6922</v>
      </c>
      <c r="B6598" s="0" t="s">
        <v>119</v>
      </c>
      <c r="C6598" s="0" t="str">
        <f aca="false">INDEX(Intent_Analysis!$B$5:$B$81,MATCH(B6598,Intent_Analysis!$A$5:$A$81,0))</f>
        <v>Transfers</v>
      </c>
      <c r="D6598" s="0" t="n">
        <f aca="false">INDEX(Intent_Analysis!$E$5:$E$81,MATCH(B6598,Intent_Analysis!$A$5:$A$81,0))</f>
        <v>1</v>
      </c>
    </row>
    <row r="6599" customFormat="false" ht="15" hidden="false" customHeight="false" outlineLevel="0" collapsed="false">
      <c r="A6599" s="0" t="s">
        <v>6923</v>
      </c>
      <c r="B6599" s="0" t="s">
        <v>119</v>
      </c>
      <c r="C6599" s="0" t="str">
        <f aca="false">INDEX(Intent_Analysis!$B$5:$B$81,MATCH(B6599,Intent_Analysis!$A$5:$A$81,0))</f>
        <v>Transfers</v>
      </c>
      <c r="D6599" s="0" t="n">
        <f aca="false">INDEX(Intent_Analysis!$E$5:$E$81,MATCH(B6599,Intent_Analysis!$A$5:$A$81,0))</f>
        <v>1</v>
      </c>
    </row>
    <row r="6600" customFormat="false" ht="15" hidden="false" customHeight="false" outlineLevel="0" collapsed="false">
      <c r="A6600" s="0" t="s">
        <v>6924</v>
      </c>
      <c r="B6600" s="0" t="s">
        <v>119</v>
      </c>
      <c r="C6600" s="0" t="str">
        <f aca="false">INDEX(Intent_Analysis!$B$5:$B$81,MATCH(B6600,Intent_Analysis!$A$5:$A$81,0))</f>
        <v>Transfers</v>
      </c>
      <c r="D6600" s="0" t="n">
        <f aca="false">INDEX(Intent_Analysis!$E$5:$E$81,MATCH(B6600,Intent_Analysis!$A$5:$A$81,0))</f>
        <v>1</v>
      </c>
    </row>
    <row r="6601" customFormat="false" ht="15" hidden="false" customHeight="false" outlineLevel="0" collapsed="false">
      <c r="A6601" s="0" t="s">
        <v>6925</v>
      </c>
      <c r="B6601" s="0" t="s">
        <v>119</v>
      </c>
      <c r="C6601" s="0" t="str">
        <f aca="false">INDEX(Intent_Analysis!$B$5:$B$81,MATCH(B6601,Intent_Analysis!$A$5:$A$81,0))</f>
        <v>Transfers</v>
      </c>
      <c r="D6601" s="0" t="n">
        <f aca="false">INDEX(Intent_Analysis!$E$5:$E$81,MATCH(B6601,Intent_Analysis!$A$5:$A$81,0))</f>
        <v>1</v>
      </c>
    </row>
    <row r="6602" customFormat="false" ht="15" hidden="false" customHeight="false" outlineLevel="0" collapsed="false">
      <c r="A6602" s="0" t="s">
        <v>6926</v>
      </c>
      <c r="B6602" s="0" t="s">
        <v>119</v>
      </c>
      <c r="C6602" s="0" t="str">
        <f aca="false">INDEX(Intent_Analysis!$B$5:$B$81,MATCH(B6602,Intent_Analysis!$A$5:$A$81,0))</f>
        <v>Transfers</v>
      </c>
      <c r="D6602" s="0" t="n">
        <f aca="false">INDEX(Intent_Analysis!$E$5:$E$81,MATCH(B6602,Intent_Analysis!$A$5:$A$81,0))</f>
        <v>1</v>
      </c>
    </row>
    <row r="6603" customFormat="false" ht="15" hidden="false" customHeight="false" outlineLevel="0" collapsed="false">
      <c r="A6603" s="0" t="s">
        <v>6927</v>
      </c>
      <c r="B6603" s="0" t="s">
        <v>119</v>
      </c>
      <c r="C6603" s="0" t="str">
        <f aca="false">INDEX(Intent_Analysis!$B$5:$B$81,MATCH(B6603,Intent_Analysis!$A$5:$A$81,0))</f>
        <v>Transfers</v>
      </c>
      <c r="D6603" s="0" t="n">
        <f aca="false">INDEX(Intent_Analysis!$E$5:$E$81,MATCH(B6603,Intent_Analysis!$A$5:$A$81,0))</f>
        <v>1</v>
      </c>
    </row>
    <row r="6604" customFormat="false" ht="15" hidden="false" customHeight="false" outlineLevel="0" collapsed="false">
      <c r="A6604" s="0" t="s">
        <v>6928</v>
      </c>
      <c r="B6604" s="0" t="s">
        <v>119</v>
      </c>
      <c r="C6604" s="0" t="str">
        <f aca="false">INDEX(Intent_Analysis!$B$5:$B$81,MATCH(B6604,Intent_Analysis!$A$5:$A$81,0))</f>
        <v>Transfers</v>
      </c>
      <c r="D6604" s="0" t="n">
        <f aca="false">INDEX(Intent_Analysis!$E$5:$E$81,MATCH(B6604,Intent_Analysis!$A$5:$A$81,0))</f>
        <v>1</v>
      </c>
    </row>
    <row r="6605" customFormat="false" ht="15" hidden="false" customHeight="false" outlineLevel="0" collapsed="false">
      <c r="A6605" s="0" t="s">
        <v>6929</v>
      </c>
      <c r="B6605" s="0" t="s">
        <v>119</v>
      </c>
      <c r="C6605" s="0" t="str">
        <f aca="false">INDEX(Intent_Analysis!$B$5:$B$81,MATCH(B6605,Intent_Analysis!$A$5:$A$81,0))</f>
        <v>Transfers</v>
      </c>
      <c r="D6605" s="0" t="n">
        <f aca="false">INDEX(Intent_Analysis!$E$5:$E$81,MATCH(B6605,Intent_Analysis!$A$5:$A$81,0))</f>
        <v>1</v>
      </c>
    </row>
    <row r="6606" customFormat="false" ht="15" hidden="false" customHeight="false" outlineLevel="0" collapsed="false">
      <c r="A6606" s="0" t="s">
        <v>6930</v>
      </c>
      <c r="B6606" s="0" t="s">
        <v>119</v>
      </c>
      <c r="C6606" s="0" t="str">
        <f aca="false">INDEX(Intent_Analysis!$B$5:$B$81,MATCH(B6606,Intent_Analysis!$A$5:$A$81,0))</f>
        <v>Transfers</v>
      </c>
      <c r="D6606" s="0" t="n">
        <f aca="false">INDEX(Intent_Analysis!$E$5:$E$81,MATCH(B6606,Intent_Analysis!$A$5:$A$81,0))</f>
        <v>1</v>
      </c>
    </row>
    <row r="6607" customFormat="false" ht="15" hidden="false" customHeight="false" outlineLevel="0" collapsed="false">
      <c r="A6607" s="0" t="s">
        <v>6931</v>
      </c>
      <c r="B6607" s="0" t="s">
        <v>119</v>
      </c>
      <c r="C6607" s="0" t="str">
        <f aca="false">INDEX(Intent_Analysis!$B$5:$B$81,MATCH(B6607,Intent_Analysis!$A$5:$A$81,0))</f>
        <v>Transfers</v>
      </c>
      <c r="D6607" s="0" t="n">
        <f aca="false">INDEX(Intent_Analysis!$E$5:$E$81,MATCH(B6607,Intent_Analysis!$A$5:$A$81,0))</f>
        <v>1</v>
      </c>
    </row>
    <row r="6608" customFormat="false" ht="15" hidden="false" customHeight="false" outlineLevel="0" collapsed="false">
      <c r="A6608" s="0" t="s">
        <v>6932</v>
      </c>
      <c r="B6608" s="0" t="s">
        <v>119</v>
      </c>
      <c r="C6608" s="0" t="str">
        <f aca="false">INDEX(Intent_Analysis!$B$5:$B$81,MATCH(B6608,Intent_Analysis!$A$5:$A$81,0))</f>
        <v>Transfers</v>
      </c>
      <c r="D6608" s="0" t="n">
        <f aca="false">INDEX(Intent_Analysis!$E$5:$E$81,MATCH(B6608,Intent_Analysis!$A$5:$A$81,0))</f>
        <v>1</v>
      </c>
    </row>
    <row r="6609" customFormat="false" ht="15" hidden="false" customHeight="false" outlineLevel="0" collapsed="false">
      <c r="A6609" s="0" t="s">
        <v>6933</v>
      </c>
      <c r="B6609" s="0" t="s">
        <v>119</v>
      </c>
      <c r="C6609" s="0" t="str">
        <f aca="false">INDEX(Intent_Analysis!$B$5:$B$81,MATCH(B6609,Intent_Analysis!$A$5:$A$81,0))</f>
        <v>Transfers</v>
      </c>
      <c r="D6609" s="0" t="n">
        <f aca="false">INDEX(Intent_Analysis!$E$5:$E$81,MATCH(B6609,Intent_Analysis!$A$5:$A$81,0))</f>
        <v>1</v>
      </c>
    </row>
    <row r="6610" customFormat="false" ht="15" hidden="false" customHeight="false" outlineLevel="0" collapsed="false">
      <c r="A6610" s="0" t="s">
        <v>6934</v>
      </c>
      <c r="B6610" s="0" t="s">
        <v>119</v>
      </c>
      <c r="C6610" s="0" t="str">
        <f aca="false">INDEX(Intent_Analysis!$B$5:$B$81,MATCH(B6610,Intent_Analysis!$A$5:$A$81,0))</f>
        <v>Transfers</v>
      </c>
      <c r="D6610" s="0" t="n">
        <f aca="false">INDEX(Intent_Analysis!$E$5:$E$81,MATCH(B6610,Intent_Analysis!$A$5:$A$81,0))</f>
        <v>1</v>
      </c>
    </row>
    <row r="6611" customFormat="false" ht="15" hidden="false" customHeight="false" outlineLevel="0" collapsed="false">
      <c r="A6611" s="0" t="s">
        <v>6935</v>
      </c>
      <c r="B6611" s="0" t="s">
        <v>119</v>
      </c>
      <c r="C6611" s="0" t="str">
        <f aca="false">INDEX(Intent_Analysis!$B$5:$B$81,MATCH(B6611,Intent_Analysis!$A$5:$A$81,0))</f>
        <v>Transfers</v>
      </c>
      <c r="D6611" s="0" t="n">
        <f aca="false">INDEX(Intent_Analysis!$E$5:$E$81,MATCH(B6611,Intent_Analysis!$A$5:$A$81,0))</f>
        <v>1</v>
      </c>
    </row>
    <row r="6612" customFormat="false" ht="15" hidden="false" customHeight="false" outlineLevel="0" collapsed="false">
      <c r="A6612" s="0" t="s">
        <v>6936</v>
      </c>
      <c r="B6612" s="0" t="s">
        <v>119</v>
      </c>
      <c r="C6612" s="0" t="str">
        <f aca="false">INDEX(Intent_Analysis!$B$5:$B$81,MATCH(B6612,Intent_Analysis!$A$5:$A$81,0))</f>
        <v>Transfers</v>
      </c>
      <c r="D6612" s="0" t="n">
        <f aca="false">INDEX(Intent_Analysis!$E$5:$E$81,MATCH(B6612,Intent_Analysis!$A$5:$A$81,0))</f>
        <v>1</v>
      </c>
    </row>
    <row r="6613" customFormat="false" ht="15" hidden="false" customHeight="false" outlineLevel="0" collapsed="false">
      <c r="A6613" s="0" t="s">
        <v>6937</v>
      </c>
      <c r="B6613" s="0" t="s">
        <v>119</v>
      </c>
      <c r="C6613" s="0" t="str">
        <f aca="false">INDEX(Intent_Analysis!$B$5:$B$81,MATCH(B6613,Intent_Analysis!$A$5:$A$81,0))</f>
        <v>Transfers</v>
      </c>
      <c r="D6613" s="0" t="n">
        <f aca="false">INDEX(Intent_Analysis!$E$5:$E$81,MATCH(B6613,Intent_Analysis!$A$5:$A$81,0))</f>
        <v>1</v>
      </c>
    </row>
    <row r="6614" customFormat="false" ht="15" hidden="false" customHeight="false" outlineLevel="0" collapsed="false">
      <c r="A6614" s="0" t="s">
        <v>6938</v>
      </c>
      <c r="B6614" s="0" t="s">
        <v>119</v>
      </c>
      <c r="C6614" s="0" t="str">
        <f aca="false">INDEX(Intent_Analysis!$B$5:$B$81,MATCH(B6614,Intent_Analysis!$A$5:$A$81,0))</f>
        <v>Transfers</v>
      </c>
      <c r="D6614" s="0" t="n">
        <f aca="false">INDEX(Intent_Analysis!$E$5:$E$81,MATCH(B6614,Intent_Analysis!$A$5:$A$81,0))</f>
        <v>1</v>
      </c>
    </row>
    <row r="6615" customFormat="false" ht="15" hidden="false" customHeight="false" outlineLevel="0" collapsed="false">
      <c r="A6615" s="0" t="s">
        <v>6939</v>
      </c>
      <c r="B6615" s="0" t="s">
        <v>119</v>
      </c>
      <c r="C6615" s="0" t="str">
        <f aca="false">INDEX(Intent_Analysis!$B$5:$B$81,MATCH(B6615,Intent_Analysis!$A$5:$A$81,0))</f>
        <v>Transfers</v>
      </c>
      <c r="D6615" s="0" t="n">
        <f aca="false">INDEX(Intent_Analysis!$E$5:$E$81,MATCH(B6615,Intent_Analysis!$A$5:$A$81,0))</f>
        <v>1</v>
      </c>
    </row>
    <row r="6616" customFormat="false" ht="15" hidden="false" customHeight="false" outlineLevel="0" collapsed="false">
      <c r="A6616" s="0" t="s">
        <v>6940</v>
      </c>
      <c r="B6616" s="0" t="s">
        <v>119</v>
      </c>
      <c r="C6616" s="0" t="str">
        <f aca="false">INDEX(Intent_Analysis!$B$5:$B$81,MATCH(B6616,Intent_Analysis!$A$5:$A$81,0))</f>
        <v>Transfers</v>
      </c>
      <c r="D6616" s="0" t="n">
        <f aca="false">INDEX(Intent_Analysis!$E$5:$E$81,MATCH(B6616,Intent_Analysis!$A$5:$A$81,0))</f>
        <v>1</v>
      </c>
    </row>
    <row r="6617" customFormat="false" ht="15" hidden="false" customHeight="false" outlineLevel="0" collapsed="false">
      <c r="A6617" s="0" t="s">
        <v>6941</v>
      </c>
      <c r="B6617" s="0" t="s">
        <v>119</v>
      </c>
      <c r="C6617" s="0" t="str">
        <f aca="false">INDEX(Intent_Analysis!$B$5:$B$81,MATCH(B6617,Intent_Analysis!$A$5:$A$81,0))</f>
        <v>Transfers</v>
      </c>
      <c r="D6617" s="0" t="n">
        <f aca="false">INDEX(Intent_Analysis!$E$5:$E$81,MATCH(B6617,Intent_Analysis!$A$5:$A$81,0))</f>
        <v>1</v>
      </c>
    </row>
    <row r="6618" customFormat="false" ht="15" hidden="false" customHeight="false" outlineLevel="0" collapsed="false">
      <c r="A6618" s="0" t="s">
        <v>6942</v>
      </c>
      <c r="B6618" s="0" t="s">
        <v>119</v>
      </c>
      <c r="C6618" s="0" t="str">
        <f aca="false">INDEX(Intent_Analysis!$B$5:$B$81,MATCH(B6618,Intent_Analysis!$A$5:$A$81,0))</f>
        <v>Transfers</v>
      </c>
      <c r="D6618" s="0" t="n">
        <f aca="false">INDEX(Intent_Analysis!$E$5:$E$81,MATCH(B6618,Intent_Analysis!$A$5:$A$81,0))</f>
        <v>1</v>
      </c>
    </row>
    <row r="6619" customFormat="false" ht="15" hidden="false" customHeight="false" outlineLevel="0" collapsed="false">
      <c r="A6619" s="0" t="s">
        <v>6943</v>
      </c>
      <c r="B6619" s="0" t="s">
        <v>119</v>
      </c>
      <c r="C6619" s="0" t="str">
        <f aca="false">INDEX(Intent_Analysis!$B$5:$B$81,MATCH(B6619,Intent_Analysis!$A$5:$A$81,0))</f>
        <v>Transfers</v>
      </c>
      <c r="D6619" s="0" t="n">
        <f aca="false">INDEX(Intent_Analysis!$E$5:$E$81,MATCH(B6619,Intent_Analysis!$A$5:$A$81,0))</f>
        <v>1</v>
      </c>
    </row>
    <row r="6620" customFormat="false" ht="15" hidden="false" customHeight="false" outlineLevel="0" collapsed="false">
      <c r="A6620" s="0" t="s">
        <v>6944</v>
      </c>
      <c r="B6620" s="0" t="s">
        <v>119</v>
      </c>
      <c r="C6620" s="0" t="str">
        <f aca="false">INDEX(Intent_Analysis!$B$5:$B$81,MATCH(B6620,Intent_Analysis!$A$5:$A$81,0))</f>
        <v>Transfers</v>
      </c>
      <c r="D6620" s="0" t="n">
        <f aca="false">INDEX(Intent_Analysis!$E$5:$E$81,MATCH(B6620,Intent_Analysis!$A$5:$A$81,0))</f>
        <v>1</v>
      </c>
    </row>
    <row r="6621" customFormat="false" ht="15" hidden="false" customHeight="false" outlineLevel="0" collapsed="false">
      <c r="A6621" s="0" t="s">
        <v>6945</v>
      </c>
      <c r="B6621" s="0" t="s">
        <v>119</v>
      </c>
      <c r="C6621" s="0" t="str">
        <f aca="false">INDEX(Intent_Analysis!$B$5:$B$81,MATCH(B6621,Intent_Analysis!$A$5:$A$81,0))</f>
        <v>Transfers</v>
      </c>
      <c r="D6621" s="0" t="n">
        <f aca="false">INDEX(Intent_Analysis!$E$5:$E$81,MATCH(B6621,Intent_Analysis!$A$5:$A$81,0))</f>
        <v>1</v>
      </c>
    </row>
    <row r="6622" customFormat="false" ht="15" hidden="false" customHeight="false" outlineLevel="0" collapsed="false">
      <c r="A6622" s="0" t="s">
        <v>6946</v>
      </c>
      <c r="B6622" s="0" t="s">
        <v>119</v>
      </c>
      <c r="C6622" s="0" t="str">
        <f aca="false">INDEX(Intent_Analysis!$B$5:$B$81,MATCH(B6622,Intent_Analysis!$A$5:$A$81,0))</f>
        <v>Transfers</v>
      </c>
      <c r="D6622" s="0" t="n">
        <f aca="false">INDEX(Intent_Analysis!$E$5:$E$81,MATCH(B6622,Intent_Analysis!$A$5:$A$81,0))</f>
        <v>1</v>
      </c>
    </row>
    <row r="6623" customFormat="false" ht="15" hidden="false" customHeight="false" outlineLevel="0" collapsed="false">
      <c r="A6623" s="0" t="s">
        <v>6947</v>
      </c>
      <c r="B6623" s="0" t="s">
        <v>119</v>
      </c>
      <c r="C6623" s="0" t="str">
        <f aca="false">INDEX(Intent_Analysis!$B$5:$B$81,MATCH(B6623,Intent_Analysis!$A$5:$A$81,0))</f>
        <v>Transfers</v>
      </c>
      <c r="D6623" s="0" t="n">
        <f aca="false">INDEX(Intent_Analysis!$E$5:$E$81,MATCH(B6623,Intent_Analysis!$A$5:$A$81,0))</f>
        <v>1</v>
      </c>
    </row>
    <row r="6624" customFormat="false" ht="15" hidden="false" customHeight="false" outlineLevel="0" collapsed="false">
      <c r="A6624" s="0" t="s">
        <v>6948</v>
      </c>
      <c r="B6624" s="0" t="s">
        <v>119</v>
      </c>
      <c r="C6624" s="0" t="str">
        <f aca="false">INDEX(Intent_Analysis!$B$5:$B$81,MATCH(B6624,Intent_Analysis!$A$5:$A$81,0))</f>
        <v>Transfers</v>
      </c>
      <c r="D6624" s="0" t="n">
        <f aca="false">INDEX(Intent_Analysis!$E$5:$E$81,MATCH(B6624,Intent_Analysis!$A$5:$A$81,0))</f>
        <v>1</v>
      </c>
    </row>
    <row r="6625" customFormat="false" ht="15" hidden="false" customHeight="false" outlineLevel="0" collapsed="false">
      <c r="A6625" s="0" t="s">
        <v>6949</v>
      </c>
      <c r="B6625" s="0" t="s">
        <v>119</v>
      </c>
      <c r="C6625" s="0" t="str">
        <f aca="false">INDEX(Intent_Analysis!$B$5:$B$81,MATCH(B6625,Intent_Analysis!$A$5:$A$81,0))</f>
        <v>Transfers</v>
      </c>
      <c r="D6625" s="0" t="n">
        <f aca="false">INDEX(Intent_Analysis!$E$5:$E$81,MATCH(B6625,Intent_Analysis!$A$5:$A$81,0))</f>
        <v>1</v>
      </c>
    </row>
    <row r="6626" customFormat="false" ht="15" hidden="false" customHeight="false" outlineLevel="0" collapsed="false">
      <c r="A6626" s="0" t="s">
        <v>6950</v>
      </c>
      <c r="B6626" s="0" t="s">
        <v>119</v>
      </c>
      <c r="C6626" s="0" t="str">
        <f aca="false">INDEX(Intent_Analysis!$B$5:$B$81,MATCH(B6626,Intent_Analysis!$A$5:$A$81,0))</f>
        <v>Transfers</v>
      </c>
      <c r="D6626" s="0" t="n">
        <f aca="false">INDEX(Intent_Analysis!$E$5:$E$81,MATCH(B6626,Intent_Analysis!$A$5:$A$81,0))</f>
        <v>1</v>
      </c>
    </row>
    <row r="6627" customFormat="false" ht="15" hidden="false" customHeight="false" outlineLevel="0" collapsed="false">
      <c r="A6627" s="0" t="s">
        <v>6951</v>
      </c>
      <c r="B6627" s="0" t="s">
        <v>119</v>
      </c>
      <c r="C6627" s="0" t="str">
        <f aca="false">INDEX(Intent_Analysis!$B$5:$B$81,MATCH(B6627,Intent_Analysis!$A$5:$A$81,0))</f>
        <v>Transfers</v>
      </c>
      <c r="D6627" s="0" t="n">
        <f aca="false">INDEX(Intent_Analysis!$E$5:$E$81,MATCH(B6627,Intent_Analysis!$A$5:$A$81,0))</f>
        <v>1</v>
      </c>
    </row>
    <row r="6628" customFormat="false" ht="15" hidden="false" customHeight="false" outlineLevel="0" collapsed="false">
      <c r="A6628" s="0" t="s">
        <v>6952</v>
      </c>
      <c r="B6628" s="0" t="s">
        <v>119</v>
      </c>
      <c r="C6628" s="0" t="str">
        <f aca="false">INDEX(Intent_Analysis!$B$5:$B$81,MATCH(B6628,Intent_Analysis!$A$5:$A$81,0))</f>
        <v>Transfers</v>
      </c>
      <c r="D6628" s="0" t="n">
        <f aca="false">INDEX(Intent_Analysis!$E$5:$E$81,MATCH(B6628,Intent_Analysis!$A$5:$A$81,0))</f>
        <v>1</v>
      </c>
    </row>
    <row r="6629" customFormat="false" ht="15" hidden="false" customHeight="false" outlineLevel="0" collapsed="false">
      <c r="A6629" s="0" t="s">
        <v>6953</v>
      </c>
      <c r="B6629" s="0" t="s">
        <v>119</v>
      </c>
      <c r="C6629" s="0" t="str">
        <f aca="false">INDEX(Intent_Analysis!$B$5:$B$81,MATCH(B6629,Intent_Analysis!$A$5:$A$81,0))</f>
        <v>Transfers</v>
      </c>
      <c r="D6629" s="0" t="n">
        <f aca="false">INDEX(Intent_Analysis!$E$5:$E$81,MATCH(B6629,Intent_Analysis!$A$5:$A$81,0))</f>
        <v>1</v>
      </c>
    </row>
    <row r="6630" customFormat="false" ht="15" hidden="false" customHeight="false" outlineLevel="0" collapsed="false">
      <c r="A6630" s="0" t="s">
        <v>6954</v>
      </c>
      <c r="B6630" s="0" t="s">
        <v>119</v>
      </c>
      <c r="C6630" s="0" t="str">
        <f aca="false">INDEX(Intent_Analysis!$B$5:$B$81,MATCH(B6630,Intent_Analysis!$A$5:$A$81,0))</f>
        <v>Transfers</v>
      </c>
      <c r="D6630" s="0" t="n">
        <f aca="false">INDEX(Intent_Analysis!$E$5:$E$81,MATCH(B6630,Intent_Analysis!$A$5:$A$81,0))</f>
        <v>1</v>
      </c>
    </row>
    <row r="6631" customFormat="false" ht="15" hidden="false" customHeight="false" outlineLevel="0" collapsed="false">
      <c r="A6631" s="0" t="s">
        <v>6955</v>
      </c>
      <c r="B6631" s="0" t="s">
        <v>119</v>
      </c>
      <c r="C6631" s="0" t="str">
        <f aca="false">INDEX(Intent_Analysis!$B$5:$B$81,MATCH(B6631,Intent_Analysis!$A$5:$A$81,0))</f>
        <v>Transfers</v>
      </c>
      <c r="D6631" s="0" t="n">
        <f aca="false">INDEX(Intent_Analysis!$E$5:$E$81,MATCH(B6631,Intent_Analysis!$A$5:$A$81,0))</f>
        <v>1</v>
      </c>
    </row>
    <row r="6632" customFormat="false" ht="15" hidden="false" customHeight="false" outlineLevel="0" collapsed="false">
      <c r="A6632" s="0" t="s">
        <v>6956</v>
      </c>
      <c r="B6632" s="0" t="s">
        <v>119</v>
      </c>
      <c r="C6632" s="0" t="str">
        <f aca="false">INDEX(Intent_Analysis!$B$5:$B$81,MATCH(B6632,Intent_Analysis!$A$5:$A$81,0))</f>
        <v>Transfers</v>
      </c>
      <c r="D6632" s="0" t="n">
        <f aca="false">INDEX(Intent_Analysis!$E$5:$E$81,MATCH(B6632,Intent_Analysis!$A$5:$A$81,0))</f>
        <v>1</v>
      </c>
    </row>
    <row r="6633" customFormat="false" ht="15" hidden="false" customHeight="false" outlineLevel="0" collapsed="false">
      <c r="A6633" s="0" t="s">
        <v>6957</v>
      </c>
      <c r="B6633" s="0" t="s">
        <v>119</v>
      </c>
      <c r="C6633" s="0" t="str">
        <f aca="false">INDEX(Intent_Analysis!$B$5:$B$81,MATCH(B6633,Intent_Analysis!$A$5:$A$81,0))</f>
        <v>Transfers</v>
      </c>
      <c r="D6633" s="0" t="n">
        <f aca="false">INDEX(Intent_Analysis!$E$5:$E$81,MATCH(B6633,Intent_Analysis!$A$5:$A$81,0))</f>
        <v>1</v>
      </c>
    </row>
    <row r="6634" customFormat="false" ht="15" hidden="false" customHeight="false" outlineLevel="0" collapsed="false">
      <c r="A6634" s="0" t="s">
        <v>6958</v>
      </c>
      <c r="B6634" s="0" t="s">
        <v>119</v>
      </c>
      <c r="C6634" s="0" t="str">
        <f aca="false">INDEX(Intent_Analysis!$B$5:$B$81,MATCH(B6634,Intent_Analysis!$A$5:$A$81,0))</f>
        <v>Transfers</v>
      </c>
      <c r="D6634" s="0" t="n">
        <f aca="false">INDEX(Intent_Analysis!$E$5:$E$81,MATCH(B6634,Intent_Analysis!$A$5:$A$81,0))</f>
        <v>1</v>
      </c>
    </row>
    <row r="6635" customFormat="false" ht="15" hidden="false" customHeight="false" outlineLevel="0" collapsed="false">
      <c r="A6635" s="0" t="s">
        <v>6959</v>
      </c>
      <c r="B6635" s="0" t="s">
        <v>119</v>
      </c>
      <c r="C6635" s="0" t="str">
        <f aca="false">INDEX(Intent_Analysis!$B$5:$B$81,MATCH(B6635,Intent_Analysis!$A$5:$A$81,0))</f>
        <v>Transfers</v>
      </c>
      <c r="D6635" s="0" t="n">
        <f aca="false">INDEX(Intent_Analysis!$E$5:$E$81,MATCH(B6635,Intent_Analysis!$A$5:$A$81,0))</f>
        <v>1</v>
      </c>
    </row>
    <row r="6636" customFormat="false" ht="15" hidden="false" customHeight="false" outlineLevel="0" collapsed="false">
      <c r="A6636" s="0" t="s">
        <v>6960</v>
      </c>
      <c r="B6636" s="0" t="s">
        <v>119</v>
      </c>
      <c r="C6636" s="0" t="str">
        <f aca="false">INDEX(Intent_Analysis!$B$5:$B$81,MATCH(B6636,Intent_Analysis!$A$5:$A$81,0))</f>
        <v>Transfers</v>
      </c>
      <c r="D6636" s="0" t="n">
        <f aca="false">INDEX(Intent_Analysis!$E$5:$E$81,MATCH(B6636,Intent_Analysis!$A$5:$A$81,0))</f>
        <v>1</v>
      </c>
    </row>
    <row r="6637" customFormat="false" ht="15" hidden="false" customHeight="false" outlineLevel="0" collapsed="false">
      <c r="A6637" s="0" t="s">
        <v>6961</v>
      </c>
      <c r="B6637" s="0" t="s">
        <v>119</v>
      </c>
      <c r="C6637" s="0" t="str">
        <f aca="false">INDEX(Intent_Analysis!$B$5:$B$81,MATCH(B6637,Intent_Analysis!$A$5:$A$81,0))</f>
        <v>Transfers</v>
      </c>
      <c r="D6637" s="0" t="n">
        <f aca="false">INDEX(Intent_Analysis!$E$5:$E$81,MATCH(B6637,Intent_Analysis!$A$5:$A$81,0))</f>
        <v>1</v>
      </c>
    </row>
    <row r="6638" customFormat="false" ht="15" hidden="false" customHeight="false" outlineLevel="0" collapsed="false">
      <c r="A6638" s="0" t="s">
        <v>6962</v>
      </c>
      <c r="B6638" s="0" t="s">
        <v>119</v>
      </c>
      <c r="C6638" s="0" t="str">
        <f aca="false">INDEX(Intent_Analysis!$B$5:$B$81,MATCH(B6638,Intent_Analysis!$A$5:$A$81,0))</f>
        <v>Transfers</v>
      </c>
      <c r="D6638" s="0" t="n">
        <f aca="false">INDEX(Intent_Analysis!$E$5:$E$81,MATCH(B6638,Intent_Analysis!$A$5:$A$81,0))</f>
        <v>1</v>
      </c>
    </row>
    <row r="6639" customFormat="false" ht="15" hidden="false" customHeight="false" outlineLevel="0" collapsed="false">
      <c r="A6639" s="0" t="s">
        <v>6963</v>
      </c>
      <c r="B6639" s="0" t="s">
        <v>119</v>
      </c>
      <c r="C6639" s="0" t="str">
        <f aca="false">INDEX(Intent_Analysis!$B$5:$B$81,MATCH(B6639,Intent_Analysis!$A$5:$A$81,0))</f>
        <v>Transfers</v>
      </c>
      <c r="D6639" s="0" t="n">
        <f aca="false">INDEX(Intent_Analysis!$E$5:$E$81,MATCH(B6639,Intent_Analysis!$A$5:$A$81,0))</f>
        <v>1</v>
      </c>
    </row>
    <row r="6640" customFormat="false" ht="15" hidden="false" customHeight="false" outlineLevel="0" collapsed="false">
      <c r="A6640" s="0" t="s">
        <v>6964</v>
      </c>
      <c r="B6640" s="0" t="s">
        <v>119</v>
      </c>
      <c r="C6640" s="0" t="str">
        <f aca="false">INDEX(Intent_Analysis!$B$5:$B$81,MATCH(B6640,Intent_Analysis!$A$5:$A$81,0))</f>
        <v>Transfers</v>
      </c>
      <c r="D6640" s="0" t="n">
        <f aca="false">INDEX(Intent_Analysis!$E$5:$E$81,MATCH(B6640,Intent_Analysis!$A$5:$A$81,0))</f>
        <v>1</v>
      </c>
    </row>
    <row r="6641" customFormat="false" ht="15" hidden="false" customHeight="false" outlineLevel="0" collapsed="false">
      <c r="A6641" s="0" t="s">
        <v>6965</v>
      </c>
      <c r="B6641" s="0" t="s">
        <v>119</v>
      </c>
      <c r="C6641" s="0" t="str">
        <f aca="false">INDEX(Intent_Analysis!$B$5:$B$81,MATCH(B6641,Intent_Analysis!$A$5:$A$81,0))</f>
        <v>Transfers</v>
      </c>
      <c r="D6641" s="0" t="n">
        <f aca="false">INDEX(Intent_Analysis!$E$5:$E$81,MATCH(B6641,Intent_Analysis!$A$5:$A$81,0))</f>
        <v>1</v>
      </c>
    </row>
    <row r="6642" customFormat="false" ht="15" hidden="false" customHeight="false" outlineLevel="0" collapsed="false">
      <c r="A6642" s="0" t="s">
        <v>6966</v>
      </c>
      <c r="B6642" s="0" t="s">
        <v>119</v>
      </c>
      <c r="C6642" s="0" t="str">
        <f aca="false">INDEX(Intent_Analysis!$B$5:$B$81,MATCH(B6642,Intent_Analysis!$A$5:$A$81,0))</f>
        <v>Transfers</v>
      </c>
      <c r="D6642" s="0" t="n">
        <f aca="false">INDEX(Intent_Analysis!$E$5:$E$81,MATCH(B6642,Intent_Analysis!$A$5:$A$81,0))</f>
        <v>1</v>
      </c>
    </row>
    <row r="6643" customFormat="false" ht="15" hidden="false" customHeight="false" outlineLevel="0" collapsed="false">
      <c r="A6643" s="0" t="s">
        <v>6967</v>
      </c>
      <c r="B6643" s="0" t="s">
        <v>119</v>
      </c>
      <c r="C6643" s="0" t="str">
        <f aca="false">INDEX(Intent_Analysis!$B$5:$B$81,MATCH(B6643,Intent_Analysis!$A$5:$A$81,0))</f>
        <v>Transfers</v>
      </c>
      <c r="D6643" s="0" t="n">
        <f aca="false">INDEX(Intent_Analysis!$E$5:$E$81,MATCH(B6643,Intent_Analysis!$A$5:$A$81,0))</f>
        <v>1</v>
      </c>
    </row>
    <row r="6644" customFormat="false" ht="15" hidden="false" customHeight="false" outlineLevel="0" collapsed="false">
      <c r="A6644" s="0" t="s">
        <v>6968</v>
      </c>
      <c r="B6644" s="0" t="s">
        <v>119</v>
      </c>
      <c r="C6644" s="0" t="str">
        <f aca="false">INDEX(Intent_Analysis!$B$5:$B$81,MATCH(B6644,Intent_Analysis!$A$5:$A$81,0))</f>
        <v>Transfers</v>
      </c>
      <c r="D6644" s="0" t="n">
        <f aca="false">INDEX(Intent_Analysis!$E$5:$E$81,MATCH(B6644,Intent_Analysis!$A$5:$A$81,0))</f>
        <v>1</v>
      </c>
    </row>
    <row r="6645" customFormat="false" ht="15" hidden="false" customHeight="false" outlineLevel="0" collapsed="false">
      <c r="A6645" s="0" t="s">
        <v>6969</v>
      </c>
      <c r="B6645" s="0" t="s">
        <v>119</v>
      </c>
      <c r="C6645" s="0" t="str">
        <f aca="false">INDEX(Intent_Analysis!$B$5:$B$81,MATCH(B6645,Intent_Analysis!$A$5:$A$81,0))</f>
        <v>Transfers</v>
      </c>
      <c r="D6645" s="0" t="n">
        <f aca="false">INDEX(Intent_Analysis!$E$5:$E$81,MATCH(B6645,Intent_Analysis!$A$5:$A$81,0))</f>
        <v>1</v>
      </c>
    </row>
    <row r="6646" customFormat="false" ht="15" hidden="false" customHeight="false" outlineLevel="0" collapsed="false">
      <c r="A6646" s="0" t="s">
        <v>6970</v>
      </c>
      <c r="B6646" s="0" t="s">
        <v>119</v>
      </c>
      <c r="C6646" s="0" t="str">
        <f aca="false">INDEX(Intent_Analysis!$B$5:$B$81,MATCH(B6646,Intent_Analysis!$A$5:$A$81,0))</f>
        <v>Transfers</v>
      </c>
      <c r="D6646" s="0" t="n">
        <f aca="false">INDEX(Intent_Analysis!$E$5:$E$81,MATCH(B6646,Intent_Analysis!$A$5:$A$81,0))</f>
        <v>1</v>
      </c>
    </row>
    <row r="6647" customFormat="false" ht="15" hidden="false" customHeight="false" outlineLevel="0" collapsed="false">
      <c r="A6647" s="0" t="s">
        <v>6971</v>
      </c>
      <c r="B6647" s="0" t="s">
        <v>119</v>
      </c>
      <c r="C6647" s="0" t="str">
        <f aca="false">INDEX(Intent_Analysis!$B$5:$B$81,MATCH(B6647,Intent_Analysis!$A$5:$A$81,0))</f>
        <v>Transfers</v>
      </c>
      <c r="D6647" s="0" t="n">
        <f aca="false">INDEX(Intent_Analysis!$E$5:$E$81,MATCH(B6647,Intent_Analysis!$A$5:$A$81,0))</f>
        <v>1</v>
      </c>
    </row>
    <row r="6648" customFormat="false" ht="15" hidden="false" customHeight="false" outlineLevel="0" collapsed="false">
      <c r="A6648" s="0" t="s">
        <v>6972</v>
      </c>
      <c r="B6648" s="0" t="s">
        <v>119</v>
      </c>
      <c r="C6648" s="0" t="str">
        <f aca="false">INDEX(Intent_Analysis!$B$5:$B$81,MATCH(B6648,Intent_Analysis!$A$5:$A$81,0))</f>
        <v>Transfers</v>
      </c>
      <c r="D6648" s="0" t="n">
        <f aca="false">INDEX(Intent_Analysis!$E$5:$E$81,MATCH(B6648,Intent_Analysis!$A$5:$A$81,0))</f>
        <v>1</v>
      </c>
    </row>
    <row r="6649" customFormat="false" ht="15" hidden="false" customHeight="false" outlineLevel="0" collapsed="false">
      <c r="A6649" s="0" t="s">
        <v>6973</v>
      </c>
      <c r="B6649" s="0" t="s">
        <v>119</v>
      </c>
      <c r="C6649" s="0" t="str">
        <f aca="false">INDEX(Intent_Analysis!$B$5:$B$81,MATCH(B6649,Intent_Analysis!$A$5:$A$81,0))</f>
        <v>Transfers</v>
      </c>
      <c r="D6649" s="0" t="n">
        <f aca="false">INDEX(Intent_Analysis!$E$5:$E$81,MATCH(B6649,Intent_Analysis!$A$5:$A$81,0))</f>
        <v>1</v>
      </c>
    </row>
    <row r="6650" customFormat="false" ht="15" hidden="false" customHeight="false" outlineLevel="0" collapsed="false">
      <c r="A6650" s="0" t="s">
        <v>6974</v>
      </c>
      <c r="B6650" s="0" t="s">
        <v>119</v>
      </c>
      <c r="C6650" s="0" t="str">
        <f aca="false">INDEX(Intent_Analysis!$B$5:$B$81,MATCH(B6650,Intent_Analysis!$A$5:$A$81,0))</f>
        <v>Transfers</v>
      </c>
      <c r="D6650" s="0" t="n">
        <f aca="false">INDEX(Intent_Analysis!$E$5:$E$81,MATCH(B6650,Intent_Analysis!$A$5:$A$81,0))</f>
        <v>1</v>
      </c>
    </row>
    <row r="6651" customFormat="false" ht="15" hidden="false" customHeight="false" outlineLevel="0" collapsed="false">
      <c r="A6651" s="0" t="s">
        <v>6975</v>
      </c>
      <c r="B6651" s="0" t="s">
        <v>119</v>
      </c>
      <c r="C6651" s="0" t="str">
        <f aca="false">INDEX(Intent_Analysis!$B$5:$B$81,MATCH(B6651,Intent_Analysis!$A$5:$A$81,0))</f>
        <v>Transfers</v>
      </c>
      <c r="D6651" s="0" t="n">
        <f aca="false">INDEX(Intent_Analysis!$E$5:$E$81,MATCH(B6651,Intent_Analysis!$A$5:$A$81,0))</f>
        <v>1</v>
      </c>
    </row>
    <row r="6652" customFormat="false" ht="15" hidden="false" customHeight="false" outlineLevel="0" collapsed="false">
      <c r="A6652" s="0" t="s">
        <v>6976</v>
      </c>
      <c r="B6652" s="0" t="s">
        <v>119</v>
      </c>
      <c r="C6652" s="0" t="str">
        <f aca="false">INDEX(Intent_Analysis!$B$5:$B$81,MATCH(B6652,Intent_Analysis!$A$5:$A$81,0))</f>
        <v>Transfers</v>
      </c>
      <c r="D6652" s="0" t="n">
        <f aca="false">INDEX(Intent_Analysis!$E$5:$E$81,MATCH(B6652,Intent_Analysis!$A$5:$A$81,0))</f>
        <v>1</v>
      </c>
    </row>
    <row r="6653" customFormat="false" ht="15" hidden="false" customHeight="false" outlineLevel="0" collapsed="false">
      <c r="A6653" s="0" t="s">
        <v>6977</v>
      </c>
      <c r="B6653" s="0" t="s">
        <v>119</v>
      </c>
      <c r="C6653" s="0" t="str">
        <f aca="false">INDEX(Intent_Analysis!$B$5:$B$81,MATCH(B6653,Intent_Analysis!$A$5:$A$81,0))</f>
        <v>Transfers</v>
      </c>
      <c r="D6653" s="0" t="n">
        <f aca="false">INDEX(Intent_Analysis!$E$5:$E$81,MATCH(B6653,Intent_Analysis!$A$5:$A$81,0))</f>
        <v>1</v>
      </c>
    </row>
    <row r="6654" customFormat="false" ht="15" hidden="false" customHeight="false" outlineLevel="0" collapsed="false">
      <c r="A6654" s="0" t="s">
        <v>6978</v>
      </c>
      <c r="B6654" s="0" t="s">
        <v>119</v>
      </c>
      <c r="C6654" s="0" t="str">
        <f aca="false">INDEX(Intent_Analysis!$B$5:$B$81,MATCH(B6654,Intent_Analysis!$A$5:$A$81,0))</f>
        <v>Transfers</v>
      </c>
      <c r="D6654" s="0" t="n">
        <f aca="false">INDEX(Intent_Analysis!$E$5:$E$81,MATCH(B6654,Intent_Analysis!$A$5:$A$81,0))</f>
        <v>1</v>
      </c>
    </row>
    <row r="6655" customFormat="false" ht="15" hidden="false" customHeight="false" outlineLevel="0" collapsed="false">
      <c r="A6655" s="0" t="s">
        <v>6979</v>
      </c>
      <c r="B6655" s="0" t="s">
        <v>119</v>
      </c>
      <c r="C6655" s="0" t="str">
        <f aca="false">INDEX(Intent_Analysis!$B$5:$B$81,MATCH(B6655,Intent_Analysis!$A$5:$A$81,0))</f>
        <v>Transfers</v>
      </c>
      <c r="D6655" s="0" t="n">
        <f aca="false">INDEX(Intent_Analysis!$E$5:$E$81,MATCH(B6655,Intent_Analysis!$A$5:$A$81,0))</f>
        <v>1</v>
      </c>
    </row>
    <row r="6656" customFormat="false" ht="15" hidden="false" customHeight="false" outlineLevel="0" collapsed="false">
      <c r="A6656" s="0" t="s">
        <v>6980</v>
      </c>
      <c r="B6656" s="0" t="s">
        <v>119</v>
      </c>
      <c r="C6656" s="0" t="str">
        <f aca="false">INDEX(Intent_Analysis!$B$5:$B$81,MATCH(B6656,Intent_Analysis!$A$5:$A$81,0))</f>
        <v>Transfers</v>
      </c>
      <c r="D6656" s="0" t="n">
        <f aca="false">INDEX(Intent_Analysis!$E$5:$E$81,MATCH(B6656,Intent_Analysis!$A$5:$A$81,0))</f>
        <v>1</v>
      </c>
    </row>
    <row r="6657" customFormat="false" ht="15" hidden="false" customHeight="false" outlineLevel="0" collapsed="false">
      <c r="A6657" s="0" t="s">
        <v>6981</v>
      </c>
      <c r="B6657" s="0" t="s">
        <v>119</v>
      </c>
      <c r="C6657" s="0" t="str">
        <f aca="false">INDEX(Intent_Analysis!$B$5:$B$81,MATCH(B6657,Intent_Analysis!$A$5:$A$81,0))</f>
        <v>Transfers</v>
      </c>
      <c r="D6657" s="0" t="n">
        <f aca="false">INDEX(Intent_Analysis!$E$5:$E$81,MATCH(B6657,Intent_Analysis!$A$5:$A$81,0))</f>
        <v>1</v>
      </c>
    </row>
    <row r="6658" customFormat="false" ht="15" hidden="false" customHeight="false" outlineLevel="0" collapsed="false">
      <c r="A6658" s="0" t="s">
        <v>6982</v>
      </c>
      <c r="B6658" s="0" t="s">
        <v>119</v>
      </c>
      <c r="C6658" s="0" t="str">
        <f aca="false">INDEX(Intent_Analysis!$B$5:$B$81,MATCH(B6658,Intent_Analysis!$A$5:$A$81,0))</f>
        <v>Transfers</v>
      </c>
      <c r="D6658" s="0" t="n">
        <f aca="false">INDEX(Intent_Analysis!$E$5:$E$81,MATCH(B6658,Intent_Analysis!$A$5:$A$81,0))</f>
        <v>1</v>
      </c>
    </row>
    <row r="6659" customFormat="false" ht="15" hidden="false" customHeight="false" outlineLevel="0" collapsed="false">
      <c r="A6659" s="0" t="s">
        <v>6983</v>
      </c>
      <c r="B6659" s="0" t="s">
        <v>119</v>
      </c>
      <c r="C6659" s="0" t="str">
        <f aca="false">INDEX(Intent_Analysis!$B$5:$B$81,MATCH(B6659,Intent_Analysis!$A$5:$A$81,0))</f>
        <v>Transfers</v>
      </c>
      <c r="D6659" s="0" t="n">
        <f aca="false">INDEX(Intent_Analysis!$E$5:$E$81,MATCH(B6659,Intent_Analysis!$A$5:$A$81,0))</f>
        <v>1</v>
      </c>
    </row>
    <row r="6660" customFormat="false" ht="15" hidden="false" customHeight="false" outlineLevel="0" collapsed="false">
      <c r="A6660" s="0" t="s">
        <v>6984</v>
      </c>
      <c r="B6660" s="0" t="s">
        <v>119</v>
      </c>
      <c r="C6660" s="0" t="str">
        <f aca="false">INDEX(Intent_Analysis!$B$5:$B$81,MATCH(B6660,Intent_Analysis!$A$5:$A$81,0))</f>
        <v>Transfers</v>
      </c>
      <c r="D6660" s="0" t="n">
        <f aca="false">INDEX(Intent_Analysis!$E$5:$E$81,MATCH(B6660,Intent_Analysis!$A$5:$A$81,0))</f>
        <v>1</v>
      </c>
    </row>
    <row r="6661" customFormat="false" ht="15" hidden="false" customHeight="false" outlineLevel="0" collapsed="false">
      <c r="A6661" s="0" t="s">
        <v>6985</v>
      </c>
      <c r="B6661" s="0" t="s">
        <v>119</v>
      </c>
      <c r="C6661" s="0" t="str">
        <f aca="false">INDEX(Intent_Analysis!$B$5:$B$81,MATCH(B6661,Intent_Analysis!$A$5:$A$81,0))</f>
        <v>Transfers</v>
      </c>
      <c r="D6661" s="0" t="n">
        <f aca="false">INDEX(Intent_Analysis!$E$5:$E$81,MATCH(B6661,Intent_Analysis!$A$5:$A$81,0))</f>
        <v>1</v>
      </c>
    </row>
    <row r="6662" customFormat="false" ht="15" hidden="false" customHeight="false" outlineLevel="0" collapsed="false">
      <c r="A6662" s="0" t="s">
        <v>6986</v>
      </c>
      <c r="B6662" s="0" t="s">
        <v>119</v>
      </c>
      <c r="C6662" s="0" t="str">
        <f aca="false">INDEX(Intent_Analysis!$B$5:$B$81,MATCH(B6662,Intent_Analysis!$A$5:$A$81,0))</f>
        <v>Transfers</v>
      </c>
      <c r="D6662" s="0" t="n">
        <f aca="false">INDEX(Intent_Analysis!$E$5:$E$81,MATCH(B6662,Intent_Analysis!$A$5:$A$81,0))</f>
        <v>1</v>
      </c>
    </row>
    <row r="6663" customFormat="false" ht="15" hidden="false" customHeight="false" outlineLevel="0" collapsed="false">
      <c r="A6663" s="0" t="s">
        <v>6987</v>
      </c>
      <c r="B6663" s="0" t="s">
        <v>119</v>
      </c>
      <c r="C6663" s="0" t="str">
        <f aca="false">INDEX(Intent_Analysis!$B$5:$B$81,MATCH(B6663,Intent_Analysis!$A$5:$A$81,0))</f>
        <v>Transfers</v>
      </c>
      <c r="D6663" s="0" t="n">
        <f aca="false">INDEX(Intent_Analysis!$E$5:$E$81,MATCH(B6663,Intent_Analysis!$A$5:$A$81,0))</f>
        <v>1</v>
      </c>
    </row>
    <row r="6664" customFormat="false" ht="15" hidden="false" customHeight="false" outlineLevel="0" collapsed="false">
      <c r="A6664" s="0" t="s">
        <v>6988</v>
      </c>
      <c r="B6664" s="0" t="s">
        <v>119</v>
      </c>
      <c r="C6664" s="0" t="str">
        <f aca="false">INDEX(Intent_Analysis!$B$5:$B$81,MATCH(B6664,Intent_Analysis!$A$5:$A$81,0))</f>
        <v>Transfers</v>
      </c>
      <c r="D6664" s="0" t="n">
        <f aca="false">INDEX(Intent_Analysis!$E$5:$E$81,MATCH(B6664,Intent_Analysis!$A$5:$A$81,0))</f>
        <v>1</v>
      </c>
    </row>
    <row r="6665" customFormat="false" ht="15" hidden="false" customHeight="false" outlineLevel="0" collapsed="false">
      <c r="A6665" s="0" t="s">
        <v>6989</v>
      </c>
      <c r="B6665" s="0" t="s">
        <v>119</v>
      </c>
      <c r="C6665" s="0" t="str">
        <f aca="false">INDEX(Intent_Analysis!$B$5:$B$81,MATCH(B6665,Intent_Analysis!$A$5:$A$81,0))</f>
        <v>Transfers</v>
      </c>
      <c r="D6665" s="0" t="n">
        <f aca="false">INDEX(Intent_Analysis!$E$5:$E$81,MATCH(B6665,Intent_Analysis!$A$5:$A$81,0))</f>
        <v>1</v>
      </c>
    </row>
    <row r="6666" customFormat="false" ht="15" hidden="false" customHeight="false" outlineLevel="0" collapsed="false">
      <c r="A6666" s="0" t="s">
        <v>6990</v>
      </c>
      <c r="B6666" s="0" t="s">
        <v>119</v>
      </c>
      <c r="C6666" s="0" t="str">
        <f aca="false">INDEX(Intent_Analysis!$B$5:$B$81,MATCH(B6666,Intent_Analysis!$A$5:$A$81,0))</f>
        <v>Transfers</v>
      </c>
      <c r="D6666" s="0" t="n">
        <f aca="false">INDEX(Intent_Analysis!$E$5:$E$81,MATCH(B6666,Intent_Analysis!$A$5:$A$81,0))</f>
        <v>1</v>
      </c>
    </row>
    <row r="6667" customFormat="false" ht="15" hidden="false" customHeight="false" outlineLevel="0" collapsed="false">
      <c r="A6667" s="0" t="s">
        <v>6991</v>
      </c>
      <c r="B6667" s="0" t="s">
        <v>119</v>
      </c>
      <c r="C6667" s="0" t="str">
        <f aca="false">INDEX(Intent_Analysis!$B$5:$B$81,MATCH(B6667,Intent_Analysis!$A$5:$A$81,0))</f>
        <v>Transfers</v>
      </c>
      <c r="D6667" s="0" t="n">
        <f aca="false">INDEX(Intent_Analysis!$E$5:$E$81,MATCH(B6667,Intent_Analysis!$A$5:$A$81,0))</f>
        <v>1</v>
      </c>
    </row>
    <row r="6668" customFormat="false" ht="15" hidden="false" customHeight="false" outlineLevel="0" collapsed="false">
      <c r="A6668" s="0" t="s">
        <v>6992</v>
      </c>
      <c r="B6668" s="0" t="s">
        <v>119</v>
      </c>
      <c r="C6668" s="0" t="str">
        <f aca="false">INDEX(Intent_Analysis!$B$5:$B$81,MATCH(B6668,Intent_Analysis!$A$5:$A$81,0))</f>
        <v>Transfers</v>
      </c>
      <c r="D6668" s="0" t="n">
        <f aca="false">INDEX(Intent_Analysis!$E$5:$E$81,MATCH(B6668,Intent_Analysis!$A$5:$A$81,0))</f>
        <v>1</v>
      </c>
    </row>
    <row r="6669" customFormat="false" ht="15" hidden="false" customHeight="false" outlineLevel="0" collapsed="false">
      <c r="A6669" s="0" t="s">
        <v>6993</v>
      </c>
      <c r="B6669" s="0" t="s">
        <v>119</v>
      </c>
      <c r="C6669" s="0" t="str">
        <f aca="false">INDEX(Intent_Analysis!$B$5:$B$81,MATCH(B6669,Intent_Analysis!$A$5:$A$81,0))</f>
        <v>Transfers</v>
      </c>
      <c r="D6669" s="0" t="n">
        <f aca="false">INDEX(Intent_Analysis!$E$5:$E$81,MATCH(B6669,Intent_Analysis!$A$5:$A$81,0))</f>
        <v>1</v>
      </c>
    </row>
    <row r="6670" customFormat="false" ht="15" hidden="false" customHeight="false" outlineLevel="0" collapsed="false">
      <c r="A6670" s="0" t="s">
        <v>6994</v>
      </c>
      <c r="B6670" s="0" t="s">
        <v>119</v>
      </c>
      <c r="C6670" s="0" t="str">
        <f aca="false">INDEX(Intent_Analysis!$B$5:$B$81,MATCH(B6670,Intent_Analysis!$A$5:$A$81,0))</f>
        <v>Transfers</v>
      </c>
      <c r="D6670" s="0" t="n">
        <f aca="false">INDEX(Intent_Analysis!$E$5:$E$81,MATCH(B6670,Intent_Analysis!$A$5:$A$81,0))</f>
        <v>1</v>
      </c>
    </row>
    <row r="6671" customFormat="false" ht="15" hidden="false" customHeight="false" outlineLevel="0" collapsed="false">
      <c r="A6671" s="0" t="s">
        <v>6995</v>
      </c>
      <c r="B6671" s="0" t="s">
        <v>119</v>
      </c>
      <c r="C6671" s="0" t="str">
        <f aca="false">INDEX(Intent_Analysis!$B$5:$B$81,MATCH(B6671,Intent_Analysis!$A$5:$A$81,0))</f>
        <v>Transfers</v>
      </c>
      <c r="D6671" s="0" t="n">
        <f aca="false">INDEX(Intent_Analysis!$E$5:$E$81,MATCH(B6671,Intent_Analysis!$A$5:$A$81,0))</f>
        <v>1</v>
      </c>
    </row>
    <row r="6672" customFormat="false" ht="15" hidden="false" customHeight="false" outlineLevel="0" collapsed="false">
      <c r="A6672" s="0" t="s">
        <v>6996</v>
      </c>
      <c r="B6672" s="0" t="s">
        <v>119</v>
      </c>
      <c r="C6672" s="0" t="str">
        <f aca="false">INDEX(Intent_Analysis!$B$5:$B$81,MATCH(B6672,Intent_Analysis!$A$5:$A$81,0))</f>
        <v>Transfers</v>
      </c>
      <c r="D6672" s="0" t="n">
        <f aca="false">INDEX(Intent_Analysis!$E$5:$E$81,MATCH(B6672,Intent_Analysis!$A$5:$A$81,0))</f>
        <v>1</v>
      </c>
    </row>
    <row r="6673" customFormat="false" ht="15" hidden="false" customHeight="false" outlineLevel="0" collapsed="false">
      <c r="A6673" s="0" t="s">
        <v>6997</v>
      </c>
      <c r="B6673" s="0" t="s">
        <v>119</v>
      </c>
      <c r="C6673" s="0" t="str">
        <f aca="false">INDEX(Intent_Analysis!$B$5:$B$81,MATCH(B6673,Intent_Analysis!$A$5:$A$81,0))</f>
        <v>Transfers</v>
      </c>
      <c r="D6673" s="0" t="n">
        <f aca="false">INDEX(Intent_Analysis!$E$5:$E$81,MATCH(B6673,Intent_Analysis!$A$5:$A$81,0))</f>
        <v>1</v>
      </c>
    </row>
    <row r="6674" customFormat="false" ht="15" hidden="false" customHeight="false" outlineLevel="0" collapsed="false">
      <c r="A6674" s="0" t="s">
        <v>6998</v>
      </c>
      <c r="B6674" s="0" t="s">
        <v>119</v>
      </c>
      <c r="C6674" s="0" t="str">
        <f aca="false">INDEX(Intent_Analysis!$B$5:$B$81,MATCH(B6674,Intent_Analysis!$A$5:$A$81,0))</f>
        <v>Transfers</v>
      </c>
      <c r="D6674" s="0" t="n">
        <f aca="false">INDEX(Intent_Analysis!$E$5:$E$81,MATCH(B6674,Intent_Analysis!$A$5:$A$81,0))</f>
        <v>1</v>
      </c>
    </row>
    <row r="6675" customFormat="false" ht="15" hidden="false" customHeight="false" outlineLevel="0" collapsed="false">
      <c r="A6675" s="0" t="s">
        <v>6999</v>
      </c>
      <c r="B6675" s="0" t="s">
        <v>119</v>
      </c>
      <c r="C6675" s="0" t="str">
        <f aca="false">INDEX(Intent_Analysis!$B$5:$B$81,MATCH(B6675,Intent_Analysis!$A$5:$A$81,0))</f>
        <v>Transfers</v>
      </c>
      <c r="D6675" s="0" t="n">
        <f aca="false">INDEX(Intent_Analysis!$E$5:$E$81,MATCH(B6675,Intent_Analysis!$A$5:$A$81,0))</f>
        <v>1</v>
      </c>
    </row>
    <row r="6676" customFormat="false" ht="15" hidden="false" customHeight="false" outlineLevel="0" collapsed="false">
      <c r="A6676" s="0" t="s">
        <v>7000</v>
      </c>
      <c r="B6676" s="0" t="s">
        <v>119</v>
      </c>
      <c r="C6676" s="0" t="str">
        <f aca="false">INDEX(Intent_Analysis!$B$5:$B$81,MATCH(B6676,Intent_Analysis!$A$5:$A$81,0))</f>
        <v>Transfers</v>
      </c>
      <c r="D6676" s="0" t="n">
        <f aca="false">INDEX(Intent_Analysis!$E$5:$E$81,MATCH(B6676,Intent_Analysis!$A$5:$A$81,0))</f>
        <v>1</v>
      </c>
    </row>
    <row r="6677" customFormat="false" ht="15" hidden="false" customHeight="false" outlineLevel="0" collapsed="false">
      <c r="A6677" s="0" t="s">
        <v>7001</v>
      </c>
      <c r="B6677" s="0" t="s">
        <v>119</v>
      </c>
      <c r="C6677" s="0" t="str">
        <f aca="false">INDEX(Intent_Analysis!$B$5:$B$81,MATCH(B6677,Intent_Analysis!$A$5:$A$81,0))</f>
        <v>Transfers</v>
      </c>
      <c r="D6677" s="0" t="n">
        <f aca="false">INDEX(Intent_Analysis!$E$5:$E$81,MATCH(B6677,Intent_Analysis!$A$5:$A$81,0))</f>
        <v>1</v>
      </c>
    </row>
    <row r="6678" customFormat="false" ht="15" hidden="false" customHeight="false" outlineLevel="0" collapsed="false">
      <c r="A6678" s="0" t="s">
        <v>7002</v>
      </c>
      <c r="B6678" s="0" t="s">
        <v>119</v>
      </c>
      <c r="C6678" s="0" t="str">
        <f aca="false">INDEX(Intent_Analysis!$B$5:$B$81,MATCH(B6678,Intent_Analysis!$A$5:$A$81,0))</f>
        <v>Transfers</v>
      </c>
      <c r="D6678" s="0" t="n">
        <f aca="false">INDEX(Intent_Analysis!$E$5:$E$81,MATCH(B6678,Intent_Analysis!$A$5:$A$81,0))</f>
        <v>1</v>
      </c>
    </row>
    <row r="6679" customFormat="false" ht="15" hidden="false" customHeight="false" outlineLevel="0" collapsed="false">
      <c r="A6679" s="0" t="s">
        <v>7003</v>
      </c>
      <c r="B6679" s="0" t="s">
        <v>119</v>
      </c>
      <c r="C6679" s="0" t="str">
        <f aca="false">INDEX(Intent_Analysis!$B$5:$B$81,MATCH(B6679,Intent_Analysis!$A$5:$A$81,0))</f>
        <v>Transfers</v>
      </c>
      <c r="D6679" s="0" t="n">
        <f aca="false">INDEX(Intent_Analysis!$E$5:$E$81,MATCH(B6679,Intent_Analysis!$A$5:$A$81,0))</f>
        <v>1</v>
      </c>
    </row>
    <row r="6680" customFormat="false" ht="15" hidden="false" customHeight="false" outlineLevel="0" collapsed="false">
      <c r="A6680" s="0" t="s">
        <v>7004</v>
      </c>
      <c r="B6680" s="0" t="s">
        <v>119</v>
      </c>
      <c r="C6680" s="0" t="str">
        <f aca="false">INDEX(Intent_Analysis!$B$5:$B$81,MATCH(B6680,Intent_Analysis!$A$5:$A$81,0))</f>
        <v>Transfers</v>
      </c>
      <c r="D6680" s="0" t="n">
        <f aca="false">INDEX(Intent_Analysis!$E$5:$E$81,MATCH(B6680,Intent_Analysis!$A$5:$A$81,0))</f>
        <v>1</v>
      </c>
    </row>
    <row r="6681" customFormat="false" ht="15" hidden="false" customHeight="false" outlineLevel="0" collapsed="false">
      <c r="A6681" s="0" t="s">
        <v>7005</v>
      </c>
      <c r="B6681" s="0" t="s">
        <v>119</v>
      </c>
      <c r="C6681" s="0" t="str">
        <f aca="false">INDEX(Intent_Analysis!$B$5:$B$81,MATCH(B6681,Intent_Analysis!$A$5:$A$81,0))</f>
        <v>Transfers</v>
      </c>
      <c r="D6681" s="0" t="n">
        <f aca="false">INDEX(Intent_Analysis!$E$5:$E$81,MATCH(B6681,Intent_Analysis!$A$5:$A$81,0))</f>
        <v>1</v>
      </c>
    </row>
    <row r="6682" customFormat="false" ht="15" hidden="false" customHeight="false" outlineLevel="0" collapsed="false">
      <c r="A6682" s="0" t="s">
        <v>7006</v>
      </c>
      <c r="B6682" s="0" t="s">
        <v>119</v>
      </c>
      <c r="C6682" s="0" t="str">
        <f aca="false">INDEX(Intent_Analysis!$B$5:$B$81,MATCH(B6682,Intent_Analysis!$A$5:$A$81,0))</f>
        <v>Transfers</v>
      </c>
      <c r="D6682" s="0" t="n">
        <f aca="false">INDEX(Intent_Analysis!$E$5:$E$81,MATCH(B6682,Intent_Analysis!$A$5:$A$81,0))</f>
        <v>1</v>
      </c>
    </row>
    <row r="6683" customFormat="false" ht="15" hidden="false" customHeight="false" outlineLevel="0" collapsed="false">
      <c r="A6683" s="0" t="s">
        <v>7007</v>
      </c>
      <c r="B6683" s="0" t="s">
        <v>119</v>
      </c>
      <c r="C6683" s="0" t="str">
        <f aca="false">INDEX(Intent_Analysis!$B$5:$B$81,MATCH(B6683,Intent_Analysis!$A$5:$A$81,0))</f>
        <v>Transfers</v>
      </c>
      <c r="D6683" s="0" t="n">
        <f aca="false">INDEX(Intent_Analysis!$E$5:$E$81,MATCH(B6683,Intent_Analysis!$A$5:$A$81,0))</f>
        <v>1</v>
      </c>
    </row>
    <row r="6684" customFormat="false" ht="15" hidden="false" customHeight="false" outlineLevel="0" collapsed="false">
      <c r="A6684" s="0" t="s">
        <v>7008</v>
      </c>
      <c r="B6684" s="0" t="s">
        <v>119</v>
      </c>
      <c r="C6684" s="0" t="str">
        <f aca="false">INDEX(Intent_Analysis!$B$5:$B$81,MATCH(B6684,Intent_Analysis!$A$5:$A$81,0))</f>
        <v>Transfers</v>
      </c>
      <c r="D6684" s="0" t="n">
        <f aca="false">INDEX(Intent_Analysis!$E$5:$E$81,MATCH(B6684,Intent_Analysis!$A$5:$A$81,0))</f>
        <v>1</v>
      </c>
    </row>
    <row r="6685" customFormat="false" ht="15" hidden="false" customHeight="false" outlineLevel="0" collapsed="false">
      <c r="A6685" s="0" t="s">
        <v>7009</v>
      </c>
      <c r="B6685" s="0" t="s">
        <v>119</v>
      </c>
      <c r="C6685" s="0" t="str">
        <f aca="false">INDEX(Intent_Analysis!$B$5:$B$81,MATCH(B6685,Intent_Analysis!$A$5:$A$81,0))</f>
        <v>Transfers</v>
      </c>
      <c r="D6685" s="0" t="n">
        <f aca="false">INDEX(Intent_Analysis!$E$5:$E$81,MATCH(B6685,Intent_Analysis!$A$5:$A$81,0))</f>
        <v>1</v>
      </c>
    </row>
    <row r="6686" customFormat="false" ht="15" hidden="false" customHeight="false" outlineLevel="0" collapsed="false">
      <c r="A6686" s="0" t="s">
        <v>7010</v>
      </c>
      <c r="B6686" s="0" t="s">
        <v>119</v>
      </c>
      <c r="C6686" s="0" t="str">
        <f aca="false">INDEX(Intent_Analysis!$B$5:$B$81,MATCH(B6686,Intent_Analysis!$A$5:$A$81,0))</f>
        <v>Transfers</v>
      </c>
      <c r="D6686" s="0" t="n">
        <f aca="false">INDEX(Intent_Analysis!$E$5:$E$81,MATCH(B6686,Intent_Analysis!$A$5:$A$81,0))</f>
        <v>1</v>
      </c>
    </row>
    <row r="6687" customFormat="false" ht="15" hidden="false" customHeight="false" outlineLevel="0" collapsed="false">
      <c r="A6687" s="0" t="s">
        <v>7011</v>
      </c>
      <c r="B6687" s="0" t="s">
        <v>119</v>
      </c>
      <c r="C6687" s="0" t="str">
        <f aca="false">INDEX(Intent_Analysis!$B$5:$B$81,MATCH(B6687,Intent_Analysis!$A$5:$A$81,0))</f>
        <v>Transfers</v>
      </c>
      <c r="D6687" s="0" t="n">
        <f aca="false">INDEX(Intent_Analysis!$E$5:$E$81,MATCH(B6687,Intent_Analysis!$A$5:$A$81,0))</f>
        <v>1</v>
      </c>
    </row>
    <row r="6688" customFormat="false" ht="15" hidden="false" customHeight="false" outlineLevel="0" collapsed="false">
      <c r="A6688" s="0" t="s">
        <v>7012</v>
      </c>
      <c r="B6688" s="0" t="s">
        <v>119</v>
      </c>
      <c r="C6688" s="0" t="str">
        <f aca="false">INDEX(Intent_Analysis!$B$5:$B$81,MATCH(B6688,Intent_Analysis!$A$5:$A$81,0))</f>
        <v>Transfers</v>
      </c>
      <c r="D6688" s="0" t="n">
        <f aca="false">INDEX(Intent_Analysis!$E$5:$E$81,MATCH(B6688,Intent_Analysis!$A$5:$A$81,0))</f>
        <v>1</v>
      </c>
    </row>
    <row r="6689" customFormat="false" ht="15" hidden="false" customHeight="false" outlineLevel="0" collapsed="false">
      <c r="A6689" s="0" t="s">
        <v>7013</v>
      </c>
      <c r="B6689" s="0" t="s">
        <v>119</v>
      </c>
      <c r="C6689" s="0" t="str">
        <f aca="false">INDEX(Intent_Analysis!$B$5:$B$81,MATCH(B6689,Intent_Analysis!$A$5:$A$81,0))</f>
        <v>Transfers</v>
      </c>
      <c r="D6689" s="0" t="n">
        <f aca="false">INDEX(Intent_Analysis!$E$5:$E$81,MATCH(B6689,Intent_Analysis!$A$5:$A$81,0))</f>
        <v>1</v>
      </c>
    </row>
    <row r="6690" customFormat="false" ht="15" hidden="false" customHeight="false" outlineLevel="0" collapsed="false">
      <c r="A6690" s="0" t="s">
        <v>7014</v>
      </c>
      <c r="B6690" s="0" t="s">
        <v>119</v>
      </c>
      <c r="C6690" s="0" t="str">
        <f aca="false">INDEX(Intent_Analysis!$B$5:$B$81,MATCH(B6690,Intent_Analysis!$A$5:$A$81,0))</f>
        <v>Transfers</v>
      </c>
      <c r="D6690" s="0" t="n">
        <f aca="false">INDEX(Intent_Analysis!$E$5:$E$81,MATCH(B6690,Intent_Analysis!$A$5:$A$81,0))</f>
        <v>1</v>
      </c>
    </row>
    <row r="6691" customFormat="false" ht="15" hidden="false" customHeight="false" outlineLevel="0" collapsed="false">
      <c r="A6691" s="0" t="s">
        <v>7015</v>
      </c>
      <c r="B6691" s="0" t="s">
        <v>119</v>
      </c>
      <c r="C6691" s="0" t="str">
        <f aca="false">INDEX(Intent_Analysis!$B$5:$B$81,MATCH(B6691,Intent_Analysis!$A$5:$A$81,0))</f>
        <v>Transfers</v>
      </c>
      <c r="D6691" s="0" t="n">
        <f aca="false">INDEX(Intent_Analysis!$E$5:$E$81,MATCH(B6691,Intent_Analysis!$A$5:$A$81,0))</f>
        <v>1</v>
      </c>
    </row>
    <row r="6692" customFormat="false" ht="15" hidden="false" customHeight="false" outlineLevel="0" collapsed="false">
      <c r="A6692" s="0" t="s">
        <v>7016</v>
      </c>
      <c r="B6692" s="0" t="s">
        <v>119</v>
      </c>
      <c r="C6692" s="0" t="str">
        <f aca="false">INDEX(Intent_Analysis!$B$5:$B$81,MATCH(B6692,Intent_Analysis!$A$5:$A$81,0))</f>
        <v>Transfers</v>
      </c>
      <c r="D6692" s="0" t="n">
        <f aca="false">INDEX(Intent_Analysis!$E$5:$E$81,MATCH(B6692,Intent_Analysis!$A$5:$A$81,0))</f>
        <v>1</v>
      </c>
    </row>
    <row r="6693" customFormat="false" ht="15" hidden="false" customHeight="false" outlineLevel="0" collapsed="false">
      <c r="A6693" s="0" t="s">
        <v>7017</v>
      </c>
      <c r="B6693" s="0" t="s">
        <v>119</v>
      </c>
      <c r="C6693" s="0" t="str">
        <f aca="false">INDEX(Intent_Analysis!$B$5:$B$81,MATCH(B6693,Intent_Analysis!$A$5:$A$81,0))</f>
        <v>Transfers</v>
      </c>
      <c r="D6693" s="0" t="n">
        <f aca="false">INDEX(Intent_Analysis!$E$5:$E$81,MATCH(B6693,Intent_Analysis!$A$5:$A$81,0))</f>
        <v>1</v>
      </c>
    </row>
    <row r="6694" customFormat="false" ht="15" hidden="false" customHeight="false" outlineLevel="0" collapsed="false">
      <c r="A6694" s="0" t="s">
        <v>7018</v>
      </c>
      <c r="B6694" s="0" t="s">
        <v>119</v>
      </c>
      <c r="C6694" s="0" t="str">
        <f aca="false">INDEX(Intent_Analysis!$B$5:$B$81,MATCH(B6694,Intent_Analysis!$A$5:$A$81,0))</f>
        <v>Transfers</v>
      </c>
      <c r="D6694" s="0" t="n">
        <f aca="false">INDEX(Intent_Analysis!$E$5:$E$81,MATCH(B6694,Intent_Analysis!$A$5:$A$81,0))</f>
        <v>1</v>
      </c>
    </row>
    <row r="6695" customFormat="false" ht="15" hidden="false" customHeight="false" outlineLevel="0" collapsed="false">
      <c r="A6695" s="0" t="s">
        <v>7019</v>
      </c>
      <c r="B6695" s="0" t="s">
        <v>119</v>
      </c>
      <c r="C6695" s="0" t="str">
        <f aca="false">INDEX(Intent_Analysis!$B$5:$B$81,MATCH(B6695,Intent_Analysis!$A$5:$A$81,0))</f>
        <v>Transfers</v>
      </c>
      <c r="D6695" s="0" t="n">
        <f aca="false">INDEX(Intent_Analysis!$E$5:$E$81,MATCH(B6695,Intent_Analysis!$A$5:$A$81,0))</f>
        <v>1</v>
      </c>
    </row>
    <row r="6696" customFormat="false" ht="15" hidden="false" customHeight="false" outlineLevel="0" collapsed="false">
      <c r="A6696" s="0" t="s">
        <v>7020</v>
      </c>
      <c r="B6696" s="0" t="s">
        <v>119</v>
      </c>
      <c r="C6696" s="0" t="str">
        <f aca="false">INDEX(Intent_Analysis!$B$5:$B$81,MATCH(B6696,Intent_Analysis!$A$5:$A$81,0))</f>
        <v>Transfers</v>
      </c>
      <c r="D6696" s="0" t="n">
        <f aca="false">INDEX(Intent_Analysis!$E$5:$E$81,MATCH(B6696,Intent_Analysis!$A$5:$A$81,0))</f>
        <v>1</v>
      </c>
    </row>
    <row r="6697" customFormat="false" ht="15" hidden="false" customHeight="false" outlineLevel="0" collapsed="false">
      <c r="A6697" s="0" t="s">
        <v>7021</v>
      </c>
      <c r="B6697" s="0" t="s">
        <v>119</v>
      </c>
      <c r="C6697" s="0" t="str">
        <f aca="false">INDEX(Intent_Analysis!$B$5:$B$81,MATCH(B6697,Intent_Analysis!$A$5:$A$81,0))</f>
        <v>Transfers</v>
      </c>
      <c r="D6697" s="0" t="n">
        <f aca="false">INDEX(Intent_Analysis!$E$5:$E$81,MATCH(B6697,Intent_Analysis!$A$5:$A$81,0))</f>
        <v>1</v>
      </c>
    </row>
    <row r="6698" customFormat="false" ht="15" hidden="false" customHeight="false" outlineLevel="0" collapsed="false">
      <c r="A6698" s="0" t="s">
        <v>7022</v>
      </c>
      <c r="B6698" s="0" t="s">
        <v>119</v>
      </c>
      <c r="C6698" s="0" t="str">
        <f aca="false">INDEX(Intent_Analysis!$B$5:$B$81,MATCH(B6698,Intent_Analysis!$A$5:$A$81,0))</f>
        <v>Transfers</v>
      </c>
      <c r="D6698" s="0" t="n">
        <f aca="false">INDEX(Intent_Analysis!$E$5:$E$81,MATCH(B6698,Intent_Analysis!$A$5:$A$81,0))</f>
        <v>1</v>
      </c>
    </row>
    <row r="6699" customFormat="false" ht="15" hidden="false" customHeight="false" outlineLevel="0" collapsed="false">
      <c r="A6699" s="0" t="s">
        <v>7023</v>
      </c>
      <c r="B6699" s="0" t="s">
        <v>119</v>
      </c>
      <c r="C6699" s="0" t="str">
        <f aca="false">INDEX(Intent_Analysis!$B$5:$B$81,MATCH(B6699,Intent_Analysis!$A$5:$A$81,0))</f>
        <v>Transfers</v>
      </c>
      <c r="D6699" s="0" t="n">
        <f aca="false">INDEX(Intent_Analysis!$E$5:$E$81,MATCH(B6699,Intent_Analysis!$A$5:$A$81,0))</f>
        <v>1</v>
      </c>
    </row>
    <row r="6700" customFormat="false" ht="15" hidden="false" customHeight="false" outlineLevel="0" collapsed="false">
      <c r="A6700" s="0" t="s">
        <v>7024</v>
      </c>
      <c r="B6700" s="0" t="s">
        <v>119</v>
      </c>
      <c r="C6700" s="0" t="str">
        <f aca="false">INDEX(Intent_Analysis!$B$5:$B$81,MATCH(B6700,Intent_Analysis!$A$5:$A$81,0))</f>
        <v>Transfers</v>
      </c>
      <c r="D6700" s="0" t="n">
        <f aca="false">INDEX(Intent_Analysis!$E$5:$E$81,MATCH(B6700,Intent_Analysis!$A$5:$A$81,0))</f>
        <v>1</v>
      </c>
    </row>
    <row r="6701" customFormat="false" ht="15" hidden="false" customHeight="false" outlineLevel="0" collapsed="false">
      <c r="A6701" s="0" t="s">
        <v>7025</v>
      </c>
      <c r="B6701" s="0" t="s">
        <v>119</v>
      </c>
      <c r="C6701" s="0" t="str">
        <f aca="false">INDEX(Intent_Analysis!$B$5:$B$81,MATCH(B6701,Intent_Analysis!$A$5:$A$81,0))</f>
        <v>Transfers</v>
      </c>
      <c r="D6701" s="0" t="n">
        <f aca="false">INDEX(Intent_Analysis!$E$5:$E$81,MATCH(B6701,Intent_Analysis!$A$5:$A$81,0))</f>
        <v>1</v>
      </c>
    </row>
    <row r="6702" customFormat="false" ht="15" hidden="false" customHeight="false" outlineLevel="0" collapsed="false">
      <c r="A6702" s="0" t="s">
        <v>7026</v>
      </c>
      <c r="B6702" s="0" t="s">
        <v>119</v>
      </c>
      <c r="C6702" s="0" t="str">
        <f aca="false">INDEX(Intent_Analysis!$B$5:$B$81,MATCH(B6702,Intent_Analysis!$A$5:$A$81,0))</f>
        <v>Transfers</v>
      </c>
      <c r="D6702" s="0" t="n">
        <f aca="false">INDEX(Intent_Analysis!$E$5:$E$81,MATCH(B6702,Intent_Analysis!$A$5:$A$81,0))</f>
        <v>1</v>
      </c>
    </row>
    <row r="6703" customFormat="false" ht="15" hidden="false" customHeight="false" outlineLevel="0" collapsed="false">
      <c r="A6703" s="0" t="s">
        <v>7027</v>
      </c>
      <c r="B6703" s="0" t="s">
        <v>119</v>
      </c>
      <c r="C6703" s="0" t="str">
        <f aca="false">INDEX(Intent_Analysis!$B$5:$B$81,MATCH(B6703,Intent_Analysis!$A$5:$A$81,0))</f>
        <v>Transfers</v>
      </c>
      <c r="D6703" s="0" t="n">
        <f aca="false">INDEX(Intent_Analysis!$E$5:$E$81,MATCH(B6703,Intent_Analysis!$A$5:$A$81,0))</f>
        <v>1</v>
      </c>
    </row>
    <row r="6704" customFormat="false" ht="15" hidden="false" customHeight="false" outlineLevel="0" collapsed="false">
      <c r="A6704" s="0" t="s">
        <v>7028</v>
      </c>
      <c r="B6704" s="0" t="s">
        <v>119</v>
      </c>
      <c r="C6704" s="0" t="str">
        <f aca="false">INDEX(Intent_Analysis!$B$5:$B$81,MATCH(B6704,Intent_Analysis!$A$5:$A$81,0))</f>
        <v>Transfers</v>
      </c>
      <c r="D6704" s="0" t="n">
        <f aca="false">INDEX(Intent_Analysis!$E$5:$E$81,MATCH(B6704,Intent_Analysis!$A$5:$A$81,0))</f>
        <v>1</v>
      </c>
    </row>
    <row r="6705" customFormat="false" ht="15" hidden="false" customHeight="false" outlineLevel="0" collapsed="false">
      <c r="A6705" s="0" t="s">
        <v>7029</v>
      </c>
      <c r="B6705" s="0" t="s">
        <v>119</v>
      </c>
      <c r="C6705" s="0" t="str">
        <f aca="false">INDEX(Intent_Analysis!$B$5:$B$81,MATCH(B6705,Intent_Analysis!$A$5:$A$81,0))</f>
        <v>Transfers</v>
      </c>
      <c r="D6705" s="0" t="n">
        <f aca="false">INDEX(Intent_Analysis!$E$5:$E$81,MATCH(B6705,Intent_Analysis!$A$5:$A$81,0))</f>
        <v>1</v>
      </c>
    </row>
    <row r="6706" customFormat="false" ht="15" hidden="false" customHeight="false" outlineLevel="0" collapsed="false">
      <c r="A6706" s="0" t="s">
        <v>7030</v>
      </c>
      <c r="B6706" s="0" t="s">
        <v>119</v>
      </c>
      <c r="C6706" s="0" t="str">
        <f aca="false">INDEX(Intent_Analysis!$B$5:$B$81,MATCH(B6706,Intent_Analysis!$A$5:$A$81,0))</f>
        <v>Transfers</v>
      </c>
      <c r="D6706" s="0" t="n">
        <f aca="false">INDEX(Intent_Analysis!$E$5:$E$81,MATCH(B6706,Intent_Analysis!$A$5:$A$81,0))</f>
        <v>1</v>
      </c>
    </row>
    <row r="6707" customFormat="false" ht="15" hidden="false" customHeight="false" outlineLevel="0" collapsed="false">
      <c r="A6707" s="0" t="s">
        <v>7031</v>
      </c>
      <c r="B6707" s="0" t="s">
        <v>119</v>
      </c>
      <c r="C6707" s="0" t="str">
        <f aca="false">INDEX(Intent_Analysis!$B$5:$B$81,MATCH(B6707,Intent_Analysis!$A$5:$A$81,0))</f>
        <v>Transfers</v>
      </c>
      <c r="D6707" s="0" t="n">
        <f aca="false">INDEX(Intent_Analysis!$E$5:$E$81,MATCH(B6707,Intent_Analysis!$A$5:$A$81,0))</f>
        <v>1</v>
      </c>
    </row>
    <row r="6708" customFormat="false" ht="15" hidden="false" customHeight="false" outlineLevel="0" collapsed="false">
      <c r="A6708" s="0" t="s">
        <v>7032</v>
      </c>
      <c r="B6708" s="0" t="s">
        <v>119</v>
      </c>
      <c r="C6708" s="0" t="str">
        <f aca="false">INDEX(Intent_Analysis!$B$5:$B$81,MATCH(B6708,Intent_Analysis!$A$5:$A$81,0))</f>
        <v>Transfers</v>
      </c>
      <c r="D6708" s="0" t="n">
        <f aca="false">INDEX(Intent_Analysis!$E$5:$E$81,MATCH(B6708,Intent_Analysis!$A$5:$A$81,0))</f>
        <v>1</v>
      </c>
    </row>
    <row r="6709" customFormat="false" ht="15" hidden="false" customHeight="false" outlineLevel="0" collapsed="false">
      <c r="A6709" s="0" t="s">
        <v>7033</v>
      </c>
      <c r="B6709" s="0" t="s">
        <v>119</v>
      </c>
      <c r="C6709" s="0" t="str">
        <f aca="false">INDEX(Intent_Analysis!$B$5:$B$81,MATCH(B6709,Intent_Analysis!$A$5:$A$81,0))</f>
        <v>Transfers</v>
      </c>
      <c r="D6709" s="0" t="n">
        <f aca="false">INDEX(Intent_Analysis!$E$5:$E$81,MATCH(B6709,Intent_Analysis!$A$5:$A$81,0))</f>
        <v>1</v>
      </c>
    </row>
    <row r="6710" customFormat="false" ht="15" hidden="false" customHeight="false" outlineLevel="0" collapsed="false">
      <c r="A6710" s="0" t="s">
        <v>7034</v>
      </c>
      <c r="B6710" s="0" t="s">
        <v>119</v>
      </c>
      <c r="C6710" s="0" t="str">
        <f aca="false">INDEX(Intent_Analysis!$B$5:$B$81,MATCH(B6710,Intent_Analysis!$A$5:$A$81,0))</f>
        <v>Transfers</v>
      </c>
      <c r="D6710" s="0" t="n">
        <f aca="false">INDEX(Intent_Analysis!$E$5:$E$81,MATCH(B6710,Intent_Analysis!$A$5:$A$81,0))</f>
        <v>1</v>
      </c>
    </row>
    <row r="6711" customFormat="false" ht="15" hidden="false" customHeight="false" outlineLevel="0" collapsed="false">
      <c r="A6711" s="0" t="s">
        <v>7035</v>
      </c>
      <c r="B6711" s="0" t="s">
        <v>119</v>
      </c>
      <c r="C6711" s="0" t="str">
        <f aca="false">INDEX(Intent_Analysis!$B$5:$B$81,MATCH(B6711,Intent_Analysis!$A$5:$A$81,0))</f>
        <v>Transfers</v>
      </c>
      <c r="D6711" s="0" t="n">
        <f aca="false">INDEX(Intent_Analysis!$E$5:$E$81,MATCH(B6711,Intent_Analysis!$A$5:$A$81,0))</f>
        <v>1</v>
      </c>
    </row>
    <row r="6712" customFormat="false" ht="15" hidden="false" customHeight="false" outlineLevel="0" collapsed="false">
      <c r="A6712" s="0" t="s">
        <v>7036</v>
      </c>
      <c r="B6712" s="0" t="s">
        <v>119</v>
      </c>
      <c r="C6712" s="0" t="str">
        <f aca="false">INDEX(Intent_Analysis!$B$5:$B$81,MATCH(B6712,Intent_Analysis!$A$5:$A$81,0))</f>
        <v>Transfers</v>
      </c>
      <c r="D6712" s="0" t="n">
        <f aca="false">INDEX(Intent_Analysis!$E$5:$E$81,MATCH(B6712,Intent_Analysis!$A$5:$A$81,0))</f>
        <v>1</v>
      </c>
    </row>
    <row r="6713" customFormat="false" ht="15" hidden="false" customHeight="false" outlineLevel="0" collapsed="false">
      <c r="A6713" s="0" t="s">
        <v>7037</v>
      </c>
      <c r="B6713" s="0" t="s">
        <v>119</v>
      </c>
      <c r="C6713" s="0" t="str">
        <f aca="false">INDEX(Intent_Analysis!$B$5:$B$81,MATCH(B6713,Intent_Analysis!$A$5:$A$81,0))</f>
        <v>Transfers</v>
      </c>
      <c r="D6713" s="0" t="n">
        <f aca="false">INDEX(Intent_Analysis!$E$5:$E$81,MATCH(B6713,Intent_Analysis!$A$5:$A$81,0))</f>
        <v>1</v>
      </c>
    </row>
    <row r="6714" customFormat="false" ht="15" hidden="false" customHeight="false" outlineLevel="0" collapsed="false">
      <c r="A6714" s="0" t="s">
        <v>7038</v>
      </c>
      <c r="B6714" s="0" t="s">
        <v>119</v>
      </c>
      <c r="C6714" s="0" t="str">
        <f aca="false">INDEX(Intent_Analysis!$B$5:$B$81,MATCH(B6714,Intent_Analysis!$A$5:$A$81,0))</f>
        <v>Transfers</v>
      </c>
      <c r="D6714" s="0" t="n">
        <f aca="false">INDEX(Intent_Analysis!$E$5:$E$81,MATCH(B6714,Intent_Analysis!$A$5:$A$81,0))</f>
        <v>1</v>
      </c>
    </row>
    <row r="6715" customFormat="false" ht="15" hidden="false" customHeight="false" outlineLevel="0" collapsed="false">
      <c r="A6715" s="0" t="s">
        <v>7039</v>
      </c>
      <c r="B6715" s="0" t="s">
        <v>119</v>
      </c>
      <c r="C6715" s="0" t="str">
        <f aca="false">INDEX(Intent_Analysis!$B$5:$B$81,MATCH(B6715,Intent_Analysis!$A$5:$A$81,0))</f>
        <v>Transfers</v>
      </c>
      <c r="D6715" s="0" t="n">
        <f aca="false">INDEX(Intent_Analysis!$E$5:$E$81,MATCH(B6715,Intent_Analysis!$A$5:$A$81,0))</f>
        <v>1</v>
      </c>
    </row>
    <row r="6716" customFormat="false" ht="15" hidden="false" customHeight="false" outlineLevel="0" collapsed="false">
      <c r="A6716" s="0" t="s">
        <v>7040</v>
      </c>
      <c r="B6716" s="0" t="s">
        <v>119</v>
      </c>
      <c r="C6716" s="0" t="str">
        <f aca="false">INDEX(Intent_Analysis!$B$5:$B$81,MATCH(B6716,Intent_Analysis!$A$5:$A$81,0))</f>
        <v>Transfers</v>
      </c>
      <c r="D6716" s="0" t="n">
        <f aca="false">INDEX(Intent_Analysis!$E$5:$E$81,MATCH(B6716,Intent_Analysis!$A$5:$A$81,0))</f>
        <v>1</v>
      </c>
    </row>
    <row r="6717" customFormat="false" ht="15" hidden="false" customHeight="false" outlineLevel="0" collapsed="false">
      <c r="A6717" s="0" t="s">
        <v>7041</v>
      </c>
      <c r="B6717" s="0" t="s">
        <v>119</v>
      </c>
      <c r="C6717" s="0" t="str">
        <f aca="false">INDEX(Intent_Analysis!$B$5:$B$81,MATCH(B6717,Intent_Analysis!$A$5:$A$81,0))</f>
        <v>Transfers</v>
      </c>
      <c r="D6717" s="0" t="n">
        <f aca="false">INDEX(Intent_Analysis!$E$5:$E$81,MATCH(B6717,Intent_Analysis!$A$5:$A$81,0))</f>
        <v>1</v>
      </c>
    </row>
    <row r="6718" customFormat="false" ht="15" hidden="false" customHeight="false" outlineLevel="0" collapsed="false">
      <c r="A6718" s="0" t="s">
        <v>7042</v>
      </c>
      <c r="B6718" s="0" t="s">
        <v>119</v>
      </c>
      <c r="C6718" s="0" t="str">
        <f aca="false">INDEX(Intent_Analysis!$B$5:$B$81,MATCH(B6718,Intent_Analysis!$A$5:$A$81,0))</f>
        <v>Transfers</v>
      </c>
      <c r="D6718" s="0" t="n">
        <f aca="false">INDEX(Intent_Analysis!$E$5:$E$81,MATCH(B6718,Intent_Analysis!$A$5:$A$81,0))</f>
        <v>1</v>
      </c>
    </row>
    <row r="6719" customFormat="false" ht="15" hidden="false" customHeight="false" outlineLevel="0" collapsed="false">
      <c r="A6719" s="0" t="s">
        <v>7043</v>
      </c>
      <c r="B6719" s="0" t="s">
        <v>119</v>
      </c>
      <c r="C6719" s="0" t="str">
        <f aca="false">INDEX(Intent_Analysis!$B$5:$B$81,MATCH(B6719,Intent_Analysis!$A$5:$A$81,0))</f>
        <v>Transfers</v>
      </c>
      <c r="D6719" s="0" t="n">
        <f aca="false">INDEX(Intent_Analysis!$E$5:$E$81,MATCH(B6719,Intent_Analysis!$A$5:$A$81,0))</f>
        <v>1</v>
      </c>
    </row>
    <row r="6720" customFormat="false" ht="15" hidden="false" customHeight="false" outlineLevel="0" collapsed="false">
      <c r="A6720" s="0" t="s">
        <v>7044</v>
      </c>
      <c r="B6720" s="0" t="s">
        <v>119</v>
      </c>
      <c r="C6720" s="0" t="str">
        <f aca="false">INDEX(Intent_Analysis!$B$5:$B$81,MATCH(B6720,Intent_Analysis!$A$5:$A$81,0))</f>
        <v>Transfers</v>
      </c>
      <c r="D6720" s="0" t="n">
        <f aca="false">INDEX(Intent_Analysis!$E$5:$E$81,MATCH(B6720,Intent_Analysis!$A$5:$A$81,0))</f>
        <v>1</v>
      </c>
    </row>
    <row r="6721" customFormat="false" ht="15" hidden="false" customHeight="false" outlineLevel="0" collapsed="false">
      <c r="A6721" s="0" t="s">
        <v>7045</v>
      </c>
      <c r="B6721" s="0" t="s">
        <v>119</v>
      </c>
      <c r="C6721" s="0" t="str">
        <f aca="false">INDEX(Intent_Analysis!$B$5:$B$81,MATCH(B6721,Intent_Analysis!$A$5:$A$81,0))</f>
        <v>Transfers</v>
      </c>
      <c r="D6721" s="0" t="n">
        <f aca="false">INDEX(Intent_Analysis!$E$5:$E$81,MATCH(B6721,Intent_Analysis!$A$5:$A$81,0))</f>
        <v>1</v>
      </c>
    </row>
    <row r="6722" customFormat="false" ht="15" hidden="false" customHeight="false" outlineLevel="0" collapsed="false">
      <c r="A6722" s="0" t="s">
        <v>7046</v>
      </c>
      <c r="B6722" s="0" t="s">
        <v>119</v>
      </c>
      <c r="C6722" s="0" t="str">
        <f aca="false">INDEX(Intent_Analysis!$B$5:$B$81,MATCH(B6722,Intent_Analysis!$A$5:$A$81,0))</f>
        <v>Transfers</v>
      </c>
      <c r="D6722" s="0" t="n">
        <f aca="false">INDEX(Intent_Analysis!$E$5:$E$81,MATCH(B6722,Intent_Analysis!$A$5:$A$81,0))</f>
        <v>1</v>
      </c>
    </row>
    <row r="6723" customFormat="false" ht="15" hidden="false" customHeight="false" outlineLevel="0" collapsed="false">
      <c r="A6723" s="0" t="s">
        <v>7047</v>
      </c>
      <c r="B6723" s="0" t="s">
        <v>119</v>
      </c>
      <c r="C6723" s="0" t="str">
        <f aca="false">INDEX(Intent_Analysis!$B$5:$B$81,MATCH(B6723,Intent_Analysis!$A$5:$A$81,0))</f>
        <v>Transfers</v>
      </c>
      <c r="D6723" s="0" t="n">
        <f aca="false">INDEX(Intent_Analysis!$E$5:$E$81,MATCH(B6723,Intent_Analysis!$A$5:$A$81,0))</f>
        <v>1</v>
      </c>
    </row>
    <row r="6724" customFormat="false" ht="15" hidden="false" customHeight="false" outlineLevel="0" collapsed="false">
      <c r="A6724" s="0" t="s">
        <v>7048</v>
      </c>
      <c r="B6724" s="0" t="s">
        <v>57</v>
      </c>
      <c r="C6724" s="0" t="str">
        <f aca="false">INDEX(Intent_Analysis!$B$5:$B$81,MATCH(B6724,Intent_Analysis!$A$5:$A$81,0))</f>
        <v>Card payments &amp; refunds</v>
      </c>
      <c r="D6724" s="0" t="n">
        <f aca="false">INDEX(Intent_Analysis!$E$5:$E$81,MATCH(B6724,Intent_Analysis!$A$5:$A$81,0))</f>
        <v>2</v>
      </c>
    </row>
    <row r="6725" customFormat="false" ht="15" hidden="false" customHeight="false" outlineLevel="0" collapsed="false">
      <c r="A6725" s="0" t="s">
        <v>7049</v>
      </c>
      <c r="B6725" s="0" t="s">
        <v>57</v>
      </c>
      <c r="C6725" s="0" t="str">
        <f aca="false">INDEX(Intent_Analysis!$B$5:$B$81,MATCH(B6725,Intent_Analysis!$A$5:$A$81,0))</f>
        <v>Card payments &amp; refunds</v>
      </c>
      <c r="D6725" s="0" t="n">
        <f aca="false">INDEX(Intent_Analysis!$E$5:$E$81,MATCH(B6725,Intent_Analysis!$A$5:$A$81,0))</f>
        <v>2</v>
      </c>
    </row>
    <row r="6726" customFormat="false" ht="15" hidden="false" customHeight="false" outlineLevel="0" collapsed="false">
      <c r="A6726" s="0" t="s">
        <v>7050</v>
      </c>
      <c r="B6726" s="0" t="s">
        <v>57</v>
      </c>
      <c r="C6726" s="0" t="str">
        <f aca="false">INDEX(Intent_Analysis!$B$5:$B$81,MATCH(B6726,Intent_Analysis!$A$5:$A$81,0))</f>
        <v>Card payments &amp; refunds</v>
      </c>
      <c r="D6726" s="0" t="n">
        <f aca="false">INDEX(Intent_Analysis!$E$5:$E$81,MATCH(B6726,Intent_Analysis!$A$5:$A$81,0))</f>
        <v>2</v>
      </c>
    </row>
    <row r="6727" customFormat="false" ht="15" hidden="false" customHeight="false" outlineLevel="0" collapsed="false">
      <c r="A6727" s="0" t="s">
        <v>7051</v>
      </c>
      <c r="B6727" s="0" t="s">
        <v>57</v>
      </c>
      <c r="C6727" s="0" t="str">
        <f aca="false">INDEX(Intent_Analysis!$B$5:$B$81,MATCH(B6727,Intent_Analysis!$A$5:$A$81,0))</f>
        <v>Card payments &amp; refunds</v>
      </c>
      <c r="D6727" s="0" t="n">
        <f aca="false">INDEX(Intent_Analysis!$E$5:$E$81,MATCH(B6727,Intent_Analysis!$A$5:$A$81,0))</f>
        <v>2</v>
      </c>
    </row>
    <row r="6728" customFormat="false" ht="15" hidden="false" customHeight="false" outlineLevel="0" collapsed="false">
      <c r="A6728" s="0" t="s">
        <v>7052</v>
      </c>
      <c r="B6728" s="0" t="s">
        <v>57</v>
      </c>
      <c r="C6728" s="0" t="str">
        <f aca="false">INDEX(Intent_Analysis!$B$5:$B$81,MATCH(B6728,Intent_Analysis!$A$5:$A$81,0))</f>
        <v>Card payments &amp; refunds</v>
      </c>
      <c r="D6728" s="0" t="n">
        <f aca="false">INDEX(Intent_Analysis!$E$5:$E$81,MATCH(B6728,Intent_Analysis!$A$5:$A$81,0))</f>
        <v>2</v>
      </c>
    </row>
    <row r="6729" customFormat="false" ht="15" hidden="false" customHeight="false" outlineLevel="0" collapsed="false">
      <c r="A6729" s="0" t="s">
        <v>7053</v>
      </c>
      <c r="B6729" s="0" t="s">
        <v>57</v>
      </c>
      <c r="C6729" s="0" t="str">
        <f aca="false">INDEX(Intent_Analysis!$B$5:$B$81,MATCH(B6729,Intent_Analysis!$A$5:$A$81,0))</f>
        <v>Card payments &amp; refunds</v>
      </c>
      <c r="D6729" s="0" t="n">
        <f aca="false">INDEX(Intent_Analysis!$E$5:$E$81,MATCH(B6729,Intent_Analysis!$A$5:$A$81,0))</f>
        <v>2</v>
      </c>
    </row>
    <row r="6730" customFormat="false" ht="15" hidden="false" customHeight="false" outlineLevel="0" collapsed="false">
      <c r="A6730" s="0" t="s">
        <v>7054</v>
      </c>
      <c r="B6730" s="0" t="s">
        <v>57</v>
      </c>
      <c r="C6730" s="0" t="str">
        <f aca="false">INDEX(Intent_Analysis!$B$5:$B$81,MATCH(B6730,Intent_Analysis!$A$5:$A$81,0))</f>
        <v>Card payments &amp; refunds</v>
      </c>
      <c r="D6730" s="0" t="n">
        <f aca="false">INDEX(Intent_Analysis!$E$5:$E$81,MATCH(B6730,Intent_Analysis!$A$5:$A$81,0))</f>
        <v>2</v>
      </c>
    </row>
    <row r="6731" customFormat="false" ht="15" hidden="false" customHeight="false" outlineLevel="0" collapsed="false">
      <c r="A6731" s="0" t="s">
        <v>7055</v>
      </c>
      <c r="B6731" s="0" t="s">
        <v>57</v>
      </c>
      <c r="C6731" s="0" t="str">
        <f aca="false">INDEX(Intent_Analysis!$B$5:$B$81,MATCH(B6731,Intent_Analysis!$A$5:$A$81,0))</f>
        <v>Card payments &amp; refunds</v>
      </c>
      <c r="D6731" s="0" t="n">
        <f aca="false">INDEX(Intent_Analysis!$E$5:$E$81,MATCH(B6731,Intent_Analysis!$A$5:$A$81,0))</f>
        <v>2</v>
      </c>
    </row>
    <row r="6732" customFormat="false" ht="15" hidden="false" customHeight="false" outlineLevel="0" collapsed="false">
      <c r="A6732" s="0" t="s">
        <v>7056</v>
      </c>
      <c r="B6732" s="0" t="s">
        <v>57</v>
      </c>
      <c r="C6732" s="0" t="str">
        <f aca="false">INDEX(Intent_Analysis!$B$5:$B$81,MATCH(B6732,Intent_Analysis!$A$5:$A$81,0))</f>
        <v>Card payments &amp; refunds</v>
      </c>
      <c r="D6732" s="0" t="n">
        <f aca="false">INDEX(Intent_Analysis!$E$5:$E$81,MATCH(B6732,Intent_Analysis!$A$5:$A$81,0))</f>
        <v>2</v>
      </c>
    </row>
    <row r="6733" customFormat="false" ht="15" hidden="false" customHeight="false" outlineLevel="0" collapsed="false">
      <c r="A6733" s="0" t="s">
        <v>7057</v>
      </c>
      <c r="B6733" s="0" t="s">
        <v>57</v>
      </c>
      <c r="C6733" s="0" t="str">
        <f aca="false">INDEX(Intent_Analysis!$B$5:$B$81,MATCH(B6733,Intent_Analysis!$A$5:$A$81,0))</f>
        <v>Card payments &amp; refunds</v>
      </c>
      <c r="D6733" s="0" t="n">
        <f aca="false">INDEX(Intent_Analysis!$E$5:$E$81,MATCH(B6733,Intent_Analysis!$A$5:$A$81,0))</f>
        <v>2</v>
      </c>
    </row>
    <row r="6734" customFormat="false" ht="15" hidden="false" customHeight="false" outlineLevel="0" collapsed="false">
      <c r="A6734" s="0" t="s">
        <v>7058</v>
      </c>
      <c r="B6734" s="0" t="s">
        <v>57</v>
      </c>
      <c r="C6734" s="0" t="str">
        <f aca="false">INDEX(Intent_Analysis!$B$5:$B$81,MATCH(B6734,Intent_Analysis!$A$5:$A$81,0))</f>
        <v>Card payments &amp; refunds</v>
      </c>
      <c r="D6734" s="0" t="n">
        <f aca="false">INDEX(Intent_Analysis!$E$5:$E$81,MATCH(B6734,Intent_Analysis!$A$5:$A$81,0))</f>
        <v>2</v>
      </c>
    </row>
    <row r="6735" customFormat="false" ht="15" hidden="false" customHeight="false" outlineLevel="0" collapsed="false">
      <c r="A6735" s="0" t="s">
        <v>7059</v>
      </c>
      <c r="B6735" s="0" t="s">
        <v>57</v>
      </c>
      <c r="C6735" s="0" t="str">
        <f aca="false">INDEX(Intent_Analysis!$B$5:$B$81,MATCH(B6735,Intent_Analysis!$A$5:$A$81,0))</f>
        <v>Card payments &amp; refunds</v>
      </c>
      <c r="D6735" s="0" t="n">
        <f aca="false">INDEX(Intent_Analysis!$E$5:$E$81,MATCH(B6735,Intent_Analysis!$A$5:$A$81,0))</f>
        <v>2</v>
      </c>
    </row>
    <row r="6736" customFormat="false" ht="15" hidden="false" customHeight="false" outlineLevel="0" collapsed="false">
      <c r="A6736" s="0" t="s">
        <v>7060</v>
      </c>
      <c r="B6736" s="0" t="s">
        <v>57</v>
      </c>
      <c r="C6736" s="0" t="str">
        <f aca="false">INDEX(Intent_Analysis!$B$5:$B$81,MATCH(B6736,Intent_Analysis!$A$5:$A$81,0))</f>
        <v>Card payments &amp; refunds</v>
      </c>
      <c r="D6736" s="0" t="n">
        <f aca="false">INDEX(Intent_Analysis!$E$5:$E$81,MATCH(B6736,Intent_Analysis!$A$5:$A$81,0))</f>
        <v>2</v>
      </c>
    </row>
    <row r="6737" customFormat="false" ht="15" hidden="false" customHeight="false" outlineLevel="0" collapsed="false">
      <c r="A6737" s="0" t="s">
        <v>7061</v>
      </c>
      <c r="B6737" s="0" t="s">
        <v>57</v>
      </c>
      <c r="C6737" s="0" t="str">
        <f aca="false">INDEX(Intent_Analysis!$B$5:$B$81,MATCH(B6737,Intent_Analysis!$A$5:$A$81,0))</f>
        <v>Card payments &amp; refunds</v>
      </c>
      <c r="D6737" s="0" t="n">
        <f aca="false">INDEX(Intent_Analysis!$E$5:$E$81,MATCH(B6737,Intent_Analysis!$A$5:$A$81,0))</f>
        <v>2</v>
      </c>
    </row>
    <row r="6738" customFormat="false" ht="15" hidden="false" customHeight="false" outlineLevel="0" collapsed="false">
      <c r="A6738" s="0" t="s">
        <v>7062</v>
      </c>
      <c r="B6738" s="0" t="s">
        <v>57</v>
      </c>
      <c r="C6738" s="0" t="str">
        <f aca="false">INDEX(Intent_Analysis!$B$5:$B$81,MATCH(B6738,Intent_Analysis!$A$5:$A$81,0))</f>
        <v>Card payments &amp; refunds</v>
      </c>
      <c r="D6738" s="0" t="n">
        <f aca="false">INDEX(Intent_Analysis!$E$5:$E$81,MATCH(B6738,Intent_Analysis!$A$5:$A$81,0))</f>
        <v>2</v>
      </c>
    </row>
    <row r="6739" customFormat="false" ht="15" hidden="false" customHeight="false" outlineLevel="0" collapsed="false">
      <c r="A6739" s="0" t="s">
        <v>7063</v>
      </c>
      <c r="B6739" s="0" t="s">
        <v>57</v>
      </c>
      <c r="C6739" s="0" t="str">
        <f aca="false">INDEX(Intent_Analysis!$B$5:$B$81,MATCH(B6739,Intent_Analysis!$A$5:$A$81,0))</f>
        <v>Card payments &amp; refunds</v>
      </c>
      <c r="D6739" s="0" t="n">
        <f aca="false">INDEX(Intent_Analysis!$E$5:$E$81,MATCH(B6739,Intent_Analysis!$A$5:$A$81,0))</f>
        <v>2</v>
      </c>
    </row>
    <row r="6740" customFormat="false" ht="15" hidden="false" customHeight="false" outlineLevel="0" collapsed="false">
      <c r="A6740" s="0" t="s">
        <v>7064</v>
      </c>
      <c r="B6740" s="0" t="s">
        <v>57</v>
      </c>
      <c r="C6740" s="0" t="str">
        <f aca="false">INDEX(Intent_Analysis!$B$5:$B$81,MATCH(B6740,Intent_Analysis!$A$5:$A$81,0))</f>
        <v>Card payments &amp; refunds</v>
      </c>
      <c r="D6740" s="0" t="n">
        <f aca="false">INDEX(Intent_Analysis!$E$5:$E$81,MATCH(B6740,Intent_Analysis!$A$5:$A$81,0))</f>
        <v>2</v>
      </c>
    </row>
    <row r="6741" customFormat="false" ht="15" hidden="false" customHeight="false" outlineLevel="0" collapsed="false">
      <c r="A6741" s="0" t="s">
        <v>7065</v>
      </c>
      <c r="B6741" s="0" t="s">
        <v>57</v>
      </c>
      <c r="C6741" s="0" t="str">
        <f aca="false">INDEX(Intent_Analysis!$B$5:$B$81,MATCH(B6741,Intent_Analysis!$A$5:$A$81,0))</f>
        <v>Card payments &amp; refunds</v>
      </c>
      <c r="D6741" s="0" t="n">
        <f aca="false">INDEX(Intent_Analysis!$E$5:$E$81,MATCH(B6741,Intent_Analysis!$A$5:$A$81,0))</f>
        <v>2</v>
      </c>
    </row>
    <row r="6742" customFormat="false" ht="15" hidden="false" customHeight="false" outlineLevel="0" collapsed="false">
      <c r="A6742" s="0" t="s">
        <v>7066</v>
      </c>
      <c r="B6742" s="0" t="s">
        <v>57</v>
      </c>
      <c r="C6742" s="0" t="str">
        <f aca="false">INDEX(Intent_Analysis!$B$5:$B$81,MATCH(B6742,Intent_Analysis!$A$5:$A$81,0))</f>
        <v>Card payments &amp; refunds</v>
      </c>
      <c r="D6742" s="0" t="n">
        <f aca="false">INDEX(Intent_Analysis!$E$5:$E$81,MATCH(B6742,Intent_Analysis!$A$5:$A$81,0))</f>
        <v>2</v>
      </c>
    </row>
    <row r="6743" customFormat="false" ht="15" hidden="false" customHeight="false" outlineLevel="0" collapsed="false">
      <c r="A6743" s="0" t="s">
        <v>7067</v>
      </c>
      <c r="B6743" s="0" t="s">
        <v>57</v>
      </c>
      <c r="C6743" s="0" t="str">
        <f aca="false">INDEX(Intent_Analysis!$B$5:$B$81,MATCH(B6743,Intent_Analysis!$A$5:$A$81,0))</f>
        <v>Card payments &amp; refunds</v>
      </c>
      <c r="D6743" s="0" t="n">
        <f aca="false">INDEX(Intent_Analysis!$E$5:$E$81,MATCH(B6743,Intent_Analysis!$A$5:$A$81,0))</f>
        <v>2</v>
      </c>
    </row>
    <row r="6744" customFormat="false" ht="15" hidden="false" customHeight="false" outlineLevel="0" collapsed="false">
      <c r="A6744" s="0" t="s">
        <v>7068</v>
      </c>
      <c r="B6744" s="0" t="s">
        <v>57</v>
      </c>
      <c r="C6744" s="0" t="str">
        <f aca="false">INDEX(Intent_Analysis!$B$5:$B$81,MATCH(B6744,Intent_Analysis!$A$5:$A$81,0))</f>
        <v>Card payments &amp; refunds</v>
      </c>
      <c r="D6744" s="0" t="n">
        <f aca="false">INDEX(Intent_Analysis!$E$5:$E$81,MATCH(B6744,Intent_Analysis!$A$5:$A$81,0))</f>
        <v>2</v>
      </c>
    </row>
    <row r="6745" customFormat="false" ht="15" hidden="false" customHeight="false" outlineLevel="0" collapsed="false">
      <c r="A6745" s="0" t="s">
        <v>7069</v>
      </c>
      <c r="B6745" s="0" t="s">
        <v>57</v>
      </c>
      <c r="C6745" s="0" t="str">
        <f aca="false">INDEX(Intent_Analysis!$B$5:$B$81,MATCH(B6745,Intent_Analysis!$A$5:$A$81,0))</f>
        <v>Card payments &amp; refunds</v>
      </c>
      <c r="D6745" s="0" t="n">
        <f aca="false">INDEX(Intent_Analysis!$E$5:$E$81,MATCH(B6745,Intent_Analysis!$A$5:$A$81,0))</f>
        <v>2</v>
      </c>
    </row>
    <row r="6746" customFormat="false" ht="15" hidden="false" customHeight="false" outlineLevel="0" collapsed="false">
      <c r="A6746" s="0" t="s">
        <v>7070</v>
      </c>
      <c r="B6746" s="0" t="s">
        <v>57</v>
      </c>
      <c r="C6746" s="0" t="str">
        <f aca="false">INDEX(Intent_Analysis!$B$5:$B$81,MATCH(B6746,Intent_Analysis!$A$5:$A$81,0))</f>
        <v>Card payments &amp; refunds</v>
      </c>
      <c r="D6746" s="0" t="n">
        <f aca="false">INDEX(Intent_Analysis!$E$5:$E$81,MATCH(B6746,Intent_Analysis!$A$5:$A$81,0))</f>
        <v>2</v>
      </c>
    </row>
    <row r="6747" customFormat="false" ht="15" hidden="false" customHeight="false" outlineLevel="0" collapsed="false">
      <c r="A6747" s="0" t="s">
        <v>7071</v>
      </c>
      <c r="B6747" s="0" t="s">
        <v>57</v>
      </c>
      <c r="C6747" s="0" t="str">
        <f aca="false">INDEX(Intent_Analysis!$B$5:$B$81,MATCH(B6747,Intent_Analysis!$A$5:$A$81,0))</f>
        <v>Card payments &amp; refunds</v>
      </c>
      <c r="D6747" s="0" t="n">
        <f aca="false">INDEX(Intent_Analysis!$E$5:$E$81,MATCH(B6747,Intent_Analysis!$A$5:$A$81,0))</f>
        <v>2</v>
      </c>
    </row>
    <row r="6748" customFormat="false" ht="15" hidden="false" customHeight="false" outlineLevel="0" collapsed="false">
      <c r="A6748" s="0" t="s">
        <v>7072</v>
      </c>
      <c r="B6748" s="0" t="s">
        <v>57</v>
      </c>
      <c r="C6748" s="0" t="str">
        <f aca="false">INDEX(Intent_Analysis!$B$5:$B$81,MATCH(B6748,Intent_Analysis!$A$5:$A$81,0))</f>
        <v>Card payments &amp; refunds</v>
      </c>
      <c r="D6748" s="0" t="n">
        <f aca="false">INDEX(Intent_Analysis!$E$5:$E$81,MATCH(B6748,Intent_Analysis!$A$5:$A$81,0))</f>
        <v>2</v>
      </c>
    </row>
    <row r="6749" customFormat="false" ht="15" hidden="false" customHeight="false" outlineLevel="0" collapsed="false">
      <c r="A6749" s="0" t="s">
        <v>7073</v>
      </c>
      <c r="B6749" s="0" t="s">
        <v>57</v>
      </c>
      <c r="C6749" s="0" t="str">
        <f aca="false">INDEX(Intent_Analysis!$B$5:$B$81,MATCH(B6749,Intent_Analysis!$A$5:$A$81,0))</f>
        <v>Card payments &amp; refunds</v>
      </c>
      <c r="D6749" s="0" t="n">
        <f aca="false">INDEX(Intent_Analysis!$E$5:$E$81,MATCH(B6749,Intent_Analysis!$A$5:$A$81,0))</f>
        <v>2</v>
      </c>
    </row>
    <row r="6750" customFormat="false" ht="15" hidden="false" customHeight="false" outlineLevel="0" collapsed="false">
      <c r="A6750" s="0" t="s">
        <v>7074</v>
      </c>
      <c r="B6750" s="0" t="s">
        <v>57</v>
      </c>
      <c r="C6750" s="0" t="str">
        <f aca="false">INDEX(Intent_Analysis!$B$5:$B$81,MATCH(B6750,Intent_Analysis!$A$5:$A$81,0))</f>
        <v>Card payments &amp; refunds</v>
      </c>
      <c r="D6750" s="0" t="n">
        <f aca="false">INDEX(Intent_Analysis!$E$5:$E$81,MATCH(B6750,Intent_Analysis!$A$5:$A$81,0))</f>
        <v>2</v>
      </c>
    </row>
    <row r="6751" customFormat="false" ht="15" hidden="false" customHeight="false" outlineLevel="0" collapsed="false">
      <c r="A6751" s="0" t="s">
        <v>7075</v>
      </c>
      <c r="B6751" s="0" t="s">
        <v>57</v>
      </c>
      <c r="C6751" s="0" t="str">
        <f aca="false">INDEX(Intent_Analysis!$B$5:$B$81,MATCH(B6751,Intent_Analysis!$A$5:$A$81,0))</f>
        <v>Card payments &amp; refunds</v>
      </c>
      <c r="D6751" s="0" t="n">
        <f aca="false">INDEX(Intent_Analysis!$E$5:$E$81,MATCH(B6751,Intent_Analysis!$A$5:$A$81,0))</f>
        <v>2</v>
      </c>
    </row>
    <row r="6752" customFormat="false" ht="15" hidden="false" customHeight="false" outlineLevel="0" collapsed="false">
      <c r="A6752" s="0" t="s">
        <v>7076</v>
      </c>
      <c r="B6752" s="0" t="s">
        <v>57</v>
      </c>
      <c r="C6752" s="0" t="str">
        <f aca="false">INDEX(Intent_Analysis!$B$5:$B$81,MATCH(B6752,Intent_Analysis!$A$5:$A$81,0))</f>
        <v>Card payments &amp; refunds</v>
      </c>
      <c r="D6752" s="0" t="n">
        <f aca="false">INDEX(Intent_Analysis!$E$5:$E$81,MATCH(B6752,Intent_Analysis!$A$5:$A$81,0))</f>
        <v>2</v>
      </c>
    </row>
    <row r="6753" customFormat="false" ht="15" hidden="false" customHeight="false" outlineLevel="0" collapsed="false">
      <c r="A6753" s="0" t="s">
        <v>7077</v>
      </c>
      <c r="B6753" s="0" t="s">
        <v>57</v>
      </c>
      <c r="C6753" s="0" t="str">
        <f aca="false">INDEX(Intent_Analysis!$B$5:$B$81,MATCH(B6753,Intent_Analysis!$A$5:$A$81,0))</f>
        <v>Card payments &amp; refunds</v>
      </c>
      <c r="D6753" s="0" t="n">
        <f aca="false">INDEX(Intent_Analysis!$E$5:$E$81,MATCH(B6753,Intent_Analysis!$A$5:$A$81,0))</f>
        <v>2</v>
      </c>
    </row>
    <row r="6754" customFormat="false" ht="15" hidden="false" customHeight="false" outlineLevel="0" collapsed="false">
      <c r="A6754" s="0" t="s">
        <v>7078</v>
      </c>
      <c r="B6754" s="0" t="s">
        <v>57</v>
      </c>
      <c r="C6754" s="0" t="str">
        <f aca="false">INDEX(Intent_Analysis!$B$5:$B$81,MATCH(B6754,Intent_Analysis!$A$5:$A$81,0))</f>
        <v>Card payments &amp; refunds</v>
      </c>
      <c r="D6754" s="0" t="n">
        <f aca="false">INDEX(Intent_Analysis!$E$5:$E$81,MATCH(B6754,Intent_Analysis!$A$5:$A$81,0))</f>
        <v>2</v>
      </c>
    </row>
    <row r="6755" customFormat="false" ht="15" hidden="false" customHeight="false" outlineLevel="0" collapsed="false">
      <c r="A6755" s="0" t="s">
        <v>7079</v>
      </c>
      <c r="B6755" s="0" t="s">
        <v>57</v>
      </c>
      <c r="C6755" s="0" t="str">
        <f aca="false">INDEX(Intent_Analysis!$B$5:$B$81,MATCH(B6755,Intent_Analysis!$A$5:$A$81,0))</f>
        <v>Card payments &amp; refunds</v>
      </c>
      <c r="D6755" s="0" t="n">
        <f aca="false">INDEX(Intent_Analysis!$E$5:$E$81,MATCH(B6755,Intent_Analysis!$A$5:$A$81,0))</f>
        <v>2</v>
      </c>
    </row>
    <row r="6756" customFormat="false" ht="15" hidden="false" customHeight="false" outlineLevel="0" collapsed="false">
      <c r="A6756" s="0" t="s">
        <v>7080</v>
      </c>
      <c r="B6756" s="0" t="s">
        <v>57</v>
      </c>
      <c r="C6756" s="0" t="str">
        <f aca="false">INDEX(Intent_Analysis!$B$5:$B$81,MATCH(B6756,Intent_Analysis!$A$5:$A$81,0))</f>
        <v>Card payments &amp; refunds</v>
      </c>
      <c r="D6756" s="0" t="n">
        <f aca="false">INDEX(Intent_Analysis!$E$5:$E$81,MATCH(B6756,Intent_Analysis!$A$5:$A$81,0))</f>
        <v>2</v>
      </c>
    </row>
    <row r="6757" customFormat="false" ht="15" hidden="false" customHeight="false" outlineLevel="0" collapsed="false">
      <c r="A6757" s="0" t="s">
        <v>7081</v>
      </c>
      <c r="B6757" s="0" t="s">
        <v>57</v>
      </c>
      <c r="C6757" s="0" t="str">
        <f aca="false">INDEX(Intent_Analysis!$B$5:$B$81,MATCH(B6757,Intent_Analysis!$A$5:$A$81,0))</f>
        <v>Card payments &amp; refunds</v>
      </c>
      <c r="D6757" s="0" t="n">
        <f aca="false">INDEX(Intent_Analysis!$E$5:$E$81,MATCH(B6757,Intent_Analysis!$A$5:$A$81,0))</f>
        <v>2</v>
      </c>
    </row>
    <row r="6758" customFormat="false" ht="15" hidden="false" customHeight="false" outlineLevel="0" collapsed="false">
      <c r="A6758" s="0" t="s">
        <v>7082</v>
      </c>
      <c r="B6758" s="0" t="s">
        <v>57</v>
      </c>
      <c r="C6758" s="0" t="str">
        <f aca="false">INDEX(Intent_Analysis!$B$5:$B$81,MATCH(B6758,Intent_Analysis!$A$5:$A$81,0))</f>
        <v>Card payments &amp; refunds</v>
      </c>
      <c r="D6758" s="0" t="n">
        <f aca="false">INDEX(Intent_Analysis!$E$5:$E$81,MATCH(B6758,Intent_Analysis!$A$5:$A$81,0))</f>
        <v>2</v>
      </c>
    </row>
    <row r="6759" customFormat="false" ht="15" hidden="false" customHeight="false" outlineLevel="0" collapsed="false">
      <c r="A6759" s="0" t="s">
        <v>7083</v>
      </c>
      <c r="B6759" s="0" t="s">
        <v>57</v>
      </c>
      <c r="C6759" s="0" t="str">
        <f aca="false">INDEX(Intent_Analysis!$B$5:$B$81,MATCH(B6759,Intent_Analysis!$A$5:$A$81,0))</f>
        <v>Card payments &amp; refunds</v>
      </c>
      <c r="D6759" s="0" t="n">
        <f aca="false">INDEX(Intent_Analysis!$E$5:$E$81,MATCH(B6759,Intent_Analysis!$A$5:$A$81,0))</f>
        <v>2</v>
      </c>
    </row>
    <row r="6760" customFormat="false" ht="15" hidden="false" customHeight="false" outlineLevel="0" collapsed="false">
      <c r="A6760" s="0" t="s">
        <v>7084</v>
      </c>
      <c r="B6760" s="0" t="s">
        <v>57</v>
      </c>
      <c r="C6760" s="0" t="str">
        <f aca="false">INDEX(Intent_Analysis!$B$5:$B$81,MATCH(B6760,Intent_Analysis!$A$5:$A$81,0))</f>
        <v>Card payments &amp; refunds</v>
      </c>
      <c r="D6760" s="0" t="n">
        <f aca="false">INDEX(Intent_Analysis!$E$5:$E$81,MATCH(B6760,Intent_Analysis!$A$5:$A$81,0))</f>
        <v>2</v>
      </c>
    </row>
    <row r="6761" customFormat="false" ht="15" hidden="false" customHeight="false" outlineLevel="0" collapsed="false">
      <c r="A6761" s="0" t="s">
        <v>7085</v>
      </c>
      <c r="B6761" s="0" t="s">
        <v>57</v>
      </c>
      <c r="C6761" s="0" t="str">
        <f aca="false">INDEX(Intent_Analysis!$B$5:$B$81,MATCH(B6761,Intent_Analysis!$A$5:$A$81,0))</f>
        <v>Card payments &amp; refunds</v>
      </c>
      <c r="D6761" s="0" t="n">
        <f aca="false">INDEX(Intent_Analysis!$E$5:$E$81,MATCH(B6761,Intent_Analysis!$A$5:$A$81,0))</f>
        <v>2</v>
      </c>
    </row>
    <row r="6762" customFormat="false" ht="15" hidden="false" customHeight="false" outlineLevel="0" collapsed="false">
      <c r="A6762" s="0" t="s">
        <v>7086</v>
      </c>
      <c r="B6762" s="0" t="s">
        <v>57</v>
      </c>
      <c r="C6762" s="0" t="str">
        <f aca="false">INDEX(Intent_Analysis!$B$5:$B$81,MATCH(B6762,Intent_Analysis!$A$5:$A$81,0))</f>
        <v>Card payments &amp; refunds</v>
      </c>
      <c r="D6762" s="0" t="n">
        <f aca="false">INDEX(Intent_Analysis!$E$5:$E$81,MATCH(B6762,Intent_Analysis!$A$5:$A$81,0))</f>
        <v>2</v>
      </c>
    </row>
    <row r="6763" customFormat="false" ht="15" hidden="false" customHeight="false" outlineLevel="0" collapsed="false">
      <c r="A6763" s="0" t="s">
        <v>7087</v>
      </c>
      <c r="B6763" s="0" t="s">
        <v>57</v>
      </c>
      <c r="C6763" s="0" t="str">
        <f aca="false">INDEX(Intent_Analysis!$B$5:$B$81,MATCH(B6763,Intent_Analysis!$A$5:$A$81,0))</f>
        <v>Card payments &amp; refunds</v>
      </c>
      <c r="D6763" s="0" t="n">
        <f aca="false">INDEX(Intent_Analysis!$E$5:$E$81,MATCH(B6763,Intent_Analysis!$A$5:$A$81,0))</f>
        <v>2</v>
      </c>
    </row>
    <row r="6764" customFormat="false" ht="15" hidden="false" customHeight="false" outlineLevel="0" collapsed="false">
      <c r="A6764" s="0" t="s">
        <v>7088</v>
      </c>
      <c r="B6764" s="0" t="s">
        <v>57</v>
      </c>
      <c r="C6764" s="0" t="str">
        <f aca="false">INDEX(Intent_Analysis!$B$5:$B$81,MATCH(B6764,Intent_Analysis!$A$5:$A$81,0))</f>
        <v>Card payments &amp; refunds</v>
      </c>
      <c r="D6764" s="0" t="n">
        <f aca="false">INDEX(Intent_Analysis!$E$5:$E$81,MATCH(B6764,Intent_Analysis!$A$5:$A$81,0))</f>
        <v>2</v>
      </c>
    </row>
    <row r="6765" customFormat="false" ht="15" hidden="false" customHeight="false" outlineLevel="0" collapsed="false">
      <c r="A6765" s="0" t="s">
        <v>7089</v>
      </c>
      <c r="B6765" s="0" t="s">
        <v>57</v>
      </c>
      <c r="C6765" s="0" t="str">
        <f aca="false">INDEX(Intent_Analysis!$B$5:$B$81,MATCH(B6765,Intent_Analysis!$A$5:$A$81,0))</f>
        <v>Card payments &amp; refunds</v>
      </c>
      <c r="D6765" s="0" t="n">
        <f aca="false">INDEX(Intent_Analysis!$E$5:$E$81,MATCH(B6765,Intent_Analysis!$A$5:$A$81,0))</f>
        <v>2</v>
      </c>
    </row>
    <row r="6766" customFormat="false" ht="15" hidden="false" customHeight="false" outlineLevel="0" collapsed="false">
      <c r="A6766" s="0" t="s">
        <v>7090</v>
      </c>
      <c r="B6766" s="0" t="s">
        <v>57</v>
      </c>
      <c r="C6766" s="0" t="str">
        <f aca="false">INDEX(Intent_Analysis!$B$5:$B$81,MATCH(B6766,Intent_Analysis!$A$5:$A$81,0))</f>
        <v>Card payments &amp; refunds</v>
      </c>
      <c r="D6766" s="0" t="n">
        <f aca="false">INDEX(Intent_Analysis!$E$5:$E$81,MATCH(B6766,Intent_Analysis!$A$5:$A$81,0))</f>
        <v>2</v>
      </c>
    </row>
    <row r="6767" customFormat="false" ht="15" hidden="false" customHeight="false" outlineLevel="0" collapsed="false">
      <c r="A6767" s="0" t="s">
        <v>7091</v>
      </c>
      <c r="B6767" s="0" t="s">
        <v>57</v>
      </c>
      <c r="C6767" s="0" t="str">
        <f aca="false">INDEX(Intent_Analysis!$B$5:$B$81,MATCH(B6767,Intent_Analysis!$A$5:$A$81,0))</f>
        <v>Card payments &amp; refunds</v>
      </c>
      <c r="D6767" s="0" t="n">
        <f aca="false">INDEX(Intent_Analysis!$E$5:$E$81,MATCH(B6767,Intent_Analysis!$A$5:$A$81,0))</f>
        <v>2</v>
      </c>
    </row>
    <row r="6768" customFormat="false" ht="15" hidden="false" customHeight="false" outlineLevel="0" collapsed="false">
      <c r="A6768" s="0" t="s">
        <v>7092</v>
      </c>
      <c r="B6768" s="0" t="s">
        <v>57</v>
      </c>
      <c r="C6768" s="0" t="str">
        <f aca="false">INDEX(Intent_Analysis!$B$5:$B$81,MATCH(B6768,Intent_Analysis!$A$5:$A$81,0))</f>
        <v>Card payments &amp; refunds</v>
      </c>
      <c r="D6768" s="0" t="n">
        <f aca="false">INDEX(Intent_Analysis!$E$5:$E$81,MATCH(B6768,Intent_Analysis!$A$5:$A$81,0))</f>
        <v>2</v>
      </c>
    </row>
    <row r="6769" customFormat="false" ht="15" hidden="false" customHeight="false" outlineLevel="0" collapsed="false">
      <c r="A6769" s="0" t="s">
        <v>7093</v>
      </c>
      <c r="B6769" s="0" t="s">
        <v>57</v>
      </c>
      <c r="C6769" s="0" t="str">
        <f aca="false">INDEX(Intent_Analysis!$B$5:$B$81,MATCH(B6769,Intent_Analysis!$A$5:$A$81,0))</f>
        <v>Card payments &amp; refunds</v>
      </c>
      <c r="D6769" s="0" t="n">
        <f aca="false">INDEX(Intent_Analysis!$E$5:$E$81,MATCH(B6769,Intent_Analysis!$A$5:$A$81,0))</f>
        <v>2</v>
      </c>
    </row>
    <row r="6770" customFormat="false" ht="15" hidden="false" customHeight="false" outlineLevel="0" collapsed="false">
      <c r="A6770" s="0" t="s">
        <v>7094</v>
      </c>
      <c r="B6770" s="0" t="s">
        <v>57</v>
      </c>
      <c r="C6770" s="0" t="str">
        <f aca="false">INDEX(Intent_Analysis!$B$5:$B$81,MATCH(B6770,Intent_Analysis!$A$5:$A$81,0))</f>
        <v>Card payments &amp; refunds</v>
      </c>
      <c r="D6770" s="0" t="n">
        <f aca="false">INDEX(Intent_Analysis!$E$5:$E$81,MATCH(B6770,Intent_Analysis!$A$5:$A$81,0))</f>
        <v>2</v>
      </c>
    </row>
    <row r="6771" customFormat="false" ht="15" hidden="false" customHeight="false" outlineLevel="0" collapsed="false">
      <c r="A6771" s="0" t="s">
        <v>7095</v>
      </c>
      <c r="B6771" s="0" t="s">
        <v>57</v>
      </c>
      <c r="C6771" s="0" t="str">
        <f aca="false">INDEX(Intent_Analysis!$B$5:$B$81,MATCH(B6771,Intent_Analysis!$A$5:$A$81,0))</f>
        <v>Card payments &amp; refunds</v>
      </c>
      <c r="D6771" s="0" t="n">
        <f aca="false">INDEX(Intent_Analysis!$E$5:$E$81,MATCH(B6771,Intent_Analysis!$A$5:$A$81,0))</f>
        <v>2</v>
      </c>
    </row>
    <row r="6772" customFormat="false" ht="15" hidden="false" customHeight="false" outlineLevel="0" collapsed="false">
      <c r="A6772" s="0" t="s">
        <v>7096</v>
      </c>
      <c r="B6772" s="0" t="s">
        <v>57</v>
      </c>
      <c r="C6772" s="0" t="str">
        <f aca="false">INDEX(Intent_Analysis!$B$5:$B$81,MATCH(B6772,Intent_Analysis!$A$5:$A$81,0))</f>
        <v>Card payments &amp; refunds</v>
      </c>
      <c r="D6772" s="0" t="n">
        <f aca="false">INDEX(Intent_Analysis!$E$5:$E$81,MATCH(B6772,Intent_Analysis!$A$5:$A$81,0))</f>
        <v>2</v>
      </c>
    </row>
    <row r="6773" customFormat="false" ht="15" hidden="false" customHeight="false" outlineLevel="0" collapsed="false">
      <c r="A6773" s="0" t="s">
        <v>7097</v>
      </c>
      <c r="B6773" s="0" t="s">
        <v>57</v>
      </c>
      <c r="C6773" s="0" t="str">
        <f aca="false">INDEX(Intent_Analysis!$B$5:$B$81,MATCH(B6773,Intent_Analysis!$A$5:$A$81,0))</f>
        <v>Card payments &amp; refunds</v>
      </c>
      <c r="D6773" s="0" t="n">
        <f aca="false">INDEX(Intent_Analysis!$E$5:$E$81,MATCH(B6773,Intent_Analysis!$A$5:$A$81,0))</f>
        <v>2</v>
      </c>
    </row>
    <row r="6774" customFormat="false" ht="15" hidden="false" customHeight="false" outlineLevel="0" collapsed="false">
      <c r="A6774" s="0" t="s">
        <v>7098</v>
      </c>
      <c r="B6774" s="0" t="s">
        <v>57</v>
      </c>
      <c r="C6774" s="0" t="str">
        <f aca="false">INDEX(Intent_Analysis!$B$5:$B$81,MATCH(B6774,Intent_Analysis!$A$5:$A$81,0))</f>
        <v>Card payments &amp; refunds</v>
      </c>
      <c r="D6774" s="0" t="n">
        <f aca="false">INDEX(Intent_Analysis!$E$5:$E$81,MATCH(B6774,Intent_Analysis!$A$5:$A$81,0))</f>
        <v>2</v>
      </c>
    </row>
    <row r="6775" customFormat="false" ht="15" hidden="false" customHeight="false" outlineLevel="0" collapsed="false">
      <c r="A6775" s="0" t="s">
        <v>7099</v>
      </c>
      <c r="B6775" s="0" t="s">
        <v>57</v>
      </c>
      <c r="C6775" s="0" t="str">
        <f aca="false">INDEX(Intent_Analysis!$B$5:$B$81,MATCH(B6775,Intent_Analysis!$A$5:$A$81,0))</f>
        <v>Card payments &amp; refunds</v>
      </c>
      <c r="D6775" s="0" t="n">
        <f aca="false">INDEX(Intent_Analysis!$E$5:$E$81,MATCH(B6775,Intent_Analysis!$A$5:$A$81,0))</f>
        <v>2</v>
      </c>
    </row>
    <row r="6776" customFormat="false" ht="15" hidden="false" customHeight="false" outlineLevel="0" collapsed="false">
      <c r="A6776" s="0" t="s">
        <v>7100</v>
      </c>
      <c r="B6776" s="0" t="s">
        <v>57</v>
      </c>
      <c r="C6776" s="0" t="str">
        <f aca="false">INDEX(Intent_Analysis!$B$5:$B$81,MATCH(B6776,Intent_Analysis!$A$5:$A$81,0))</f>
        <v>Card payments &amp; refunds</v>
      </c>
      <c r="D6776" s="0" t="n">
        <f aca="false">INDEX(Intent_Analysis!$E$5:$E$81,MATCH(B6776,Intent_Analysis!$A$5:$A$81,0))</f>
        <v>2</v>
      </c>
    </row>
    <row r="6777" customFormat="false" ht="15" hidden="false" customHeight="false" outlineLevel="0" collapsed="false">
      <c r="A6777" s="0" t="s">
        <v>7101</v>
      </c>
      <c r="B6777" s="0" t="s">
        <v>57</v>
      </c>
      <c r="C6777" s="0" t="str">
        <f aca="false">INDEX(Intent_Analysis!$B$5:$B$81,MATCH(B6777,Intent_Analysis!$A$5:$A$81,0))</f>
        <v>Card payments &amp; refunds</v>
      </c>
      <c r="D6777" s="0" t="n">
        <f aca="false">INDEX(Intent_Analysis!$E$5:$E$81,MATCH(B6777,Intent_Analysis!$A$5:$A$81,0))</f>
        <v>2</v>
      </c>
    </row>
    <row r="6778" customFormat="false" ht="15" hidden="false" customHeight="false" outlineLevel="0" collapsed="false">
      <c r="A6778" s="0" t="s">
        <v>7102</v>
      </c>
      <c r="B6778" s="0" t="s">
        <v>57</v>
      </c>
      <c r="C6778" s="0" t="str">
        <f aca="false">INDEX(Intent_Analysis!$B$5:$B$81,MATCH(B6778,Intent_Analysis!$A$5:$A$81,0))</f>
        <v>Card payments &amp; refunds</v>
      </c>
      <c r="D6778" s="0" t="n">
        <f aca="false">INDEX(Intent_Analysis!$E$5:$E$81,MATCH(B6778,Intent_Analysis!$A$5:$A$81,0))</f>
        <v>2</v>
      </c>
    </row>
    <row r="6779" customFormat="false" ht="15" hidden="false" customHeight="false" outlineLevel="0" collapsed="false">
      <c r="A6779" s="0" t="s">
        <v>7103</v>
      </c>
      <c r="B6779" s="0" t="s">
        <v>57</v>
      </c>
      <c r="C6779" s="0" t="str">
        <f aca="false">INDEX(Intent_Analysis!$B$5:$B$81,MATCH(B6779,Intent_Analysis!$A$5:$A$81,0))</f>
        <v>Card payments &amp; refunds</v>
      </c>
      <c r="D6779" s="0" t="n">
        <f aca="false">INDEX(Intent_Analysis!$E$5:$E$81,MATCH(B6779,Intent_Analysis!$A$5:$A$81,0))</f>
        <v>2</v>
      </c>
    </row>
    <row r="6780" customFormat="false" ht="15" hidden="false" customHeight="false" outlineLevel="0" collapsed="false">
      <c r="A6780" s="0" t="s">
        <v>7104</v>
      </c>
      <c r="B6780" s="0" t="s">
        <v>57</v>
      </c>
      <c r="C6780" s="0" t="str">
        <f aca="false">INDEX(Intent_Analysis!$B$5:$B$81,MATCH(B6780,Intent_Analysis!$A$5:$A$81,0))</f>
        <v>Card payments &amp; refunds</v>
      </c>
      <c r="D6780" s="0" t="n">
        <f aca="false">INDEX(Intent_Analysis!$E$5:$E$81,MATCH(B6780,Intent_Analysis!$A$5:$A$81,0))</f>
        <v>2</v>
      </c>
    </row>
    <row r="6781" customFormat="false" ht="15" hidden="false" customHeight="false" outlineLevel="0" collapsed="false">
      <c r="A6781" s="0" t="s">
        <v>7105</v>
      </c>
      <c r="B6781" s="0" t="s">
        <v>57</v>
      </c>
      <c r="C6781" s="0" t="str">
        <f aca="false">INDEX(Intent_Analysis!$B$5:$B$81,MATCH(B6781,Intent_Analysis!$A$5:$A$81,0))</f>
        <v>Card payments &amp; refunds</v>
      </c>
      <c r="D6781" s="0" t="n">
        <f aca="false">INDEX(Intent_Analysis!$E$5:$E$81,MATCH(B6781,Intent_Analysis!$A$5:$A$81,0))</f>
        <v>2</v>
      </c>
    </row>
    <row r="6782" customFormat="false" ht="15" hidden="false" customHeight="false" outlineLevel="0" collapsed="false">
      <c r="A6782" s="0" t="s">
        <v>7106</v>
      </c>
      <c r="B6782" s="0" t="s">
        <v>57</v>
      </c>
      <c r="C6782" s="0" t="str">
        <f aca="false">INDEX(Intent_Analysis!$B$5:$B$81,MATCH(B6782,Intent_Analysis!$A$5:$A$81,0))</f>
        <v>Card payments &amp; refunds</v>
      </c>
      <c r="D6782" s="0" t="n">
        <f aca="false">INDEX(Intent_Analysis!$E$5:$E$81,MATCH(B6782,Intent_Analysis!$A$5:$A$81,0))</f>
        <v>2</v>
      </c>
    </row>
    <row r="6783" customFormat="false" ht="15" hidden="false" customHeight="false" outlineLevel="0" collapsed="false">
      <c r="A6783" s="0" t="s">
        <v>7107</v>
      </c>
      <c r="B6783" s="0" t="s">
        <v>57</v>
      </c>
      <c r="C6783" s="0" t="str">
        <f aca="false">INDEX(Intent_Analysis!$B$5:$B$81,MATCH(B6783,Intent_Analysis!$A$5:$A$81,0))</f>
        <v>Card payments &amp; refunds</v>
      </c>
      <c r="D6783" s="0" t="n">
        <f aca="false">INDEX(Intent_Analysis!$E$5:$E$81,MATCH(B6783,Intent_Analysis!$A$5:$A$81,0))</f>
        <v>2</v>
      </c>
    </row>
    <row r="6784" customFormat="false" ht="15" hidden="false" customHeight="false" outlineLevel="0" collapsed="false">
      <c r="A6784" s="0" t="s">
        <v>7108</v>
      </c>
      <c r="B6784" s="0" t="s">
        <v>57</v>
      </c>
      <c r="C6784" s="0" t="str">
        <f aca="false">INDEX(Intent_Analysis!$B$5:$B$81,MATCH(B6784,Intent_Analysis!$A$5:$A$81,0))</f>
        <v>Card payments &amp; refunds</v>
      </c>
      <c r="D6784" s="0" t="n">
        <f aca="false">INDEX(Intent_Analysis!$E$5:$E$81,MATCH(B6784,Intent_Analysis!$A$5:$A$81,0))</f>
        <v>2</v>
      </c>
    </row>
    <row r="6785" customFormat="false" ht="15" hidden="false" customHeight="false" outlineLevel="0" collapsed="false">
      <c r="A6785" s="0" t="s">
        <v>7109</v>
      </c>
      <c r="B6785" s="0" t="s">
        <v>57</v>
      </c>
      <c r="C6785" s="0" t="str">
        <f aca="false">INDEX(Intent_Analysis!$B$5:$B$81,MATCH(B6785,Intent_Analysis!$A$5:$A$81,0))</f>
        <v>Card payments &amp; refunds</v>
      </c>
      <c r="D6785" s="0" t="n">
        <f aca="false">INDEX(Intent_Analysis!$E$5:$E$81,MATCH(B6785,Intent_Analysis!$A$5:$A$81,0))</f>
        <v>2</v>
      </c>
    </row>
    <row r="6786" customFormat="false" ht="15" hidden="false" customHeight="false" outlineLevel="0" collapsed="false">
      <c r="A6786" s="0" t="s">
        <v>7110</v>
      </c>
      <c r="B6786" s="0" t="s">
        <v>57</v>
      </c>
      <c r="C6786" s="0" t="str">
        <f aca="false">INDEX(Intent_Analysis!$B$5:$B$81,MATCH(B6786,Intent_Analysis!$A$5:$A$81,0))</f>
        <v>Card payments &amp; refunds</v>
      </c>
      <c r="D6786" s="0" t="n">
        <f aca="false">INDEX(Intent_Analysis!$E$5:$E$81,MATCH(B6786,Intent_Analysis!$A$5:$A$81,0))</f>
        <v>2</v>
      </c>
    </row>
    <row r="6787" customFormat="false" ht="15" hidden="false" customHeight="false" outlineLevel="0" collapsed="false">
      <c r="A6787" s="0" t="s">
        <v>7111</v>
      </c>
      <c r="B6787" s="0" t="s">
        <v>57</v>
      </c>
      <c r="C6787" s="0" t="str">
        <f aca="false">INDEX(Intent_Analysis!$B$5:$B$81,MATCH(B6787,Intent_Analysis!$A$5:$A$81,0))</f>
        <v>Card payments &amp; refunds</v>
      </c>
      <c r="D6787" s="0" t="n">
        <f aca="false">INDEX(Intent_Analysis!$E$5:$E$81,MATCH(B6787,Intent_Analysis!$A$5:$A$81,0))</f>
        <v>2</v>
      </c>
    </row>
    <row r="6788" customFormat="false" ht="15" hidden="false" customHeight="false" outlineLevel="0" collapsed="false">
      <c r="A6788" s="0" t="s">
        <v>7112</v>
      </c>
      <c r="B6788" s="0" t="s">
        <v>57</v>
      </c>
      <c r="C6788" s="0" t="str">
        <f aca="false">INDEX(Intent_Analysis!$B$5:$B$81,MATCH(B6788,Intent_Analysis!$A$5:$A$81,0))</f>
        <v>Card payments &amp; refunds</v>
      </c>
      <c r="D6788" s="0" t="n">
        <f aca="false">INDEX(Intent_Analysis!$E$5:$E$81,MATCH(B6788,Intent_Analysis!$A$5:$A$81,0))</f>
        <v>2</v>
      </c>
    </row>
    <row r="6789" customFormat="false" ht="15" hidden="false" customHeight="false" outlineLevel="0" collapsed="false">
      <c r="A6789" s="0" t="s">
        <v>7113</v>
      </c>
      <c r="B6789" s="0" t="s">
        <v>57</v>
      </c>
      <c r="C6789" s="0" t="str">
        <f aca="false">INDEX(Intent_Analysis!$B$5:$B$81,MATCH(B6789,Intent_Analysis!$A$5:$A$81,0))</f>
        <v>Card payments &amp; refunds</v>
      </c>
      <c r="D6789" s="0" t="n">
        <f aca="false">INDEX(Intent_Analysis!$E$5:$E$81,MATCH(B6789,Intent_Analysis!$A$5:$A$81,0))</f>
        <v>2</v>
      </c>
    </row>
    <row r="6790" customFormat="false" ht="15" hidden="false" customHeight="false" outlineLevel="0" collapsed="false">
      <c r="A6790" s="0" t="s">
        <v>7114</v>
      </c>
      <c r="B6790" s="0" t="s">
        <v>57</v>
      </c>
      <c r="C6790" s="0" t="str">
        <f aca="false">INDEX(Intent_Analysis!$B$5:$B$81,MATCH(B6790,Intent_Analysis!$A$5:$A$81,0))</f>
        <v>Card payments &amp; refunds</v>
      </c>
      <c r="D6790" s="0" t="n">
        <f aca="false">INDEX(Intent_Analysis!$E$5:$E$81,MATCH(B6790,Intent_Analysis!$A$5:$A$81,0))</f>
        <v>2</v>
      </c>
    </row>
    <row r="6791" customFormat="false" ht="15" hidden="false" customHeight="false" outlineLevel="0" collapsed="false">
      <c r="A6791" s="0" t="s">
        <v>7115</v>
      </c>
      <c r="B6791" s="0" t="s">
        <v>57</v>
      </c>
      <c r="C6791" s="0" t="str">
        <f aca="false">INDEX(Intent_Analysis!$B$5:$B$81,MATCH(B6791,Intent_Analysis!$A$5:$A$81,0))</f>
        <v>Card payments &amp; refunds</v>
      </c>
      <c r="D6791" s="0" t="n">
        <f aca="false">INDEX(Intent_Analysis!$E$5:$E$81,MATCH(B6791,Intent_Analysis!$A$5:$A$81,0))</f>
        <v>2</v>
      </c>
    </row>
    <row r="6792" customFormat="false" ht="15" hidden="false" customHeight="false" outlineLevel="0" collapsed="false">
      <c r="A6792" s="0" t="s">
        <v>7116</v>
      </c>
      <c r="B6792" s="0" t="s">
        <v>57</v>
      </c>
      <c r="C6792" s="0" t="str">
        <f aca="false">INDEX(Intent_Analysis!$B$5:$B$81,MATCH(B6792,Intent_Analysis!$A$5:$A$81,0))</f>
        <v>Card payments &amp; refunds</v>
      </c>
      <c r="D6792" s="0" t="n">
        <f aca="false">INDEX(Intent_Analysis!$E$5:$E$81,MATCH(B6792,Intent_Analysis!$A$5:$A$81,0))</f>
        <v>2</v>
      </c>
    </row>
    <row r="6793" customFormat="false" ht="15" hidden="false" customHeight="false" outlineLevel="0" collapsed="false">
      <c r="A6793" s="0" t="s">
        <v>7117</v>
      </c>
      <c r="B6793" s="0" t="s">
        <v>57</v>
      </c>
      <c r="C6793" s="0" t="str">
        <f aca="false">INDEX(Intent_Analysis!$B$5:$B$81,MATCH(B6793,Intent_Analysis!$A$5:$A$81,0))</f>
        <v>Card payments &amp; refunds</v>
      </c>
      <c r="D6793" s="0" t="n">
        <f aca="false">INDEX(Intent_Analysis!$E$5:$E$81,MATCH(B6793,Intent_Analysis!$A$5:$A$81,0))</f>
        <v>2</v>
      </c>
    </row>
    <row r="6794" customFormat="false" ht="15" hidden="false" customHeight="false" outlineLevel="0" collapsed="false">
      <c r="A6794" s="0" t="s">
        <v>7118</v>
      </c>
      <c r="B6794" s="0" t="s">
        <v>57</v>
      </c>
      <c r="C6794" s="0" t="str">
        <f aca="false">INDEX(Intent_Analysis!$B$5:$B$81,MATCH(B6794,Intent_Analysis!$A$5:$A$81,0))</f>
        <v>Card payments &amp; refunds</v>
      </c>
      <c r="D6794" s="0" t="n">
        <f aca="false">INDEX(Intent_Analysis!$E$5:$E$81,MATCH(B6794,Intent_Analysis!$A$5:$A$81,0))</f>
        <v>2</v>
      </c>
    </row>
    <row r="6795" customFormat="false" ht="15" hidden="false" customHeight="false" outlineLevel="0" collapsed="false">
      <c r="A6795" s="0" t="s">
        <v>7119</v>
      </c>
      <c r="B6795" s="0" t="s">
        <v>57</v>
      </c>
      <c r="C6795" s="0" t="str">
        <f aca="false">INDEX(Intent_Analysis!$B$5:$B$81,MATCH(B6795,Intent_Analysis!$A$5:$A$81,0))</f>
        <v>Card payments &amp; refunds</v>
      </c>
      <c r="D6795" s="0" t="n">
        <f aca="false">INDEX(Intent_Analysis!$E$5:$E$81,MATCH(B6795,Intent_Analysis!$A$5:$A$81,0))</f>
        <v>2</v>
      </c>
    </row>
    <row r="6796" customFormat="false" ht="15" hidden="false" customHeight="false" outlineLevel="0" collapsed="false">
      <c r="A6796" s="0" t="s">
        <v>7120</v>
      </c>
      <c r="B6796" s="0" t="s">
        <v>57</v>
      </c>
      <c r="C6796" s="0" t="str">
        <f aca="false">INDEX(Intent_Analysis!$B$5:$B$81,MATCH(B6796,Intent_Analysis!$A$5:$A$81,0))</f>
        <v>Card payments &amp; refunds</v>
      </c>
      <c r="D6796" s="0" t="n">
        <f aca="false">INDEX(Intent_Analysis!$E$5:$E$81,MATCH(B6796,Intent_Analysis!$A$5:$A$81,0))</f>
        <v>2</v>
      </c>
    </row>
    <row r="6797" customFormat="false" ht="15" hidden="false" customHeight="false" outlineLevel="0" collapsed="false">
      <c r="A6797" s="0" t="s">
        <v>7121</v>
      </c>
      <c r="B6797" s="0" t="s">
        <v>57</v>
      </c>
      <c r="C6797" s="0" t="str">
        <f aca="false">INDEX(Intent_Analysis!$B$5:$B$81,MATCH(B6797,Intent_Analysis!$A$5:$A$81,0))</f>
        <v>Card payments &amp; refunds</v>
      </c>
      <c r="D6797" s="0" t="n">
        <f aca="false">INDEX(Intent_Analysis!$E$5:$E$81,MATCH(B6797,Intent_Analysis!$A$5:$A$81,0))</f>
        <v>2</v>
      </c>
    </row>
    <row r="6798" customFormat="false" ht="15" hidden="false" customHeight="false" outlineLevel="0" collapsed="false">
      <c r="A6798" s="0" t="s">
        <v>7122</v>
      </c>
      <c r="B6798" s="0" t="s">
        <v>57</v>
      </c>
      <c r="C6798" s="0" t="str">
        <f aca="false">INDEX(Intent_Analysis!$B$5:$B$81,MATCH(B6798,Intent_Analysis!$A$5:$A$81,0))</f>
        <v>Card payments &amp; refunds</v>
      </c>
      <c r="D6798" s="0" t="n">
        <f aca="false">INDEX(Intent_Analysis!$E$5:$E$81,MATCH(B6798,Intent_Analysis!$A$5:$A$81,0))</f>
        <v>2</v>
      </c>
    </row>
    <row r="6799" customFormat="false" ht="15" hidden="false" customHeight="false" outlineLevel="0" collapsed="false">
      <c r="A6799" s="0" t="s">
        <v>7123</v>
      </c>
      <c r="B6799" s="0" t="s">
        <v>57</v>
      </c>
      <c r="C6799" s="0" t="str">
        <f aca="false">INDEX(Intent_Analysis!$B$5:$B$81,MATCH(B6799,Intent_Analysis!$A$5:$A$81,0))</f>
        <v>Card payments &amp; refunds</v>
      </c>
      <c r="D6799" s="0" t="n">
        <f aca="false">INDEX(Intent_Analysis!$E$5:$E$81,MATCH(B6799,Intent_Analysis!$A$5:$A$81,0))</f>
        <v>2</v>
      </c>
    </row>
    <row r="6800" customFormat="false" ht="15" hidden="false" customHeight="false" outlineLevel="0" collapsed="false">
      <c r="A6800" s="0" t="s">
        <v>7124</v>
      </c>
      <c r="B6800" s="0" t="s">
        <v>57</v>
      </c>
      <c r="C6800" s="0" t="str">
        <f aca="false">INDEX(Intent_Analysis!$B$5:$B$81,MATCH(B6800,Intent_Analysis!$A$5:$A$81,0))</f>
        <v>Card payments &amp; refunds</v>
      </c>
      <c r="D6800" s="0" t="n">
        <f aca="false">INDEX(Intent_Analysis!$E$5:$E$81,MATCH(B6800,Intent_Analysis!$A$5:$A$81,0))</f>
        <v>2</v>
      </c>
    </row>
    <row r="6801" customFormat="false" ht="15" hidden="false" customHeight="false" outlineLevel="0" collapsed="false">
      <c r="A6801" s="0" t="s">
        <v>7125</v>
      </c>
      <c r="B6801" s="0" t="s">
        <v>57</v>
      </c>
      <c r="C6801" s="0" t="str">
        <f aca="false">INDEX(Intent_Analysis!$B$5:$B$81,MATCH(B6801,Intent_Analysis!$A$5:$A$81,0))</f>
        <v>Card payments &amp; refunds</v>
      </c>
      <c r="D6801" s="0" t="n">
        <f aca="false">INDEX(Intent_Analysis!$E$5:$E$81,MATCH(B6801,Intent_Analysis!$A$5:$A$81,0))</f>
        <v>2</v>
      </c>
    </row>
    <row r="6802" customFormat="false" ht="15" hidden="false" customHeight="false" outlineLevel="0" collapsed="false">
      <c r="A6802" s="0" t="s">
        <v>7126</v>
      </c>
      <c r="B6802" s="0" t="s">
        <v>57</v>
      </c>
      <c r="C6802" s="0" t="str">
        <f aca="false">INDEX(Intent_Analysis!$B$5:$B$81,MATCH(B6802,Intent_Analysis!$A$5:$A$81,0))</f>
        <v>Card payments &amp; refunds</v>
      </c>
      <c r="D6802" s="0" t="n">
        <f aca="false">INDEX(Intent_Analysis!$E$5:$E$81,MATCH(B6802,Intent_Analysis!$A$5:$A$81,0))</f>
        <v>2</v>
      </c>
    </row>
    <row r="6803" customFormat="false" ht="15" hidden="false" customHeight="false" outlineLevel="0" collapsed="false">
      <c r="A6803" s="0" t="s">
        <v>7127</v>
      </c>
      <c r="B6803" s="0" t="s">
        <v>57</v>
      </c>
      <c r="C6803" s="0" t="str">
        <f aca="false">INDEX(Intent_Analysis!$B$5:$B$81,MATCH(B6803,Intent_Analysis!$A$5:$A$81,0))</f>
        <v>Card payments &amp; refunds</v>
      </c>
      <c r="D6803" s="0" t="n">
        <f aca="false">INDEX(Intent_Analysis!$E$5:$E$81,MATCH(B6803,Intent_Analysis!$A$5:$A$81,0))</f>
        <v>2</v>
      </c>
    </row>
    <row r="6804" customFormat="false" ht="15" hidden="false" customHeight="false" outlineLevel="0" collapsed="false">
      <c r="A6804" s="0" t="s">
        <v>7128</v>
      </c>
      <c r="B6804" s="0" t="s">
        <v>57</v>
      </c>
      <c r="C6804" s="0" t="str">
        <f aca="false">INDEX(Intent_Analysis!$B$5:$B$81,MATCH(B6804,Intent_Analysis!$A$5:$A$81,0))</f>
        <v>Card payments &amp; refunds</v>
      </c>
      <c r="D6804" s="0" t="n">
        <f aca="false">INDEX(Intent_Analysis!$E$5:$E$81,MATCH(B6804,Intent_Analysis!$A$5:$A$81,0))</f>
        <v>2</v>
      </c>
    </row>
    <row r="6805" customFormat="false" ht="15" hidden="false" customHeight="false" outlineLevel="0" collapsed="false">
      <c r="A6805" s="0" t="s">
        <v>7129</v>
      </c>
      <c r="B6805" s="0" t="s">
        <v>57</v>
      </c>
      <c r="C6805" s="0" t="str">
        <f aca="false">INDEX(Intent_Analysis!$B$5:$B$81,MATCH(B6805,Intent_Analysis!$A$5:$A$81,0))</f>
        <v>Card payments &amp; refunds</v>
      </c>
      <c r="D6805" s="0" t="n">
        <f aca="false">INDEX(Intent_Analysis!$E$5:$E$81,MATCH(B6805,Intent_Analysis!$A$5:$A$81,0))</f>
        <v>2</v>
      </c>
    </row>
    <row r="6806" customFormat="false" ht="15" hidden="false" customHeight="false" outlineLevel="0" collapsed="false">
      <c r="A6806" s="0" t="s">
        <v>7130</v>
      </c>
      <c r="B6806" s="0" t="s">
        <v>57</v>
      </c>
      <c r="C6806" s="0" t="str">
        <f aca="false">INDEX(Intent_Analysis!$B$5:$B$81,MATCH(B6806,Intent_Analysis!$A$5:$A$81,0))</f>
        <v>Card payments &amp; refunds</v>
      </c>
      <c r="D6806" s="0" t="n">
        <f aca="false">INDEX(Intent_Analysis!$E$5:$E$81,MATCH(B6806,Intent_Analysis!$A$5:$A$81,0))</f>
        <v>2</v>
      </c>
    </row>
    <row r="6807" customFormat="false" ht="15" hidden="false" customHeight="false" outlineLevel="0" collapsed="false">
      <c r="A6807" s="0" t="s">
        <v>7131</v>
      </c>
      <c r="B6807" s="0" t="s">
        <v>57</v>
      </c>
      <c r="C6807" s="0" t="str">
        <f aca="false">INDEX(Intent_Analysis!$B$5:$B$81,MATCH(B6807,Intent_Analysis!$A$5:$A$81,0))</f>
        <v>Card payments &amp; refunds</v>
      </c>
      <c r="D6807" s="0" t="n">
        <f aca="false">INDEX(Intent_Analysis!$E$5:$E$81,MATCH(B6807,Intent_Analysis!$A$5:$A$81,0))</f>
        <v>2</v>
      </c>
    </row>
    <row r="6808" customFormat="false" ht="15" hidden="false" customHeight="false" outlineLevel="0" collapsed="false">
      <c r="A6808" s="0" t="s">
        <v>7132</v>
      </c>
      <c r="B6808" s="0" t="s">
        <v>57</v>
      </c>
      <c r="C6808" s="0" t="str">
        <f aca="false">INDEX(Intent_Analysis!$B$5:$B$81,MATCH(B6808,Intent_Analysis!$A$5:$A$81,0))</f>
        <v>Card payments &amp; refunds</v>
      </c>
      <c r="D6808" s="0" t="n">
        <f aca="false">INDEX(Intent_Analysis!$E$5:$E$81,MATCH(B6808,Intent_Analysis!$A$5:$A$81,0))</f>
        <v>2</v>
      </c>
    </row>
    <row r="6809" customFormat="false" ht="15" hidden="false" customHeight="false" outlineLevel="0" collapsed="false">
      <c r="A6809" s="0" t="s">
        <v>7133</v>
      </c>
      <c r="B6809" s="0" t="s">
        <v>57</v>
      </c>
      <c r="C6809" s="0" t="str">
        <f aca="false">INDEX(Intent_Analysis!$B$5:$B$81,MATCH(B6809,Intent_Analysis!$A$5:$A$81,0))</f>
        <v>Card payments &amp; refunds</v>
      </c>
      <c r="D6809" s="0" t="n">
        <f aca="false">INDEX(Intent_Analysis!$E$5:$E$81,MATCH(B6809,Intent_Analysis!$A$5:$A$81,0))</f>
        <v>2</v>
      </c>
    </row>
    <row r="6810" customFormat="false" ht="15" hidden="false" customHeight="false" outlineLevel="0" collapsed="false">
      <c r="A6810" s="0" t="s">
        <v>7134</v>
      </c>
      <c r="B6810" s="0" t="s">
        <v>57</v>
      </c>
      <c r="C6810" s="0" t="str">
        <f aca="false">INDEX(Intent_Analysis!$B$5:$B$81,MATCH(B6810,Intent_Analysis!$A$5:$A$81,0))</f>
        <v>Card payments &amp; refunds</v>
      </c>
      <c r="D6810" s="0" t="n">
        <f aca="false">INDEX(Intent_Analysis!$E$5:$E$81,MATCH(B6810,Intent_Analysis!$A$5:$A$81,0))</f>
        <v>2</v>
      </c>
    </row>
    <row r="6811" customFormat="false" ht="15" hidden="false" customHeight="false" outlineLevel="0" collapsed="false">
      <c r="A6811" s="0" t="s">
        <v>7135</v>
      </c>
      <c r="B6811" s="0" t="s">
        <v>57</v>
      </c>
      <c r="C6811" s="0" t="str">
        <f aca="false">INDEX(Intent_Analysis!$B$5:$B$81,MATCH(B6811,Intent_Analysis!$A$5:$A$81,0))</f>
        <v>Card payments &amp; refunds</v>
      </c>
      <c r="D6811" s="0" t="n">
        <f aca="false">INDEX(Intent_Analysis!$E$5:$E$81,MATCH(B6811,Intent_Analysis!$A$5:$A$81,0))</f>
        <v>2</v>
      </c>
    </row>
    <row r="6812" customFormat="false" ht="15" hidden="false" customHeight="false" outlineLevel="0" collapsed="false">
      <c r="A6812" s="0" t="s">
        <v>7136</v>
      </c>
      <c r="B6812" s="0" t="s">
        <v>57</v>
      </c>
      <c r="C6812" s="0" t="str">
        <f aca="false">INDEX(Intent_Analysis!$B$5:$B$81,MATCH(B6812,Intent_Analysis!$A$5:$A$81,0))</f>
        <v>Card payments &amp; refunds</v>
      </c>
      <c r="D6812" s="0" t="n">
        <f aca="false">INDEX(Intent_Analysis!$E$5:$E$81,MATCH(B6812,Intent_Analysis!$A$5:$A$81,0))</f>
        <v>2</v>
      </c>
    </row>
    <row r="6813" customFormat="false" ht="15" hidden="false" customHeight="false" outlineLevel="0" collapsed="false">
      <c r="A6813" s="0" t="s">
        <v>7137</v>
      </c>
      <c r="B6813" s="0" t="s">
        <v>57</v>
      </c>
      <c r="C6813" s="0" t="str">
        <f aca="false">INDEX(Intent_Analysis!$B$5:$B$81,MATCH(B6813,Intent_Analysis!$A$5:$A$81,0))</f>
        <v>Card payments &amp; refunds</v>
      </c>
      <c r="D6813" s="0" t="n">
        <f aca="false">INDEX(Intent_Analysis!$E$5:$E$81,MATCH(B6813,Intent_Analysis!$A$5:$A$81,0))</f>
        <v>2</v>
      </c>
    </row>
    <row r="6814" customFormat="false" ht="15" hidden="false" customHeight="false" outlineLevel="0" collapsed="false">
      <c r="A6814" s="0" t="s">
        <v>7138</v>
      </c>
      <c r="B6814" s="0" t="s">
        <v>57</v>
      </c>
      <c r="C6814" s="0" t="str">
        <f aca="false">INDEX(Intent_Analysis!$B$5:$B$81,MATCH(B6814,Intent_Analysis!$A$5:$A$81,0))</f>
        <v>Card payments &amp; refunds</v>
      </c>
      <c r="D6814" s="0" t="n">
        <f aca="false">INDEX(Intent_Analysis!$E$5:$E$81,MATCH(B6814,Intent_Analysis!$A$5:$A$81,0))</f>
        <v>2</v>
      </c>
    </row>
    <row r="6815" customFormat="false" ht="15" hidden="false" customHeight="false" outlineLevel="0" collapsed="false">
      <c r="A6815" s="0" t="s">
        <v>7139</v>
      </c>
      <c r="B6815" s="0" t="s">
        <v>57</v>
      </c>
      <c r="C6815" s="0" t="str">
        <f aca="false">INDEX(Intent_Analysis!$B$5:$B$81,MATCH(B6815,Intent_Analysis!$A$5:$A$81,0))</f>
        <v>Card payments &amp; refunds</v>
      </c>
      <c r="D6815" s="0" t="n">
        <f aca="false">INDEX(Intent_Analysis!$E$5:$E$81,MATCH(B6815,Intent_Analysis!$A$5:$A$81,0))</f>
        <v>2</v>
      </c>
    </row>
    <row r="6816" customFormat="false" ht="15" hidden="false" customHeight="false" outlineLevel="0" collapsed="false">
      <c r="A6816" s="0" t="s">
        <v>7140</v>
      </c>
      <c r="B6816" s="0" t="s">
        <v>57</v>
      </c>
      <c r="C6816" s="0" t="str">
        <f aca="false">INDEX(Intent_Analysis!$B$5:$B$81,MATCH(B6816,Intent_Analysis!$A$5:$A$81,0))</f>
        <v>Card payments &amp; refunds</v>
      </c>
      <c r="D6816" s="0" t="n">
        <f aca="false">INDEX(Intent_Analysis!$E$5:$E$81,MATCH(B6816,Intent_Analysis!$A$5:$A$81,0))</f>
        <v>2</v>
      </c>
    </row>
    <row r="6817" customFormat="false" ht="15" hidden="false" customHeight="false" outlineLevel="0" collapsed="false">
      <c r="A6817" s="0" t="s">
        <v>7141</v>
      </c>
      <c r="B6817" s="0" t="s">
        <v>57</v>
      </c>
      <c r="C6817" s="0" t="str">
        <f aca="false">INDEX(Intent_Analysis!$B$5:$B$81,MATCH(B6817,Intent_Analysis!$A$5:$A$81,0))</f>
        <v>Card payments &amp; refunds</v>
      </c>
      <c r="D6817" s="0" t="n">
        <f aca="false">INDEX(Intent_Analysis!$E$5:$E$81,MATCH(B6817,Intent_Analysis!$A$5:$A$81,0))</f>
        <v>2</v>
      </c>
    </row>
    <row r="6818" customFormat="false" ht="15" hidden="false" customHeight="false" outlineLevel="0" collapsed="false">
      <c r="A6818" s="0" t="s">
        <v>7142</v>
      </c>
      <c r="B6818" s="0" t="s">
        <v>57</v>
      </c>
      <c r="C6818" s="0" t="str">
        <f aca="false">INDEX(Intent_Analysis!$B$5:$B$81,MATCH(B6818,Intent_Analysis!$A$5:$A$81,0))</f>
        <v>Card payments &amp; refunds</v>
      </c>
      <c r="D6818" s="0" t="n">
        <f aca="false">INDEX(Intent_Analysis!$E$5:$E$81,MATCH(B6818,Intent_Analysis!$A$5:$A$81,0))</f>
        <v>2</v>
      </c>
    </row>
    <row r="6819" customFormat="false" ht="15" hidden="false" customHeight="false" outlineLevel="0" collapsed="false">
      <c r="A6819" s="0" t="s">
        <v>7143</v>
      </c>
      <c r="B6819" s="0" t="s">
        <v>57</v>
      </c>
      <c r="C6819" s="0" t="str">
        <f aca="false">INDEX(Intent_Analysis!$B$5:$B$81,MATCH(B6819,Intent_Analysis!$A$5:$A$81,0))</f>
        <v>Card payments &amp; refunds</v>
      </c>
      <c r="D6819" s="0" t="n">
        <f aca="false">INDEX(Intent_Analysis!$E$5:$E$81,MATCH(B6819,Intent_Analysis!$A$5:$A$81,0))</f>
        <v>2</v>
      </c>
    </row>
    <row r="6820" customFormat="false" ht="15" hidden="false" customHeight="false" outlineLevel="0" collapsed="false">
      <c r="A6820" s="0" t="s">
        <v>7144</v>
      </c>
      <c r="B6820" s="0" t="s">
        <v>57</v>
      </c>
      <c r="C6820" s="0" t="str">
        <f aca="false">INDEX(Intent_Analysis!$B$5:$B$81,MATCH(B6820,Intent_Analysis!$A$5:$A$81,0))</f>
        <v>Card payments &amp; refunds</v>
      </c>
      <c r="D6820" s="0" t="n">
        <f aca="false">INDEX(Intent_Analysis!$E$5:$E$81,MATCH(B6820,Intent_Analysis!$A$5:$A$81,0))</f>
        <v>2</v>
      </c>
    </row>
    <row r="6821" customFormat="false" ht="15" hidden="false" customHeight="false" outlineLevel="0" collapsed="false">
      <c r="A6821" s="0" t="s">
        <v>7145</v>
      </c>
      <c r="B6821" s="0" t="s">
        <v>57</v>
      </c>
      <c r="C6821" s="0" t="str">
        <f aca="false">INDEX(Intent_Analysis!$B$5:$B$81,MATCH(B6821,Intent_Analysis!$A$5:$A$81,0))</f>
        <v>Card payments &amp; refunds</v>
      </c>
      <c r="D6821" s="0" t="n">
        <f aca="false">INDEX(Intent_Analysis!$E$5:$E$81,MATCH(B6821,Intent_Analysis!$A$5:$A$81,0))</f>
        <v>2</v>
      </c>
    </row>
    <row r="6822" customFormat="false" ht="15" hidden="false" customHeight="false" outlineLevel="0" collapsed="false">
      <c r="A6822" s="0" t="s">
        <v>7146</v>
      </c>
      <c r="B6822" s="0" t="s">
        <v>57</v>
      </c>
      <c r="C6822" s="0" t="str">
        <f aca="false">INDEX(Intent_Analysis!$B$5:$B$81,MATCH(B6822,Intent_Analysis!$A$5:$A$81,0))</f>
        <v>Card payments &amp; refunds</v>
      </c>
      <c r="D6822" s="0" t="n">
        <f aca="false">INDEX(Intent_Analysis!$E$5:$E$81,MATCH(B6822,Intent_Analysis!$A$5:$A$81,0))</f>
        <v>2</v>
      </c>
    </row>
    <row r="6823" customFormat="false" ht="15" hidden="false" customHeight="false" outlineLevel="0" collapsed="false">
      <c r="A6823" s="0" t="s">
        <v>7147</v>
      </c>
      <c r="B6823" s="0" t="s">
        <v>57</v>
      </c>
      <c r="C6823" s="0" t="str">
        <f aca="false">INDEX(Intent_Analysis!$B$5:$B$81,MATCH(B6823,Intent_Analysis!$A$5:$A$81,0))</f>
        <v>Card payments &amp; refunds</v>
      </c>
      <c r="D6823" s="0" t="n">
        <f aca="false">INDEX(Intent_Analysis!$E$5:$E$81,MATCH(B6823,Intent_Analysis!$A$5:$A$81,0))</f>
        <v>2</v>
      </c>
    </row>
    <row r="6824" customFormat="false" ht="15" hidden="false" customHeight="false" outlineLevel="0" collapsed="false">
      <c r="A6824" s="0" t="s">
        <v>7148</v>
      </c>
      <c r="B6824" s="0" t="s">
        <v>57</v>
      </c>
      <c r="C6824" s="0" t="str">
        <f aca="false">INDEX(Intent_Analysis!$B$5:$B$81,MATCH(B6824,Intent_Analysis!$A$5:$A$81,0))</f>
        <v>Card payments &amp; refunds</v>
      </c>
      <c r="D6824" s="0" t="n">
        <f aca="false">INDEX(Intent_Analysis!$E$5:$E$81,MATCH(B6824,Intent_Analysis!$A$5:$A$81,0))</f>
        <v>2</v>
      </c>
    </row>
    <row r="6825" customFormat="false" ht="15" hidden="false" customHeight="false" outlineLevel="0" collapsed="false">
      <c r="A6825" s="0" t="s">
        <v>7149</v>
      </c>
      <c r="B6825" s="0" t="s">
        <v>57</v>
      </c>
      <c r="C6825" s="0" t="str">
        <f aca="false">INDEX(Intent_Analysis!$B$5:$B$81,MATCH(B6825,Intent_Analysis!$A$5:$A$81,0))</f>
        <v>Card payments &amp; refunds</v>
      </c>
      <c r="D6825" s="0" t="n">
        <f aca="false">INDEX(Intent_Analysis!$E$5:$E$81,MATCH(B6825,Intent_Analysis!$A$5:$A$81,0))</f>
        <v>2</v>
      </c>
    </row>
    <row r="6826" customFormat="false" ht="15" hidden="false" customHeight="false" outlineLevel="0" collapsed="false">
      <c r="A6826" s="0" t="s">
        <v>7150</v>
      </c>
      <c r="B6826" s="0" t="s">
        <v>57</v>
      </c>
      <c r="C6826" s="0" t="str">
        <f aca="false">INDEX(Intent_Analysis!$B$5:$B$81,MATCH(B6826,Intent_Analysis!$A$5:$A$81,0))</f>
        <v>Card payments &amp; refunds</v>
      </c>
      <c r="D6826" s="0" t="n">
        <f aca="false">INDEX(Intent_Analysis!$E$5:$E$81,MATCH(B6826,Intent_Analysis!$A$5:$A$81,0))</f>
        <v>2</v>
      </c>
    </row>
    <row r="6827" customFormat="false" ht="15" hidden="false" customHeight="false" outlineLevel="0" collapsed="false">
      <c r="A6827" s="0" t="s">
        <v>7151</v>
      </c>
      <c r="B6827" s="0" t="s">
        <v>57</v>
      </c>
      <c r="C6827" s="0" t="str">
        <f aca="false">INDEX(Intent_Analysis!$B$5:$B$81,MATCH(B6827,Intent_Analysis!$A$5:$A$81,0))</f>
        <v>Card payments &amp; refunds</v>
      </c>
      <c r="D6827" s="0" t="n">
        <f aca="false">INDEX(Intent_Analysis!$E$5:$E$81,MATCH(B6827,Intent_Analysis!$A$5:$A$81,0))</f>
        <v>2</v>
      </c>
    </row>
    <row r="6828" customFormat="false" ht="15" hidden="false" customHeight="false" outlineLevel="0" collapsed="false">
      <c r="A6828" s="0" t="s">
        <v>7152</v>
      </c>
      <c r="B6828" s="0" t="s">
        <v>57</v>
      </c>
      <c r="C6828" s="0" t="str">
        <f aca="false">INDEX(Intent_Analysis!$B$5:$B$81,MATCH(B6828,Intent_Analysis!$A$5:$A$81,0))</f>
        <v>Card payments &amp; refunds</v>
      </c>
      <c r="D6828" s="0" t="n">
        <f aca="false">INDEX(Intent_Analysis!$E$5:$E$81,MATCH(B6828,Intent_Analysis!$A$5:$A$81,0))</f>
        <v>2</v>
      </c>
    </row>
    <row r="6829" customFormat="false" ht="15" hidden="false" customHeight="false" outlineLevel="0" collapsed="false">
      <c r="A6829" s="0" t="s">
        <v>7153</v>
      </c>
      <c r="B6829" s="0" t="s">
        <v>57</v>
      </c>
      <c r="C6829" s="0" t="str">
        <f aca="false">INDEX(Intent_Analysis!$B$5:$B$81,MATCH(B6829,Intent_Analysis!$A$5:$A$81,0))</f>
        <v>Card payments &amp; refunds</v>
      </c>
      <c r="D6829" s="0" t="n">
        <f aca="false">INDEX(Intent_Analysis!$E$5:$E$81,MATCH(B6829,Intent_Analysis!$A$5:$A$81,0))</f>
        <v>2</v>
      </c>
    </row>
    <row r="6830" customFormat="false" ht="15" hidden="false" customHeight="false" outlineLevel="0" collapsed="false">
      <c r="A6830" s="0" t="s">
        <v>7154</v>
      </c>
      <c r="B6830" s="0" t="s">
        <v>57</v>
      </c>
      <c r="C6830" s="0" t="str">
        <f aca="false">INDEX(Intent_Analysis!$B$5:$B$81,MATCH(B6830,Intent_Analysis!$A$5:$A$81,0))</f>
        <v>Card payments &amp; refunds</v>
      </c>
      <c r="D6830" s="0" t="n">
        <f aca="false">INDEX(Intent_Analysis!$E$5:$E$81,MATCH(B6830,Intent_Analysis!$A$5:$A$81,0))</f>
        <v>2</v>
      </c>
    </row>
    <row r="6831" customFormat="false" ht="15" hidden="false" customHeight="false" outlineLevel="0" collapsed="false">
      <c r="A6831" s="0" t="s">
        <v>7155</v>
      </c>
      <c r="B6831" s="0" t="s">
        <v>57</v>
      </c>
      <c r="C6831" s="0" t="str">
        <f aca="false">INDEX(Intent_Analysis!$B$5:$B$81,MATCH(B6831,Intent_Analysis!$A$5:$A$81,0))</f>
        <v>Card payments &amp; refunds</v>
      </c>
      <c r="D6831" s="0" t="n">
        <f aca="false">INDEX(Intent_Analysis!$E$5:$E$81,MATCH(B6831,Intent_Analysis!$A$5:$A$81,0))</f>
        <v>2</v>
      </c>
    </row>
    <row r="6832" customFormat="false" ht="15" hidden="false" customHeight="false" outlineLevel="0" collapsed="false">
      <c r="A6832" s="0" t="s">
        <v>7156</v>
      </c>
      <c r="B6832" s="0" t="s">
        <v>57</v>
      </c>
      <c r="C6832" s="0" t="str">
        <f aca="false">INDEX(Intent_Analysis!$B$5:$B$81,MATCH(B6832,Intent_Analysis!$A$5:$A$81,0))</f>
        <v>Card payments &amp; refunds</v>
      </c>
      <c r="D6832" s="0" t="n">
        <f aca="false">INDEX(Intent_Analysis!$E$5:$E$81,MATCH(B6832,Intent_Analysis!$A$5:$A$81,0))</f>
        <v>2</v>
      </c>
    </row>
    <row r="6833" customFormat="false" ht="15" hidden="false" customHeight="false" outlineLevel="0" collapsed="false">
      <c r="A6833" s="0" t="s">
        <v>7157</v>
      </c>
      <c r="B6833" s="0" t="s">
        <v>57</v>
      </c>
      <c r="C6833" s="0" t="str">
        <f aca="false">INDEX(Intent_Analysis!$B$5:$B$81,MATCH(B6833,Intent_Analysis!$A$5:$A$81,0))</f>
        <v>Card payments &amp; refunds</v>
      </c>
      <c r="D6833" s="0" t="n">
        <f aca="false">INDEX(Intent_Analysis!$E$5:$E$81,MATCH(B6833,Intent_Analysis!$A$5:$A$81,0))</f>
        <v>2</v>
      </c>
    </row>
    <row r="6834" customFormat="false" ht="15" hidden="false" customHeight="false" outlineLevel="0" collapsed="false">
      <c r="A6834" s="0" t="s">
        <v>7158</v>
      </c>
      <c r="B6834" s="0" t="s">
        <v>57</v>
      </c>
      <c r="C6834" s="0" t="str">
        <f aca="false">INDEX(Intent_Analysis!$B$5:$B$81,MATCH(B6834,Intent_Analysis!$A$5:$A$81,0))</f>
        <v>Card payments &amp; refunds</v>
      </c>
      <c r="D6834" s="0" t="n">
        <f aca="false">INDEX(Intent_Analysis!$E$5:$E$81,MATCH(B6834,Intent_Analysis!$A$5:$A$81,0))</f>
        <v>2</v>
      </c>
    </row>
    <row r="6835" customFormat="false" ht="15" hidden="false" customHeight="false" outlineLevel="0" collapsed="false">
      <c r="A6835" s="0" t="s">
        <v>7159</v>
      </c>
      <c r="B6835" s="0" t="s">
        <v>57</v>
      </c>
      <c r="C6835" s="0" t="str">
        <f aca="false">INDEX(Intent_Analysis!$B$5:$B$81,MATCH(B6835,Intent_Analysis!$A$5:$A$81,0))</f>
        <v>Card payments &amp; refunds</v>
      </c>
      <c r="D6835" s="0" t="n">
        <f aca="false">INDEX(Intent_Analysis!$E$5:$E$81,MATCH(B6835,Intent_Analysis!$A$5:$A$81,0))</f>
        <v>2</v>
      </c>
    </row>
    <row r="6836" customFormat="false" ht="15" hidden="false" customHeight="false" outlineLevel="0" collapsed="false">
      <c r="A6836" s="0" t="s">
        <v>7160</v>
      </c>
      <c r="B6836" s="0" t="s">
        <v>57</v>
      </c>
      <c r="C6836" s="0" t="str">
        <f aca="false">INDEX(Intent_Analysis!$B$5:$B$81,MATCH(B6836,Intent_Analysis!$A$5:$A$81,0))</f>
        <v>Card payments &amp; refunds</v>
      </c>
      <c r="D6836" s="0" t="n">
        <f aca="false">INDEX(Intent_Analysis!$E$5:$E$81,MATCH(B6836,Intent_Analysis!$A$5:$A$81,0))</f>
        <v>2</v>
      </c>
    </row>
    <row r="6837" customFormat="false" ht="15" hidden="false" customHeight="false" outlineLevel="0" collapsed="false">
      <c r="A6837" s="0" t="s">
        <v>7161</v>
      </c>
      <c r="B6837" s="0" t="s">
        <v>57</v>
      </c>
      <c r="C6837" s="0" t="str">
        <f aca="false">INDEX(Intent_Analysis!$B$5:$B$81,MATCH(B6837,Intent_Analysis!$A$5:$A$81,0))</f>
        <v>Card payments &amp; refunds</v>
      </c>
      <c r="D6837" s="0" t="n">
        <f aca="false">INDEX(Intent_Analysis!$E$5:$E$81,MATCH(B6837,Intent_Analysis!$A$5:$A$81,0))</f>
        <v>2</v>
      </c>
    </row>
    <row r="6838" customFormat="false" ht="15" hidden="false" customHeight="false" outlineLevel="0" collapsed="false">
      <c r="A6838" s="0" t="s">
        <v>7162</v>
      </c>
      <c r="B6838" s="0" t="s">
        <v>57</v>
      </c>
      <c r="C6838" s="0" t="str">
        <f aca="false">INDEX(Intent_Analysis!$B$5:$B$81,MATCH(B6838,Intent_Analysis!$A$5:$A$81,0))</f>
        <v>Card payments &amp; refunds</v>
      </c>
      <c r="D6838" s="0" t="n">
        <f aca="false">INDEX(Intent_Analysis!$E$5:$E$81,MATCH(B6838,Intent_Analysis!$A$5:$A$81,0))</f>
        <v>2</v>
      </c>
    </row>
    <row r="6839" customFormat="false" ht="15" hidden="false" customHeight="false" outlineLevel="0" collapsed="false">
      <c r="A6839" s="0" t="s">
        <v>7163</v>
      </c>
      <c r="B6839" s="0" t="s">
        <v>57</v>
      </c>
      <c r="C6839" s="0" t="str">
        <f aca="false">INDEX(Intent_Analysis!$B$5:$B$81,MATCH(B6839,Intent_Analysis!$A$5:$A$81,0))</f>
        <v>Card payments &amp; refunds</v>
      </c>
      <c r="D6839" s="0" t="n">
        <f aca="false">INDEX(Intent_Analysis!$E$5:$E$81,MATCH(B6839,Intent_Analysis!$A$5:$A$81,0))</f>
        <v>2</v>
      </c>
    </row>
    <row r="6840" customFormat="false" ht="15" hidden="false" customHeight="false" outlineLevel="0" collapsed="false">
      <c r="A6840" s="0" t="s">
        <v>7164</v>
      </c>
      <c r="B6840" s="0" t="s">
        <v>57</v>
      </c>
      <c r="C6840" s="0" t="str">
        <f aca="false">INDEX(Intent_Analysis!$B$5:$B$81,MATCH(B6840,Intent_Analysis!$A$5:$A$81,0))</f>
        <v>Card payments &amp; refunds</v>
      </c>
      <c r="D6840" s="0" t="n">
        <f aca="false">INDEX(Intent_Analysis!$E$5:$E$81,MATCH(B6840,Intent_Analysis!$A$5:$A$81,0))</f>
        <v>2</v>
      </c>
    </row>
    <row r="6841" customFormat="false" ht="15" hidden="false" customHeight="false" outlineLevel="0" collapsed="false">
      <c r="A6841" s="0" t="s">
        <v>7165</v>
      </c>
      <c r="B6841" s="0" t="s">
        <v>57</v>
      </c>
      <c r="C6841" s="0" t="str">
        <f aca="false">INDEX(Intent_Analysis!$B$5:$B$81,MATCH(B6841,Intent_Analysis!$A$5:$A$81,0))</f>
        <v>Card payments &amp; refunds</v>
      </c>
      <c r="D6841" s="0" t="n">
        <f aca="false">INDEX(Intent_Analysis!$E$5:$E$81,MATCH(B6841,Intent_Analysis!$A$5:$A$81,0))</f>
        <v>2</v>
      </c>
    </row>
    <row r="6842" customFormat="false" ht="15" hidden="false" customHeight="false" outlineLevel="0" collapsed="false">
      <c r="A6842" s="0" t="s">
        <v>7166</v>
      </c>
      <c r="B6842" s="0" t="s">
        <v>57</v>
      </c>
      <c r="C6842" s="0" t="str">
        <f aca="false">INDEX(Intent_Analysis!$B$5:$B$81,MATCH(B6842,Intent_Analysis!$A$5:$A$81,0))</f>
        <v>Card payments &amp; refunds</v>
      </c>
      <c r="D6842" s="0" t="n">
        <f aca="false">INDEX(Intent_Analysis!$E$5:$E$81,MATCH(B6842,Intent_Analysis!$A$5:$A$81,0))</f>
        <v>2</v>
      </c>
    </row>
    <row r="6843" customFormat="false" ht="15" hidden="false" customHeight="false" outlineLevel="0" collapsed="false">
      <c r="A6843" s="0" t="s">
        <v>7167</v>
      </c>
      <c r="B6843" s="0" t="s">
        <v>57</v>
      </c>
      <c r="C6843" s="0" t="str">
        <f aca="false">INDEX(Intent_Analysis!$B$5:$B$81,MATCH(B6843,Intent_Analysis!$A$5:$A$81,0))</f>
        <v>Card payments &amp; refunds</v>
      </c>
      <c r="D6843" s="0" t="n">
        <f aca="false">INDEX(Intent_Analysis!$E$5:$E$81,MATCH(B6843,Intent_Analysis!$A$5:$A$81,0))</f>
        <v>2</v>
      </c>
    </row>
    <row r="6844" customFormat="false" ht="15" hidden="false" customHeight="false" outlineLevel="0" collapsed="false">
      <c r="A6844" s="0" t="s">
        <v>7168</v>
      </c>
      <c r="B6844" s="0" t="s">
        <v>57</v>
      </c>
      <c r="C6844" s="0" t="str">
        <f aca="false">INDEX(Intent_Analysis!$B$5:$B$81,MATCH(B6844,Intent_Analysis!$A$5:$A$81,0))</f>
        <v>Card payments &amp; refunds</v>
      </c>
      <c r="D6844" s="0" t="n">
        <f aca="false">INDEX(Intent_Analysis!$E$5:$E$81,MATCH(B6844,Intent_Analysis!$A$5:$A$81,0))</f>
        <v>2</v>
      </c>
    </row>
    <row r="6845" customFormat="false" ht="15" hidden="false" customHeight="false" outlineLevel="0" collapsed="false">
      <c r="A6845" s="0" t="s">
        <v>7169</v>
      </c>
      <c r="B6845" s="0" t="s">
        <v>57</v>
      </c>
      <c r="C6845" s="0" t="str">
        <f aca="false">INDEX(Intent_Analysis!$B$5:$B$81,MATCH(B6845,Intent_Analysis!$A$5:$A$81,0))</f>
        <v>Card payments &amp; refunds</v>
      </c>
      <c r="D6845" s="0" t="n">
        <f aca="false">INDEX(Intent_Analysis!$E$5:$E$81,MATCH(B6845,Intent_Analysis!$A$5:$A$81,0))</f>
        <v>2</v>
      </c>
    </row>
    <row r="6846" customFormat="false" ht="15" hidden="false" customHeight="false" outlineLevel="0" collapsed="false">
      <c r="A6846" s="0" t="s">
        <v>7170</v>
      </c>
      <c r="B6846" s="0" t="s">
        <v>57</v>
      </c>
      <c r="C6846" s="0" t="str">
        <f aca="false">INDEX(Intent_Analysis!$B$5:$B$81,MATCH(B6846,Intent_Analysis!$A$5:$A$81,0))</f>
        <v>Card payments &amp; refunds</v>
      </c>
      <c r="D6846" s="0" t="n">
        <f aca="false">INDEX(Intent_Analysis!$E$5:$E$81,MATCH(B6846,Intent_Analysis!$A$5:$A$81,0))</f>
        <v>2</v>
      </c>
    </row>
    <row r="6847" customFormat="false" ht="15" hidden="false" customHeight="false" outlineLevel="0" collapsed="false">
      <c r="A6847" s="0" t="s">
        <v>7171</v>
      </c>
      <c r="B6847" s="0" t="s">
        <v>57</v>
      </c>
      <c r="C6847" s="0" t="str">
        <f aca="false">INDEX(Intent_Analysis!$B$5:$B$81,MATCH(B6847,Intent_Analysis!$A$5:$A$81,0))</f>
        <v>Card payments &amp; refunds</v>
      </c>
      <c r="D6847" s="0" t="n">
        <f aca="false">INDEX(Intent_Analysis!$E$5:$E$81,MATCH(B6847,Intent_Analysis!$A$5:$A$81,0))</f>
        <v>2</v>
      </c>
    </row>
    <row r="6848" customFormat="false" ht="15" hidden="false" customHeight="false" outlineLevel="0" collapsed="false">
      <c r="A6848" s="0" t="s">
        <v>7172</v>
      </c>
      <c r="B6848" s="0" t="s">
        <v>57</v>
      </c>
      <c r="C6848" s="0" t="str">
        <f aca="false">INDEX(Intent_Analysis!$B$5:$B$81,MATCH(B6848,Intent_Analysis!$A$5:$A$81,0))</f>
        <v>Card payments &amp; refunds</v>
      </c>
      <c r="D6848" s="0" t="n">
        <f aca="false">INDEX(Intent_Analysis!$E$5:$E$81,MATCH(B6848,Intent_Analysis!$A$5:$A$81,0))</f>
        <v>2</v>
      </c>
    </row>
    <row r="6849" customFormat="false" ht="15" hidden="false" customHeight="false" outlineLevel="0" collapsed="false">
      <c r="A6849" s="0" t="s">
        <v>7173</v>
      </c>
      <c r="B6849" s="0" t="s">
        <v>57</v>
      </c>
      <c r="C6849" s="0" t="str">
        <f aca="false">INDEX(Intent_Analysis!$B$5:$B$81,MATCH(B6849,Intent_Analysis!$A$5:$A$81,0))</f>
        <v>Card payments &amp; refunds</v>
      </c>
      <c r="D6849" s="0" t="n">
        <f aca="false">INDEX(Intent_Analysis!$E$5:$E$81,MATCH(B6849,Intent_Analysis!$A$5:$A$81,0))</f>
        <v>2</v>
      </c>
    </row>
    <row r="6850" customFormat="false" ht="15" hidden="false" customHeight="false" outlineLevel="0" collapsed="false">
      <c r="A6850" s="0" t="s">
        <v>7174</v>
      </c>
      <c r="B6850" s="0" t="s">
        <v>57</v>
      </c>
      <c r="C6850" s="0" t="str">
        <f aca="false">INDEX(Intent_Analysis!$B$5:$B$81,MATCH(B6850,Intent_Analysis!$A$5:$A$81,0))</f>
        <v>Card payments &amp; refunds</v>
      </c>
      <c r="D6850" s="0" t="n">
        <f aca="false">INDEX(Intent_Analysis!$E$5:$E$81,MATCH(B6850,Intent_Analysis!$A$5:$A$81,0))</f>
        <v>2</v>
      </c>
    </row>
    <row r="6851" customFormat="false" ht="15" hidden="false" customHeight="false" outlineLevel="0" collapsed="false">
      <c r="A6851" s="0" t="s">
        <v>7175</v>
      </c>
      <c r="B6851" s="0" t="s">
        <v>57</v>
      </c>
      <c r="C6851" s="0" t="str">
        <f aca="false">INDEX(Intent_Analysis!$B$5:$B$81,MATCH(B6851,Intent_Analysis!$A$5:$A$81,0))</f>
        <v>Card payments &amp; refunds</v>
      </c>
      <c r="D6851" s="0" t="n">
        <f aca="false">INDEX(Intent_Analysis!$E$5:$E$81,MATCH(B6851,Intent_Analysis!$A$5:$A$81,0))</f>
        <v>2</v>
      </c>
    </row>
    <row r="6852" customFormat="false" ht="15" hidden="false" customHeight="false" outlineLevel="0" collapsed="false">
      <c r="A6852" s="0" t="s">
        <v>7176</v>
      </c>
      <c r="B6852" s="0" t="s">
        <v>57</v>
      </c>
      <c r="C6852" s="0" t="str">
        <f aca="false">INDEX(Intent_Analysis!$B$5:$B$81,MATCH(B6852,Intent_Analysis!$A$5:$A$81,0))</f>
        <v>Card payments &amp; refunds</v>
      </c>
      <c r="D6852" s="0" t="n">
        <f aca="false">INDEX(Intent_Analysis!$E$5:$E$81,MATCH(B6852,Intent_Analysis!$A$5:$A$81,0))</f>
        <v>2</v>
      </c>
    </row>
    <row r="6853" customFormat="false" ht="15" hidden="false" customHeight="false" outlineLevel="0" collapsed="false">
      <c r="A6853" s="0" t="s">
        <v>7177</v>
      </c>
      <c r="B6853" s="0" t="s">
        <v>57</v>
      </c>
      <c r="C6853" s="0" t="str">
        <f aca="false">INDEX(Intent_Analysis!$B$5:$B$81,MATCH(B6853,Intent_Analysis!$A$5:$A$81,0))</f>
        <v>Card payments &amp; refunds</v>
      </c>
      <c r="D6853" s="0" t="n">
        <f aca="false">INDEX(Intent_Analysis!$E$5:$E$81,MATCH(B6853,Intent_Analysis!$A$5:$A$81,0))</f>
        <v>2</v>
      </c>
    </row>
    <row r="6854" customFormat="false" ht="15" hidden="false" customHeight="false" outlineLevel="0" collapsed="false">
      <c r="A6854" s="0" t="s">
        <v>7178</v>
      </c>
      <c r="B6854" s="0" t="s">
        <v>57</v>
      </c>
      <c r="C6854" s="0" t="str">
        <f aca="false">INDEX(Intent_Analysis!$B$5:$B$81,MATCH(B6854,Intent_Analysis!$A$5:$A$81,0))</f>
        <v>Card payments &amp; refunds</v>
      </c>
      <c r="D6854" s="0" t="n">
        <f aca="false">INDEX(Intent_Analysis!$E$5:$E$81,MATCH(B6854,Intent_Analysis!$A$5:$A$81,0))</f>
        <v>2</v>
      </c>
    </row>
    <row r="6855" customFormat="false" ht="15" hidden="false" customHeight="false" outlineLevel="0" collapsed="false">
      <c r="A6855" s="0" t="s">
        <v>7179</v>
      </c>
      <c r="B6855" s="0" t="s">
        <v>57</v>
      </c>
      <c r="C6855" s="0" t="str">
        <f aca="false">INDEX(Intent_Analysis!$B$5:$B$81,MATCH(B6855,Intent_Analysis!$A$5:$A$81,0))</f>
        <v>Card payments &amp; refunds</v>
      </c>
      <c r="D6855" s="0" t="n">
        <f aca="false">INDEX(Intent_Analysis!$E$5:$E$81,MATCH(B6855,Intent_Analysis!$A$5:$A$81,0))</f>
        <v>2</v>
      </c>
    </row>
    <row r="6856" customFormat="false" ht="15" hidden="false" customHeight="false" outlineLevel="0" collapsed="false">
      <c r="A6856" s="0" t="s">
        <v>7180</v>
      </c>
      <c r="B6856" s="0" t="s">
        <v>57</v>
      </c>
      <c r="C6856" s="0" t="str">
        <f aca="false">INDEX(Intent_Analysis!$B$5:$B$81,MATCH(B6856,Intent_Analysis!$A$5:$A$81,0))</f>
        <v>Card payments &amp; refunds</v>
      </c>
      <c r="D6856" s="0" t="n">
        <f aca="false">INDEX(Intent_Analysis!$E$5:$E$81,MATCH(B6856,Intent_Analysis!$A$5:$A$81,0))</f>
        <v>2</v>
      </c>
    </row>
    <row r="6857" customFormat="false" ht="15" hidden="false" customHeight="false" outlineLevel="0" collapsed="false">
      <c r="A6857" s="0" t="s">
        <v>7181</v>
      </c>
      <c r="B6857" s="0" t="s">
        <v>57</v>
      </c>
      <c r="C6857" s="0" t="str">
        <f aca="false">INDEX(Intent_Analysis!$B$5:$B$81,MATCH(B6857,Intent_Analysis!$A$5:$A$81,0))</f>
        <v>Card payments &amp; refunds</v>
      </c>
      <c r="D6857" s="0" t="n">
        <f aca="false">INDEX(Intent_Analysis!$E$5:$E$81,MATCH(B6857,Intent_Analysis!$A$5:$A$81,0))</f>
        <v>2</v>
      </c>
    </row>
    <row r="6858" customFormat="false" ht="15" hidden="false" customHeight="false" outlineLevel="0" collapsed="false">
      <c r="A6858" s="0" t="s">
        <v>7182</v>
      </c>
      <c r="B6858" s="0" t="s">
        <v>57</v>
      </c>
      <c r="C6858" s="0" t="str">
        <f aca="false">INDEX(Intent_Analysis!$B$5:$B$81,MATCH(B6858,Intent_Analysis!$A$5:$A$81,0))</f>
        <v>Card payments &amp; refunds</v>
      </c>
      <c r="D6858" s="0" t="n">
        <f aca="false">INDEX(Intent_Analysis!$E$5:$E$81,MATCH(B6858,Intent_Analysis!$A$5:$A$81,0))</f>
        <v>2</v>
      </c>
    </row>
    <row r="6859" customFormat="false" ht="15" hidden="false" customHeight="false" outlineLevel="0" collapsed="false">
      <c r="A6859" s="0" t="s">
        <v>7183</v>
      </c>
      <c r="B6859" s="0" t="s">
        <v>57</v>
      </c>
      <c r="C6859" s="0" t="str">
        <f aca="false">INDEX(Intent_Analysis!$B$5:$B$81,MATCH(B6859,Intent_Analysis!$A$5:$A$81,0))</f>
        <v>Card payments &amp; refunds</v>
      </c>
      <c r="D6859" s="0" t="n">
        <f aca="false">INDEX(Intent_Analysis!$E$5:$E$81,MATCH(B6859,Intent_Analysis!$A$5:$A$81,0))</f>
        <v>2</v>
      </c>
    </row>
    <row r="6860" customFormat="false" ht="15" hidden="false" customHeight="false" outlineLevel="0" collapsed="false">
      <c r="A6860" s="0" t="s">
        <v>7184</v>
      </c>
      <c r="B6860" s="0" t="s">
        <v>57</v>
      </c>
      <c r="C6860" s="0" t="str">
        <f aca="false">INDEX(Intent_Analysis!$B$5:$B$81,MATCH(B6860,Intent_Analysis!$A$5:$A$81,0))</f>
        <v>Card payments &amp; refunds</v>
      </c>
      <c r="D6860" s="0" t="n">
        <f aca="false">INDEX(Intent_Analysis!$E$5:$E$81,MATCH(B6860,Intent_Analysis!$A$5:$A$81,0))</f>
        <v>2</v>
      </c>
    </row>
    <row r="6861" customFormat="false" ht="15" hidden="false" customHeight="false" outlineLevel="0" collapsed="false">
      <c r="A6861" s="0" t="s">
        <v>7185</v>
      </c>
      <c r="B6861" s="0" t="s">
        <v>57</v>
      </c>
      <c r="C6861" s="0" t="str">
        <f aca="false">INDEX(Intent_Analysis!$B$5:$B$81,MATCH(B6861,Intent_Analysis!$A$5:$A$81,0))</f>
        <v>Card payments &amp; refunds</v>
      </c>
      <c r="D6861" s="0" t="n">
        <f aca="false">INDEX(Intent_Analysis!$E$5:$E$81,MATCH(B6861,Intent_Analysis!$A$5:$A$81,0))</f>
        <v>2</v>
      </c>
    </row>
    <row r="6862" customFormat="false" ht="15" hidden="false" customHeight="false" outlineLevel="0" collapsed="false">
      <c r="A6862" s="0" t="s">
        <v>7186</v>
      </c>
      <c r="B6862" s="0" t="s">
        <v>57</v>
      </c>
      <c r="C6862" s="0" t="str">
        <f aca="false">INDEX(Intent_Analysis!$B$5:$B$81,MATCH(B6862,Intent_Analysis!$A$5:$A$81,0))</f>
        <v>Card payments &amp; refunds</v>
      </c>
      <c r="D6862" s="0" t="n">
        <f aca="false">INDEX(Intent_Analysis!$E$5:$E$81,MATCH(B6862,Intent_Analysis!$A$5:$A$81,0))</f>
        <v>2</v>
      </c>
    </row>
    <row r="6863" customFormat="false" ht="15" hidden="false" customHeight="false" outlineLevel="0" collapsed="false">
      <c r="A6863" s="0" t="s">
        <v>7187</v>
      </c>
      <c r="B6863" s="0" t="s">
        <v>57</v>
      </c>
      <c r="C6863" s="0" t="str">
        <f aca="false">INDEX(Intent_Analysis!$B$5:$B$81,MATCH(B6863,Intent_Analysis!$A$5:$A$81,0))</f>
        <v>Card payments &amp; refunds</v>
      </c>
      <c r="D6863" s="0" t="n">
        <f aca="false">INDEX(Intent_Analysis!$E$5:$E$81,MATCH(B6863,Intent_Analysis!$A$5:$A$81,0))</f>
        <v>2</v>
      </c>
    </row>
    <row r="6864" customFormat="false" ht="15" hidden="false" customHeight="false" outlineLevel="0" collapsed="false">
      <c r="A6864" s="0" t="s">
        <v>7188</v>
      </c>
      <c r="B6864" s="0" t="s">
        <v>57</v>
      </c>
      <c r="C6864" s="0" t="str">
        <f aca="false">INDEX(Intent_Analysis!$B$5:$B$81,MATCH(B6864,Intent_Analysis!$A$5:$A$81,0))</f>
        <v>Card payments &amp; refunds</v>
      </c>
      <c r="D6864" s="0" t="n">
        <f aca="false">INDEX(Intent_Analysis!$E$5:$E$81,MATCH(B6864,Intent_Analysis!$A$5:$A$81,0))</f>
        <v>2</v>
      </c>
    </row>
    <row r="6865" customFormat="false" ht="15" hidden="false" customHeight="false" outlineLevel="0" collapsed="false">
      <c r="A6865" s="0" t="s">
        <v>7189</v>
      </c>
      <c r="B6865" s="0" t="s">
        <v>57</v>
      </c>
      <c r="C6865" s="0" t="str">
        <f aca="false">INDEX(Intent_Analysis!$B$5:$B$81,MATCH(B6865,Intent_Analysis!$A$5:$A$81,0))</f>
        <v>Card payments &amp; refunds</v>
      </c>
      <c r="D6865" s="0" t="n">
        <f aca="false">INDEX(Intent_Analysis!$E$5:$E$81,MATCH(B6865,Intent_Analysis!$A$5:$A$81,0))</f>
        <v>2</v>
      </c>
    </row>
    <row r="6866" customFormat="false" ht="15" hidden="false" customHeight="false" outlineLevel="0" collapsed="false">
      <c r="A6866" s="0" t="s">
        <v>7190</v>
      </c>
      <c r="B6866" s="0" t="s">
        <v>57</v>
      </c>
      <c r="C6866" s="0" t="str">
        <f aca="false">INDEX(Intent_Analysis!$B$5:$B$81,MATCH(B6866,Intent_Analysis!$A$5:$A$81,0))</f>
        <v>Card payments &amp; refunds</v>
      </c>
      <c r="D6866" s="0" t="n">
        <f aca="false">INDEX(Intent_Analysis!$E$5:$E$81,MATCH(B6866,Intent_Analysis!$A$5:$A$81,0))</f>
        <v>2</v>
      </c>
    </row>
    <row r="6867" customFormat="false" ht="15" hidden="false" customHeight="false" outlineLevel="0" collapsed="false">
      <c r="A6867" s="0" t="s">
        <v>7191</v>
      </c>
      <c r="B6867" s="0" t="s">
        <v>57</v>
      </c>
      <c r="C6867" s="0" t="str">
        <f aca="false">INDEX(Intent_Analysis!$B$5:$B$81,MATCH(B6867,Intent_Analysis!$A$5:$A$81,0))</f>
        <v>Card payments &amp; refunds</v>
      </c>
      <c r="D6867" s="0" t="n">
        <f aca="false">INDEX(Intent_Analysis!$E$5:$E$81,MATCH(B6867,Intent_Analysis!$A$5:$A$81,0))</f>
        <v>2</v>
      </c>
    </row>
    <row r="6868" customFormat="false" ht="15" hidden="false" customHeight="false" outlineLevel="0" collapsed="false">
      <c r="A6868" s="0" t="s">
        <v>7192</v>
      </c>
      <c r="B6868" s="0" t="s">
        <v>57</v>
      </c>
      <c r="C6868" s="0" t="str">
        <f aca="false">INDEX(Intent_Analysis!$B$5:$B$81,MATCH(B6868,Intent_Analysis!$A$5:$A$81,0))</f>
        <v>Card payments &amp; refunds</v>
      </c>
      <c r="D6868" s="0" t="n">
        <f aca="false">INDEX(Intent_Analysis!$E$5:$E$81,MATCH(B6868,Intent_Analysis!$A$5:$A$81,0))</f>
        <v>2</v>
      </c>
    </row>
    <row r="6869" customFormat="false" ht="15" hidden="false" customHeight="false" outlineLevel="0" collapsed="false">
      <c r="A6869" s="0" t="s">
        <v>7193</v>
      </c>
      <c r="B6869" s="0" t="s">
        <v>57</v>
      </c>
      <c r="C6869" s="0" t="str">
        <f aca="false">INDEX(Intent_Analysis!$B$5:$B$81,MATCH(B6869,Intent_Analysis!$A$5:$A$81,0))</f>
        <v>Card payments &amp; refunds</v>
      </c>
      <c r="D6869" s="0" t="n">
        <f aca="false">INDEX(Intent_Analysis!$E$5:$E$81,MATCH(B6869,Intent_Analysis!$A$5:$A$81,0))</f>
        <v>2</v>
      </c>
    </row>
    <row r="6870" customFormat="false" ht="15" hidden="false" customHeight="false" outlineLevel="0" collapsed="false">
      <c r="A6870" s="0" t="s">
        <v>7194</v>
      </c>
      <c r="B6870" s="0" t="s">
        <v>57</v>
      </c>
      <c r="C6870" s="0" t="str">
        <f aca="false">INDEX(Intent_Analysis!$B$5:$B$81,MATCH(B6870,Intent_Analysis!$A$5:$A$81,0))</f>
        <v>Card payments &amp; refunds</v>
      </c>
      <c r="D6870" s="0" t="n">
        <f aca="false">INDEX(Intent_Analysis!$E$5:$E$81,MATCH(B6870,Intent_Analysis!$A$5:$A$81,0))</f>
        <v>2</v>
      </c>
    </row>
    <row r="6871" customFormat="false" ht="15" hidden="false" customHeight="false" outlineLevel="0" collapsed="false">
      <c r="A6871" s="0" t="s">
        <v>7195</v>
      </c>
      <c r="B6871" s="0" t="s">
        <v>57</v>
      </c>
      <c r="C6871" s="0" t="str">
        <f aca="false">INDEX(Intent_Analysis!$B$5:$B$81,MATCH(B6871,Intent_Analysis!$A$5:$A$81,0))</f>
        <v>Card payments &amp; refunds</v>
      </c>
      <c r="D6871" s="0" t="n">
        <f aca="false">INDEX(Intent_Analysis!$E$5:$E$81,MATCH(B6871,Intent_Analysis!$A$5:$A$81,0))</f>
        <v>2</v>
      </c>
    </row>
    <row r="6872" customFormat="false" ht="15" hidden="false" customHeight="false" outlineLevel="0" collapsed="false">
      <c r="A6872" s="0" t="s">
        <v>7196</v>
      </c>
      <c r="B6872" s="0" t="s">
        <v>57</v>
      </c>
      <c r="C6872" s="0" t="str">
        <f aca="false">INDEX(Intent_Analysis!$B$5:$B$81,MATCH(B6872,Intent_Analysis!$A$5:$A$81,0))</f>
        <v>Card payments &amp; refunds</v>
      </c>
      <c r="D6872" s="0" t="n">
        <f aca="false">INDEX(Intent_Analysis!$E$5:$E$81,MATCH(B6872,Intent_Analysis!$A$5:$A$81,0))</f>
        <v>2</v>
      </c>
    </row>
    <row r="6873" customFormat="false" ht="15" hidden="false" customHeight="false" outlineLevel="0" collapsed="false">
      <c r="A6873" s="0" t="s">
        <v>7197</v>
      </c>
      <c r="B6873" s="0" t="s">
        <v>57</v>
      </c>
      <c r="C6873" s="0" t="str">
        <f aca="false">INDEX(Intent_Analysis!$B$5:$B$81,MATCH(B6873,Intent_Analysis!$A$5:$A$81,0))</f>
        <v>Card payments &amp; refunds</v>
      </c>
      <c r="D6873" s="0" t="n">
        <f aca="false">INDEX(Intent_Analysis!$E$5:$E$81,MATCH(B6873,Intent_Analysis!$A$5:$A$81,0))</f>
        <v>2</v>
      </c>
    </row>
    <row r="6874" customFormat="false" ht="15" hidden="false" customHeight="false" outlineLevel="0" collapsed="false">
      <c r="A6874" s="0" t="s">
        <v>7198</v>
      </c>
      <c r="B6874" s="0" t="s">
        <v>57</v>
      </c>
      <c r="C6874" s="0" t="str">
        <f aca="false">INDEX(Intent_Analysis!$B$5:$B$81,MATCH(B6874,Intent_Analysis!$A$5:$A$81,0))</f>
        <v>Card payments &amp; refunds</v>
      </c>
      <c r="D6874" s="0" t="n">
        <f aca="false">INDEX(Intent_Analysis!$E$5:$E$81,MATCH(B6874,Intent_Analysis!$A$5:$A$81,0))</f>
        <v>2</v>
      </c>
    </row>
    <row r="6875" customFormat="false" ht="15" hidden="false" customHeight="false" outlineLevel="0" collapsed="false">
      <c r="A6875" s="0" t="s">
        <v>7199</v>
      </c>
      <c r="B6875" s="0" t="s">
        <v>57</v>
      </c>
      <c r="C6875" s="0" t="str">
        <f aca="false">INDEX(Intent_Analysis!$B$5:$B$81,MATCH(B6875,Intent_Analysis!$A$5:$A$81,0))</f>
        <v>Card payments &amp; refunds</v>
      </c>
      <c r="D6875" s="0" t="n">
        <f aca="false">INDEX(Intent_Analysis!$E$5:$E$81,MATCH(B6875,Intent_Analysis!$A$5:$A$81,0))</f>
        <v>2</v>
      </c>
    </row>
    <row r="6876" customFormat="false" ht="15" hidden="false" customHeight="false" outlineLevel="0" collapsed="false">
      <c r="A6876" s="0" t="s">
        <v>7200</v>
      </c>
      <c r="B6876" s="0" t="s">
        <v>57</v>
      </c>
      <c r="C6876" s="0" t="str">
        <f aca="false">INDEX(Intent_Analysis!$B$5:$B$81,MATCH(B6876,Intent_Analysis!$A$5:$A$81,0))</f>
        <v>Card payments &amp; refunds</v>
      </c>
      <c r="D6876" s="0" t="n">
        <f aca="false">INDEX(Intent_Analysis!$E$5:$E$81,MATCH(B6876,Intent_Analysis!$A$5:$A$81,0))</f>
        <v>2</v>
      </c>
    </row>
    <row r="6877" customFormat="false" ht="15" hidden="false" customHeight="false" outlineLevel="0" collapsed="false">
      <c r="A6877" s="0" t="s">
        <v>7201</v>
      </c>
      <c r="B6877" s="0" t="s">
        <v>57</v>
      </c>
      <c r="C6877" s="0" t="str">
        <f aca="false">INDEX(Intent_Analysis!$B$5:$B$81,MATCH(B6877,Intent_Analysis!$A$5:$A$81,0))</f>
        <v>Card payments &amp; refunds</v>
      </c>
      <c r="D6877" s="0" t="n">
        <f aca="false">INDEX(Intent_Analysis!$E$5:$E$81,MATCH(B6877,Intent_Analysis!$A$5:$A$81,0))</f>
        <v>2</v>
      </c>
    </row>
    <row r="6878" customFormat="false" ht="15" hidden="false" customHeight="false" outlineLevel="0" collapsed="false">
      <c r="A6878" s="0" t="s">
        <v>7202</v>
      </c>
      <c r="B6878" s="0" t="s">
        <v>57</v>
      </c>
      <c r="C6878" s="0" t="str">
        <f aca="false">INDEX(Intent_Analysis!$B$5:$B$81,MATCH(B6878,Intent_Analysis!$A$5:$A$81,0))</f>
        <v>Card payments &amp; refunds</v>
      </c>
      <c r="D6878" s="0" t="n">
        <f aca="false">INDEX(Intent_Analysis!$E$5:$E$81,MATCH(B6878,Intent_Analysis!$A$5:$A$81,0))</f>
        <v>2</v>
      </c>
    </row>
    <row r="6879" customFormat="false" ht="15" hidden="false" customHeight="false" outlineLevel="0" collapsed="false">
      <c r="A6879" s="0" t="s">
        <v>7203</v>
      </c>
      <c r="B6879" s="0" t="s">
        <v>57</v>
      </c>
      <c r="C6879" s="0" t="str">
        <f aca="false">INDEX(Intent_Analysis!$B$5:$B$81,MATCH(B6879,Intent_Analysis!$A$5:$A$81,0))</f>
        <v>Card payments &amp; refunds</v>
      </c>
      <c r="D6879" s="0" t="n">
        <f aca="false">INDEX(Intent_Analysis!$E$5:$E$81,MATCH(B6879,Intent_Analysis!$A$5:$A$81,0))</f>
        <v>2</v>
      </c>
    </row>
    <row r="6880" customFormat="false" ht="15" hidden="false" customHeight="false" outlineLevel="0" collapsed="false">
      <c r="A6880" s="0" t="s">
        <v>7204</v>
      </c>
      <c r="B6880" s="0" t="s">
        <v>57</v>
      </c>
      <c r="C6880" s="0" t="str">
        <f aca="false">INDEX(Intent_Analysis!$B$5:$B$81,MATCH(B6880,Intent_Analysis!$A$5:$A$81,0))</f>
        <v>Card payments &amp; refunds</v>
      </c>
      <c r="D6880" s="0" t="n">
        <f aca="false">INDEX(Intent_Analysis!$E$5:$E$81,MATCH(B6880,Intent_Analysis!$A$5:$A$81,0))</f>
        <v>2</v>
      </c>
    </row>
    <row r="6881" customFormat="false" ht="15" hidden="false" customHeight="false" outlineLevel="0" collapsed="false">
      <c r="A6881" s="0" t="s">
        <v>7205</v>
      </c>
      <c r="B6881" s="0" t="s">
        <v>57</v>
      </c>
      <c r="C6881" s="0" t="str">
        <f aca="false">INDEX(Intent_Analysis!$B$5:$B$81,MATCH(B6881,Intent_Analysis!$A$5:$A$81,0))</f>
        <v>Card payments &amp; refunds</v>
      </c>
      <c r="D6881" s="0" t="n">
        <f aca="false">INDEX(Intent_Analysis!$E$5:$E$81,MATCH(B6881,Intent_Analysis!$A$5:$A$81,0))</f>
        <v>2</v>
      </c>
    </row>
    <row r="6882" customFormat="false" ht="15" hidden="false" customHeight="false" outlineLevel="0" collapsed="false">
      <c r="A6882" s="0" t="s">
        <v>7206</v>
      </c>
      <c r="B6882" s="0" t="s">
        <v>57</v>
      </c>
      <c r="C6882" s="0" t="str">
        <f aca="false">INDEX(Intent_Analysis!$B$5:$B$81,MATCH(B6882,Intent_Analysis!$A$5:$A$81,0))</f>
        <v>Card payments &amp; refunds</v>
      </c>
      <c r="D6882" s="0" t="n">
        <f aca="false">INDEX(Intent_Analysis!$E$5:$E$81,MATCH(B6882,Intent_Analysis!$A$5:$A$81,0))</f>
        <v>2</v>
      </c>
    </row>
    <row r="6883" customFormat="false" ht="15" hidden="false" customHeight="false" outlineLevel="0" collapsed="false">
      <c r="A6883" s="0" t="s">
        <v>7207</v>
      </c>
      <c r="B6883" s="0" t="s">
        <v>57</v>
      </c>
      <c r="C6883" s="0" t="str">
        <f aca="false">INDEX(Intent_Analysis!$B$5:$B$81,MATCH(B6883,Intent_Analysis!$A$5:$A$81,0))</f>
        <v>Card payments &amp; refunds</v>
      </c>
      <c r="D6883" s="0" t="n">
        <f aca="false">INDEX(Intent_Analysis!$E$5:$E$81,MATCH(B6883,Intent_Analysis!$A$5:$A$81,0))</f>
        <v>2</v>
      </c>
    </row>
    <row r="6884" customFormat="false" ht="15" hidden="false" customHeight="false" outlineLevel="0" collapsed="false">
      <c r="A6884" s="0" t="s">
        <v>7208</v>
      </c>
      <c r="B6884" s="0" t="s">
        <v>57</v>
      </c>
      <c r="C6884" s="0" t="str">
        <f aca="false">INDEX(Intent_Analysis!$B$5:$B$81,MATCH(B6884,Intent_Analysis!$A$5:$A$81,0))</f>
        <v>Card payments &amp; refunds</v>
      </c>
      <c r="D6884" s="0" t="n">
        <f aca="false">INDEX(Intent_Analysis!$E$5:$E$81,MATCH(B6884,Intent_Analysis!$A$5:$A$81,0))</f>
        <v>2</v>
      </c>
    </row>
    <row r="6885" customFormat="false" ht="15" hidden="false" customHeight="false" outlineLevel="0" collapsed="false">
      <c r="A6885" s="0" t="s">
        <v>7209</v>
      </c>
      <c r="B6885" s="0" t="s">
        <v>64</v>
      </c>
      <c r="C6885" s="0" t="str">
        <f aca="false">INDEX(Intent_Analysis!$B$5:$B$81,MATCH(B6885,Intent_Analysis!$A$5:$A$81,0))</f>
        <v>Card usage &amp; features</v>
      </c>
      <c r="D6885" s="0" t="n">
        <f aca="false">INDEX(Intent_Analysis!$E$5:$E$81,MATCH(B6885,Intent_Analysis!$A$5:$A$81,0))</f>
        <v>1</v>
      </c>
    </row>
    <row r="6886" customFormat="false" ht="15" hidden="false" customHeight="false" outlineLevel="0" collapsed="false">
      <c r="A6886" s="0" t="s">
        <v>7210</v>
      </c>
      <c r="B6886" s="0" t="s">
        <v>64</v>
      </c>
      <c r="C6886" s="0" t="str">
        <f aca="false">INDEX(Intent_Analysis!$B$5:$B$81,MATCH(B6886,Intent_Analysis!$A$5:$A$81,0))</f>
        <v>Card usage &amp; features</v>
      </c>
      <c r="D6886" s="0" t="n">
        <f aca="false">INDEX(Intent_Analysis!$E$5:$E$81,MATCH(B6886,Intent_Analysis!$A$5:$A$81,0))</f>
        <v>1</v>
      </c>
    </row>
    <row r="6887" customFormat="false" ht="15" hidden="false" customHeight="false" outlineLevel="0" collapsed="false">
      <c r="A6887" s="0" t="s">
        <v>7211</v>
      </c>
      <c r="B6887" s="0" t="s">
        <v>64</v>
      </c>
      <c r="C6887" s="0" t="str">
        <f aca="false">INDEX(Intent_Analysis!$B$5:$B$81,MATCH(B6887,Intent_Analysis!$A$5:$A$81,0))</f>
        <v>Card usage &amp; features</v>
      </c>
      <c r="D6887" s="0" t="n">
        <f aca="false">INDEX(Intent_Analysis!$E$5:$E$81,MATCH(B6887,Intent_Analysis!$A$5:$A$81,0))</f>
        <v>1</v>
      </c>
    </row>
    <row r="6888" customFormat="false" ht="15" hidden="false" customHeight="false" outlineLevel="0" collapsed="false">
      <c r="A6888" s="0" t="s">
        <v>7212</v>
      </c>
      <c r="B6888" s="0" t="s">
        <v>64</v>
      </c>
      <c r="C6888" s="0" t="str">
        <f aca="false">INDEX(Intent_Analysis!$B$5:$B$81,MATCH(B6888,Intent_Analysis!$A$5:$A$81,0))</f>
        <v>Card usage &amp; features</v>
      </c>
      <c r="D6888" s="0" t="n">
        <f aca="false">INDEX(Intent_Analysis!$E$5:$E$81,MATCH(B6888,Intent_Analysis!$A$5:$A$81,0))</f>
        <v>1</v>
      </c>
    </row>
    <row r="6889" customFormat="false" ht="15" hidden="false" customHeight="false" outlineLevel="0" collapsed="false">
      <c r="A6889" s="0" t="s">
        <v>7213</v>
      </c>
      <c r="B6889" s="0" t="s">
        <v>64</v>
      </c>
      <c r="C6889" s="0" t="str">
        <f aca="false">INDEX(Intent_Analysis!$B$5:$B$81,MATCH(B6889,Intent_Analysis!$A$5:$A$81,0))</f>
        <v>Card usage &amp; features</v>
      </c>
      <c r="D6889" s="0" t="n">
        <f aca="false">INDEX(Intent_Analysis!$E$5:$E$81,MATCH(B6889,Intent_Analysis!$A$5:$A$81,0))</f>
        <v>1</v>
      </c>
    </row>
    <row r="6890" customFormat="false" ht="15" hidden="false" customHeight="false" outlineLevel="0" collapsed="false">
      <c r="A6890" s="0" t="s">
        <v>7214</v>
      </c>
      <c r="B6890" s="0" t="s">
        <v>64</v>
      </c>
      <c r="C6890" s="0" t="str">
        <f aca="false">INDEX(Intent_Analysis!$B$5:$B$81,MATCH(B6890,Intent_Analysis!$A$5:$A$81,0))</f>
        <v>Card usage &amp; features</v>
      </c>
      <c r="D6890" s="0" t="n">
        <f aca="false">INDEX(Intent_Analysis!$E$5:$E$81,MATCH(B6890,Intent_Analysis!$A$5:$A$81,0))</f>
        <v>1</v>
      </c>
    </row>
    <row r="6891" customFormat="false" ht="15" hidden="false" customHeight="false" outlineLevel="0" collapsed="false">
      <c r="A6891" s="0" t="s">
        <v>7215</v>
      </c>
      <c r="B6891" s="0" t="s">
        <v>64</v>
      </c>
      <c r="C6891" s="0" t="str">
        <f aca="false">INDEX(Intent_Analysis!$B$5:$B$81,MATCH(B6891,Intent_Analysis!$A$5:$A$81,0))</f>
        <v>Card usage &amp; features</v>
      </c>
      <c r="D6891" s="0" t="n">
        <f aca="false">INDEX(Intent_Analysis!$E$5:$E$81,MATCH(B6891,Intent_Analysis!$A$5:$A$81,0))</f>
        <v>1</v>
      </c>
    </row>
    <row r="6892" customFormat="false" ht="15" hidden="false" customHeight="false" outlineLevel="0" collapsed="false">
      <c r="A6892" s="0" t="s">
        <v>7216</v>
      </c>
      <c r="B6892" s="0" t="s">
        <v>64</v>
      </c>
      <c r="C6892" s="0" t="str">
        <f aca="false">INDEX(Intent_Analysis!$B$5:$B$81,MATCH(B6892,Intent_Analysis!$A$5:$A$81,0))</f>
        <v>Card usage &amp; features</v>
      </c>
      <c r="D6892" s="0" t="n">
        <f aca="false">INDEX(Intent_Analysis!$E$5:$E$81,MATCH(B6892,Intent_Analysis!$A$5:$A$81,0))</f>
        <v>1</v>
      </c>
    </row>
    <row r="6893" customFormat="false" ht="15" hidden="false" customHeight="false" outlineLevel="0" collapsed="false">
      <c r="A6893" s="0" t="s">
        <v>7217</v>
      </c>
      <c r="B6893" s="0" t="s">
        <v>64</v>
      </c>
      <c r="C6893" s="0" t="str">
        <f aca="false">INDEX(Intent_Analysis!$B$5:$B$81,MATCH(B6893,Intent_Analysis!$A$5:$A$81,0))</f>
        <v>Card usage &amp; features</v>
      </c>
      <c r="D6893" s="0" t="n">
        <f aca="false">INDEX(Intent_Analysis!$E$5:$E$81,MATCH(B6893,Intent_Analysis!$A$5:$A$81,0))</f>
        <v>1</v>
      </c>
    </row>
    <row r="6894" customFormat="false" ht="15" hidden="false" customHeight="false" outlineLevel="0" collapsed="false">
      <c r="A6894" s="0" t="s">
        <v>7218</v>
      </c>
      <c r="B6894" s="0" t="s">
        <v>64</v>
      </c>
      <c r="C6894" s="0" t="str">
        <f aca="false">INDEX(Intent_Analysis!$B$5:$B$81,MATCH(B6894,Intent_Analysis!$A$5:$A$81,0))</f>
        <v>Card usage &amp; features</v>
      </c>
      <c r="D6894" s="0" t="n">
        <f aca="false">INDEX(Intent_Analysis!$E$5:$E$81,MATCH(B6894,Intent_Analysis!$A$5:$A$81,0))</f>
        <v>1</v>
      </c>
    </row>
    <row r="6895" customFormat="false" ht="15" hidden="false" customHeight="false" outlineLevel="0" collapsed="false">
      <c r="A6895" s="0" t="s">
        <v>7219</v>
      </c>
      <c r="B6895" s="0" t="s">
        <v>64</v>
      </c>
      <c r="C6895" s="0" t="str">
        <f aca="false">INDEX(Intent_Analysis!$B$5:$B$81,MATCH(B6895,Intent_Analysis!$A$5:$A$81,0))</f>
        <v>Card usage &amp; features</v>
      </c>
      <c r="D6895" s="0" t="n">
        <f aca="false">INDEX(Intent_Analysis!$E$5:$E$81,MATCH(B6895,Intent_Analysis!$A$5:$A$81,0))</f>
        <v>1</v>
      </c>
    </row>
    <row r="6896" customFormat="false" ht="15" hidden="false" customHeight="false" outlineLevel="0" collapsed="false">
      <c r="A6896" s="0" t="s">
        <v>7220</v>
      </c>
      <c r="B6896" s="0" t="s">
        <v>64</v>
      </c>
      <c r="C6896" s="0" t="str">
        <f aca="false">INDEX(Intent_Analysis!$B$5:$B$81,MATCH(B6896,Intent_Analysis!$A$5:$A$81,0))</f>
        <v>Card usage &amp; features</v>
      </c>
      <c r="D6896" s="0" t="n">
        <f aca="false">INDEX(Intent_Analysis!$E$5:$E$81,MATCH(B6896,Intent_Analysis!$A$5:$A$81,0))</f>
        <v>1</v>
      </c>
    </row>
    <row r="6897" customFormat="false" ht="15" hidden="false" customHeight="false" outlineLevel="0" collapsed="false">
      <c r="A6897" s="0" t="s">
        <v>7221</v>
      </c>
      <c r="B6897" s="0" t="s">
        <v>64</v>
      </c>
      <c r="C6897" s="0" t="str">
        <f aca="false">INDEX(Intent_Analysis!$B$5:$B$81,MATCH(B6897,Intent_Analysis!$A$5:$A$81,0))</f>
        <v>Card usage &amp; features</v>
      </c>
      <c r="D6897" s="0" t="n">
        <f aca="false">INDEX(Intent_Analysis!$E$5:$E$81,MATCH(B6897,Intent_Analysis!$A$5:$A$81,0))</f>
        <v>1</v>
      </c>
    </row>
    <row r="6898" customFormat="false" ht="15" hidden="false" customHeight="false" outlineLevel="0" collapsed="false">
      <c r="A6898" s="0" t="s">
        <v>7222</v>
      </c>
      <c r="B6898" s="0" t="s">
        <v>64</v>
      </c>
      <c r="C6898" s="0" t="str">
        <f aca="false">INDEX(Intent_Analysis!$B$5:$B$81,MATCH(B6898,Intent_Analysis!$A$5:$A$81,0))</f>
        <v>Card usage &amp; features</v>
      </c>
      <c r="D6898" s="0" t="n">
        <f aca="false">INDEX(Intent_Analysis!$E$5:$E$81,MATCH(B6898,Intent_Analysis!$A$5:$A$81,0))</f>
        <v>1</v>
      </c>
    </row>
    <row r="6899" customFormat="false" ht="15" hidden="false" customHeight="false" outlineLevel="0" collapsed="false">
      <c r="A6899" s="0" t="s">
        <v>7223</v>
      </c>
      <c r="B6899" s="0" t="s">
        <v>64</v>
      </c>
      <c r="C6899" s="0" t="str">
        <f aca="false">INDEX(Intent_Analysis!$B$5:$B$81,MATCH(B6899,Intent_Analysis!$A$5:$A$81,0))</f>
        <v>Card usage &amp; features</v>
      </c>
      <c r="D6899" s="0" t="n">
        <f aca="false">INDEX(Intent_Analysis!$E$5:$E$81,MATCH(B6899,Intent_Analysis!$A$5:$A$81,0))</f>
        <v>1</v>
      </c>
    </row>
    <row r="6900" customFormat="false" ht="15" hidden="false" customHeight="false" outlineLevel="0" collapsed="false">
      <c r="A6900" s="0" t="s">
        <v>7224</v>
      </c>
      <c r="B6900" s="0" t="s">
        <v>64</v>
      </c>
      <c r="C6900" s="0" t="str">
        <f aca="false">INDEX(Intent_Analysis!$B$5:$B$81,MATCH(B6900,Intent_Analysis!$A$5:$A$81,0))</f>
        <v>Card usage &amp; features</v>
      </c>
      <c r="D6900" s="0" t="n">
        <f aca="false">INDEX(Intent_Analysis!$E$5:$E$81,MATCH(B6900,Intent_Analysis!$A$5:$A$81,0))</f>
        <v>1</v>
      </c>
    </row>
    <row r="6901" customFormat="false" ht="15" hidden="false" customHeight="false" outlineLevel="0" collapsed="false">
      <c r="A6901" s="0" t="s">
        <v>7225</v>
      </c>
      <c r="B6901" s="0" t="s">
        <v>64</v>
      </c>
      <c r="C6901" s="0" t="str">
        <f aca="false">INDEX(Intent_Analysis!$B$5:$B$81,MATCH(B6901,Intent_Analysis!$A$5:$A$81,0))</f>
        <v>Card usage &amp; features</v>
      </c>
      <c r="D6901" s="0" t="n">
        <f aca="false">INDEX(Intent_Analysis!$E$5:$E$81,MATCH(B6901,Intent_Analysis!$A$5:$A$81,0))</f>
        <v>1</v>
      </c>
    </row>
    <row r="6902" customFormat="false" ht="15" hidden="false" customHeight="false" outlineLevel="0" collapsed="false">
      <c r="A6902" s="0" t="s">
        <v>7226</v>
      </c>
      <c r="B6902" s="0" t="s">
        <v>64</v>
      </c>
      <c r="C6902" s="0" t="str">
        <f aca="false">INDEX(Intent_Analysis!$B$5:$B$81,MATCH(B6902,Intent_Analysis!$A$5:$A$81,0))</f>
        <v>Card usage &amp; features</v>
      </c>
      <c r="D6902" s="0" t="n">
        <f aca="false">INDEX(Intent_Analysis!$E$5:$E$81,MATCH(B6902,Intent_Analysis!$A$5:$A$81,0))</f>
        <v>1</v>
      </c>
    </row>
    <row r="6903" customFormat="false" ht="15" hidden="false" customHeight="false" outlineLevel="0" collapsed="false">
      <c r="A6903" s="0" t="s">
        <v>7227</v>
      </c>
      <c r="B6903" s="0" t="s">
        <v>64</v>
      </c>
      <c r="C6903" s="0" t="str">
        <f aca="false">INDEX(Intent_Analysis!$B$5:$B$81,MATCH(B6903,Intent_Analysis!$A$5:$A$81,0))</f>
        <v>Card usage &amp; features</v>
      </c>
      <c r="D6903" s="0" t="n">
        <f aca="false">INDEX(Intent_Analysis!$E$5:$E$81,MATCH(B6903,Intent_Analysis!$A$5:$A$81,0))</f>
        <v>1</v>
      </c>
    </row>
    <row r="6904" customFormat="false" ht="15" hidden="false" customHeight="false" outlineLevel="0" collapsed="false">
      <c r="A6904" s="0" t="s">
        <v>7228</v>
      </c>
      <c r="B6904" s="0" t="s">
        <v>64</v>
      </c>
      <c r="C6904" s="0" t="str">
        <f aca="false">INDEX(Intent_Analysis!$B$5:$B$81,MATCH(B6904,Intent_Analysis!$A$5:$A$81,0))</f>
        <v>Card usage &amp; features</v>
      </c>
      <c r="D6904" s="0" t="n">
        <f aca="false">INDEX(Intent_Analysis!$E$5:$E$81,MATCH(B6904,Intent_Analysis!$A$5:$A$81,0))</f>
        <v>1</v>
      </c>
    </row>
    <row r="6905" customFormat="false" ht="15" hidden="false" customHeight="false" outlineLevel="0" collapsed="false">
      <c r="A6905" s="0" t="s">
        <v>7229</v>
      </c>
      <c r="B6905" s="0" t="s">
        <v>64</v>
      </c>
      <c r="C6905" s="0" t="str">
        <f aca="false">INDEX(Intent_Analysis!$B$5:$B$81,MATCH(B6905,Intent_Analysis!$A$5:$A$81,0))</f>
        <v>Card usage &amp; features</v>
      </c>
      <c r="D6905" s="0" t="n">
        <f aca="false">INDEX(Intent_Analysis!$E$5:$E$81,MATCH(B6905,Intent_Analysis!$A$5:$A$81,0))</f>
        <v>1</v>
      </c>
    </row>
    <row r="6906" customFormat="false" ht="15" hidden="false" customHeight="false" outlineLevel="0" collapsed="false">
      <c r="A6906" s="0" t="s">
        <v>7230</v>
      </c>
      <c r="B6906" s="0" t="s">
        <v>64</v>
      </c>
      <c r="C6906" s="0" t="str">
        <f aca="false">INDEX(Intent_Analysis!$B$5:$B$81,MATCH(B6906,Intent_Analysis!$A$5:$A$81,0))</f>
        <v>Card usage &amp; features</v>
      </c>
      <c r="D6906" s="0" t="n">
        <f aca="false">INDEX(Intent_Analysis!$E$5:$E$81,MATCH(B6906,Intent_Analysis!$A$5:$A$81,0))</f>
        <v>1</v>
      </c>
    </row>
    <row r="6907" customFormat="false" ht="15" hidden="false" customHeight="false" outlineLevel="0" collapsed="false">
      <c r="A6907" s="0" t="s">
        <v>7231</v>
      </c>
      <c r="B6907" s="0" t="s">
        <v>64</v>
      </c>
      <c r="C6907" s="0" t="str">
        <f aca="false">INDEX(Intent_Analysis!$B$5:$B$81,MATCH(B6907,Intent_Analysis!$A$5:$A$81,0))</f>
        <v>Card usage &amp; features</v>
      </c>
      <c r="D6907" s="0" t="n">
        <f aca="false">INDEX(Intent_Analysis!$E$5:$E$81,MATCH(B6907,Intent_Analysis!$A$5:$A$81,0))</f>
        <v>1</v>
      </c>
    </row>
    <row r="6908" customFormat="false" ht="15" hidden="false" customHeight="false" outlineLevel="0" collapsed="false">
      <c r="A6908" s="0" t="s">
        <v>7232</v>
      </c>
      <c r="B6908" s="0" t="s">
        <v>64</v>
      </c>
      <c r="C6908" s="0" t="str">
        <f aca="false">INDEX(Intent_Analysis!$B$5:$B$81,MATCH(B6908,Intent_Analysis!$A$5:$A$81,0))</f>
        <v>Card usage &amp; features</v>
      </c>
      <c r="D6908" s="0" t="n">
        <f aca="false">INDEX(Intent_Analysis!$E$5:$E$81,MATCH(B6908,Intent_Analysis!$A$5:$A$81,0))</f>
        <v>1</v>
      </c>
    </row>
    <row r="6909" customFormat="false" ht="15" hidden="false" customHeight="false" outlineLevel="0" collapsed="false">
      <c r="A6909" s="0" t="s">
        <v>7233</v>
      </c>
      <c r="B6909" s="0" t="s">
        <v>64</v>
      </c>
      <c r="C6909" s="0" t="str">
        <f aca="false">INDEX(Intent_Analysis!$B$5:$B$81,MATCH(B6909,Intent_Analysis!$A$5:$A$81,0))</f>
        <v>Card usage &amp; features</v>
      </c>
      <c r="D6909" s="0" t="n">
        <f aca="false">INDEX(Intent_Analysis!$E$5:$E$81,MATCH(B6909,Intent_Analysis!$A$5:$A$81,0))</f>
        <v>1</v>
      </c>
    </row>
    <row r="6910" customFormat="false" ht="15" hidden="false" customHeight="false" outlineLevel="0" collapsed="false">
      <c r="A6910" s="0" t="s">
        <v>7234</v>
      </c>
      <c r="B6910" s="0" t="s">
        <v>64</v>
      </c>
      <c r="C6910" s="0" t="str">
        <f aca="false">INDEX(Intent_Analysis!$B$5:$B$81,MATCH(B6910,Intent_Analysis!$A$5:$A$81,0))</f>
        <v>Card usage &amp; features</v>
      </c>
      <c r="D6910" s="0" t="n">
        <f aca="false">INDEX(Intent_Analysis!$E$5:$E$81,MATCH(B6910,Intent_Analysis!$A$5:$A$81,0))</f>
        <v>1</v>
      </c>
    </row>
    <row r="6911" customFormat="false" ht="15" hidden="false" customHeight="false" outlineLevel="0" collapsed="false">
      <c r="A6911" s="0" t="s">
        <v>7235</v>
      </c>
      <c r="B6911" s="0" t="s">
        <v>64</v>
      </c>
      <c r="C6911" s="0" t="str">
        <f aca="false">INDEX(Intent_Analysis!$B$5:$B$81,MATCH(B6911,Intent_Analysis!$A$5:$A$81,0))</f>
        <v>Card usage &amp; features</v>
      </c>
      <c r="D6911" s="0" t="n">
        <f aca="false">INDEX(Intent_Analysis!$E$5:$E$81,MATCH(B6911,Intent_Analysis!$A$5:$A$81,0))</f>
        <v>1</v>
      </c>
    </row>
    <row r="6912" customFormat="false" ht="15" hidden="false" customHeight="false" outlineLevel="0" collapsed="false">
      <c r="A6912" s="0" t="s">
        <v>7236</v>
      </c>
      <c r="B6912" s="0" t="s">
        <v>64</v>
      </c>
      <c r="C6912" s="0" t="str">
        <f aca="false">INDEX(Intent_Analysis!$B$5:$B$81,MATCH(B6912,Intent_Analysis!$A$5:$A$81,0))</f>
        <v>Card usage &amp; features</v>
      </c>
      <c r="D6912" s="0" t="n">
        <f aca="false">INDEX(Intent_Analysis!$E$5:$E$81,MATCH(B6912,Intent_Analysis!$A$5:$A$81,0))</f>
        <v>1</v>
      </c>
    </row>
    <row r="6913" customFormat="false" ht="15" hidden="false" customHeight="false" outlineLevel="0" collapsed="false">
      <c r="A6913" s="0" t="s">
        <v>7237</v>
      </c>
      <c r="B6913" s="0" t="s">
        <v>64</v>
      </c>
      <c r="C6913" s="0" t="str">
        <f aca="false">INDEX(Intent_Analysis!$B$5:$B$81,MATCH(B6913,Intent_Analysis!$A$5:$A$81,0))</f>
        <v>Card usage &amp; features</v>
      </c>
      <c r="D6913" s="0" t="n">
        <f aca="false">INDEX(Intent_Analysis!$E$5:$E$81,MATCH(B6913,Intent_Analysis!$A$5:$A$81,0))</f>
        <v>1</v>
      </c>
    </row>
    <row r="6914" customFormat="false" ht="15" hidden="false" customHeight="false" outlineLevel="0" collapsed="false">
      <c r="A6914" s="0" t="s">
        <v>7238</v>
      </c>
      <c r="B6914" s="0" t="s">
        <v>64</v>
      </c>
      <c r="C6914" s="0" t="str">
        <f aca="false">INDEX(Intent_Analysis!$B$5:$B$81,MATCH(B6914,Intent_Analysis!$A$5:$A$81,0))</f>
        <v>Card usage &amp; features</v>
      </c>
      <c r="D6914" s="0" t="n">
        <f aca="false">INDEX(Intent_Analysis!$E$5:$E$81,MATCH(B6914,Intent_Analysis!$A$5:$A$81,0))</f>
        <v>1</v>
      </c>
    </row>
    <row r="6915" customFormat="false" ht="15" hidden="false" customHeight="false" outlineLevel="0" collapsed="false">
      <c r="A6915" s="0" t="s">
        <v>7239</v>
      </c>
      <c r="B6915" s="0" t="s">
        <v>64</v>
      </c>
      <c r="C6915" s="0" t="str">
        <f aca="false">INDEX(Intent_Analysis!$B$5:$B$81,MATCH(B6915,Intent_Analysis!$A$5:$A$81,0))</f>
        <v>Card usage &amp; features</v>
      </c>
      <c r="D6915" s="0" t="n">
        <f aca="false">INDEX(Intent_Analysis!$E$5:$E$81,MATCH(B6915,Intent_Analysis!$A$5:$A$81,0))</f>
        <v>1</v>
      </c>
    </row>
    <row r="6916" customFormat="false" ht="15" hidden="false" customHeight="false" outlineLevel="0" collapsed="false">
      <c r="A6916" s="0" t="s">
        <v>7240</v>
      </c>
      <c r="B6916" s="0" t="s">
        <v>64</v>
      </c>
      <c r="C6916" s="0" t="str">
        <f aca="false">INDEX(Intent_Analysis!$B$5:$B$81,MATCH(B6916,Intent_Analysis!$A$5:$A$81,0))</f>
        <v>Card usage &amp; features</v>
      </c>
      <c r="D6916" s="0" t="n">
        <f aca="false">INDEX(Intent_Analysis!$E$5:$E$81,MATCH(B6916,Intent_Analysis!$A$5:$A$81,0))</f>
        <v>1</v>
      </c>
    </row>
    <row r="6917" customFormat="false" ht="15" hidden="false" customHeight="false" outlineLevel="0" collapsed="false">
      <c r="A6917" s="0" t="s">
        <v>7241</v>
      </c>
      <c r="B6917" s="0" t="s">
        <v>64</v>
      </c>
      <c r="C6917" s="0" t="str">
        <f aca="false">INDEX(Intent_Analysis!$B$5:$B$81,MATCH(B6917,Intent_Analysis!$A$5:$A$81,0))</f>
        <v>Card usage &amp; features</v>
      </c>
      <c r="D6917" s="0" t="n">
        <f aca="false">INDEX(Intent_Analysis!$E$5:$E$81,MATCH(B6917,Intent_Analysis!$A$5:$A$81,0))</f>
        <v>1</v>
      </c>
    </row>
    <row r="6918" customFormat="false" ht="15" hidden="false" customHeight="false" outlineLevel="0" collapsed="false">
      <c r="A6918" s="0" t="s">
        <v>7242</v>
      </c>
      <c r="B6918" s="0" t="s">
        <v>64</v>
      </c>
      <c r="C6918" s="0" t="str">
        <f aca="false">INDEX(Intent_Analysis!$B$5:$B$81,MATCH(B6918,Intent_Analysis!$A$5:$A$81,0))</f>
        <v>Card usage &amp; features</v>
      </c>
      <c r="D6918" s="0" t="n">
        <f aca="false">INDEX(Intent_Analysis!$E$5:$E$81,MATCH(B6918,Intent_Analysis!$A$5:$A$81,0))</f>
        <v>1</v>
      </c>
    </row>
    <row r="6919" customFormat="false" ht="15" hidden="false" customHeight="false" outlineLevel="0" collapsed="false">
      <c r="A6919" s="0" t="s">
        <v>7243</v>
      </c>
      <c r="B6919" s="0" t="s">
        <v>64</v>
      </c>
      <c r="C6919" s="0" t="str">
        <f aca="false">INDEX(Intent_Analysis!$B$5:$B$81,MATCH(B6919,Intent_Analysis!$A$5:$A$81,0))</f>
        <v>Card usage &amp; features</v>
      </c>
      <c r="D6919" s="0" t="n">
        <f aca="false">INDEX(Intent_Analysis!$E$5:$E$81,MATCH(B6919,Intent_Analysis!$A$5:$A$81,0))</f>
        <v>1</v>
      </c>
    </row>
    <row r="6920" customFormat="false" ht="15" hidden="false" customHeight="false" outlineLevel="0" collapsed="false">
      <c r="A6920" s="0" t="s">
        <v>7244</v>
      </c>
      <c r="B6920" s="0" t="s">
        <v>64</v>
      </c>
      <c r="C6920" s="0" t="str">
        <f aca="false">INDEX(Intent_Analysis!$B$5:$B$81,MATCH(B6920,Intent_Analysis!$A$5:$A$81,0))</f>
        <v>Card usage &amp; features</v>
      </c>
      <c r="D6920" s="0" t="n">
        <f aca="false">INDEX(Intent_Analysis!$E$5:$E$81,MATCH(B6920,Intent_Analysis!$A$5:$A$81,0))</f>
        <v>1</v>
      </c>
    </row>
    <row r="6921" customFormat="false" ht="15" hidden="false" customHeight="false" outlineLevel="0" collapsed="false">
      <c r="A6921" s="0" t="s">
        <v>7245</v>
      </c>
      <c r="B6921" s="0" t="s">
        <v>64</v>
      </c>
      <c r="C6921" s="0" t="str">
        <f aca="false">INDEX(Intent_Analysis!$B$5:$B$81,MATCH(B6921,Intent_Analysis!$A$5:$A$81,0))</f>
        <v>Card usage &amp; features</v>
      </c>
      <c r="D6921" s="0" t="n">
        <f aca="false">INDEX(Intent_Analysis!$E$5:$E$81,MATCH(B6921,Intent_Analysis!$A$5:$A$81,0))</f>
        <v>1</v>
      </c>
    </row>
    <row r="6922" customFormat="false" ht="15" hidden="false" customHeight="false" outlineLevel="0" collapsed="false">
      <c r="A6922" s="0" t="s">
        <v>7246</v>
      </c>
      <c r="B6922" s="0" t="s">
        <v>64</v>
      </c>
      <c r="C6922" s="0" t="str">
        <f aca="false">INDEX(Intent_Analysis!$B$5:$B$81,MATCH(B6922,Intent_Analysis!$A$5:$A$81,0))</f>
        <v>Card usage &amp; features</v>
      </c>
      <c r="D6922" s="0" t="n">
        <f aca="false">INDEX(Intent_Analysis!$E$5:$E$81,MATCH(B6922,Intent_Analysis!$A$5:$A$81,0))</f>
        <v>1</v>
      </c>
    </row>
    <row r="6923" customFormat="false" ht="15" hidden="false" customHeight="false" outlineLevel="0" collapsed="false">
      <c r="A6923" s="0" t="s">
        <v>7247</v>
      </c>
      <c r="B6923" s="0" t="s">
        <v>64</v>
      </c>
      <c r="C6923" s="0" t="str">
        <f aca="false">INDEX(Intent_Analysis!$B$5:$B$81,MATCH(B6923,Intent_Analysis!$A$5:$A$81,0))</f>
        <v>Card usage &amp; features</v>
      </c>
      <c r="D6923" s="0" t="n">
        <f aca="false">INDEX(Intent_Analysis!$E$5:$E$81,MATCH(B6923,Intent_Analysis!$A$5:$A$81,0))</f>
        <v>1</v>
      </c>
    </row>
    <row r="6924" customFormat="false" ht="15" hidden="false" customHeight="false" outlineLevel="0" collapsed="false">
      <c r="A6924" s="0" t="s">
        <v>7248</v>
      </c>
      <c r="B6924" s="0" t="s">
        <v>64</v>
      </c>
      <c r="C6924" s="0" t="str">
        <f aca="false">INDEX(Intent_Analysis!$B$5:$B$81,MATCH(B6924,Intent_Analysis!$A$5:$A$81,0))</f>
        <v>Card usage &amp; features</v>
      </c>
      <c r="D6924" s="0" t="n">
        <f aca="false">INDEX(Intent_Analysis!$E$5:$E$81,MATCH(B6924,Intent_Analysis!$A$5:$A$81,0))</f>
        <v>1</v>
      </c>
    </row>
    <row r="6925" customFormat="false" ht="15" hidden="false" customHeight="false" outlineLevel="0" collapsed="false">
      <c r="A6925" s="0" t="s">
        <v>7249</v>
      </c>
      <c r="B6925" s="0" t="s">
        <v>64</v>
      </c>
      <c r="C6925" s="0" t="str">
        <f aca="false">INDEX(Intent_Analysis!$B$5:$B$81,MATCH(B6925,Intent_Analysis!$A$5:$A$81,0))</f>
        <v>Card usage &amp; features</v>
      </c>
      <c r="D6925" s="0" t="n">
        <f aca="false">INDEX(Intent_Analysis!$E$5:$E$81,MATCH(B6925,Intent_Analysis!$A$5:$A$81,0))</f>
        <v>1</v>
      </c>
    </row>
    <row r="6926" customFormat="false" ht="15" hidden="false" customHeight="false" outlineLevel="0" collapsed="false">
      <c r="A6926" s="0" t="s">
        <v>7250</v>
      </c>
      <c r="B6926" s="0" t="s">
        <v>64</v>
      </c>
      <c r="C6926" s="0" t="str">
        <f aca="false">INDEX(Intent_Analysis!$B$5:$B$81,MATCH(B6926,Intent_Analysis!$A$5:$A$81,0))</f>
        <v>Card usage &amp; features</v>
      </c>
      <c r="D6926" s="0" t="n">
        <f aca="false">INDEX(Intent_Analysis!$E$5:$E$81,MATCH(B6926,Intent_Analysis!$A$5:$A$81,0))</f>
        <v>1</v>
      </c>
    </row>
    <row r="6927" customFormat="false" ht="15" hidden="false" customHeight="false" outlineLevel="0" collapsed="false">
      <c r="A6927" s="0" t="s">
        <v>7251</v>
      </c>
      <c r="B6927" s="0" t="s">
        <v>64</v>
      </c>
      <c r="C6927" s="0" t="str">
        <f aca="false">INDEX(Intent_Analysis!$B$5:$B$81,MATCH(B6927,Intent_Analysis!$A$5:$A$81,0))</f>
        <v>Card usage &amp; features</v>
      </c>
      <c r="D6927" s="0" t="n">
        <f aca="false">INDEX(Intent_Analysis!$E$5:$E$81,MATCH(B6927,Intent_Analysis!$A$5:$A$81,0))</f>
        <v>1</v>
      </c>
    </row>
    <row r="6928" customFormat="false" ht="15" hidden="false" customHeight="false" outlineLevel="0" collapsed="false">
      <c r="A6928" s="0" t="s">
        <v>7252</v>
      </c>
      <c r="B6928" s="0" t="s">
        <v>64</v>
      </c>
      <c r="C6928" s="0" t="str">
        <f aca="false">INDEX(Intent_Analysis!$B$5:$B$81,MATCH(B6928,Intent_Analysis!$A$5:$A$81,0))</f>
        <v>Card usage &amp; features</v>
      </c>
      <c r="D6928" s="0" t="n">
        <f aca="false">INDEX(Intent_Analysis!$E$5:$E$81,MATCH(B6928,Intent_Analysis!$A$5:$A$81,0))</f>
        <v>1</v>
      </c>
    </row>
    <row r="6929" customFormat="false" ht="15" hidden="false" customHeight="false" outlineLevel="0" collapsed="false">
      <c r="A6929" s="0" t="s">
        <v>7253</v>
      </c>
      <c r="B6929" s="0" t="s">
        <v>64</v>
      </c>
      <c r="C6929" s="0" t="str">
        <f aca="false">INDEX(Intent_Analysis!$B$5:$B$81,MATCH(B6929,Intent_Analysis!$A$5:$A$81,0))</f>
        <v>Card usage &amp; features</v>
      </c>
      <c r="D6929" s="0" t="n">
        <f aca="false">INDEX(Intent_Analysis!$E$5:$E$81,MATCH(B6929,Intent_Analysis!$A$5:$A$81,0))</f>
        <v>1</v>
      </c>
    </row>
    <row r="6930" customFormat="false" ht="15" hidden="false" customHeight="false" outlineLevel="0" collapsed="false">
      <c r="A6930" s="0" t="s">
        <v>7254</v>
      </c>
      <c r="B6930" s="0" t="s">
        <v>64</v>
      </c>
      <c r="C6930" s="0" t="str">
        <f aca="false">INDEX(Intent_Analysis!$B$5:$B$81,MATCH(B6930,Intent_Analysis!$A$5:$A$81,0))</f>
        <v>Card usage &amp; features</v>
      </c>
      <c r="D6930" s="0" t="n">
        <f aca="false">INDEX(Intent_Analysis!$E$5:$E$81,MATCH(B6930,Intent_Analysis!$A$5:$A$81,0))</f>
        <v>1</v>
      </c>
    </row>
    <row r="6931" customFormat="false" ht="15" hidden="false" customHeight="false" outlineLevel="0" collapsed="false">
      <c r="A6931" s="0" t="s">
        <v>7255</v>
      </c>
      <c r="B6931" s="0" t="s">
        <v>64</v>
      </c>
      <c r="C6931" s="0" t="str">
        <f aca="false">INDEX(Intent_Analysis!$B$5:$B$81,MATCH(B6931,Intent_Analysis!$A$5:$A$81,0))</f>
        <v>Card usage &amp; features</v>
      </c>
      <c r="D6931" s="0" t="n">
        <f aca="false">INDEX(Intent_Analysis!$E$5:$E$81,MATCH(B6931,Intent_Analysis!$A$5:$A$81,0))</f>
        <v>1</v>
      </c>
    </row>
    <row r="6932" customFormat="false" ht="15" hidden="false" customHeight="false" outlineLevel="0" collapsed="false">
      <c r="A6932" s="0" t="s">
        <v>7256</v>
      </c>
      <c r="B6932" s="0" t="s">
        <v>64</v>
      </c>
      <c r="C6932" s="0" t="str">
        <f aca="false">INDEX(Intent_Analysis!$B$5:$B$81,MATCH(B6932,Intent_Analysis!$A$5:$A$81,0))</f>
        <v>Card usage &amp; features</v>
      </c>
      <c r="D6932" s="0" t="n">
        <f aca="false">INDEX(Intent_Analysis!$E$5:$E$81,MATCH(B6932,Intent_Analysis!$A$5:$A$81,0))</f>
        <v>1</v>
      </c>
    </row>
    <row r="6933" customFormat="false" ht="15" hidden="false" customHeight="false" outlineLevel="0" collapsed="false">
      <c r="A6933" s="0" t="s">
        <v>7257</v>
      </c>
      <c r="B6933" s="0" t="s">
        <v>64</v>
      </c>
      <c r="C6933" s="0" t="str">
        <f aca="false">INDEX(Intent_Analysis!$B$5:$B$81,MATCH(B6933,Intent_Analysis!$A$5:$A$81,0))</f>
        <v>Card usage &amp; features</v>
      </c>
      <c r="D6933" s="0" t="n">
        <f aca="false">INDEX(Intent_Analysis!$E$5:$E$81,MATCH(B6933,Intent_Analysis!$A$5:$A$81,0))</f>
        <v>1</v>
      </c>
    </row>
    <row r="6934" customFormat="false" ht="15" hidden="false" customHeight="false" outlineLevel="0" collapsed="false">
      <c r="A6934" s="0" t="s">
        <v>7258</v>
      </c>
      <c r="B6934" s="0" t="s">
        <v>64</v>
      </c>
      <c r="C6934" s="0" t="str">
        <f aca="false">INDEX(Intent_Analysis!$B$5:$B$81,MATCH(B6934,Intent_Analysis!$A$5:$A$81,0))</f>
        <v>Card usage &amp; features</v>
      </c>
      <c r="D6934" s="0" t="n">
        <f aca="false">INDEX(Intent_Analysis!$E$5:$E$81,MATCH(B6934,Intent_Analysis!$A$5:$A$81,0))</f>
        <v>1</v>
      </c>
    </row>
    <row r="6935" customFormat="false" ht="15" hidden="false" customHeight="false" outlineLevel="0" collapsed="false">
      <c r="A6935" s="0" t="s">
        <v>7259</v>
      </c>
      <c r="B6935" s="0" t="s">
        <v>64</v>
      </c>
      <c r="C6935" s="0" t="str">
        <f aca="false">INDEX(Intent_Analysis!$B$5:$B$81,MATCH(B6935,Intent_Analysis!$A$5:$A$81,0))</f>
        <v>Card usage &amp; features</v>
      </c>
      <c r="D6935" s="0" t="n">
        <f aca="false">INDEX(Intent_Analysis!$E$5:$E$81,MATCH(B6935,Intent_Analysis!$A$5:$A$81,0))</f>
        <v>1</v>
      </c>
    </row>
    <row r="6936" customFormat="false" ht="15" hidden="false" customHeight="false" outlineLevel="0" collapsed="false">
      <c r="A6936" s="0" t="s">
        <v>7260</v>
      </c>
      <c r="B6936" s="0" t="s">
        <v>64</v>
      </c>
      <c r="C6936" s="0" t="str">
        <f aca="false">INDEX(Intent_Analysis!$B$5:$B$81,MATCH(B6936,Intent_Analysis!$A$5:$A$81,0))</f>
        <v>Card usage &amp; features</v>
      </c>
      <c r="D6936" s="0" t="n">
        <f aca="false">INDEX(Intent_Analysis!$E$5:$E$81,MATCH(B6936,Intent_Analysis!$A$5:$A$81,0))</f>
        <v>1</v>
      </c>
    </row>
    <row r="6937" customFormat="false" ht="15" hidden="false" customHeight="false" outlineLevel="0" collapsed="false">
      <c r="A6937" s="0" t="s">
        <v>7261</v>
      </c>
      <c r="B6937" s="0" t="s">
        <v>64</v>
      </c>
      <c r="C6937" s="0" t="str">
        <f aca="false">INDEX(Intent_Analysis!$B$5:$B$81,MATCH(B6937,Intent_Analysis!$A$5:$A$81,0))</f>
        <v>Card usage &amp; features</v>
      </c>
      <c r="D6937" s="0" t="n">
        <f aca="false">INDEX(Intent_Analysis!$E$5:$E$81,MATCH(B6937,Intent_Analysis!$A$5:$A$81,0))</f>
        <v>1</v>
      </c>
    </row>
    <row r="6938" customFormat="false" ht="15" hidden="false" customHeight="false" outlineLevel="0" collapsed="false">
      <c r="A6938" s="0" t="s">
        <v>7262</v>
      </c>
      <c r="B6938" s="0" t="s">
        <v>64</v>
      </c>
      <c r="C6938" s="0" t="str">
        <f aca="false">INDEX(Intent_Analysis!$B$5:$B$81,MATCH(B6938,Intent_Analysis!$A$5:$A$81,0))</f>
        <v>Card usage &amp; features</v>
      </c>
      <c r="D6938" s="0" t="n">
        <f aca="false">INDEX(Intent_Analysis!$E$5:$E$81,MATCH(B6938,Intent_Analysis!$A$5:$A$81,0))</f>
        <v>1</v>
      </c>
    </row>
    <row r="6939" customFormat="false" ht="15" hidden="false" customHeight="false" outlineLevel="0" collapsed="false">
      <c r="A6939" s="0" t="s">
        <v>7263</v>
      </c>
      <c r="B6939" s="0" t="s">
        <v>64</v>
      </c>
      <c r="C6939" s="0" t="str">
        <f aca="false">INDEX(Intent_Analysis!$B$5:$B$81,MATCH(B6939,Intent_Analysis!$A$5:$A$81,0))</f>
        <v>Card usage &amp; features</v>
      </c>
      <c r="D6939" s="0" t="n">
        <f aca="false">INDEX(Intent_Analysis!$E$5:$E$81,MATCH(B6939,Intent_Analysis!$A$5:$A$81,0))</f>
        <v>1</v>
      </c>
    </row>
    <row r="6940" customFormat="false" ht="15" hidden="false" customHeight="false" outlineLevel="0" collapsed="false">
      <c r="A6940" s="0" t="s">
        <v>7264</v>
      </c>
      <c r="B6940" s="0" t="s">
        <v>64</v>
      </c>
      <c r="C6940" s="0" t="str">
        <f aca="false">INDEX(Intent_Analysis!$B$5:$B$81,MATCH(B6940,Intent_Analysis!$A$5:$A$81,0))</f>
        <v>Card usage &amp; features</v>
      </c>
      <c r="D6940" s="0" t="n">
        <f aca="false">INDEX(Intent_Analysis!$E$5:$E$81,MATCH(B6940,Intent_Analysis!$A$5:$A$81,0))</f>
        <v>1</v>
      </c>
    </row>
    <row r="6941" customFormat="false" ht="15" hidden="false" customHeight="false" outlineLevel="0" collapsed="false">
      <c r="A6941" s="0" t="s">
        <v>7265</v>
      </c>
      <c r="B6941" s="0" t="s">
        <v>64</v>
      </c>
      <c r="C6941" s="0" t="str">
        <f aca="false">INDEX(Intent_Analysis!$B$5:$B$81,MATCH(B6941,Intent_Analysis!$A$5:$A$81,0))</f>
        <v>Card usage &amp; features</v>
      </c>
      <c r="D6941" s="0" t="n">
        <f aca="false">INDEX(Intent_Analysis!$E$5:$E$81,MATCH(B6941,Intent_Analysis!$A$5:$A$81,0))</f>
        <v>1</v>
      </c>
    </row>
    <row r="6942" customFormat="false" ht="15" hidden="false" customHeight="false" outlineLevel="0" collapsed="false">
      <c r="A6942" s="0" t="s">
        <v>7266</v>
      </c>
      <c r="B6942" s="0" t="s">
        <v>64</v>
      </c>
      <c r="C6942" s="0" t="str">
        <f aca="false">INDEX(Intent_Analysis!$B$5:$B$81,MATCH(B6942,Intent_Analysis!$A$5:$A$81,0))</f>
        <v>Card usage &amp; features</v>
      </c>
      <c r="D6942" s="0" t="n">
        <f aca="false">INDEX(Intent_Analysis!$E$5:$E$81,MATCH(B6942,Intent_Analysis!$A$5:$A$81,0))</f>
        <v>1</v>
      </c>
    </row>
    <row r="6943" customFormat="false" ht="15" hidden="false" customHeight="false" outlineLevel="0" collapsed="false">
      <c r="A6943" s="0" t="s">
        <v>7267</v>
      </c>
      <c r="B6943" s="0" t="s">
        <v>64</v>
      </c>
      <c r="C6943" s="0" t="str">
        <f aca="false">INDEX(Intent_Analysis!$B$5:$B$81,MATCH(B6943,Intent_Analysis!$A$5:$A$81,0))</f>
        <v>Card usage &amp; features</v>
      </c>
      <c r="D6943" s="0" t="n">
        <f aca="false">INDEX(Intent_Analysis!$E$5:$E$81,MATCH(B6943,Intent_Analysis!$A$5:$A$81,0))</f>
        <v>1</v>
      </c>
    </row>
    <row r="6944" customFormat="false" ht="15" hidden="false" customHeight="false" outlineLevel="0" collapsed="false">
      <c r="A6944" s="0" t="s">
        <v>7268</v>
      </c>
      <c r="B6944" s="0" t="s">
        <v>64</v>
      </c>
      <c r="C6944" s="0" t="str">
        <f aca="false">INDEX(Intent_Analysis!$B$5:$B$81,MATCH(B6944,Intent_Analysis!$A$5:$A$81,0))</f>
        <v>Card usage &amp; features</v>
      </c>
      <c r="D6944" s="0" t="n">
        <f aca="false">INDEX(Intent_Analysis!$E$5:$E$81,MATCH(B6944,Intent_Analysis!$A$5:$A$81,0))</f>
        <v>1</v>
      </c>
    </row>
    <row r="6945" customFormat="false" ht="15" hidden="false" customHeight="false" outlineLevel="0" collapsed="false">
      <c r="A6945" s="0" t="s">
        <v>7269</v>
      </c>
      <c r="B6945" s="0" t="s">
        <v>64</v>
      </c>
      <c r="C6945" s="0" t="str">
        <f aca="false">INDEX(Intent_Analysis!$B$5:$B$81,MATCH(B6945,Intent_Analysis!$A$5:$A$81,0))</f>
        <v>Card usage &amp; features</v>
      </c>
      <c r="D6945" s="0" t="n">
        <f aca="false">INDEX(Intent_Analysis!$E$5:$E$81,MATCH(B6945,Intent_Analysis!$A$5:$A$81,0))</f>
        <v>1</v>
      </c>
    </row>
    <row r="6946" customFormat="false" ht="15" hidden="false" customHeight="false" outlineLevel="0" collapsed="false">
      <c r="A6946" s="0" t="s">
        <v>7270</v>
      </c>
      <c r="B6946" s="0" t="s">
        <v>64</v>
      </c>
      <c r="C6946" s="0" t="str">
        <f aca="false">INDEX(Intent_Analysis!$B$5:$B$81,MATCH(B6946,Intent_Analysis!$A$5:$A$81,0))</f>
        <v>Card usage &amp; features</v>
      </c>
      <c r="D6946" s="0" t="n">
        <f aca="false">INDEX(Intent_Analysis!$E$5:$E$81,MATCH(B6946,Intent_Analysis!$A$5:$A$81,0))</f>
        <v>1</v>
      </c>
    </row>
    <row r="6947" customFormat="false" ht="15" hidden="false" customHeight="false" outlineLevel="0" collapsed="false">
      <c r="A6947" s="0" t="s">
        <v>7271</v>
      </c>
      <c r="B6947" s="0" t="s">
        <v>64</v>
      </c>
      <c r="C6947" s="0" t="str">
        <f aca="false">INDEX(Intent_Analysis!$B$5:$B$81,MATCH(B6947,Intent_Analysis!$A$5:$A$81,0))</f>
        <v>Card usage &amp; features</v>
      </c>
      <c r="D6947" s="0" t="n">
        <f aca="false">INDEX(Intent_Analysis!$E$5:$E$81,MATCH(B6947,Intent_Analysis!$A$5:$A$81,0))</f>
        <v>1</v>
      </c>
    </row>
    <row r="6948" customFormat="false" ht="15" hidden="false" customHeight="false" outlineLevel="0" collapsed="false">
      <c r="A6948" s="0" t="s">
        <v>7272</v>
      </c>
      <c r="B6948" s="0" t="s">
        <v>64</v>
      </c>
      <c r="C6948" s="0" t="str">
        <f aca="false">INDEX(Intent_Analysis!$B$5:$B$81,MATCH(B6948,Intent_Analysis!$A$5:$A$81,0))</f>
        <v>Card usage &amp; features</v>
      </c>
      <c r="D6948" s="0" t="n">
        <f aca="false">INDEX(Intent_Analysis!$E$5:$E$81,MATCH(B6948,Intent_Analysis!$A$5:$A$81,0))</f>
        <v>1</v>
      </c>
    </row>
    <row r="6949" customFormat="false" ht="15" hidden="false" customHeight="false" outlineLevel="0" collapsed="false">
      <c r="A6949" s="0" t="s">
        <v>7273</v>
      </c>
      <c r="B6949" s="0" t="s">
        <v>64</v>
      </c>
      <c r="C6949" s="0" t="str">
        <f aca="false">INDEX(Intent_Analysis!$B$5:$B$81,MATCH(B6949,Intent_Analysis!$A$5:$A$81,0))</f>
        <v>Card usage &amp; features</v>
      </c>
      <c r="D6949" s="0" t="n">
        <f aca="false">INDEX(Intent_Analysis!$E$5:$E$81,MATCH(B6949,Intent_Analysis!$A$5:$A$81,0))</f>
        <v>1</v>
      </c>
    </row>
    <row r="6950" customFormat="false" ht="15" hidden="false" customHeight="false" outlineLevel="0" collapsed="false">
      <c r="A6950" s="0" t="s">
        <v>7274</v>
      </c>
      <c r="B6950" s="0" t="s">
        <v>64</v>
      </c>
      <c r="C6950" s="0" t="str">
        <f aca="false">INDEX(Intent_Analysis!$B$5:$B$81,MATCH(B6950,Intent_Analysis!$A$5:$A$81,0))</f>
        <v>Card usage &amp; features</v>
      </c>
      <c r="D6950" s="0" t="n">
        <f aca="false">INDEX(Intent_Analysis!$E$5:$E$81,MATCH(B6950,Intent_Analysis!$A$5:$A$81,0))</f>
        <v>1</v>
      </c>
    </row>
    <row r="6951" customFormat="false" ht="15" hidden="false" customHeight="false" outlineLevel="0" collapsed="false">
      <c r="A6951" s="0" t="s">
        <v>7275</v>
      </c>
      <c r="B6951" s="0" t="s">
        <v>64</v>
      </c>
      <c r="C6951" s="0" t="str">
        <f aca="false">INDEX(Intent_Analysis!$B$5:$B$81,MATCH(B6951,Intent_Analysis!$A$5:$A$81,0))</f>
        <v>Card usage &amp; features</v>
      </c>
      <c r="D6951" s="0" t="n">
        <f aca="false">INDEX(Intent_Analysis!$E$5:$E$81,MATCH(B6951,Intent_Analysis!$A$5:$A$81,0))</f>
        <v>1</v>
      </c>
    </row>
    <row r="6952" customFormat="false" ht="15" hidden="false" customHeight="false" outlineLevel="0" collapsed="false">
      <c r="A6952" s="0" t="s">
        <v>7276</v>
      </c>
      <c r="B6952" s="0" t="s">
        <v>64</v>
      </c>
      <c r="C6952" s="0" t="str">
        <f aca="false">INDEX(Intent_Analysis!$B$5:$B$81,MATCH(B6952,Intent_Analysis!$A$5:$A$81,0))</f>
        <v>Card usage &amp; features</v>
      </c>
      <c r="D6952" s="0" t="n">
        <f aca="false">INDEX(Intent_Analysis!$E$5:$E$81,MATCH(B6952,Intent_Analysis!$A$5:$A$81,0))</f>
        <v>1</v>
      </c>
    </row>
    <row r="6953" customFormat="false" ht="15" hidden="false" customHeight="false" outlineLevel="0" collapsed="false">
      <c r="A6953" s="0" t="s">
        <v>7277</v>
      </c>
      <c r="B6953" s="0" t="s">
        <v>64</v>
      </c>
      <c r="C6953" s="0" t="str">
        <f aca="false">INDEX(Intent_Analysis!$B$5:$B$81,MATCH(B6953,Intent_Analysis!$A$5:$A$81,0))</f>
        <v>Card usage &amp; features</v>
      </c>
      <c r="D6953" s="0" t="n">
        <f aca="false">INDEX(Intent_Analysis!$E$5:$E$81,MATCH(B6953,Intent_Analysis!$A$5:$A$81,0))</f>
        <v>1</v>
      </c>
    </row>
    <row r="6954" customFormat="false" ht="15" hidden="false" customHeight="false" outlineLevel="0" collapsed="false">
      <c r="A6954" s="0" t="s">
        <v>7278</v>
      </c>
      <c r="B6954" s="0" t="s">
        <v>64</v>
      </c>
      <c r="C6954" s="0" t="str">
        <f aca="false">INDEX(Intent_Analysis!$B$5:$B$81,MATCH(B6954,Intent_Analysis!$A$5:$A$81,0))</f>
        <v>Card usage &amp; features</v>
      </c>
      <c r="D6954" s="0" t="n">
        <f aca="false">INDEX(Intent_Analysis!$E$5:$E$81,MATCH(B6954,Intent_Analysis!$A$5:$A$81,0))</f>
        <v>1</v>
      </c>
    </row>
    <row r="6955" customFormat="false" ht="15" hidden="false" customHeight="false" outlineLevel="0" collapsed="false">
      <c r="A6955" s="0" t="s">
        <v>7279</v>
      </c>
      <c r="B6955" s="0" t="s">
        <v>64</v>
      </c>
      <c r="C6955" s="0" t="str">
        <f aca="false">INDEX(Intent_Analysis!$B$5:$B$81,MATCH(B6955,Intent_Analysis!$A$5:$A$81,0))</f>
        <v>Card usage &amp; features</v>
      </c>
      <c r="D6955" s="0" t="n">
        <f aca="false">INDEX(Intent_Analysis!$E$5:$E$81,MATCH(B6955,Intent_Analysis!$A$5:$A$81,0))</f>
        <v>1</v>
      </c>
    </row>
    <row r="6956" customFormat="false" ht="15" hidden="false" customHeight="false" outlineLevel="0" collapsed="false">
      <c r="A6956" s="0" t="s">
        <v>7280</v>
      </c>
      <c r="B6956" s="0" t="s">
        <v>64</v>
      </c>
      <c r="C6956" s="0" t="str">
        <f aca="false">INDEX(Intent_Analysis!$B$5:$B$81,MATCH(B6956,Intent_Analysis!$A$5:$A$81,0))</f>
        <v>Card usage &amp; features</v>
      </c>
      <c r="D6956" s="0" t="n">
        <f aca="false">INDEX(Intent_Analysis!$E$5:$E$81,MATCH(B6956,Intent_Analysis!$A$5:$A$81,0))</f>
        <v>1</v>
      </c>
    </row>
    <row r="6957" customFormat="false" ht="15" hidden="false" customHeight="false" outlineLevel="0" collapsed="false">
      <c r="A6957" s="0" t="s">
        <v>7281</v>
      </c>
      <c r="B6957" s="0" t="s">
        <v>64</v>
      </c>
      <c r="C6957" s="0" t="str">
        <f aca="false">INDEX(Intent_Analysis!$B$5:$B$81,MATCH(B6957,Intent_Analysis!$A$5:$A$81,0))</f>
        <v>Card usage &amp; features</v>
      </c>
      <c r="D6957" s="0" t="n">
        <f aca="false">INDEX(Intent_Analysis!$E$5:$E$81,MATCH(B6957,Intent_Analysis!$A$5:$A$81,0))</f>
        <v>1</v>
      </c>
    </row>
    <row r="6958" customFormat="false" ht="15" hidden="false" customHeight="false" outlineLevel="0" collapsed="false">
      <c r="A6958" s="0" t="s">
        <v>7282</v>
      </c>
      <c r="B6958" s="0" t="s">
        <v>64</v>
      </c>
      <c r="C6958" s="0" t="str">
        <f aca="false">INDEX(Intent_Analysis!$B$5:$B$81,MATCH(B6958,Intent_Analysis!$A$5:$A$81,0))</f>
        <v>Card usage &amp; features</v>
      </c>
      <c r="D6958" s="0" t="n">
        <f aca="false">INDEX(Intent_Analysis!$E$5:$E$81,MATCH(B6958,Intent_Analysis!$A$5:$A$81,0))</f>
        <v>1</v>
      </c>
    </row>
    <row r="6959" customFormat="false" ht="15" hidden="false" customHeight="false" outlineLevel="0" collapsed="false">
      <c r="A6959" s="0" t="s">
        <v>7283</v>
      </c>
      <c r="B6959" s="0" t="s">
        <v>64</v>
      </c>
      <c r="C6959" s="0" t="str">
        <f aca="false">INDEX(Intent_Analysis!$B$5:$B$81,MATCH(B6959,Intent_Analysis!$A$5:$A$81,0))</f>
        <v>Card usage &amp; features</v>
      </c>
      <c r="D6959" s="0" t="n">
        <f aca="false">INDEX(Intent_Analysis!$E$5:$E$81,MATCH(B6959,Intent_Analysis!$A$5:$A$81,0))</f>
        <v>1</v>
      </c>
    </row>
    <row r="6960" customFormat="false" ht="15" hidden="false" customHeight="false" outlineLevel="0" collapsed="false">
      <c r="A6960" s="0" t="s">
        <v>7284</v>
      </c>
      <c r="B6960" s="0" t="s">
        <v>64</v>
      </c>
      <c r="C6960" s="0" t="str">
        <f aca="false">INDEX(Intent_Analysis!$B$5:$B$81,MATCH(B6960,Intent_Analysis!$A$5:$A$81,0))</f>
        <v>Card usage &amp; features</v>
      </c>
      <c r="D6960" s="0" t="n">
        <f aca="false">INDEX(Intent_Analysis!$E$5:$E$81,MATCH(B6960,Intent_Analysis!$A$5:$A$81,0))</f>
        <v>1</v>
      </c>
    </row>
    <row r="6961" customFormat="false" ht="15" hidden="false" customHeight="false" outlineLevel="0" collapsed="false">
      <c r="A6961" s="0" t="s">
        <v>7285</v>
      </c>
      <c r="B6961" s="0" t="s">
        <v>64</v>
      </c>
      <c r="C6961" s="0" t="str">
        <f aca="false">INDEX(Intent_Analysis!$B$5:$B$81,MATCH(B6961,Intent_Analysis!$A$5:$A$81,0))</f>
        <v>Card usage &amp; features</v>
      </c>
      <c r="D6961" s="0" t="n">
        <f aca="false">INDEX(Intent_Analysis!$E$5:$E$81,MATCH(B6961,Intent_Analysis!$A$5:$A$81,0))</f>
        <v>1</v>
      </c>
    </row>
    <row r="6962" customFormat="false" ht="15" hidden="false" customHeight="false" outlineLevel="0" collapsed="false">
      <c r="A6962" s="0" t="s">
        <v>7286</v>
      </c>
      <c r="B6962" s="0" t="s">
        <v>64</v>
      </c>
      <c r="C6962" s="0" t="str">
        <f aca="false">INDEX(Intent_Analysis!$B$5:$B$81,MATCH(B6962,Intent_Analysis!$A$5:$A$81,0))</f>
        <v>Card usage &amp; features</v>
      </c>
      <c r="D6962" s="0" t="n">
        <f aca="false">INDEX(Intent_Analysis!$E$5:$E$81,MATCH(B6962,Intent_Analysis!$A$5:$A$81,0))</f>
        <v>1</v>
      </c>
    </row>
    <row r="6963" customFormat="false" ht="15" hidden="false" customHeight="false" outlineLevel="0" collapsed="false">
      <c r="A6963" s="0" t="s">
        <v>7287</v>
      </c>
      <c r="B6963" s="0" t="s">
        <v>64</v>
      </c>
      <c r="C6963" s="0" t="str">
        <f aca="false">INDEX(Intent_Analysis!$B$5:$B$81,MATCH(B6963,Intent_Analysis!$A$5:$A$81,0))</f>
        <v>Card usage &amp; features</v>
      </c>
      <c r="D6963" s="0" t="n">
        <f aca="false">INDEX(Intent_Analysis!$E$5:$E$81,MATCH(B6963,Intent_Analysis!$A$5:$A$81,0))</f>
        <v>1</v>
      </c>
    </row>
    <row r="6964" customFormat="false" ht="15" hidden="false" customHeight="false" outlineLevel="0" collapsed="false">
      <c r="A6964" s="0" t="s">
        <v>7288</v>
      </c>
      <c r="B6964" s="0" t="s">
        <v>64</v>
      </c>
      <c r="C6964" s="0" t="str">
        <f aca="false">INDEX(Intent_Analysis!$B$5:$B$81,MATCH(B6964,Intent_Analysis!$A$5:$A$81,0))</f>
        <v>Card usage &amp; features</v>
      </c>
      <c r="D6964" s="0" t="n">
        <f aca="false">INDEX(Intent_Analysis!$E$5:$E$81,MATCH(B6964,Intent_Analysis!$A$5:$A$81,0))</f>
        <v>1</v>
      </c>
    </row>
    <row r="6965" customFormat="false" ht="15" hidden="false" customHeight="false" outlineLevel="0" collapsed="false">
      <c r="A6965" s="0" t="s">
        <v>7289</v>
      </c>
      <c r="B6965" s="0" t="s">
        <v>64</v>
      </c>
      <c r="C6965" s="0" t="str">
        <f aca="false">INDEX(Intent_Analysis!$B$5:$B$81,MATCH(B6965,Intent_Analysis!$A$5:$A$81,0))</f>
        <v>Card usage &amp; features</v>
      </c>
      <c r="D6965" s="0" t="n">
        <f aca="false">INDEX(Intent_Analysis!$E$5:$E$81,MATCH(B6965,Intent_Analysis!$A$5:$A$81,0))</f>
        <v>1</v>
      </c>
    </row>
    <row r="6966" customFormat="false" ht="15" hidden="false" customHeight="false" outlineLevel="0" collapsed="false">
      <c r="A6966" s="0" t="s">
        <v>7290</v>
      </c>
      <c r="B6966" s="0" t="s">
        <v>64</v>
      </c>
      <c r="C6966" s="0" t="str">
        <f aca="false">INDEX(Intent_Analysis!$B$5:$B$81,MATCH(B6966,Intent_Analysis!$A$5:$A$81,0))</f>
        <v>Card usage &amp; features</v>
      </c>
      <c r="D6966" s="0" t="n">
        <f aca="false">INDEX(Intent_Analysis!$E$5:$E$81,MATCH(B6966,Intent_Analysis!$A$5:$A$81,0))</f>
        <v>1</v>
      </c>
    </row>
    <row r="6967" customFormat="false" ht="28.35" hidden="false" customHeight="false" outlineLevel="0" collapsed="false">
      <c r="A6967" s="25" t="s">
        <v>7291</v>
      </c>
      <c r="B6967" s="0" t="s">
        <v>64</v>
      </c>
      <c r="C6967" s="0" t="str">
        <f aca="false">INDEX(Intent_Analysis!$B$5:$B$81,MATCH(B6967,Intent_Analysis!$A$5:$A$81,0))</f>
        <v>Card usage &amp; features</v>
      </c>
      <c r="D6967" s="0" t="n">
        <f aca="false">INDEX(Intent_Analysis!$E$5:$E$81,MATCH(B6967,Intent_Analysis!$A$5:$A$81,0))</f>
        <v>1</v>
      </c>
    </row>
    <row r="6968" customFormat="false" ht="15" hidden="false" customHeight="false" outlineLevel="0" collapsed="false">
      <c r="A6968" s="0" t="s">
        <v>7292</v>
      </c>
      <c r="B6968" s="0" t="s">
        <v>64</v>
      </c>
      <c r="C6968" s="0" t="str">
        <f aca="false">INDEX(Intent_Analysis!$B$5:$B$81,MATCH(B6968,Intent_Analysis!$A$5:$A$81,0))</f>
        <v>Card usage &amp; features</v>
      </c>
      <c r="D6968" s="0" t="n">
        <f aca="false">INDEX(Intent_Analysis!$E$5:$E$81,MATCH(B6968,Intent_Analysis!$A$5:$A$81,0))</f>
        <v>1</v>
      </c>
    </row>
    <row r="6969" customFormat="false" ht="15" hidden="false" customHeight="false" outlineLevel="0" collapsed="false">
      <c r="A6969" s="0" t="s">
        <v>7293</v>
      </c>
      <c r="B6969" s="0" t="s">
        <v>64</v>
      </c>
      <c r="C6969" s="0" t="str">
        <f aca="false">INDEX(Intent_Analysis!$B$5:$B$81,MATCH(B6969,Intent_Analysis!$A$5:$A$81,0))</f>
        <v>Card usage &amp; features</v>
      </c>
      <c r="D6969" s="0" t="n">
        <f aca="false">INDEX(Intent_Analysis!$E$5:$E$81,MATCH(B6969,Intent_Analysis!$A$5:$A$81,0))</f>
        <v>1</v>
      </c>
    </row>
    <row r="6970" customFormat="false" ht="15" hidden="false" customHeight="false" outlineLevel="0" collapsed="false">
      <c r="A6970" s="0" t="s">
        <v>7294</v>
      </c>
      <c r="B6970" s="0" t="s">
        <v>64</v>
      </c>
      <c r="C6970" s="0" t="str">
        <f aca="false">INDEX(Intent_Analysis!$B$5:$B$81,MATCH(B6970,Intent_Analysis!$A$5:$A$81,0))</f>
        <v>Card usage &amp; features</v>
      </c>
      <c r="D6970" s="0" t="n">
        <f aca="false">INDEX(Intent_Analysis!$E$5:$E$81,MATCH(B6970,Intent_Analysis!$A$5:$A$81,0))</f>
        <v>1</v>
      </c>
    </row>
    <row r="6971" customFormat="false" ht="15" hidden="false" customHeight="false" outlineLevel="0" collapsed="false">
      <c r="A6971" s="0" t="s">
        <v>7295</v>
      </c>
      <c r="B6971" s="0" t="s">
        <v>64</v>
      </c>
      <c r="C6971" s="0" t="str">
        <f aca="false">INDEX(Intent_Analysis!$B$5:$B$81,MATCH(B6971,Intent_Analysis!$A$5:$A$81,0))</f>
        <v>Card usage &amp; features</v>
      </c>
      <c r="D6971" s="0" t="n">
        <f aca="false">INDEX(Intent_Analysis!$E$5:$E$81,MATCH(B6971,Intent_Analysis!$A$5:$A$81,0))</f>
        <v>1</v>
      </c>
    </row>
    <row r="6972" customFormat="false" ht="15" hidden="false" customHeight="false" outlineLevel="0" collapsed="false">
      <c r="A6972" s="0" t="s">
        <v>7296</v>
      </c>
      <c r="B6972" s="0" t="s">
        <v>64</v>
      </c>
      <c r="C6972" s="0" t="str">
        <f aca="false">INDEX(Intent_Analysis!$B$5:$B$81,MATCH(B6972,Intent_Analysis!$A$5:$A$81,0))</f>
        <v>Card usage &amp; features</v>
      </c>
      <c r="D6972" s="0" t="n">
        <f aca="false">INDEX(Intent_Analysis!$E$5:$E$81,MATCH(B6972,Intent_Analysis!$A$5:$A$81,0))</f>
        <v>1</v>
      </c>
    </row>
    <row r="6973" customFormat="false" ht="15" hidden="false" customHeight="false" outlineLevel="0" collapsed="false">
      <c r="A6973" s="0" t="s">
        <v>7297</v>
      </c>
      <c r="B6973" s="0" t="s">
        <v>64</v>
      </c>
      <c r="C6973" s="0" t="str">
        <f aca="false">INDEX(Intent_Analysis!$B$5:$B$81,MATCH(B6973,Intent_Analysis!$A$5:$A$81,0))</f>
        <v>Card usage &amp; features</v>
      </c>
      <c r="D6973" s="0" t="n">
        <f aca="false">INDEX(Intent_Analysis!$E$5:$E$81,MATCH(B6973,Intent_Analysis!$A$5:$A$81,0))</f>
        <v>1</v>
      </c>
    </row>
    <row r="6974" customFormat="false" ht="15" hidden="false" customHeight="false" outlineLevel="0" collapsed="false">
      <c r="A6974" s="0" t="s">
        <v>7298</v>
      </c>
      <c r="B6974" s="0" t="s">
        <v>64</v>
      </c>
      <c r="C6974" s="0" t="str">
        <f aca="false">INDEX(Intent_Analysis!$B$5:$B$81,MATCH(B6974,Intent_Analysis!$A$5:$A$81,0))</f>
        <v>Card usage &amp; features</v>
      </c>
      <c r="D6974" s="0" t="n">
        <f aca="false">INDEX(Intent_Analysis!$E$5:$E$81,MATCH(B6974,Intent_Analysis!$A$5:$A$81,0))</f>
        <v>1</v>
      </c>
    </row>
    <row r="6975" customFormat="false" ht="15" hidden="false" customHeight="false" outlineLevel="0" collapsed="false">
      <c r="A6975" s="0" t="s">
        <v>7299</v>
      </c>
      <c r="B6975" s="0" t="s">
        <v>64</v>
      </c>
      <c r="C6975" s="0" t="str">
        <f aca="false">INDEX(Intent_Analysis!$B$5:$B$81,MATCH(B6975,Intent_Analysis!$A$5:$A$81,0))</f>
        <v>Card usage &amp; features</v>
      </c>
      <c r="D6975" s="0" t="n">
        <f aca="false">INDEX(Intent_Analysis!$E$5:$E$81,MATCH(B6975,Intent_Analysis!$A$5:$A$81,0))</f>
        <v>1</v>
      </c>
    </row>
    <row r="6976" customFormat="false" ht="15" hidden="false" customHeight="false" outlineLevel="0" collapsed="false">
      <c r="A6976" s="0" t="s">
        <v>7300</v>
      </c>
      <c r="B6976" s="0" t="s">
        <v>64</v>
      </c>
      <c r="C6976" s="0" t="str">
        <f aca="false">INDEX(Intent_Analysis!$B$5:$B$81,MATCH(B6976,Intent_Analysis!$A$5:$A$81,0))</f>
        <v>Card usage &amp; features</v>
      </c>
      <c r="D6976" s="0" t="n">
        <f aca="false">INDEX(Intent_Analysis!$E$5:$E$81,MATCH(B6976,Intent_Analysis!$A$5:$A$81,0))</f>
        <v>1</v>
      </c>
    </row>
    <row r="6977" customFormat="false" ht="15" hidden="false" customHeight="false" outlineLevel="0" collapsed="false">
      <c r="A6977" s="0" t="s">
        <v>7301</v>
      </c>
      <c r="B6977" s="0" t="s">
        <v>64</v>
      </c>
      <c r="C6977" s="0" t="str">
        <f aca="false">INDEX(Intent_Analysis!$B$5:$B$81,MATCH(B6977,Intent_Analysis!$A$5:$A$81,0))</f>
        <v>Card usage &amp; features</v>
      </c>
      <c r="D6977" s="0" t="n">
        <f aca="false">INDEX(Intent_Analysis!$E$5:$E$81,MATCH(B6977,Intent_Analysis!$A$5:$A$81,0))</f>
        <v>1</v>
      </c>
    </row>
    <row r="6978" customFormat="false" ht="15" hidden="false" customHeight="false" outlineLevel="0" collapsed="false">
      <c r="A6978" s="0" t="s">
        <v>7302</v>
      </c>
      <c r="B6978" s="0" t="s">
        <v>64</v>
      </c>
      <c r="C6978" s="0" t="str">
        <f aca="false">INDEX(Intent_Analysis!$B$5:$B$81,MATCH(B6978,Intent_Analysis!$A$5:$A$81,0))</f>
        <v>Card usage &amp; features</v>
      </c>
      <c r="D6978" s="0" t="n">
        <f aca="false">INDEX(Intent_Analysis!$E$5:$E$81,MATCH(B6978,Intent_Analysis!$A$5:$A$81,0))</f>
        <v>1</v>
      </c>
    </row>
    <row r="6979" customFormat="false" ht="15" hidden="false" customHeight="false" outlineLevel="0" collapsed="false">
      <c r="A6979" s="0" t="s">
        <v>7303</v>
      </c>
      <c r="B6979" s="0" t="s">
        <v>64</v>
      </c>
      <c r="C6979" s="0" t="str">
        <f aca="false">INDEX(Intent_Analysis!$B$5:$B$81,MATCH(B6979,Intent_Analysis!$A$5:$A$81,0))</f>
        <v>Card usage &amp; features</v>
      </c>
      <c r="D6979" s="0" t="n">
        <f aca="false">INDEX(Intent_Analysis!$E$5:$E$81,MATCH(B6979,Intent_Analysis!$A$5:$A$81,0))</f>
        <v>1</v>
      </c>
    </row>
    <row r="6980" customFormat="false" ht="15" hidden="false" customHeight="false" outlineLevel="0" collapsed="false">
      <c r="A6980" s="0" t="s">
        <v>7304</v>
      </c>
      <c r="B6980" s="0" t="s">
        <v>64</v>
      </c>
      <c r="C6980" s="0" t="str">
        <f aca="false">INDEX(Intent_Analysis!$B$5:$B$81,MATCH(B6980,Intent_Analysis!$A$5:$A$81,0))</f>
        <v>Card usage &amp; features</v>
      </c>
      <c r="D6980" s="0" t="n">
        <f aca="false">INDEX(Intent_Analysis!$E$5:$E$81,MATCH(B6980,Intent_Analysis!$A$5:$A$81,0))</f>
        <v>1</v>
      </c>
    </row>
    <row r="6981" customFormat="false" ht="15" hidden="false" customHeight="false" outlineLevel="0" collapsed="false">
      <c r="A6981" s="0" t="s">
        <v>7305</v>
      </c>
      <c r="B6981" s="0" t="s">
        <v>64</v>
      </c>
      <c r="C6981" s="0" t="str">
        <f aca="false">INDEX(Intent_Analysis!$B$5:$B$81,MATCH(B6981,Intent_Analysis!$A$5:$A$81,0))</f>
        <v>Card usage &amp; features</v>
      </c>
      <c r="D6981" s="0" t="n">
        <f aca="false">INDEX(Intent_Analysis!$E$5:$E$81,MATCH(B6981,Intent_Analysis!$A$5:$A$81,0))</f>
        <v>1</v>
      </c>
    </row>
    <row r="6982" customFormat="false" ht="15" hidden="false" customHeight="false" outlineLevel="0" collapsed="false">
      <c r="A6982" s="0" t="s">
        <v>7306</v>
      </c>
      <c r="B6982" s="0" t="s">
        <v>64</v>
      </c>
      <c r="C6982" s="0" t="str">
        <f aca="false">INDEX(Intent_Analysis!$B$5:$B$81,MATCH(B6982,Intent_Analysis!$A$5:$A$81,0))</f>
        <v>Card usage &amp; features</v>
      </c>
      <c r="D6982" s="0" t="n">
        <f aca="false">INDEX(Intent_Analysis!$E$5:$E$81,MATCH(B6982,Intent_Analysis!$A$5:$A$81,0))</f>
        <v>1</v>
      </c>
    </row>
    <row r="6983" customFormat="false" ht="15" hidden="false" customHeight="false" outlineLevel="0" collapsed="false">
      <c r="A6983" s="0" t="s">
        <v>7307</v>
      </c>
      <c r="B6983" s="0" t="s">
        <v>64</v>
      </c>
      <c r="C6983" s="0" t="str">
        <f aca="false">INDEX(Intent_Analysis!$B$5:$B$81,MATCH(B6983,Intent_Analysis!$A$5:$A$81,0))</f>
        <v>Card usage &amp; features</v>
      </c>
      <c r="D6983" s="0" t="n">
        <f aca="false">INDEX(Intent_Analysis!$E$5:$E$81,MATCH(B6983,Intent_Analysis!$A$5:$A$81,0))</f>
        <v>1</v>
      </c>
    </row>
    <row r="6984" customFormat="false" ht="15" hidden="false" customHeight="false" outlineLevel="0" collapsed="false">
      <c r="A6984" s="0" t="s">
        <v>7308</v>
      </c>
      <c r="B6984" s="0" t="s">
        <v>64</v>
      </c>
      <c r="C6984" s="0" t="str">
        <f aca="false">INDEX(Intent_Analysis!$B$5:$B$81,MATCH(B6984,Intent_Analysis!$A$5:$A$81,0))</f>
        <v>Card usage &amp; features</v>
      </c>
      <c r="D6984" s="0" t="n">
        <f aca="false">INDEX(Intent_Analysis!$E$5:$E$81,MATCH(B6984,Intent_Analysis!$A$5:$A$81,0))</f>
        <v>1</v>
      </c>
    </row>
    <row r="6985" customFormat="false" ht="15" hidden="false" customHeight="false" outlineLevel="0" collapsed="false">
      <c r="A6985" s="0" t="s">
        <v>7309</v>
      </c>
      <c r="B6985" s="0" t="s">
        <v>64</v>
      </c>
      <c r="C6985" s="0" t="str">
        <f aca="false">INDEX(Intent_Analysis!$B$5:$B$81,MATCH(B6985,Intent_Analysis!$A$5:$A$81,0))</f>
        <v>Card usage &amp; features</v>
      </c>
      <c r="D6985" s="0" t="n">
        <f aca="false">INDEX(Intent_Analysis!$E$5:$E$81,MATCH(B6985,Intent_Analysis!$A$5:$A$81,0))</f>
        <v>1</v>
      </c>
    </row>
    <row r="6986" customFormat="false" ht="28.35" hidden="false" customHeight="false" outlineLevel="0" collapsed="false">
      <c r="A6986" s="25" t="s">
        <v>7310</v>
      </c>
      <c r="B6986" s="0" t="s">
        <v>64</v>
      </c>
      <c r="C6986" s="0" t="str">
        <f aca="false">INDEX(Intent_Analysis!$B$5:$B$81,MATCH(B6986,Intent_Analysis!$A$5:$A$81,0))</f>
        <v>Card usage &amp; features</v>
      </c>
      <c r="D6986" s="0" t="n">
        <f aca="false">INDEX(Intent_Analysis!$E$5:$E$81,MATCH(B6986,Intent_Analysis!$A$5:$A$81,0))</f>
        <v>1</v>
      </c>
    </row>
    <row r="6987" customFormat="false" ht="15" hidden="false" customHeight="false" outlineLevel="0" collapsed="false">
      <c r="A6987" s="0" t="s">
        <v>7311</v>
      </c>
      <c r="B6987" s="0" t="s">
        <v>64</v>
      </c>
      <c r="C6987" s="0" t="str">
        <f aca="false">INDEX(Intent_Analysis!$B$5:$B$81,MATCH(B6987,Intent_Analysis!$A$5:$A$81,0))</f>
        <v>Card usage &amp; features</v>
      </c>
      <c r="D6987" s="0" t="n">
        <f aca="false">INDEX(Intent_Analysis!$E$5:$E$81,MATCH(B6987,Intent_Analysis!$A$5:$A$81,0))</f>
        <v>1</v>
      </c>
    </row>
    <row r="6988" customFormat="false" ht="15" hidden="false" customHeight="false" outlineLevel="0" collapsed="false">
      <c r="A6988" s="0" t="s">
        <v>7312</v>
      </c>
      <c r="B6988" s="0" t="s">
        <v>64</v>
      </c>
      <c r="C6988" s="0" t="str">
        <f aca="false">INDEX(Intent_Analysis!$B$5:$B$81,MATCH(B6988,Intent_Analysis!$A$5:$A$81,0))</f>
        <v>Card usage &amp; features</v>
      </c>
      <c r="D6988" s="0" t="n">
        <f aca="false">INDEX(Intent_Analysis!$E$5:$E$81,MATCH(B6988,Intent_Analysis!$A$5:$A$81,0))</f>
        <v>1</v>
      </c>
    </row>
    <row r="6989" customFormat="false" ht="15" hidden="false" customHeight="false" outlineLevel="0" collapsed="false">
      <c r="A6989" s="0" t="s">
        <v>7313</v>
      </c>
      <c r="B6989" s="0" t="s">
        <v>64</v>
      </c>
      <c r="C6989" s="0" t="str">
        <f aca="false">INDEX(Intent_Analysis!$B$5:$B$81,MATCH(B6989,Intent_Analysis!$A$5:$A$81,0))</f>
        <v>Card usage &amp; features</v>
      </c>
      <c r="D6989" s="0" t="n">
        <f aca="false">INDEX(Intent_Analysis!$E$5:$E$81,MATCH(B6989,Intent_Analysis!$A$5:$A$81,0))</f>
        <v>1</v>
      </c>
    </row>
    <row r="6990" customFormat="false" ht="15" hidden="false" customHeight="false" outlineLevel="0" collapsed="false">
      <c r="A6990" s="0" t="s">
        <v>7314</v>
      </c>
      <c r="B6990" s="0" t="s">
        <v>64</v>
      </c>
      <c r="C6990" s="0" t="str">
        <f aca="false">INDEX(Intent_Analysis!$B$5:$B$81,MATCH(B6990,Intent_Analysis!$A$5:$A$81,0))</f>
        <v>Card usage &amp; features</v>
      </c>
      <c r="D6990" s="0" t="n">
        <f aca="false">INDEX(Intent_Analysis!$E$5:$E$81,MATCH(B6990,Intent_Analysis!$A$5:$A$81,0))</f>
        <v>1</v>
      </c>
    </row>
    <row r="6991" customFormat="false" ht="15" hidden="false" customHeight="false" outlineLevel="0" collapsed="false">
      <c r="A6991" s="0" t="s">
        <v>7315</v>
      </c>
      <c r="B6991" s="0" t="s">
        <v>64</v>
      </c>
      <c r="C6991" s="0" t="str">
        <f aca="false">INDEX(Intent_Analysis!$B$5:$B$81,MATCH(B6991,Intent_Analysis!$A$5:$A$81,0))</f>
        <v>Card usage &amp; features</v>
      </c>
      <c r="D6991" s="0" t="n">
        <f aca="false">INDEX(Intent_Analysis!$E$5:$E$81,MATCH(B6991,Intent_Analysis!$A$5:$A$81,0))</f>
        <v>1</v>
      </c>
    </row>
    <row r="6992" customFormat="false" ht="15" hidden="false" customHeight="false" outlineLevel="0" collapsed="false">
      <c r="A6992" s="0" t="s">
        <v>7316</v>
      </c>
      <c r="B6992" s="0" t="s">
        <v>64</v>
      </c>
      <c r="C6992" s="0" t="str">
        <f aca="false">INDEX(Intent_Analysis!$B$5:$B$81,MATCH(B6992,Intent_Analysis!$A$5:$A$81,0))</f>
        <v>Card usage &amp; features</v>
      </c>
      <c r="D6992" s="0" t="n">
        <f aca="false">INDEX(Intent_Analysis!$E$5:$E$81,MATCH(B6992,Intent_Analysis!$A$5:$A$81,0))</f>
        <v>1</v>
      </c>
    </row>
    <row r="6993" customFormat="false" ht="15" hidden="false" customHeight="false" outlineLevel="0" collapsed="false">
      <c r="A6993" s="0" t="s">
        <v>7317</v>
      </c>
      <c r="B6993" s="0" t="s">
        <v>64</v>
      </c>
      <c r="C6993" s="0" t="str">
        <f aca="false">INDEX(Intent_Analysis!$B$5:$B$81,MATCH(B6993,Intent_Analysis!$A$5:$A$81,0))</f>
        <v>Card usage &amp; features</v>
      </c>
      <c r="D6993" s="0" t="n">
        <f aca="false">INDEX(Intent_Analysis!$E$5:$E$81,MATCH(B6993,Intent_Analysis!$A$5:$A$81,0))</f>
        <v>1</v>
      </c>
    </row>
    <row r="6994" customFormat="false" ht="15" hidden="false" customHeight="false" outlineLevel="0" collapsed="false">
      <c r="A6994" s="0" t="s">
        <v>7318</v>
      </c>
      <c r="B6994" s="0" t="s">
        <v>64</v>
      </c>
      <c r="C6994" s="0" t="str">
        <f aca="false">INDEX(Intent_Analysis!$B$5:$B$81,MATCH(B6994,Intent_Analysis!$A$5:$A$81,0))</f>
        <v>Card usage &amp; features</v>
      </c>
      <c r="D6994" s="0" t="n">
        <f aca="false">INDEX(Intent_Analysis!$E$5:$E$81,MATCH(B6994,Intent_Analysis!$A$5:$A$81,0))</f>
        <v>1</v>
      </c>
    </row>
    <row r="6995" customFormat="false" ht="15" hidden="false" customHeight="false" outlineLevel="0" collapsed="false">
      <c r="A6995" s="0" t="s">
        <v>7319</v>
      </c>
      <c r="B6995" s="0" t="s">
        <v>64</v>
      </c>
      <c r="C6995" s="0" t="str">
        <f aca="false">INDEX(Intent_Analysis!$B$5:$B$81,MATCH(B6995,Intent_Analysis!$A$5:$A$81,0))</f>
        <v>Card usage &amp; features</v>
      </c>
      <c r="D6995" s="0" t="n">
        <f aca="false">INDEX(Intent_Analysis!$E$5:$E$81,MATCH(B6995,Intent_Analysis!$A$5:$A$81,0))</f>
        <v>1</v>
      </c>
    </row>
    <row r="6996" customFormat="false" ht="15" hidden="false" customHeight="false" outlineLevel="0" collapsed="false">
      <c r="A6996" s="0" t="s">
        <v>7320</v>
      </c>
      <c r="B6996" s="0" t="s">
        <v>64</v>
      </c>
      <c r="C6996" s="0" t="str">
        <f aca="false">INDEX(Intent_Analysis!$B$5:$B$81,MATCH(B6996,Intent_Analysis!$A$5:$A$81,0))</f>
        <v>Card usage &amp; features</v>
      </c>
      <c r="D6996" s="0" t="n">
        <f aca="false">INDEX(Intent_Analysis!$E$5:$E$81,MATCH(B6996,Intent_Analysis!$A$5:$A$81,0))</f>
        <v>1</v>
      </c>
    </row>
    <row r="6997" customFormat="false" ht="15" hidden="false" customHeight="false" outlineLevel="0" collapsed="false">
      <c r="A6997" s="0" t="s">
        <v>7321</v>
      </c>
      <c r="B6997" s="0" t="s">
        <v>64</v>
      </c>
      <c r="C6997" s="0" t="str">
        <f aca="false">INDEX(Intent_Analysis!$B$5:$B$81,MATCH(B6997,Intent_Analysis!$A$5:$A$81,0))</f>
        <v>Card usage &amp; features</v>
      </c>
      <c r="D6997" s="0" t="n">
        <f aca="false">INDEX(Intent_Analysis!$E$5:$E$81,MATCH(B6997,Intent_Analysis!$A$5:$A$81,0))</f>
        <v>1</v>
      </c>
    </row>
    <row r="6998" customFormat="false" ht="15" hidden="false" customHeight="false" outlineLevel="0" collapsed="false">
      <c r="A6998" s="0" t="s">
        <v>7322</v>
      </c>
      <c r="B6998" s="0" t="s">
        <v>64</v>
      </c>
      <c r="C6998" s="0" t="str">
        <f aca="false">INDEX(Intent_Analysis!$B$5:$B$81,MATCH(B6998,Intent_Analysis!$A$5:$A$81,0))</f>
        <v>Card usage &amp; features</v>
      </c>
      <c r="D6998" s="0" t="n">
        <f aca="false">INDEX(Intent_Analysis!$E$5:$E$81,MATCH(B6998,Intent_Analysis!$A$5:$A$81,0))</f>
        <v>1</v>
      </c>
    </row>
    <row r="6999" customFormat="false" ht="15" hidden="false" customHeight="false" outlineLevel="0" collapsed="false">
      <c r="A6999" s="0" t="s">
        <v>7323</v>
      </c>
      <c r="B6999" s="0" t="s">
        <v>64</v>
      </c>
      <c r="C6999" s="0" t="str">
        <f aca="false">INDEX(Intent_Analysis!$B$5:$B$81,MATCH(B6999,Intent_Analysis!$A$5:$A$81,0))</f>
        <v>Card usage &amp; features</v>
      </c>
      <c r="D6999" s="0" t="n">
        <f aca="false">INDEX(Intent_Analysis!$E$5:$E$81,MATCH(B6999,Intent_Analysis!$A$5:$A$81,0))</f>
        <v>1</v>
      </c>
    </row>
    <row r="7000" customFormat="false" ht="15" hidden="false" customHeight="false" outlineLevel="0" collapsed="false">
      <c r="A7000" s="0" t="s">
        <v>7324</v>
      </c>
      <c r="B7000" s="0" t="s">
        <v>64</v>
      </c>
      <c r="C7000" s="0" t="str">
        <f aca="false">INDEX(Intent_Analysis!$B$5:$B$81,MATCH(B7000,Intent_Analysis!$A$5:$A$81,0))</f>
        <v>Card usage &amp; features</v>
      </c>
      <c r="D7000" s="0" t="n">
        <f aca="false">INDEX(Intent_Analysis!$E$5:$E$81,MATCH(B7000,Intent_Analysis!$A$5:$A$81,0))</f>
        <v>1</v>
      </c>
    </row>
    <row r="7001" customFormat="false" ht="15" hidden="false" customHeight="false" outlineLevel="0" collapsed="false">
      <c r="A7001" s="0" t="s">
        <v>7325</v>
      </c>
      <c r="B7001" s="0" t="s">
        <v>64</v>
      </c>
      <c r="C7001" s="0" t="str">
        <f aca="false">INDEX(Intent_Analysis!$B$5:$B$81,MATCH(B7001,Intent_Analysis!$A$5:$A$81,0))</f>
        <v>Card usage &amp; features</v>
      </c>
      <c r="D7001" s="0" t="n">
        <f aca="false">INDEX(Intent_Analysis!$E$5:$E$81,MATCH(B7001,Intent_Analysis!$A$5:$A$81,0))</f>
        <v>1</v>
      </c>
    </row>
    <row r="7002" customFormat="false" ht="15" hidden="false" customHeight="false" outlineLevel="0" collapsed="false">
      <c r="A7002" s="0" t="s">
        <v>7326</v>
      </c>
      <c r="B7002" s="0" t="s">
        <v>64</v>
      </c>
      <c r="C7002" s="0" t="str">
        <f aca="false">INDEX(Intent_Analysis!$B$5:$B$81,MATCH(B7002,Intent_Analysis!$A$5:$A$81,0))</f>
        <v>Card usage &amp; features</v>
      </c>
      <c r="D7002" s="0" t="n">
        <f aca="false">INDEX(Intent_Analysis!$E$5:$E$81,MATCH(B7002,Intent_Analysis!$A$5:$A$81,0))</f>
        <v>1</v>
      </c>
    </row>
    <row r="7003" customFormat="false" ht="15" hidden="false" customHeight="false" outlineLevel="0" collapsed="false">
      <c r="A7003" s="0" t="s">
        <v>7327</v>
      </c>
      <c r="B7003" s="0" t="s">
        <v>64</v>
      </c>
      <c r="C7003" s="0" t="str">
        <f aca="false">INDEX(Intent_Analysis!$B$5:$B$81,MATCH(B7003,Intent_Analysis!$A$5:$A$81,0))</f>
        <v>Card usage &amp; features</v>
      </c>
      <c r="D7003" s="0" t="n">
        <f aca="false">INDEX(Intent_Analysis!$E$5:$E$81,MATCH(B7003,Intent_Analysis!$A$5:$A$81,0))</f>
        <v>1</v>
      </c>
    </row>
    <row r="7004" customFormat="false" ht="15" hidden="false" customHeight="false" outlineLevel="0" collapsed="false">
      <c r="A7004" s="0" t="s">
        <v>7328</v>
      </c>
      <c r="B7004" s="0" t="s">
        <v>64</v>
      </c>
      <c r="C7004" s="0" t="str">
        <f aca="false">INDEX(Intent_Analysis!$B$5:$B$81,MATCH(B7004,Intent_Analysis!$A$5:$A$81,0))</f>
        <v>Card usage &amp; features</v>
      </c>
      <c r="D7004" s="0" t="n">
        <f aca="false">INDEX(Intent_Analysis!$E$5:$E$81,MATCH(B7004,Intent_Analysis!$A$5:$A$81,0))</f>
        <v>1</v>
      </c>
    </row>
    <row r="7005" customFormat="false" ht="15" hidden="false" customHeight="false" outlineLevel="0" collapsed="false">
      <c r="A7005" s="0" t="s">
        <v>7329</v>
      </c>
      <c r="B7005" s="0" t="s">
        <v>64</v>
      </c>
      <c r="C7005" s="0" t="str">
        <f aca="false">INDEX(Intent_Analysis!$B$5:$B$81,MATCH(B7005,Intent_Analysis!$A$5:$A$81,0))</f>
        <v>Card usage &amp; features</v>
      </c>
      <c r="D7005" s="0" t="n">
        <f aca="false">INDEX(Intent_Analysis!$E$5:$E$81,MATCH(B7005,Intent_Analysis!$A$5:$A$81,0))</f>
        <v>1</v>
      </c>
    </row>
    <row r="7006" customFormat="false" ht="15" hidden="false" customHeight="false" outlineLevel="0" collapsed="false">
      <c r="A7006" s="0" t="s">
        <v>7330</v>
      </c>
      <c r="B7006" s="0" t="s">
        <v>64</v>
      </c>
      <c r="C7006" s="0" t="str">
        <f aca="false">INDEX(Intent_Analysis!$B$5:$B$81,MATCH(B7006,Intent_Analysis!$A$5:$A$81,0))</f>
        <v>Card usage &amp; features</v>
      </c>
      <c r="D7006" s="0" t="n">
        <f aca="false">INDEX(Intent_Analysis!$E$5:$E$81,MATCH(B7006,Intent_Analysis!$A$5:$A$81,0))</f>
        <v>1</v>
      </c>
    </row>
    <row r="7007" customFormat="false" ht="15" hidden="false" customHeight="false" outlineLevel="0" collapsed="false">
      <c r="A7007" s="0" t="s">
        <v>7331</v>
      </c>
      <c r="B7007" s="0" t="s">
        <v>115</v>
      </c>
      <c r="C7007" s="0" t="str">
        <f aca="false">INDEX(Intent_Analysis!$B$5:$B$81,MATCH(B7007,Intent_Analysis!$A$5:$A$81,0))</f>
        <v>Transfers</v>
      </c>
      <c r="D7007" s="0" t="n">
        <f aca="false">INDEX(Intent_Analysis!$E$5:$E$81,MATCH(B7007,Intent_Analysis!$A$5:$A$81,0))</f>
        <v>2</v>
      </c>
    </row>
    <row r="7008" customFormat="false" ht="15" hidden="false" customHeight="false" outlineLevel="0" collapsed="false">
      <c r="A7008" s="0" t="s">
        <v>7332</v>
      </c>
      <c r="B7008" s="0" t="s">
        <v>115</v>
      </c>
      <c r="C7008" s="0" t="str">
        <f aca="false">INDEX(Intent_Analysis!$B$5:$B$81,MATCH(B7008,Intent_Analysis!$A$5:$A$81,0))</f>
        <v>Transfers</v>
      </c>
      <c r="D7008" s="0" t="n">
        <f aca="false">INDEX(Intent_Analysis!$E$5:$E$81,MATCH(B7008,Intent_Analysis!$A$5:$A$81,0))</f>
        <v>2</v>
      </c>
    </row>
    <row r="7009" customFormat="false" ht="15" hidden="false" customHeight="false" outlineLevel="0" collapsed="false">
      <c r="A7009" s="0" t="s">
        <v>7333</v>
      </c>
      <c r="B7009" s="0" t="s">
        <v>115</v>
      </c>
      <c r="C7009" s="0" t="str">
        <f aca="false">INDEX(Intent_Analysis!$B$5:$B$81,MATCH(B7009,Intent_Analysis!$A$5:$A$81,0))</f>
        <v>Transfers</v>
      </c>
      <c r="D7009" s="0" t="n">
        <f aca="false">INDEX(Intent_Analysis!$E$5:$E$81,MATCH(B7009,Intent_Analysis!$A$5:$A$81,0))</f>
        <v>2</v>
      </c>
    </row>
    <row r="7010" customFormat="false" ht="15" hidden="false" customHeight="false" outlineLevel="0" collapsed="false">
      <c r="A7010" s="0" t="s">
        <v>7334</v>
      </c>
      <c r="B7010" s="0" t="s">
        <v>115</v>
      </c>
      <c r="C7010" s="0" t="str">
        <f aca="false">INDEX(Intent_Analysis!$B$5:$B$81,MATCH(B7010,Intent_Analysis!$A$5:$A$81,0))</f>
        <v>Transfers</v>
      </c>
      <c r="D7010" s="0" t="n">
        <f aca="false">INDEX(Intent_Analysis!$E$5:$E$81,MATCH(B7010,Intent_Analysis!$A$5:$A$81,0))</f>
        <v>2</v>
      </c>
    </row>
    <row r="7011" customFormat="false" ht="15" hidden="false" customHeight="false" outlineLevel="0" collapsed="false">
      <c r="A7011" s="0" t="s">
        <v>7335</v>
      </c>
      <c r="B7011" s="0" t="s">
        <v>115</v>
      </c>
      <c r="C7011" s="0" t="str">
        <f aca="false">INDEX(Intent_Analysis!$B$5:$B$81,MATCH(B7011,Intent_Analysis!$A$5:$A$81,0))</f>
        <v>Transfers</v>
      </c>
      <c r="D7011" s="0" t="n">
        <f aca="false">INDEX(Intent_Analysis!$E$5:$E$81,MATCH(B7011,Intent_Analysis!$A$5:$A$81,0))</f>
        <v>2</v>
      </c>
    </row>
    <row r="7012" customFormat="false" ht="15" hidden="false" customHeight="false" outlineLevel="0" collapsed="false">
      <c r="A7012" s="0" t="s">
        <v>7336</v>
      </c>
      <c r="B7012" s="0" t="s">
        <v>115</v>
      </c>
      <c r="C7012" s="0" t="str">
        <f aca="false">INDEX(Intent_Analysis!$B$5:$B$81,MATCH(B7012,Intent_Analysis!$A$5:$A$81,0))</f>
        <v>Transfers</v>
      </c>
      <c r="D7012" s="0" t="n">
        <f aca="false">INDEX(Intent_Analysis!$E$5:$E$81,MATCH(B7012,Intent_Analysis!$A$5:$A$81,0))</f>
        <v>2</v>
      </c>
    </row>
    <row r="7013" customFormat="false" ht="15" hidden="false" customHeight="false" outlineLevel="0" collapsed="false">
      <c r="A7013" s="0" t="s">
        <v>7337</v>
      </c>
      <c r="B7013" s="0" t="s">
        <v>115</v>
      </c>
      <c r="C7013" s="0" t="str">
        <f aca="false">INDEX(Intent_Analysis!$B$5:$B$81,MATCH(B7013,Intent_Analysis!$A$5:$A$81,0))</f>
        <v>Transfers</v>
      </c>
      <c r="D7013" s="0" t="n">
        <f aca="false">INDEX(Intent_Analysis!$E$5:$E$81,MATCH(B7013,Intent_Analysis!$A$5:$A$81,0))</f>
        <v>2</v>
      </c>
    </row>
    <row r="7014" customFormat="false" ht="15" hidden="false" customHeight="false" outlineLevel="0" collapsed="false">
      <c r="A7014" s="0" t="s">
        <v>7338</v>
      </c>
      <c r="B7014" s="0" t="s">
        <v>115</v>
      </c>
      <c r="C7014" s="0" t="str">
        <f aca="false">INDEX(Intent_Analysis!$B$5:$B$81,MATCH(B7014,Intent_Analysis!$A$5:$A$81,0))</f>
        <v>Transfers</v>
      </c>
      <c r="D7014" s="0" t="n">
        <f aca="false">INDEX(Intent_Analysis!$E$5:$E$81,MATCH(B7014,Intent_Analysis!$A$5:$A$81,0))</f>
        <v>2</v>
      </c>
    </row>
    <row r="7015" customFormat="false" ht="15" hidden="false" customHeight="false" outlineLevel="0" collapsed="false">
      <c r="A7015" s="0" t="s">
        <v>7339</v>
      </c>
      <c r="B7015" s="0" t="s">
        <v>115</v>
      </c>
      <c r="C7015" s="0" t="str">
        <f aca="false">INDEX(Intent_Analysis!$B$5:$B$81,MATCH(B7015,Intent_Analysis!$A$5:$A$81,0))</f>
        <v>Transfers</v>
      </c>
      <c r="D7015" s="0" t="n">
        <f aca="false">INDEX(Intent_Analysis!$E$5:$E$81,MATCH(B7015,Intent_Analysis!$A$5:$A$81,0))</f>
        <v>2</v>
      </c>
    </row>
    <row r="7016" customFormat="false" ht="15" hidden="false" customHeight="false" outlineLevel="0" collapsed="false">
      <c r="A7016" s="0" t="s">
        <v>7340</v>
      </c>
      <c r="B7016" s="0" t="s">
        <v>115</v>
      </c>
      <c r="C7016" s="0" t="str">
        <f aca="false">INDEX(Intent_Analysis!$B$5:$B$81,MATCH(B7016,Intent_Analysis!$A$5:$A$81,0))</f>
        <v>Transfers</v>
      </c>
      <c r="D7016" s="0" t="n">
        <f aca="false">INDEX(Intent_Analysis!$E$5:$E$81,MATCH(B7016,Intent_Analysis!$A$5:$A$81,0))</f>
        <v>2</v>
      </c>
    </row>
    <row r="7017" customFormat="false" ht="15" hidden="false" customHeight="false" outlineLevel="0" collapsed="false">
      <c r="A7017" s="0" t="s">
        <v>7341</v>
      </c>
      <c r="B7017" s="0" t="s">
        <v>115</v>
      </c>
      <c r="C7017" s="0" t="str">
        <f aca="false">INDEX(Intent_Analysis!$B$5:$B$81,MATCH(B7017,Intent_Analysis!$A$5:$A$81,0))</f>
        <v>Transfers</v>
      </c>
      <c r="D7017" s="0" t="n">
        <f aca="false">INDEX(Intent_Analysis!$E$5:$E$81,MATCH(B7017,Intent_Analysis!$A$5:$A$81,0))</f>
        <v>2</v>
      </c>
    </row>
    <row r="7018" customFormat="false" ht="15" hidden="false" customHeight="false" outlineLevel="0" collapsed="false">
      <c r="A7018" s="0" t="s">
        <v>7342</v>
      </c>
      <c r="B7018" s="0" t="s">
        <v>115</v>
      </c>
      <c r="C7018" s="0" t="str">
        <f aca="false">INDEX(Intent_Analysis!$B$5:$B$81,MATCH(B7018,Intent_Analysis!$A$5:$A$81,0))</f>
        <v>Transfers</v>
      </c>
      <c r="D7018" s="0" t="n">
        <f aca="false">INDEX(Intent_Analysis!$E$5:$E$81,MATCH(B7018,Intent_Analysis!$A$5:$A$81,0))</f>
        <v>2</v>
      </c>
    </row>
    <row r="7019" customFormat="false" ht="15" hidden="false" customHeight="false" outlineLevel="0" collapsed="false">
      <c r="A7019" s="0" t="s">
        <v>7343</v>
      </c>
      <c r="B7019" s="0" t="s">
        <v>115</v>
      </c>
      <c r="C7019" s="0" t="str">
        <f aca="false">INDEX(Intent_Analysis!$B$5:$B$81,MATCH(B7019,Intent_Analysis!$A$5:$A$81,0))</f>
        <v>Transfers</v>
      </c>
      <c r="D7019" s="0" t="n">
        <f aca="false">INDEX(Intent_Analysis!$E$5:$E$81,MATCH(B7019,Intent_Analysis!$A$5:$A$81,0))</f>
        <v>2</v>
      </c>
    </row>
    <row r="7020" customFormat="false" ht="15" hidden="false" customHeight="false" outlineLevel="0" collapsed="false">
      <c r="A7020" s="0" t="s">
        <v>7344</v>
      </c>
      <c r="B7020" s="0" t="s">
        <v>115</v>
      </c>
      <c r="C7020" s="0" t="str">
        <f aca="false">INDEX(Intent_Analysis!$B$5:$B$81,MATCH(B7020,Intent_Analysis!$A$5:$A$81,0))</f>
        <v>Transfers</v>
      </c>
      <c r="D7020" s="0" t="n">
        <f aca="false">INDEX(Intent_Analysis!$E$5:$E$81,MATCH(B7020,Intent_Analysis!$A$5:$A$81,0))</f>
        <v>2</v>
      </c>
    </row>
    <row r="7021" customFormat="false" ht="15" hidden="false" customHeight="false" outlineLevel="0" collapsed="false">
      <c r="A7021" s="0" t="s">
        <v>7345</v>
      </c>
      <c r="B7021" s="0" t="s">
        <v>115</v>
      </c>
      <c r="C7021" s="0" t="str">
        <f aca="false">INDEX(Intent_Analysis!$B$5:$B$81,MATCH(B7021,Intent_Analysis!$A$5:$A$81,0))</f>
        <v>Transfers</v>
      </c>
      <c r="D7021" s="0" t="n">
        <f aca="false">INDEX(Intent_Analysis!$E$5:$E$81,MATCH(B7021,Intent_Analysis!$A$5:$A$81,0))</f>
        <v>2</v>
      </c>
    </row>
    <row r="7022" customFormat="false" ht="15" hidden="false" customHeight="false" outlineLevel="0" collapsed="false">
      <c r="A7022" s="0" t="s">
        <v>7346</v>
      </c>
      <c r="B7022" s="0" t="s">
        <v>115</v>
      </c>
      <c r="C7022" s="0" t="str">
        <f aca="false">INDEX(Intent_Analysis!$B$5:$B$81,MATCH(B7022,Intent_Analysis!$A$5:$A$81,0))</f>
        <v>Transfers</v>
      </c>
      <c r="D7022" s="0" t="n">
        <f aca="false">INDEX(Intent_Analysis!$E$5:$E$81,MATCH(B7022,Intent_Analysis!$A$5:$A$81,0))</f>
        <v>2</v>
      </c>
    </row>
    <row r="7023" customFormat="false" ht="15" hidden="false" customHeight="false" outlineLevel="0" collapsed="false">
      <c r="A7023" s="0" t="s">
        <v>7347</v>
      </c>
      <c r="B7023" s="0" t="s">
        <v>115</v>
      </c>
      <c r="C7023" s="0" t="str">
        <f aca="false">INDEX(Intent_Analysis!$B$5:$B$81,MATCH(B7023,Intent_Analysis!$A$5:$A$81,0))</f>
        <v>Transfers</v>
      </c>
      <c r="D7023" s="0" t="n">
        <f aca="false">INDEX(Intent_Analysis!$E$5:$E$81,MATCH(B7023,Intent_Analysis!$A$5:$A$81,0))</f>
        <v>2</v>
      </c>
    </row>
    <row r="7024" customFormat="false" ht="15" hidden="false" customHeight="false" outlineLevel="0" collapsed="false">
      <c r="A7024" s="0" t="s">
        <v>7348</v>
      </c>
      <c r="B7024" s="0" t="s">
        <v>115</v>
      </c>
      <c r="C7024" s="0" t="str">
        <f aca="false">INDEX(Intent_Analysis!$B$5:$B$81,MATCH(B7024,Intent_Analysis!$A$5:$A$81,0))</f>
        <v>Transfers</v>
      </c>
      <c r="D7024" s="0" t="n">
        <f aca="false">INDEX(Intent_Analysis!$E$5:$E$81,MATCH(B7024,Intent_Analysis!$A$5:$A$81,0))</f>
        <v>2</v>
      </c>
    </row>
    <row r="7025" customFormat="false" ht="15" hidden="false" customHeight="false" outlineLevel="0" collapsed="false">
      <c r="A7025" s="0" t="s">
        <v>7349</v>
      </c>
      <c r="B7025" s="0" t="s">
        <v>115</v>
      </c>
      <c r="C7025" s="0" t="str">
        <f aca="false">INDEX(Intent_Analysis!$B$5:$B$81,MATCH(B7025,Intent_Analysis!$A$5:$A$81,0))</f>
        <v>Transfers</v>
      </c>
      <c r="D7025" s="0" t="n">
        <f aca="false">INDEX(Intent_Analysis!$E$5:$E$81,MATCH(B7025,Intent_Analysis!$A$5:$A$81,0))</f>
        <v>2</v>
      </c>
    </row>
    <row r="7026" customFormat="false" ht="15" hidden="false" customHeight="false" outlineLevel="0" collapsed="false">
      <c r="A7026" s="0" t="s">
        <v>7350</v>
      </c>
      <c r="B7026" s="0" t="s">
        <v>115</v>
      </c>
      <c r="C7026" s="0" t="str">
        <f aca="false">INDEX(Intent_Analysis!$B$5:$B$81,MATCH(B7026,Intent_Analysis!$A$5:$A$81,0))</f>
        <v>Transfers</v>
      </c>
      <c r="D7026" s="0" t="n">
        <f aca="false">INDEX(Intent_Analysis!$E$5:$E$81,MATCH(B7026,Intent_Analysis!$A$5:$A$81,0))</f>
        <v>2</v>
      </c>
    </row>
    <row r="7027" customFormat="false" ht="15" hidden="false" customHeight="false" outlineLevel="0" collapsed="false">
      <c r="A7027" s="0" t="s">
        <v>7351</v>
      </c>
      <c r="B7027" s="0" t="s">
        <v>115</v>
      </c>
      <c r="C7027" s="0" t="str">
        <f aca="false">INDEX(Intent_Analysis!$B$5:$B$81,MATCH(B7027,Intent_Analysis!$A$5:$A$81,0))</f>
        <v>Transfers</v>
      </c>
      <c r="D7027" s="0" t="n">
        <f aca="false">INDEX(Intent_Analysis!$E$5:$E$81,MATCH(B7027,Intent_Analysis!$A$5:$A$81,0))</f>
        <v>2</v>
      </c>
    </row>
    <row r="7028" customFormat="false" ht="15" hidden="false" customHeight="false" outlineLevel="0" collapsed="false">
      <c r="A7028" s="0" t="s">
        <v>7352</v>
      </c>
      <c r="B7028" s="0" t="s">
        <v>115</v>
      </c>
      <c r="C7028" s="0" t="str">
        <f aca="false">INDEX(Intent_Analysis!$B$5:$B$81,MATCH(B7028,Intent_Analysis!$A$5:$A$81,0))</f>
        <v>Transfers</v>
      </c>
      <c r="D7028" s="0" t="n">
        <f aca="false">INDEX(Intent_Analysis!$E$5:$E$81,MATCH(B7028,Intent_Analysis!$A$5:$A$81,0))</f>
        <v>2</v>
      </c>
    </row>
    <row r="7029" customFormat="false" ht="15" hidden="false" customHeight="false" outlineLevel="0" collapsed="false">
      <c r="A7029" s="0" t="s">
        <v>7353</v>
      </c>
      <c r="B7029" s="0" t="s">
        <v>115</v>
      </c>
      <c r="C7029" s="0" t="str">
        <f aca="false">INDEX(Intent_Analysis!$B$5:$B$81,MATCH(B7029,Intent_Analysis!$A$5:$A$81,0))</f>
        <v>Transfers</v>
      </c>
      <c r="D7029" s="0" t="n">
        <f aca="false">INDEX(Intent_Analysis!$E$5:$E$81,MATCH(B7029,Intent_Analysis!$A$5:$A$81,0))</f>
        <v>2</v>
      </c>
    </row>
    <row r="7030" customFormat="false" ht="15" hidden="false" customHeight="false" outlineLevel="0" collapsed="false">
      <c r="A7030" s="0" t="s">
        <v>7354</v>
      </c>
      <c r="B7030" s="0" t="s">
        <v>115</v>
      </c>
      <c r="C7030" s="0" t="str">
        <f aca="false">INDEX(Intent_Analysis!$B$5:$B$81,MATCH(B7030,Intent_Analysis!$A$5:$A$81,0))</f>
        <v>Transfers</v>
      </c>
      <c r="D7030" s="0" t="n">
        <f aca="false">INDEX(Intent_Analysis!$E$5:$E$81,MATCH(B7030,Intent_Analysis!$A$5:$A$81,0))</f>
        <v>2</v>
      </c>
    </row>
    <row r="7031" customFormat="false" ht="15" hidden="false" customHeight="false" outlineLevel="0" collapsed="false">
      <c r="A7031" s="0" t="s">
        <v>7355</v>
      </c>
      <c r="B7031" s="0" t="s">
        <v>115</v>
      </c>
      <c r="C7031" s="0" t="str">
        <f aca="false">INDEX(Intent_Analysis!$B$5:$B$81,MATCH(B7031,Intent_Analysis!$A$5:$A$81,0))</f>
        <v>Transfers</v>
      </c>
      <c r="D7031" s="0" t="n">
        <f aca="false">INDEX(Intent_Analysis!$E$5:$E$81,MATCH(B7031,Intent_Analysis!$A$5:$A$81,0))</f>
        <v>2</v>
      </c>
    </row>
    <row r="7032" customFormat="false" ht="15" hidden="false" customHeight="false" outlineLevel="0" collapsed="false">
      <c r="A7032" s="0" t="s">
        <v>7356</v>
      </c>
      <c r="B7032" s="0" t="s">
        <v>115</v>
      </c>
      <c r="C7032" s="0" t="str">
        <f aca="false">INDEX(Intent_Analysis!$B$5:$B$81,MATCH(B7032,Intent_Analysis!$A$5:$A$81,0))</f>
        <v>Transfers</v>
      </c>
      <c r="D7032" s="0" t="n">
        <f aca="false">INDEX(Intent_Analysis!$E$5:$E$81,MATCH(B7032,Intent_Analysis!$A$5:$A$81,0))</f>
        <v>2</v>
      </c>
    </row>
    <row r="7033" customFormat="false" ht="15" hidden="false" customHeight="false" outlineLevel="0" collapsed="false">
      <c r="A7033" s="0" t="s">
        <v>7357</v>
      </c>
      <c r="B7033" s="0" t="s">
        <v>115</v>
      </c>
      <c r="C7033" s="0" t="str">
        <f aca="false">INDEX(Intent_Analysis!$B$5:$B$81,MATCH(B7033,Intent_Analysis!$A$5:$A$81,0))</f>
        <v>Transfers</v>
      </c>
      <c r="D7033" s="0" t="n">
        <f aca="false">INDEX(Intent_Analysis!$E$5:$E$81,MATCH(B7033,Intent_Analysis!$A$5:$A$81,0))</f>
        <v>2</v>
      </c>
    </row>
    <row r="7034" customFormat="false" ht="15" hidden="false" customHeight="false" outlineLevel="0" collapsed="false">
      <c r="A7034" s="0" t="s">
        <v>7358</v>
      </c>
      <c r="B7034" s="0" t="s">
        <v>115</v>
      </c>
      <c r="C7034" s="0" t="str">
        <f aca="false">INDEX(Intent_Analysis!$B$5:$B$81,MATCH(B7034,Intent_Analysis!$A$5:$A$81,0))</f>
        <v>Transfers</v>
      </c>
      <c r="D7034" s="0" t="n">
        <f aca="false">INDEX(Intent_Analysis!$E$5:$E$81,MATCH(B7034,Intent_Analysis!$A$5:$A$81,0))</f>
        <v>2</v>
      </c>
    </row>
    <row r="7035" customFormat="false" ht="15" hidden="false" customHeight="false" outlineLevel="0" collapsed="false">
      <c r="A7035" s="0" t="s">
        <v>7359</v>
      </c>
      <c r="B7035" s="0" t="s">
        <v>115</v>
      </c>
      <c r="C7035" s="0" t="str">
        <f aca="false">INDEX(Intent_Analysis!$B$5:$B$81,MATCH(B7035,Intent_Analysis!$A$5:$A$81,0))</f>
        <v>Transfers</v>
      </c>
      <c r="D7035" s="0" t="n">
        <f aca="false">INDEX(Intent_Analysis!$E$5:$E$81,MATCH(B7035,Intent_Analysis!$A$5:$A$81,0))</f>
        <v>2</v>
      </c>
    </row>
    <row r="7036" customFormat="false" ht="15" hidden="false" customHeight="false" outlineLevel="0" collapsed="false">
      <c r="A7036" s="0" t="s">
        <v>7360</v>
      </c>
      <c r="B7036" s="0" t="s">
        <v>115</v>
      </c>
      <c r="C7036" s="0" t="str">
        <f aca="false">INDEX(Intent_Analysis!$B$5:$B$81,MATCH(B7036,Intent_Analysis!$A$5:$A$81,0))</f>
        <v>Transfers</v>
      </c>
      <c r="D7036" s="0" t="n">
        <f aca="false">INDEX(Intent_Analysis!$E$5:$E$81,MATCH(B7036,Intent_Analysis!$A$5:$A$81,0))</f>
        <v>2</v>
      </c>
    </row>
    <row r="7037" customFormat="false" ht="15" hidden="false" customHeight="false" outlineLevel="0" collapsed="false">
      <c r="A7037" s="0" t="s">
        <v>7361</v>
      </c>
      <c r="B7037" s="0" t="s">
        <v>115</v>
      </c>
      <c r="C7037" s="0" t="str">
        <f aca="false">INDEX(Intent_Analysis!$B$5:$B$81,MATCH(B7037,Intent_Analysis!$A$5:$A$81,0))</f>
        <v>Transfers</v>
      </c>
      <c r="D7037" s="0" t="n">
        <f aca="false">INDEX(Intent_Analysis!$E$5:$E$81,MATCH(B7037,Intent_Analysis!$A$5:$A$81,0))</f>
        <v>2</v>
      </c>
    </row>
    <row r="7038" customFormat="false" ht="15" hidden="false" customHeight="false" outlineLevel="0" collapsed="false">
      <c r="A7038" s="0" t="s">
        <v>7362</v>
      </c>
      <c r="B7038" s="0" t="s">
        <v>115</v>
      </c>
      <c r="C7038" s="0" t="str">
        <f aca="false">INDEX(Intent_Analysis!$B$5:$B$81,MATCH(B7038,Intent_Analysis!$A$5:$A$81,0))</f>
        <v>Transfers</v>
      </c>
      <c r="D7038" s="0" t="n">
        <f aca="false">INDEX(Intent_Analysis!$E$5:$E$81,MATCH(B7038,Intent_Analysis!$A$5:$A$81,0))</f>
        <v>2</v>
      </c>
    </row>
    <row r="7039" customFormat="false" ht="15" hidden="false" customHeight="false" outlineLevel="0" collapsed="false">
      <c r="A7039" s="0" t="s">
        <v>7363</v>
      </c>
      <c r="B7039" s="0" t="s">
        <v>115</v>
      </c>
      <c r="C7039" s="0" t="str">
        <f aca="false">INDEX(Intent_Analysis!$B$5:$B$81,MATCH(B7039,Intent_Analysis!$A$5:$A$81,0))</f>
        <v>Transfers</v>
      </c>
      <c r="D7039" s="0" t="n">
        <f aca="false">INDEX(Intent_Analysis!$E$5:$E$81,MATCH(B7039,Intent_Analysis!$A$5:$A$81,0))</f>
        <v>2</v>
      </c>
    </row>
    <row r="7040" customFormat="false" ht="15" hidden="false" customHeight="false" outlineLevel="0" collapsed="false">
      <c r="A7040" s="0" t="s">
        <v>7364</v>
      </c>
      <c r="B7040" s="0" t="s">
        <v>115</v>
      </c>
      <c r="C7040" s="0" t="str">
        <f aca="false">INDEX(Intent_Analysis!$B$5:$B$81,MATCH(B7040,Intent_Analysis!$A$5:$A$81,0))</f>
        <v>Transfers</v>
      </c>
      <c r="D7040" s="0" t="n">
        <f aca="false">INDEX(Intent_Analysis!$E$5:$E$81,MATCH(B7040,Intent_Analysis!$A$5:$A$81,0))</f>
        <v>2</v>
      </c>
    </row>
    <row r="7041" customFormat="false" ht="15" hidden="false" customHeight="false" outlineLevel="0" collapsed="false">
      <c r="A7041" s="0" t="s">
        <v>7365</v>
      </c>
      <c r="B7041" s="0" t="s">
        <v>115</v>
      </c>
      <c r="C7041" s="0" t="str">
        <f aca="false">INDEX(Intent_Analysis!$B$5:$B$81,MATCH(B7041,Intent_Analysis!$A$5:$A$81,0))</f>
        <v>Transfers</v>
      </c>
      <c r="D7041" s="0" t="n">
        <f aca="false">INDEX(Intent_Analysis!$E$5:$E$81,MATCH(B7041,Intent_Analysis!$A$5:$A$81,0))</f>
        <v>2</v>
      </c>
    </row>
    <row r="7042" customFormat="false" ht="15" hidden="false" customHeight="false" outlineLevel="0" collapsed="false">
      <c r="A7042" s="0" t="s">
        <v>7366</v>
      </c>
      <c r="B7042" s="0" t="s">
        <v>115</v>
      </c>
      <c r="C7042" s="0" t="str">
        <f aca="false">INDEX(Intent_Analysis!$B$5:$B$81,MATCH(B7042,Intent_Analysis!$A$5:$A$81,0))</f>
        <v>Transfers</v>
      </c>
      <c r="D7042" s="0" t="n">
        <f aca="false">INDEX(Intent_Analysis!$E$5:$E$81,MATCH(B7042,Intent_Analysis!$A$5:$A$81,0))</f>
        <v>2</v>
      </c>
    </row>
    <row r="7043" customFormat="false" ht="15" hidden="false" customHeight="false" outlineLevel="0" collapsed="false">
      <c r="A7043" s="0" t="s">
        <v>7367</v>
      </c>
      <c r="B7043" s="0" t="s">
        <v>115</v>
      </c>
      <c r="C7043" s="0" t="str">
        <f aca="false">INDEX(Intent_Analysis!$B$5:$B$81,MATCH(B7043,Intent_Analysis!$A$5:$A$81,0))</f>
        <v>Transfers</v>
      </c>
      <c r="D7043" s="0" t="n">
        <f aca="false">INDEX(Intent_Analysis!$E$5:$E$81,MATCH(B7043,Intent_Analysis!$A$5:$A$81,0))</f>
        <v>2</v>
      </c>
    </row>
    <row r="7044" customFormat="false" ht="15" hidden="false" customHeight="false" outlineLevel="0" collapsed="false">
      <c r="A7044" s="0" t="s">
        <v>7368</v>
      </c>
      <c r="B7044" s="0" t="s">
        <v>115</v>
      </c>
      <c r="C7044" s="0" t="str">
        <f aca="false">INDEX(Intent_Analysis!$B$5:$B$81,MATCH(B7044,Intent_Analysis!$A$5:$A$81,0))</f>
        <v>Transfers</v>
      </c>
      <c r="D7044" s="0" t="n">
        <f aca="false">INDEX(Intent_Analysis!$E$5:$E$81,MATCH(B7044,Intent_Analysis!$A$5:$A$81,0))</f>
        <v>2</v>
      </c>
    </row>
    <row r="7045" customFormat="false" ht="15" hidden="false" customHeight="false" outlineLevel="0" collapsed="false">
      <c r="A7045" s="0" t="s">
        <v>7369</v>
      </c>
      <c r="B7045" s="0" t="s">
        <v>115</v>
      </c>
      <c r="C7045" s="0" t="str">
        <f aca="false">INDEX(Intent_Analysis!$B$5:$B$81,MATCH(B7045,Intent_Analysis!$A$5:$A$81,0))</f>
        <v>Transfers</v>
      </c>
      <c r="D7045" s="0" t="n">
        <f aca="false">INDEX(Intent_Analysis!$E$5:$E$81,MATCH(B7045,Intent_Analysis!$A$5:$A$81,0))</f>
        <v>2</v>
      </c>
    </row>
    <row r="7046" customFormat="false" ht="15" hidden="false" customHeight="false" outlineLevel="0" collapsed="false">
      <c r="A7046" s="0" t="s">
        <v>7370</v>
      </c>
      <c r="B7046" s="0" t="s">
        <v>115</v>
      </c>
      <c r="C7046" s="0" t="str">
        <f aca="false">INDEX(Intent_Analysis!$B$5:$B$81,MATCH(B7046,Intent_Analysis!$A$5:$A$81,0))</f>
        <v>Transfers</v>
      </c>
      <c r="D7046" s="0" t="n">
        <f aca="false">INDEX(Intent_Analysis!$E$5:$E$81,MATCH(B7046,Intent_Analysis!$A$5:$A$81,0))</f>
        <v>2</v>
      </c>
    </row>
    <row r="7047" customFormat="false" ht="15" hidden="false" customHeight="false" outlineLevel="0" collapsed="false">
      <c r="A7047" s="0" t="s">
        <v>7371</v>
      </c>
      <c r="B7047" s="0" t="s">
        <v>115</v>
      </c>
      <c r="C7047" s="0" t="str">
        <f aca="false">INDEX(Intent_Analysis!$B$5:$B$81,MATCH(B7047,Intent_Analysis!$A$5:$A$81,0))</f>
        <v>Transfers</v>
      </c>
      <c r="D7047" s="0" t="n">
        <f aca="false">INDEX(Intent_Analysis!$E$5:$E$81,MATCH(B7047,Intent_Analysis!$A$5:$A$81,0))</f>
        <v>2</v>
      </c>
    </row>
    <row r="7048" customFormat="false" ht="15" hidden="false" customHeight="false" outlineLevel="0" collapsed="false">
      <c r="A7048" s="0" t="s">
        <v>7372</v>
      </c>
      <c r="B7048" s="0" t="s">
        <v>115</v>
      </c>
      <c r="C7048" s="0" t="str">
        <f aca="false">INDEX(Intent_Analysis!$B$5:$B$81,MATCH(B7048,Intent_Analysis!$A$5:$A$81,0))</f>
        <v>Transfers</v>
      </c>
      <c r="D7048" s="0" t="n">
        <f aca="false">INDEX(Intent_Analysis!$E$5:$E$81,MATCH(B7048,Intent_Analysis!$A$5:$A$81,0))</f>
        <v>2</v>
      </c>
    </row>
    <row r="7049" customFormat="false" ht="15" hidden="false" customHeight="false" outlineLevel="0" collapsed="false">
      <c r="A7049" s="0" t="s">
        <v>7373</v>
      </c>
      <c r="B7049" s="0" t="s">
        <v>115</v>
      </c>
      <c r="C7049" s="0" t="str">
        <f aca="false">INDEX(Intent_Analysis!$B$5:$B$81,MATCH(B7049,Intent_Analysis!$A$5:$A$81,0))</f>
        <v>Transfers</v>
      </c>
      <c r="D7049" s="0" t="n">
        <f aca="false">INDEX(Intent_Analysis!$E$5:$E$81,MATCH(B7049,Intent_Analysis!$A$5:$A$81,0))</f>
        <v>2</v>
      </c>
    </row>
    <row r="7050" customFormat="false" ht="15" hidden="false" customHeight="false" outlineLevel="0" collapsed="false">
      <c r="A7050" s="0" t="s">
        <v>7374</v>
      </c>
      <c r="B7050" s="0" t="s">
        <v>115</v>
      </c>
      <c r="C7050" s="0" t="str">
        <f aca="false">INDEX(Intent_Analysis!$B$5:$B$81,MATCH(B7050,Intent_Analysis!$A$5:$A$81,0))</f>
        <v>Transfers</v>
      </c>
      <c r="D7050" s="0" t="n">
        <f aca="false">INDEX(Intent_Analysis!$E$5:$E$81,MATCH(B7050,Intent_Analysis!$A$5:$A$81,0))</f>
        <v>2</v>
      </c>
    </row>
    <row r="7051" customFormat="false" ht="15" hidden="false" customHeight="false" outlineLevel="0" collapsed="false">
      <c r="A7051" s="0" t="s">
        <v>7375</v>
      </c>
      <c r="B7051" s="0" t="s">
        <v>115</v>
      </c>
      <c r="C7051" s="0" t="str">
        <f aca="false">INDEX(Intent_Analysis!$B$5:$B$81,MATCH(B7051,Intent_Analysis!$A$5:$A$81,0))</f>
        <v>Transfers</v>
      </c>
      <c r="D7051" s="0" t="n">
        <f aca="false">INDEX(Intent_Analysis!$E$5:$E$81,MATCH(B7051,Intent_Analysis!$A$5:$A$81,0))</f>
        <v>2</v>
      </c>
    </row>
    <row r="7052" customFormat="false" ht="15" hidden="false" customHeight="false" outlineLevel="0" collapsed="false">
      <c r="A7052" s="0" t="s">
        <v>7376</v>
      </c>
      <c r="B7052" s="0" t="s">
        <v>115</v>
      </c>
      <c r="C7052" s="0" t="str">
        <f aca="false">INDEX(Intent_Analysis!$B$5:$B$81,MATCH(B7052,Intent_Analysis!$A$5:$A$81,0))</f>
        <v>Transfers</v>
      </c>
      <c r="D7052" s="0" t="n">
        <f aca="false">INDEX(Intent_Analysis!$E$5:$E$81,MATCH(B7052,Intent_Analysis!$A$5:$A$81,0))</f>
        <v>2</v>
      </c>
    </row>
    <row r="7053" customFormat="false" ht="15" hidden="false" customHeight="false" outlineLevel="0" collapsed="false">
      <c r="A7053" s="0" t="s">
        <v>7377</v>
      </c>
      <c r="B7053" s="0" t="s">
        <v>115</v>
      </c>
      <c r="C7053" s="0" t="str">
        <f aca="false">INDEX(Intent_Analysis!$B$5:$B$81,MATCH(B7053,Intent_Analysis!$A$5:$A$81,0))</f>
        <v>Transfers</v>
      </c>
      <c r="D7053" s="0" t="n">
        <f aca="false">INDEX(Intent_Analysis!$E$5:$E$81,MATCH(B7053,Intent_Analysis!$A$5:$A$81,0))</f>
        <v>2</v>
      </c>
    </row>
    <row r="7054" customFormat="false" ht="15" hidden="false" customHeight="false" outlineLevel="0" collapsed="false">
      <c r="A7054" s="0" t="s">
        <v>7378</v>
      </c>
      <c r="B7054" s="0" t="s">
        <v>115</v>
      </c>
      <c r="C7054" s="0" t="str">
        <f aca="false">INDEX(Intent_Analysis!$B$5:$B$81,MATCH(B7054,Intent_Analysis!$A$5:$A$81,0))</f>
        <v>Transfers</v>
      </c>
      <c r="D7054" s="0" t="n">
        <f aca="false">INDEX(Intent_Analysis!$E$5:$E$81,MATCH(B7054,Intent_Analysis!$A$5:$A$81,0))</f>
        <v>2</v>
      </c>
    </row>
    <row r="7055" customFormat="false" ht="15" hidden="false" customHeight="false" outlineLevel="0" collapsed="false">
      <c r="A7055" s="0" t="s">
        <v>7379</v>
      </c>
      <c r="B7055" s="0" t="s">
        <v>115</v>
      </c>
      <c r="C7055" s="0" t="str">
        <f aca="false">INDEX(Intent_Analysis!$B$5:$B$81,MATCH(B7055,Intent_Analysis!$A$5:$A$81,0))</f>
        <v>Transfers</v>
      </c>
      <c r="D7055" s="0" t="n">
        <f aca="false">INDEX(Intent_Analysis!$E$5:$E$81,MATCH(B7055,Intent_Analysis!$A$5:$A$81,0))</f>
        <v>2</v>
      </c>
    </row>
    <row r="7056" customFormat="false" ht="15" hidden="false" customHeight="false" outlineLevel="0" collapsed="false">
      <c r="A7056" s="0" t="s">
        <v>7380</v>
      </c>
      <c r="B7056" s="0" t="s">
        <v>115</v>
      </c>
      <c r="C7056" s="0" t="str">
        <f aca="false">INDEX(Intent_Analysis!$B$5:$B$81,MATCH(B7056,Intent_Analysis!$A$5:$A$81,0))</f>
        <v>Transfers</v>
      </c>
      <c r="D7056" s="0" t="n">
        <f aca="false">INDEX(Intent_Analysis!$E$5:$E$81,MATCH(B7056,Intent_Analysis!$A$5:$A$81,0))</f>
        <v>2</v>
      </c>
    </row>
    <row r="7057" customFormat="false" ht="15" hidden="false" customHeight="false" outlineLevel="0" collapsed="false">
      <c r="A7057" s="0" t="s">
        <v>7381</v>
      </c>
      <c r="B7057" s="0" t="s">
        <v>115</v>
      </c>
      <c r="C7057" s="0" t="str">
        <f aca="false">INDEX(Intent_Analysis!$B$5:$B$81,MATCH(B7057,Intent_Analysis!$A$5:$A$81,0))</f>
        <v>Transfers</v>
      </c>
      <c r="D7057" s="0" t="n">
        <f aca="false">INDEX(Intent_Analysis!$E$5:$E$81,MATCH(B7057,Intent_Analysis!$A$5:$A$81,0))</f>
        <v>2</v>
      </c>
    </row>
    <row r="7058" customFormat="false" ht="15" hidden="false" customHeight="false" outlineLevel="0" collapsed="false">
      <c r="A7058" s="0" t="s">
        <v>7382</v>
      </c>
      <c r="B7058" s="0" t="s">
        <v>115</v>
      </c>
      <c r="C7058" s="0" t="str">
        <f aca="false">INDEX(Intent_Analysis!$B$5:$B$81,MATCH(B7058,Intent_Analysis!$A$5:$A$81,0))</f>
        <v>Transfers</v>
      </c>
      <c r="D7058" s="0" t="n">
        <f aca="false">INDEX(Intent_Analysis!$E$5:$E$81,MATCH(B7058,Intent_Analysis!$A$5:$A$81,0))</f>
        <v>2</v>
      </c>
    </row>
    <row r="7059" customFormat="false" ht="15" hidden="false" customHeight="false" outlineLevel="0" collapsed="false">
      <c r="A7059" s="0" t="s">
        <v>7383</v>
      </c>
      <c r="B7059" s="0" t="s">
        <v>115</v>
      </c>
      <c r="C7059" s="0" t="str">
        <f aca="false">INDEX(Intent_Analysis!$B$5:$B$81,MATCH(B7059,Intent_Analysis!$A$5:$A$81,0))</f>
        <v>Transfers</v>
      </c>
      <c r="D7059" s="0" t="n">
        <f aca="false">INDEX(Intent_Analysis!$E$5:$E$81,MATCH(B7059,Intent_Analysis!$A$5:$A$81,0))</f>
        <v>2</v>
      </c>
    </row>
    <row r="7060" customFormat="false" ht="15" hidden="false" customHeight="false" outlineLevel="0" collapsed="false">
      <c r="A7060" s="0" t="s">
        <v>7384</v>
      </c>
      <c r="B7060" s="0" t="s">
        <v>115</v>
      </c>
      <c r="C7060" s="0" t="str">
        <f aca="false">INDEX(Intent_Analysis!$B$5:$B$81,MATCH(B7060,Intent_Analysis!$A$5:$A$81,0))</f>
        <v>Transfers</v>
      </c>
      <c r="D7060" s="0" t="n">
        <f aca="false">INDEX(Intent_Analysis!$E$5:$E$81,MATCH(B7060,Intent_Analysis!$A$5:$A$81,0))</f>
        <v>2</v>
      </c>
    </row>
    <row r="7061" customFormat="false" ht="15" hidden="false" customHeight="false" outlineLevel="0" collapsed="false">
      <c r="A7061" s="0" t="s">
        <v>7385</v>
      </c>
      <c r="B7061" s="0" t="s">
        <v>115</v>
      </c>
      <c r="C7061" s="0" t="str">
        <f aca="false">INDEX(Intent_Analysis!$B$5:$B$81,MATCH(B7061,Intent_Analysis!$A$5:$A$81,0))</f>
        <v>Transfers</v>
      </c>
      <c r="D7061" s="0" t="n">
        <f aca="false">INDEX(Intent_Analysis!$E$5:$E$81,MATCH(B7061,Intent_Analysis!$A$5:$A$81,0))</f>
        <v>2</v>
      </c>
    </row>
    <row r="7062" customFormat="false" ht="15" hidden="false" customHeight="false" outlineLevel="0" collapsed="false">
      <c r="A7062" s="0" t="s">
        <v>7386</v>
      </c>
      <c r="B7062" s="0" t="s">
        <v>115</v>
      </c>
      <c r="C7062" s="0" t="str">
        <f aca="false">INDEX(Intent_Analysis!$B$5:$B$81,MATCH(B7062,Intent_Analysis!$A$5:$A$81,0))</f>
        <v>Transfers</v>
      </c>
      <c r="D7062" s="0" t="n">
        <f aca="false">INDEX(Intent_Analysis!$E$5:$E$81,MATCH(B7062,Intent_Analysis!$A$5:$A$81,0))</f>
        <v>2</v>
      </c>
    </row>
    <row r="7063" customFormat="false" ht="15" hidden="false" customHeight="false" outlineLevel="0" collapsed="false">
      <c r="A7063" s="0" t="s">
        <v>7387</v>
      </c>
      <c r="B7063" s="0" t="s">
        <v>115</v>
      </c>
      <c r="C7063" s="0" t="str">
        <f aca="false">INDEX(Intent_Analysis!$B$5:$B$81,MATCH(B7063,Intent_Analysis!$A$5:$A$81,0))</f>
        <v>Transfers</v>
      </c>
      <c r="D7063" s="0" t="n">
        <f aca="false">INDEX(Intent_Analysis!$E$5:$E$81,MATCH(B7063,Intent_Analysis!$A$5:$A$81,0))</f>
        <v>2</v>
      </c>
    </row>
    <row r="7064" customFormat="false" ht="15" hidden="false" customHeight="false" outlineLevel="0" collapsed="false">
      <c r="A7064" s="0" t="s">
        <v>7388</v>
      </c>
      <c r="B7064" s="0" t="s">
        <v>115</v>
      </c>
      <c r="C7064" s="0" t="str">
        <f aca="false">INDEX(Intent_Analysis!$B$5:$B$81,MATCH(B7064,Intent_Analysis!$A$5:$A$81,0))</f>
        <v>Transfers</v>
      </c>
      <c r="D7064" s="0" t="n">
        <f aca="false">INDEX(Intent_Analysis!$E$5:$E$81,MATCH(B7064,Intent_Analysis!$A$5:$A$81,0))</f>
        <v>2</v>
      </c>
    </row>
    <row r="7065" customFormat="false" ht="15" hidden="false" customHeight="false" outlineLevel="0" collapsed="false">
      <c r="A7065" s="0" t="s">
        <v>7389</v>
      </c>
      <c r="B7065" s="0" t="s">
        <v>115</v>
      </c>
      <c r="C7065" s="0" t="str">
        <f aca="false">INDEX(Intent_Analysis!$B$5:$B$81,MATCH(B7065,Intent_Analysis!$A$5:$A$81,0))</f>
        <v>Transfers</v>
      </c>
      <c r="D7065" s="0" t="n">
        <f aca="false">INDEX(Intent_Analysis!$E$5:$E$81,MATCH(B7065,Intent_Analysis!$A$5:$A$81,0))</f>
        <v>2</v>
      </c>
    </row>
    <row r="7066" customFormat="false" ht="15" hidden="false" customHeight="false" outlineLevel="0" collapsed="false">
      <c r="A7066" s="0" t="s">
        <v>7390</v>
      </c>
      <c r="B7066" s="0" t="s">
        <v>115</v>
      </c>
      <c r="C7066" s="0" t="str">
        <f aca="false">INDEX(Intent_Analysis!$B$5:$B$81,MATCH(B7066,Intent_Analysis!$A$5:$A$81,0))</f>
        <v>Transfers</v>
      </c>
      <c r="D7066" s="0" t="n">
        <f aca="false">INDEX(Intent_Analysis!$E$5:$E$81,MATCH(B7066,Intent_Analysis!$A$5:$A$81,0))</f>
        <v>2</v>
      </c>
    </row>
    <row r="7067" customFormat="false" ht="15" hidden="false" customHeight="false" outlineLevel="0" collapsed="false">
      <c r="A7067" s="0" t="s">
        <v>7391</v>
      </c>
      <c r="B7067" s="0" t="s">
        <v>115</v>
      </c>
      <c r="C7067" s="0" t="str">
        <f aca="false">INDEX(Intent_Analysis!$B$5:$B$81,MATCH(B7067,Intent_Analysis!$A$5:$A$81,0))</f>
        <v>Transfers</v>
      </c>
      <c r="D7067" s="0" t="n">
        <f aca="false">INDEX(Intent_Analysis!$E$5:$E$81,MATCH(B7067,Intent_Analysis!$A$5:$A$81,0))</f>
        <v>2</v>
      </c>
    </row>
    <row r="7068" customFormat="false" ht="15" hidden="false" customHeight="false" outlineLevel="0" collapsed="false">
      <c r="A7068" s="0" t="s">
        <v>7392</v>
      </c>
      <c r="B7068" s="0" t="s">
        <v>115</v>
      </c>
      <c r="C7068" s="0" t="str">
        <f aca="false">INDEX(Intent_Analysis!$B$5:$B$81,MATCH(B7068,Intent_Analysis!$A$5:$A$81,0))</f>
        <v>Transfers</v>
      </c>
      <c r="D7068" s="0" t="n">
        <f aca="false">INDEX(Intent_Analysis!$E$5:$E$81,MATCH(B7068,Intent_Analysis!$A$5:$A$81,0))</f>
        <v>2</v>
      </c>
    </row>
    <row r="7069" customFormat="false" ht="15" hidden="false" customHeight="false" outlineLevel="0" collapsed="false">
      <c r="A7069" s="0" t="s">
        <v>7393</v>
      </c>
      <c r="B7069" s="0" t="s">
        <v>115</v>
      </c>
      <c r="C7069" s="0" t="str">
        <f aca="false">INDEX(Intent_Analysis!$B$5:$B$81,MATCH(B7069,Intent_Analysis!$A$5:$A$81,0))</f>
        <v>Transfers</v>
      </c>
      <c r="D7069" s="0" t="n">
        <f aca="false">INDEX(Intent_Analysis!$E$5:$E$81,MATCH(B7069,Intent_Analysis!$A$5:$A$81,0))</f>
        <v>2</v>
      </c>
    </row>
    <row r="7070" customFormat="false" ht="15" hidden="false" customHeight="false" outlineLevel="0" collapsed="false">
      <c r="A7070" s="0" t="s">
        <v>7394</v>
      </c>
      <c r="B7070" s="0" t="s">
        <v>115</v>
      </c>
      <c r="C7070" s="0" t="str">
        <f aca="false">INDEX(Intent_Analysis!$B$5:$B$81,MATCH(B7070,Intent_Analysis!$A$5:$A$81,0))</f>
        <v>Transfers</v>
      </c>
      <c r="D7070" s="0" t="n">
        <f aca="false">INDEX(Intent_Analysis!$E$5:$E$81,MATCH(B7070,Intent_Analysis!$A$5:$A$81,0))</f>
        <v>2</v>
      </c>
    </row>
    <row r="7071" customFormat="false" ht="15" hidden="false" customHeight="false" outlineLevel="0" collapsed="false">
      <c r="A7071" s="0" t="s">
        <v>7395</v>
      </c>
      <c r="B7071" s="0" t="s">
        <v>115</v>
      </c>
      <c r="C7071" s="0" t="str">
        <f aca="false">INDEX(Intent_Analysis!$B$5:$B$81,MATCH(B7071,Intent_Analysis!$A$5:$A$81,0))</f>
        <v>Transfers</v>
      </c>
      <c r="D7071" s="0" t="n">
        <f aca="false">INDEX(Intent_Analysis!$E$5:$E$81,MATCH(B7071,Intent_Analysis!$A$5:$A$81,0))</f>
        <v>2</v>
      </c>
    </row>
    <row r="7072" customFormat="false" ht="15" hidden="false" customHeight="false" outlineLevel="0" collapsed="false">
      <c r="A7072" s="0" t="s">
        <v>7396</v>
      </c>
      <c r="B7072" s="0" t="s">
        <v>115</v>
      </c>
      <c r="C7072" s="0" t="str">
        <f aca="false">INDEX(Intent_Analysis!$B$5:$B$81,MATCH(B7072,Intent_Analysis!$A$5:$A$81,0))</f>
        <v>Transfers</v>
      </c>
      <c r="D7072" s="0" t="n">
        <f aca="false">INDEX(Intent_Analysis!$E$5:$E$81,MATCH(B7072,Intent_Analysis!$A$5:$A$81,0))</f>
        <v>2</v>
      </c>
    </row>
    <row r="7073" customFormat="false" ht="15" hidden="false" customHeight="false" outlineLevel="0" collapsed="false">
      <c r="A7073" s="0" t="s">
        <v>7397</v>
      </c>
      <c r="B7073" s="0" t="s">
        <v>115</v>
      </c>
      <c r="C7073" s="0" t="str">
        <f aca="false">INDEX(Intent_Analysis!$B$5:$B$81,MATCH(B7073,Intent_Analysis!$A$5:$A$81,0))</f>
        <v>Transfers</v>
      </c>
      <c r="D7073" s="0" t="n">
        <f aca="false">INDEX(Intent_Analysis!$E$5:$E$81,MATCH(B7073,Intent_Analysis!$A$5:$A$81,0))</f>
        <v>2</v>
      </c>
    </row>
    <row r="7074" customFormat="false" ht="15" hidden="false" customHeight="false" outlineLevel="0" collapsed="false">
      <c r="A7074" s="0" t="s">
        <v>7398</v>
      </c>
      <c r="B7074" s="0" t="s">
        <v>115</v>
      </c>
      <c r="C7074" s="0" t="str">
        <f aca="false">INDEX(Intent_Analysis!$B$5:$B$81,MATCH(B7074,Intent_Analysis!$A$5:$A$81,0))</f>
        <v>Transfers</v>
      </c>
      <c r="D7074" s="0" t="n">
        <f aca="false">INDEX(Intent_Analysis!$E$5:$E$81,MATCH(B7074,Intent_Analysis!$A$5:$A$81,0))</f>
        <v>2</v>
      </c>
    </row>
    <row r="7075" customFormat="false" ht="15" hidden="false" customHeight="false" outlineLevel="0" collapsed="false">
      <c r="A7075" s="0" t="s">
        <v>7399</v>
      </c>
      <c r="B7075" s="0" t="s">
        <v>115</v>
      </c>
      <c r="C7075" s="0" t="str">
        <f aca="false">INDEX(Intent_Analysis!$B$5:$B$81,MATCH(B7075,Intent_Analysis!$A$5:$A$81,0))</f>
        <v>Transfers</v>
      </c>
      <c r="D7075" s="0" t="n">
        <f aca="false">INDEX(Intent_Analysis!$E$5:$E$81,MATCH(B7075,Intent_Analysis!$A$5:$A$81,0))</f>
        <v>2</v>
      </c>
    </row>
    <row r="7076" customFormat="false" ht="15" hidden="false" customHeight="false" outlineLevel="0" collapsed="false">
      <c r="A7076" s="0" t="s">
        <v>7400</v>
      </c>
      <c r="B7076" s="0" t="s">
        <v>115</v>
      </c>
      <c r="C7076" s="0" t="str">
        <f aca="false">INDEX(Intent_Analysis!$B$5:$B$81,MATCH(B7076,Intent_Analysis!$A$5:$A$81,0))</f>
        <v>Transfers</v>
      </c>
      <c r="D7076" s="0" t="n">
        <f aca="false">INDEX(Intent_Analysis!$E$5:$E$81,MATCH(B7076,Intent_Analysis!$A$5:$A$81,0))</f>
        <v>2</v>
      </c>
    </row>
    <row r="7077" customFormat="false" ht="15" hidden="false" customHeight="false" outlineLevel="0" collapsed="false">
      <c r="A7077" s="0" t="s">
        <v>7401</v>
      </c>
      <c r="B7077" s="0" t="s">
        <v>115</v>
      </c>
      <c r="C7077" s="0" t="str">
        <f aca="false">INDEX(Intent_Analysis!$B$5:$B$81,MATCH(B7077,Intent_Analysis!$A$5:$A$81,0))</f>
        <v>Transfers</v>
      </c>
      <c r="D7077" s="0" t="n">
        <f aca="false">INDEX(Intent_Analysis!$E$5:$E$81,MATCH(B7077,Intent_Analysis!$A$5:$A$81,0))</f>
        <v>2</v>
      </c>
    </row>
    <row r="7078" customFormat="false" ht="15" hidden="false" customHeight="false" outlineLevel="0" collapsed="false">
      <c r="A7078" s="0" t="s">
        <v>7402</v>
      </c>
      <c r="B7078" s="0" t="s">
        <v>115</v>
      </c>
      <c r="C7078" s="0" t="str">
        <f aca="false">INDEX(Intent_Analysis!$B$5:$B$81,MATCH(B7078,Intent_Analysis!$A$5:$A$81,0))</f>
        <v>Transfers</v>
      </c>
      <c r="D7078" s="0" t="n">
        <f aca="false">INDEX(Intent_Analysis!$E$5:$E$81,MATCH(B7078,Intent_Analysis!$A$5:$A$81,0))</f>
        <v>2</v>
      </c>
    </row>
    <row r="7079" customFormat="false" ht="15" hidden="false" customHeight="false" outlineLevel="0" collapsed="false">
      <c r="A7079" s="0" t="s">
        <v>7403</v>
      </c>
      <c r="B7079" s="0" t="s">
        <v>115</v>
      </c>
      <c r="C7079" s="0" t="str">
        <f aca="false">INDEX(Intent_Analysis!$B$5:$B$81,MATCH(B7079,Intent_Analysis!$A$5:$A$81,0))</f>
        <v>Transfers</v>
      </c>
      <c r="D7079" s="0" t="n">
        <f aca="false">INDEX(Intent_Analysis!$E$5:$E$81,MATCH(B7079,Intent_Analysis!$A$5:$A$81,0))</f>
        <v>2</v>
      </c>
    </row>
    <row r="7080" customFormat="false" ht="15" hidden="false" customHeight="false" outlineLevel="0" collapsed="false">
      <c r="A7080" s="0" t="s">
        <v>7404</v>
      </c>
      <c r="B7080" s="0" t="s">
        <v>115</v>
      </c>
      <c r="C7080" s="0" t="str">
        <f aca="false">INDEX(Intent_Analysis!$B$5:$B$81,MATCH(B7080,Intent_Analysis!$A$5:$A$81,0))</f>
        <v>Transfers</v>
      </c>
      <c r="D7080" s="0" t="n">
        <f aca="false">INDEX(Intent_Analysis!$E$5:$E$81,MATCH(B7080,Intent_Analysis!$A$5:$A$81,0))</f>
        <v>2</v>
      </c>
    </row>
    <row r="7081" customFormat="false" ht="15" hidden="false" customHeight="false" outlineLevel="0" collapsed="false">
      <c r="A7081" s="0" t="s">
        <v>7405</v>
      </c>
      <c r="B7081" s="0" t="s">
        <v>115</v>
      </c>
      <c r="C7081" s="0" t="str">
        <f aca="false">INDEX(Intent_Analysis!$B$5:$B$81,MATCH(B7081,Intent_Analysis!$A$5:$A$81,0))</f>
        <v>Transfers</v>
      </c>
      <c r="D7081" s="0" t="n">
        <f aca="false">INDEX(Intent_Analysis!$E$5:$E$81,MATCH(B7081,Intent_Analysis!$A$5:$A$81,0))</f>
        <v>2</v>
      </c>
    </row>
    <row r="7082" customFormat="false" ht="15" hidden="false" customHeight="false" outlineLevel="0" collapsed="false">
      <c r="A7082" s="0" t="s">
        <v>7406</v>
      </c>
      <c r="B7082" s="0" t="s">
        <v>115</v>
      </c>
      <c r="C7082" s="0" t="str">
        <f aca="false">INDEX(Intent_Analysis!$B$5:$B$81,MATCH(B7082,Intent_Analysis!$A$5:$A$81,0))</f>
        <v>Transfers</v>
      </c>
      <c r="D7082" s="0" t="n">
        <f aca="false">INDEX(Intent_Analysis!$E$5:$E$81,MATCH(B7082,Intent_Analysis!$A$5:$A$81,0))</f>
        <v>2</v>
      </c>
    </row>
    <row r="7083" customFormat="false" ht="15" hidden="false" customHeight="false" outlineLevel="0" collapsed="false">
      <c r="A7083" s="0" t="s">
        <v>7407</v>
      </c>
      <c r="B7083" s="0" t="s">
        <v>115</v>
      </c>
      <c r="C7083" s="0" t="str">
        <f aca="false">INDEX(Intent_Analysis!$B$5:$B$81,MATCH(B7083,Intent_Analysis!$A$5:$A$81,0))</f>
        <v>Transfers</v>
      </c>
      <c r="D7083" s="0" t="n">
        <f aca="false">INDEX(Intent_Analysis!$E$5:$E$81,MATCH(B7083,Intent_Analysis!$A$5:$A$81,0))</f>
        <v>2</v>
      </c>
    </row>
    <row r="7084" customFormat="false" ht="15" hidden="false" customHeight="false" outlineLevel="0" collapsed="false">
      <c r="A7084" s="0" t="s">
        <v>7408</v>
      </c>
      <c r="B7084" s="0" t="s">
        <v>115</v>
      </c>
      <c r="C7084" s="0" t="str">
        <f aca="false">INDEX(Intent_Analysis!$B$5:$B$81,MATCH(B7084,Intent_Analysis!$A$5:$A$81,0))</f>
        <v>Transfers</v>
      </c>
      <c r="D7084" s="0" t="n">
        <f aca="false">INDEX(Intent_Analysis!$E$5:$E$81,MATCH(B7084,Intent_Analysis!$A$5:$A$81,0))</f>
        <v>2</v>
      </c>
    </row>
    <row r="7085" customFormat="false" ht="15" hidden="false" customHeight="false" outlineLevel="0" collapsed="false">
      <c r="A7085" s="0" t="s">
        <v>7409</v>
      </c>
      <c r="B7085" s="0" t="s">
        <v>115</v>
      </c>
      <c r="C7085" s="0" t="str">
        <f aca="false">INDEX(Intent_Analysis!$B$5:$B$81,MATCH(B7085,Intent_Analysis!$A$5:$A$81,0))</f>
        <v>Transfers</v>
      </c>
      <c r="D7085" s="0" t="n">
        <f aca="false">INDEX(Intent_Analysis!$E$5:$E$81,MATCH(B7085,Intent_Analysis!$A$5:$A$81,0))</f>
        <v>2</v>
      </c>
    </row>
    <row r="7086" customFormat="false" ht="15" hidden="false" customHeight="false" outlineLevel="0" collapsed="false">
      <c r="A7086" s="0" t="s">
        <v>7410</v>
      </c>
      <c r="B7086" s="0" t="s">
        <v>115</v>
      </c>
      <c r="C7086" s="0" t="str">
        <f aca="false">INDEX(Intent_Analysis!$B$5:$B$81,MATCH(B7086,Intent_Analysis!$A$5:$A$81,0))</f>
        <v>Transfers</v>
      </c>
      <c r="D7086" s="0" t="n">
        <f aca="false">INDEX(Intent_Analysis!$E$5:$E$81,MATCH(B7086,Intent_Analysis!$A$5:$A$81,0))</f>
        <v>2</v>
      </c>
    </row>
    <row r="7087" customFormat="false" ht="15" hidden="false" customHeight="false" outlineLevel="0" collapsed="false">
      <c r="A7087" s="0" t="s">
        <v>7411</v>
      </c>
      <c r="B7087" s="0" t="s">
        <v>115</v>
      </c>
      <c r="C7087" s="0" t="str">
        <f aca="false">INDEX(Intent_Analysis!$B$5:$B$81,MATCH(B7087,Intent_Analysis!$A$5:$A$81,0))</f>
        <v>Transfers</v>
      </c>
      <c r="D7087" s="0" t="n">
        <f aca="false">INDEX(Intent_Analysis!$E$5:$E$81,MATCH(B7087,Intent_Analysis!$A$5:$A$81,0))</f>
        <v>2</v>
      </c>
    </row>
    <row r="7088" customFormat="false" ht="15" hidden="false" customHeight="false" outlineLevel="0" collapsed="false">
      <c r="A7088" s="0" t="s">
        <v>7412</v>
      </c>
      <c r="B7088" s="0" t="s">
        <v>115</v>
      </c>
      <c r="C7088" s="0" t="str">
        <f aca="false">INDEX(Intent_Analysis!$B$5:$B$81,MATCH(B7088,Intent_Analysis!$A$5:$A$81,0))</f>
        <v>Transfers</v>
      </c>
      <c r="D7088" s="0" t="n">
        <f aca="false">INDEX(Intent_Analysis!$E$5:$E$81,MATCH(B7088,Intent_Analysis!$A$5:$A$81,0))</f>
        <v>2</v>
      </c>
    </row>
    <row r="7089" customFormat="false" ht="15" hidden="false" customHeight="false" outlineLevel="0" collapsed="false">
      <c r="A7089" s="0" t="s">
        <v>7413</v>
      </c>
      <c r="B7089" s="0" t="s">
        <v>115</v>
      </c>
      <c r="C7089" s="0" t="str">
        <f aca="false">INDEX(Intent_Analysis!$B$5:$B$81,MATCH(B7089,Intent_Analysis!$A$5:$A$81,0))</f>
        <v>Transfers</v>
      </c>
      <c r="D7089" s="0" t="n">
        <f aca="false">INDEX(Intent_Analysis!$E$5:$E$81,MATCH(B7089,Intent_Analysis!$A$5:$A$81,0))</f>
        <v>2</v>
      </c>
    </row>
    <row r="7090" customFormat="false" ht="15" hidden="false" customHeight="false" outlineLevel="0" collapsed="false">
      <c r="A7090" s="0" t="s">
        <v>7414</v>
      </c>
      <c r="B7090" s="0" t="s">
        <v>115</v>
      </c>
      <c r="C7090" s="0" t="str">
        <f aca="false">INDEX(Intent_Analysis!$B$5:$B$81,MATCH(B7090,Intent_Analysis!$A$5:$A$81,0))</f>
        <v>Transfers</v>
      </c>
      <c r="D7090" s="0" t="n">
        <f aca="false">INDEX(Intent_Analysis!$E$5:$E$81,MATCH(B7090,Intent_Analysis!$A$5:$A$81,0))</f>
        <v>2</v>
      </c>
    </row>
    <row r="7091" customFormat="false" ht="15" hidden="false" customHeight="false" outlineLevel="0" collapsed="false">
      <c r="A7091" s="0" t="s">
        <v>7415</v>
      </c>
      <c r="B7091" s="0" t="s">
        <v>115</v>
      </c>
      <c r="C7091" s="0" t="str">
        <f aca="false">INDEX(Intent_Analysis!$B$5:$B$81,MATCH(B7091,Intent_Analysis!$A$5:$A$81,0))</f>
        <v>Transfers</v>
      </c>
      <c r="D7091" s="0" t="n">
        <f aca="false">INDEX(Intent_Analysis!$E$5:$E$81,MATCH(B7091,Intent_Analysis!$A$5:$A$81,0))</f>
        <v>2</v>
      </c>
    </row>
    <row r="7092" customFormat="false" ht="15" hidden="false" customHeight="false" outlineLevel="0" collapsed="false">
      <c r="A7092" s="0" t="s">
        <v>7416</v>
      </c>
      <c r="B7092" s="0" t="s">
        <v>115</v>
      </c>
      <c r="C7092" s="0" t="str">
        <f aca="false">INDEX(Intent_Analysis!$B$5:$B$81,MATCH(B7092,Intent_Analysis!$A$5:$A$81,0))</f>
        <v>Transfers</v>
      </c>
      <c r="D7092" s="0" t="n">
        <f aca="false">INDEX(Intent_Analysis!$E$5:$E$81,MATCH(B7092,Intent_Analysis!$A$5:$A$81,0))</f>
        <v>2</v>
      </c>
    </row>
    <row r="7093" customFormat="false" ht="15" hidden="false" customHeight="false" outlineLevel="0" collapsed="false">
      <c r="A7093" s="0" t="s">
        <v>7417</v>
      </c>
      <c r="B7093" s="0" t="s">
        <v>115</v>
      </c>
      <c r="C7093" s="0" t="str">
        <f aca="false">INDEX(Intent_Analysis!$B$5:$B$81,MATCH(B7093,Intent_Analysis!$A$5:$A$81,0))</f>
        <v>Transfers</v>
      </c>
      <c r="D7093" s="0" t="n">
        <f aca="false">INDEX(Intent_Analysis!$E$5:$E$81,MATCH(B7093,Intent_Analysis!$A$5:$A$81,0))</f>
        <v>2</v>
      </c>
    </row>
    <row r="7094" customFormat="false" ht="15" hidden="false" customHeight="false" outlineLevel="0" collapsed="false">
      <c r="A7094" s="0" t="s">
        <v>7418</v>
      </c>
      <c r="B7094" s="0" t="s">
        <v>115</v>
      </c>
      <c r="C7094" s="0" t="str">
        <f aca="false">INDEX(Intent_Analysis!$B$5:$B$81,MATCH(B7094,Intent_Analysis!$A$5:$A$81,0))</f>
        <v>Transfers</v>
      </c>
      <c r="D7094" s="0" t="n">
        <f aca="false">INDEX(Intent_Analysis!$E$5:$E$81,MATCH(B7094,Intent_Analysis!$A$5:$A$81,0))</f>
        <v>2</v>
      </c>
    </row>
    <row r="7095" customFormat="false" ht="15" hidden="false" customHeight="false" outlineLevel="0" collapsed="false">
      <c r="A7095" s="0" t="s">
        <v>7419</v>
      </c>
      <c r="B7095" s="0" t="s">
        <v>115</v>
      </c>
      <c r="C7095" s="0" t="str">
        <f aca="false">INDEX(Intent_Analysis!$B$5:$B$81,MATCH(B7095,Intent_Analysis!$A$5:$A$81,0))</f>
        <v>Transfers</v>
      </c>
      <c r="D7095" s="0" t="n">
        <f aca="false">INDEX(Intent_Analysis!$E$5:$E$81,MATCH(B7095,Intent_Analysis!$A$5:$A$81,0))</f>
        <v>2</v>
      </c>
    </row>
    <row r="7096" customFormat="false" ht="15" hidden="false" customHeight="false" outlineLevel="0" collapsed="false">
      <c r="A7096" s="0" t="s">
        <v>7420</v>
      </c>
      <c r="B7096" s="0" t="s">
        <v>115</v>
      </c>
      <c r="C7096" s="0" t="str">
        <f aca="false">INDEX(Intent_Analysis!$B$5:$B$81,MATCH(B7096,Intent_Analysis!$A$5:$A$81,0))</f>
        <v>Transfers</v>
      </c>
      <c r="D7096" s="0" t="n">
        <f aca="false">INDEX(Intent_Analysis!$E$5:$E$81,MATCH(B7096,Intent_Analysis!$A$5:$A$81,0))</f>
        <v>2</v>
      </c>
    </row>
    <row r="7097" customFormat="false" ht="15" hidden="false" customHeight="false" outlineLevel="0" collapsed="false">
      <c r="A7097" s="0" t="s">
        <v>7421</v>
      </c>
      <c r="B7097" s="0" t="s">
        <v>115</v>
      </c>
      <c r="C7097" s="0" t="str">
        <f aca="false">INDEX(Intent_Analysis!$B$5:$B$81,MATCH(B7097,Intent_Analysis!$A$5:$A$81,0))</f>
        <v>Transfers</v>
      </c>
      <c r="D7097" s="0" t="n">
        <f aca="false">INDEX(Intent_Analysis!$E$5:$E$81,MATCH(B7097,Intent_Analysis!$A$5:$A$81,0))</f>
        <v>2</v>
      </c>
    </row>
    <row r="7098" customFormat="false" ht="15" hidden="false" customHeight="false" outlineLevel="0" collapsed="false">
      <c r="A7098" s="0" t="s">
        <v>7422</v>
      </c>
      <c r="B7098" s="0" t="s">
        <v>115</v>
      </c>
      <c r="C7098" s="0" t="str">
        <f aca="false">INDEX(Intent_Analysis!$B$5:$B$81,MATCH(B7098,Intent_Analysis!$A$5:$A$81,0))</f>
        <v>Transfers</v>
      </c>
      <c r="D7098" s="0" t="n">
        <f aca="false">INDEX(Intent_Analysis!$E$5:$E$81,MATCH(B7098,Intent_Analysis!$A$5:$A$81,0))</f>
        <v>2</v>
      </c>
    </row>
    <row r="7099" customFormat="false" ht="15" hidden="false" customHeight="false" outlineLevel="0" collapsed="false">
      <c r="A7099" s="0" t="s">
        <v>7423</v>
      </c>
      <c r="B7099" s="0" t="s">
        <v>115</v>
      </c>
      <c r="C7099" s="0" t="str">
        <f aca="false">INDEX(Intent_Analysis!$B$5:$B$81,MATCH(B7099,Intent_Analysis!$A$5:$A$81,0))</f>
        <v>Transfers</v>
      </c>
      <c r="D7099" s="0" t="n">
        <f aca="false">INDEX(Intent_Analysis!$E$5:$E$81,MATCH(B7099,Intent_Analysis!$A$5:$A$81,0))</f>
        <v>2</v>
      </c>
    </row>
    <row r="7100" customFormat="false" ht="15" hidden="false" customHeight="false" outlineLevel="0" collapsed="false">
      <c r="A7100" s="0" t="s">
        <v>7424</v>
      </c>
      <c r="B7100" s="0" t="s">
        <v>115</v>
      </c>
      <c r="C7100" s="0" t="str">
        <f aca="false">INDEX(Intent_Analysis!$B$5:$B$81,MATCH(B7100,Intent_Analysis!$A$5:$A$81,0))</f>
        <v>Transfers</v>
      </c>
      <c r="D7100" s="0" t="n">
        <f aca="false">INDEX(Intent_Analysis!$E$5:$E$81,MATCH(B7100,Intent_Analysis!$A$5:$A$81,0))</f>
        <v>2</v>
      </c>
    </row>
    <row r="7101" customFormat="false" ht="15" hidden="false" customHeight="false" outlineLevel="0" collapsed="false">
      <c r="A7101" s="0" t="s">
        <v>7425</v>
      </c>
      <c r="B7101" s="0" t="s">
        <v>115</v>
      </c>
      <c r="C7101" s="0" t="str">
        <f aca="false">INDEX(Intent_Analysis!$B$5:$B$81,MATCH(B7101,Intent_Analysis!$A$5:$A$81,0))</f>
        <v>Transfers</v>
      </c>
      <c r="D7101" s="0" t="n">
        <f aca="false">INDEX(Intent_Analysis!$E$5:$E$81,MATCH(B7101,Intent_Analysis!$A$5:$A$81,0))</f>
        <v>2</v>
      </c>
    </row>
    <row r="7102" customFormat="false" ht="15" hidden="false" customHeight="false" outlineLevel="0" collapsed="false">
      <c r="A7102" s="0" t="s">
        <v>7426</v>
      </c>
      <c r="B7102" s="0" t="s">
        <v>115</v>
      </c>
      <c r="C7102" s="0" t="str">
        <f aca="false">INDEX(Intent_Analysis!$B$5:$B$81,MATCH(B7102,Intent_Analysis!$A$5:$A$81,0))</f>
        <v>Transfers</v>
      </c>
      <c r="D7102" s="0" t="n">
        <f aca="false">INDEX(Intent_Analysis!$E$5:$E$81,MATCH(B7102,Intent_Analysis!$A$5:$A$81,0))</f>
        <v>2</v>
      </c>
    </row>
    <row r="7103" customFormat="false" ht="15" hidden="false" customHeight="false" outlineLevel="0" collapsed="false">
      <c r="A7103" s="0" t="s">
        <v>7427</v>
      </c>
      <c r="B7103" s="0" t="s">
        <v>115</v>
      </c>
      <c r="C7103" s="0" t="str">
        <f aca="false">INDEX(Intent_Analysis!$B$5:$B$81,MATCH(B7103,Intent_Analysis!$A$5:$A$81,0))</f>
        <v>Transfers</v>
      </c>
      <c r="D7103" s="0" t="n">
        <f aca="false">INDEX(Intent_Analysis!$E$5:$E$81,MATCH(B7103,Intent_Analysis!$A$5:$A$81,0))</f>
        <v>2</v>
      </c>
    </row>
    <row r="7104" customFormat="false" ht="15" hidden="false" customHeight="false" outlineLevel="0" collapsed="false">
      <c r="A7104" s="0" t="s">
        <v>7428</v>
      </c>
      <c r="B7104" s="0" t="s">
        <v>115</v>
      </c>
      <c r="C7104" s="0" t="str">
        <f aca="false">INDEX(Intent_Analysis!$B$5:$B$81,MATCH(B7104,Intent_Analysis!$A$5:$A$81,0))</f>
        <v>Transfers</v>
      </c>
      <c r="D7104" s="0" t="n">
        <f aca="false">INDEX(Intent_Analysis!$E$5:$E$81,MATCH(B7104,Intent_Analysis!$A$5:$A$81,0))</f>
        <v>2</v>
      </c>
    </row>
    <row r="7105" customFormat="false" ht="15" hidden="false" customHeight="false" outlineLevel="0" collapsed="false">
      <c r="A7105" s="0" t="s">
        <v>7429</v>
      </c>
      <c r="B7105" s="0" t="s">
        <v>115</v>
      </c>
      <c r="C7105" s="0" t="str">
        <f aca="false">INDEX(Intent_Analysis!$B$5:$B$81,MATCH(B7105,Intent_Analysis!$A$5:$A$81,0))</f>
        <v>Transfers</v>
      </c>
      <c r="D7105" s="0" t="n">
        <f aca="false">INDEX(Intent_Analysis!$E$5:$E$81,MATCH(B7105,Intent_Analysis!$A$5:$A$81,0))</f>
        <v>2</v>
      </c>
    </row>
    <row r="7106" customFormat="false" ht="15" hidden="false" customHeight="false" outlineLevel="0" collapsed="false">
      <c r="A7106" s="0" t="s">
        <v>7430</v>
      </c>
      <c r="B7106" s="0" t="s">
        <v>115</v>
      </c>
      <c r="C7106" s="0" t="str">
        <f aca="false">INDEX(Intent_Analysis!$B$5:$B$81,MATCH(B7106,Intent_Analysis!$A$5:$A$81,0))</f>
        <v>Transfers</v>
      </c>
      <c r="D7106" s="0" t="n">
        <f aca="false">INDEX(Intent_Analysis!$E$5:$E$81,MATCH(B7106,Intent_Analysis!$A$5:$A$81,0))</f>
        <v>2</v>
      </c>
    </row>
    <row r="7107" customFormat="false" ht="15" hidden="false" customHeight="false" outlineLevel="0" collapsed="false">
      <c r="A7107" s="0" t="s">
        <v>7431</v>
      </c>
      <c r="B7107" s="0" t="s">
        <v>115</v>
      </c>
      <c r="C7107" s="0" t="str">
        <f aca="false">INDEX(Intent_Analysis!$B$5:$B$81,MATCH(B7107,Intent_Analysis!$A$5:$A$81,0))</f>
        <v>Transfers</v>
      </c>
      <c r="D7107" s="0" t="n">
        <f aca="false">INDEX(Intent_Analysis!$E$5:$E$81,MATCH(B7107,Intent_Analysis!$A$5:$A$81,0))</f>
        <v>2</v>
      </c>
    </row>
    <row r="7108" customFormat="false" ht="15" hidden="false" customHeight="false" outlineLevel="0" collapsed="false">
      <c r="A7108" s="0" t="s">
        <v>7432</v>
      </c>
      <c r="B7108" s="0" t="s">
        <v>115</v>
      </c>
      <c r="C7108" s="0" t="str">
        <f aca="false">INDEX(Intent_Analysis!$B$5:$B$81,MATCH(B7108,Intent_Analysis!$A$5:$A$81,0))</f>
        <v>Transfers</v>
      </c>
      <c r="D7108" s="0" t="n">
        <f aca="false">INDEX(Intent_Analysis!$E$5:$E$81,MATCH(B7108,Intent_Analysis!$A$5:$A$81,0))</f>
        <v>2</v>
      </c>
    </row>
    <row r="7109" customFormat="false" ht="15" hidden="false" customHeight="false" outlineLevel="0" collapsed="false">
      <c r="A7109" s="0" t="s">
        <v>7433</v>
      </c>
      <c r="B7109" s="0" t="s">
        <v>115</v>
      </c>
      <c r="C7109" s="0" t="str">
        <f aca="false">INDEX(Intent_Analysis!$B$5:$B$81,MATCH(B7109,Intent_Analysis!$A$5:$A$81,0))</f>
        <v>Transfers</v>
      </c>
      <c r="D7109" s="0" t="n">
        <f aca="false">INDEX(Intent_Analysis!$E$5:$E$81,MATCH(B7109,Intent_Analysis!$A$5:$A$81,0))</f>
        <v>2</v>
      </c>
    </row>
    <row r="7110" customFormat="false" ht="15" hidden="false" customHeight="false" outlineLevel="0" collapsed="false">
      <c r="A7110" s="0" t="s">
        <v>7434</v>
      </c>
      <c r="B7110" s="0" t="s">
        <v>115</v>
      </c>
      <c r="C7110" s="0" t="str">
        <f aca="false">INDEX(Intent_Analysis!$B$5:$B$81,MATCH(B7110,Intent_Analysis!$A$5:$A$81,0))</f>
        <v>Transfers</v>
      </c>
      <c r="D7110" s="0" t="n">
        <f aca="false">INDEX(Intent_Analysis!$E$5:$E$81,MATCH(B7110,Intent_Analysis!$A$5:$A$81,0))</f>
        <v>2</v>
      </c>
    </row>
    <row r="7111" customFormat="false" ht="15" hidden="false" customHeight="false" outlineLevel="0" collapsed="false">
      <c r="A7111" s="0" t="s">
        <v>7435</v>
      </c>
      <c r="B7111" s="0" t="s">
        <v>115</v>
      </c>
      <c r="C7111" s="0" t="str">
        <f aca="false">INDEX(Intent_Analysis!$B$5:$B$81,MATCH(B7111,Intent_Analysis!$A$5:$A$81,0))</f>
        <v>Transfers</v>
      </c>
      <c r="D7111" s="0" t="n">
        <f aca="false">INDEX(Intent_Analysis!$E$5:$E$81,MATCH(B7111,Intent_Analysis!$A$5:$A$81,0))</f>
        <v>2</v>
      </c>
    </row>
    <row r="7112" customFormat="false" ht="15" hidden="false" customHeight="false" outlineLevel="0" collapsed="false">
      <c r="A7112" s="0" t="s">
        <v>7436</v>
      </c>
      <c r="B7112" s="0" t="s">
        <v>115</v>
      </c>
      <c r="C7112" s="0" t="str">
        <f aca="false">INDEX(Intent_Analysis!$B$5:$B$81,MATCH(B7112,Intent_Analysis!$A$5:$A$81,0))</f>
        <v>Transfers</v>
      </c>
      <c r="D7112" s="0" t="n">
        <f aca="false">INDEX(Intent_Analysis!$E$5:$E$81,MATCH(B7112,Intent_Analysis!$A$5:$A$81,0))</f>
        <v>2</v>
      </c>
    </row>
    <row r="7113" customFormat="false" ht="15" hidden="false" customHeight="false" outlineLevel="0" collapsed="false">
      <c r="A7113" s="0" t="s">
        <v>7437</v>
      </c>
      <c r="B7113" s="0" t="s">
        <v>115</v>
      </c>
      <c r="C7113" s="0" t="str">
        <f aca="false">INDEX(Intent_Analysis!$B$5:$B$81,MATCH(B7113,Intent_Analysis!$A$5:$A$81,0))</f>
        <v>Transfers</v>
      </c>
      <c r="D7113" s="0" t="n">
        <f aca="false">INDEX(Intent_Analysis!$E$5:$E$81,MATCH(B7113,Intent_Analysis!$A$5:$A$81,0))</f>
        <v>2</v>
      </c>
    </row>
    <row r="7114" customFormat="false" ht="15" hidden="false" customHeight="false" outlineLevel="0" collapsed="false">
      <c r="A7114" s="0" t="s">
        <v>7438</v>
      </c>
      <c r="B7114" s="0" t="s">
        <v>115</v>
      </c>
      <c r="C7114" s="0" t="str">
        <f aca="false">INDEX(Intent_Analysis!$B$5:$B$81,MATCH(B7114,Intent_Analysis!$A$5:$A$81,0))</f>
        <v>Transfers</v>
      </c>
      <c r="D7114" s="0" t="n">
        <f aca="false">INDEX(Intent_Analysis!$E$5:$E$81,MATCH(B7114,Intent_Analysis!$A$5:$A$81,0))</f>
        <v>2</v>
      </c>
    </row>
    <row r="7115" customFormat="false" ht="15" hidden="false" customHeight="false" outlineLevel="0" collapsed="false">
      <c r="A7115" s="0" t="s">
        <v>7439</v>
      </c>
      <c r="B7115" s="0" t="s">
        <v>115</v>
      </c>
      <c r="C7115" s="0" t="str">
        <f aca="false">INDEX(Intent_Analysis!$B$5:$B$81,MATCH(B7115,Intent_Analysis!$A$5:$A$81,0))</f>
        <v>Transfers</v>
      </c>
      <c r="D7115" s="0" t="n">
        <f aca="false">INDEX(Intent_Analysis!$E$5:$E$81,MATCH(B7115,Intent_Analysis!$A$5:$A$81,0))</f>
        <v>2</v>
      </c>
    </row>
    <row r="7116" customFormat="false" ht="15" hidden="false" customHeight="false" outlineLevel="0" collapsed="false">
      <c r="A7116" s="0" t="s">
        <v>7440</v>
      </c>
      <c r="B7116" s="0" t="s">
        <v>115</v>
      </c>
      <c r="C7116" s="0" t="str">
        <f aca="false">INDEX(Intent_Analysis!$B$5:$B$81,MATCH(B7116,Intent_Analysis!$A$5:$A$81,0))</f>
        <v>Transfers</v>
      </c>
      <c r="D7116" s="0" t="n">
        <f aca="false">INDEX(Intent_Analysis!$E$5:$E$81,MATCH(B7116,Intent_Analysis!$A$5:$A$81,0))</f>
        <v>2</v>
      </c>
    </row>
    <row r="7117" customFormat="false" ht="15" hidden="false" customHeight="false" outlineLevel="0" collapsed="false">
      <c r="A7117" s="0" t="s">
        <v>7441</v>
      </c>
      <c r="B7117" s="0" t="s">
        <v>115</v>
      </c>
      <c r="C7117" s="0" t="str">
        <f aca="false">INDEX(Intent_Analysis!$B$5:$B$81,MATCH(B7117,Intent_Analysis!$A$5:$A$81,0))</f>
        <v>Transfers</v>
      </c>
      <c r="D7117" s="0" t="n">
        <f aca="false">INDEX(Intent_Analysis!$E$5:$E$81,MATCH(B7117,Intent_Analysis!$A$5:$A$81,0))</f>
        <v>2</v>
      </c>
    </row>
    <row r="7118" customFormat="false" ht="15" hidden="false" customHeight="false" outlineLevel="0" collapsed="false">
      <c r="A7118" s="0" t="s">
        <v>7442</v>
      </c>
      <c r="B7118" s="0" t="s">
        <v>115</v>
      </c>
      <c r="C7118" s="0" t="str">
        <f aca="false">INDEX(Intent_Analysis!$B$5:$B$81,MATCH(B7118,Intent_Analysis!$A$5:$A$81,0))</f>
        <v>Transfers</v>
      </c>
      <c r="D7118" s="0" t="n">
        <f aca="false">INDEX(Intent_Analysis!$E$5:$E$81,MATCH(B7118,Intent_Analysis!$A$5:$A$81,0))</f>
        <v>2</v>
      </c>
    </row>
    <row r="7119" customFormat="false" ht="15" hidden="false" customHeight="false" outlineLevel="0" collapsed="false">
      <c r="A7119" s="0" t="s">
        <v>7443</v>
      </c>
      <c r="B7119" s="0" t="s">
        <v>115</v>
      </c>
      <c r="C7119" s="0" t="str">
        <f aca="false">INDEX(Intent_Analysis!$B$5:$B$81,MATCH(B7119,Intent_Analysis!$A$5:$A$81,0))</f>
        <v>Transfers</v>
      </c>
      <c r="D7119" s="0" t="n">
        <f aca="false">INDEX(Intent_Analysis!$E$5:$E$81,MATCH(B7119,Intent_Analysis!$A$5:$A$81,0))</f>
        <v>2</v>
      </c>
    </row>
    <row r="7120" customFormat="false" ht="15" hidden="false" customHeight="false" outlineLevel="0" collapsed="false">
      <c r="A7120" s="0" t="s">
        <v>7444</v>
      </c>
      <c r="B7120" s="0" t="s">
        <v>115</v>
      </c>
      <c r="C7120" s="0" t="str">
        <f aca="false">INDEX(Intent_Analysis!$B$5:$B$81,MATCH(B7120,Intent_Analysis!$A$5:$A$81,0))</f>
        <v>Transfers</v>
      </c>
      <c r="D7120" s="0" t="n">
        <f aca="false">INDEX(Intent_Analysis!$E$5:$E$81,MATCH(B7120,Intent_Analysis!$A$5:$A$81,0))</f>
        <v>2</v>
      </c>
    </row>
    <row r="7121" customFormat="false" ht="15" hidden="false" customHeight="false" outlineLevel="0" collapsed="false">
      <c r="A7121" s="0" t="s">
        <v>7445</v>
      </c>
      <c r="B7121" s="0" t="s">
        <v>115</v>
      </c>
      <c r="C7121" s="0" t="str">
        <f aca="false">INDEX(Intent_Analysis!$B$5:$B$81,MATCH(B7121,Intent_Analysis!$A$5:$A$81,0))</f>
        <v>Transfers</v>
      </c>
      <c r="D7121" s="0" t="n">
        <f aca="false">INDEX(Intent_Analysis!$E$5:$E$81,MATCH(B7121,Intent_Analysis!$A$5:$A$81,0))</f>
        <v>2</v>
      </c>
    </row>
    <row r="7122" customFormat="false" ht="15" hidden="false" customHeight="false" outlineLevel="0" collapsed="false">
      <c r="A7122" s="0" t="s">
        <v>7446</v>
      </c>
      <c r="B7122" s="0" t="s">
        <v>115</v>
      </c>
      <c r="C7122" s="0" t="str">
        <f aca="false">INDEX(Intent_Analysis!$B$5:$B$81,MATCH(B7122,Intent_Analysis!$A$5:$A$81,0))</f>
        <v>Transfers</v>
      </c>
      <c r="D7122" s="0" t="n">
        <f aca="false">INDEX(Intent_Analysis!$E$5:$E$81,MATCH(B7122,Intent_Analysis!$A$5:$A$81,0))</f>
        <v>2</v>
      </c>
    </row>
    <row r="7123" customFormat="false" ht="15" hidden="false" customHeight="false" outlineLevel="0" collapsed="false">
      <c r="A7123" s="0" t="s">
        <v>7447</v>
      </c>
      <c r="B7123" s="0" t="s">
        <v>115</v>
      </c>
      <c r="C7123" s="0" t="str">
        <f aca="false">INDEX(Intent_Analysis!$B$5:$B$81,MATCH(B7123,Intent_Analysis!$A$5:$A$81,0))</f>
        <v>Transfers</v>
      </c>
      <c r="D7123" s="0" t="n">
        <f aca="false">INDEX(Intent_Analysis!$E$5:$E$81,MATCH(B7123,Intent_Analysis!$A$5:$A$81,0))</f>
        <v>2</v>
      </c>
    </row>
    <row r="7124" customFormat="false" ht="15" hidden="false" customHeight="false" outlineLevel="0" collapsed="false">
      <c r="A7124" s="0" t="s">
        <v>7448</v>
      </c>
      <c r="B7124" s="0" t="s">
        <v>115</v>
      </c>
      <c r="C7124" s="0" t="str">
        <f aca="false">INDEX(Intent_Analysis!$B$5:$B$81,MATCH(B7124,Intent_Analysis!$A$5:$A$81,0))</f>
        <v>Transfers</v>
      </c>
      <c r="D7124" s="0" t="n">
        <f aca="false">INDEX(Intent_Analysis!$E$5:$E$81,MATCH(B7124,Intent_Analysis!$A$5:$A$81,0))</f>
        <v>2</v>
      </c>
    </row>
    <row r="7125" customFormat="false" ht="15" hidden="false" customHeight="false" outlineLevel="0" collapsed="false">
      <c r="A7125" s="0" t="s">
        <v>7449</v>
      </c>
      <c r="B7125" s="0" t="s">
        <v>115</v>
      </c>
      <c r="C7125" s="0" t="str">
        <f aca="false">INDEX(Intent_Analysis!$B$5:$B$81,MATCH(B7125,Intent_Analysis!$A$5:$A$81,0))</f>
        <v>Transfers</v>
      </c>
      <c r="D7125" s="0" t="n">
        <f aca="false">INDEX(Intent_Analysis!$E$5:$E$81,MATCH(B7125,Intent_Analysis!$A$5:$A$81,0))</f>
        <v>2</v>
      </c>
    </row>
    <row r="7126" customFormat="false" ht="15" hidden="false" customHeight="false" outlineLevel="0" collapsed="false">
      <c r="A7126" s="0" t="s">
        <v>7450</v>
      </c>
      <c r="B7126" s="0" t="s">
        <v>115</v>
      </c>
      <c r="C7126" s="0" t="str">
        <f aca="false">INDEX(Intent_Analysis!$B$5:$B$81,MATCH(B7126,Intent_Analysis!$A$5:$A$81,0))</f>
        <v>Transfers</v>
      </c>
      <c r="D7126" s="0" t="n">
        <f aca="false">INDEX(Intent_Analysis!$E$5:$E$81,MATCH(B7126,Intent_Analysis!$A$5:$A$81,0))</f>
        <v>2</v>
      </c>
    </row>
    <row r="7127" customFormat="false" ht="15" hidden="false" customHeight="false" outlineLevel="0" collapsed="false">
      <c r="A7127" s="0" t="s">
        <v>7451</v>
      </c>
      <c r="B7127" s="0" t="s">
        <v>115</v>
      </c>
      <c r="C7127" s="0" t="str">
        <f aca="false">INDEX(Intent_Analysis!$B$5:$B$81,MATCH(B7127,Intent_Analysis!$A$5:$A$81,0))</f>
        <v>Transfers</v>
      </c>
      <c r="D7127" s="0" t="n">
        <f aca="false">INDEX(Intent_Analysis!$E$5:$E$81,MATCH(B7127,Intent_Analysis!$A$5:$A$81,0))</f>
        <v>2</v>
      </c>
    </row>
    <row r="7128" customFormat="false" ht="15" hidden="false" customHeight="false" outlineLevel="0" collapsed="false">
      <c r="A7128" s="0" t="s">
        <v>7452</v>
      </c>
      <c r="B7128" s="0" t="s">
        <v>115</v>
      </c>
      <c r="C7128" s="0" t="str">
        <f aca="false">INDEX(Intent_Analysis!$B$5:$B$81,MATCH(B7128,Intent_Analysis!$A$5:$A$81,0))</f>
        <v>Transfers</v>
      </c>
      <c r="D7128" s="0" t="n">
        <f aca="false">INDEX(Intent_Analysis!$E$5:$E$81,MATCH(B7128,Intent_Analysis!$A$5:$A$81,0))</f>
        <v>2</v>
      </c>
    </row>
    <row r="7129" customFormat="false" ht="15" hidden="false" customHeight="false" outlineLevel="0" collapsed="false">
      <c r="A7129" s="0" t="s">
        <v>7453</v>
      </c>
      <c r="B7129" s="0" t="s">
        <v>115</v>
      </c>
      <c r="C7129" s="0" t="str">
        <f aca="false">INDEX(Intent_Analysis!$B$5:$B$81,MATCH(B7129,Intent_Analysis!$A$5:$A$81,0))</f>
        <v>Transfers</v>
      </c>
      <c r="D7129" s="0" t="n">
        <f aca="false">INDEX(Intent_Analysis!$E$5:$E$81,MATCH(B7129,Intent_Analysis!$A$5:$A$81,0))</f>
        <v>2</v>
      </c>
    </row>
    <row r="7130" customFormat="false" ht="15" hidden="false" customHeight="false" outlineLevel="0" collapsed="false">
      <c r="A7130" s="0" t="s">
        <v>7454</v>
      </c>
      <c r="B7130" s="0" t="s">
        <v>115</v>
      </c>
      <c r="C7130" s="0" t="str">
        <f aca="false">INDEX(Intent_Analysis!$B$5:$B$81,MATCH(B7130,Intent_Analysis!$A$5:$A$81,0))</f>
        <v>Transfers</v>
      </c>
      <c r="D7130" s="0" t="n">
        <f aca="false">INDEX(Intent_Analysis!$E$5:$E$81,MATCH(B7130,Intent_Analysis!$A$5:$A$81,0))</f>
        <v>2</v>
      </c>
    </row>
    <row r="7131" customFormat="false" ht="15" hidden="false" customHeight="false" outlineLevel="0" collapsed="false">
      <c r="A7131" s="0" t="s">
        <v>7455</v>
      </c>
      <c r="B7131" s="0" t="s">
        <v>115</v>
      </c>
      <c r="C7131" s="0" t="str">
        <f aca="false">INDEX(Intent_Analysis!$B$5:$B$81,MATCH(B7131,Intent_Analysis!$A$5:$A$81,0))</f>
        <v>Transfers</v>
      </c>
      <c r="D7131" s="0" t="n">
        <f aca="false">INDEX(Intent_Analysis!$E$5:$E$81,MATCH(B7131,Intent_Analysis!$A$5:$A$81,0))</f>
        <v>2</v>
      </c>
    </row>
    <row r="7132" customFormat="false" ht="15" hidden="false" customHeight="false" outlineLevel="0" collapsed="false">
      <c r="A7132" s="0" t="s">
        <v>7456</v>
      </c>
      <c r="B7132" s="0" t="s">
        <v>115</v>
      </c>
      <c r="C7132" s="0" t="str">
        <f aca="false">INDEX(Intent_Analysis!$B$5:$B$81,MATCH(B7132,Intent_Analysis!$A$5:$A$81,0))</f>
        <v>Transfers</v>
      </c>
      <c r="D7132" s="0" t="n">
        <f aca="false">INDEX(Intent_Analysis!$E$5:$E$81,MATCH(B7132,Intent_Analysis!$A$5:$A$81,0))</f>
        <v>2</v>
      </c>
    </row>
    <row r="7133" customFormat="false" ht="15" hidden="false" customHeight="false" outlineLevel="0" collapsed="false">
      <c r="A7133" s="0" t="s">
        <v>7457</v>
      </c>
      <c r="B7133" s="0" t="s">
        <v>115</v>
      </c>
      <c r="C7133" s="0" t="str">
        <f aca="false">INDEX(Intent_Analysis!$B$5:$B$81,MATCH(B7133,Intent_Analysis!$A$5:$A$81,0))</f>
        <v>Transfers</v>
      </c>
      <c r="D7133" s="0" t="n">
        <f aca="false">INDEX(Intent_Analysis!$E$5:$E$81,MATCH(B7133,Intent_Analysis!$A$5:$A$81,0))</f>
        <v>2</v>
      </c>
    </row>
    <row r="7134" customFormat="false" ht="15" hidden="false" customHeight="false" outlineLevel="0" collapsed="false">
      <c r="A7134" s="0" t="s">
        <v>7458</v>
      </c>
      <c r="B7134" s="0" t="s">
        <v>115</v>
      </c>
      <c r="C7134" s="0" t="str">
        <f aca="false">INDEX(Intent_Analysis!$B$5:$B$81,MATCH(B7134,Intent_Analysis!$A$5:$A$81,0))</f>
        <v>Transfers</v>
      </c>
      <c r="D7134" s="0" t="n">
        <f aca="false">INDEX(Intent_Analysis!$E$5:$E$81,MATCH(B7134,Intent_Analysis!$A$5:$A$81,0))</f>
        <v>2</v>
      </c>
    </row>
    <row r="7135" customFormat="false" ht="15" hidden="false" customHeight="false" outlineLevel="0" collapsed="false">
      <c r="A7135" s="0" t="s">
        <v>7459</v>
      </c>
      <c r="B7135" s="0" t="s">
        <v>115</v>
      </c>
      <c r="C7135" s="0" t="str">
        <f aca="false">INDEX(Intent_Analysis!$B$5:$B$81,MATCH(B7135,Intent_Analysis!$A$5:$A$81,0))</f>
        <v>Transfers</v>
      </c>
      <c r="D7135" s="0" t="n">
        <f aca="false">INDEX(Intent_Analysis!$E$5:$E$81,MATCH(B7135,Intent_Analysis!$A$5:$A$81,0))</f>
        <v>2</v>
      </c>
    </row>
    <row r="7136" customFormat="false" ht="15" hidden="false" customHeight="false" outlineLevel="0" collapsed="false">
      <c r="A7136" s="0" t="s">
        <v>7460</v>
      </c>
      <c r="B7136" s="0" t="s">
        <v>115</v>
      </c>
      <c r="C7136" s="0" t="str">
        <f aca="false">INDEX(Intent_Analysis!$B$5:$B$81,MATCH(B7136,Intent_Analysis!$A$5:$A$81,0))</f>
        <v>Transfers</v>
      </c>
      <c r="D7136" s="0" t="n">
        <f aca="false">INDEX(Intent_Analysis!$E$5:$E$81,MATCH(B7136,Intent_Analysis!$A$5:$A$81,0))</f>
        <v>2</v>
      </c>
    </row>
    <row r="7137" customFormat="false" ht="15" hidden="false" customHeight="false" outlineLevel="0" collapsed="false">
      <c r="A7137" s="0" t="s">
        <v>7461</v>
      </c>
      <c r="B7137" s="0" t="s">
        <v>115</v>
      </c>
      <c r="C7137" s="0" t="str">
        <f aca="false">INDEX(Intent_Analysis!$B$5:$B$81,MATCH(B7137,Intent_Analysis!$A$5:$A$81,0))</f>
        <v>Transfers</v>
      </c>
      <c r="D7137" s="0" t="n">
        <f aca="false">INDEX(Intent_Analysis!$E$5:$E$81,MATCH(B7137,Intent_Analysis!$A$5:$A$81,0))</f>
        <v>2</v>
      </c>
    </row>
    <row r="7138" customFormat="false" ht="15" hidden="false" customHeight="false" outlineLevel="0" collapsed="false">
      <c r="A7138" s="0" t="s">
        <v>7462</v>
      </c>
      <c r="B7138" s="0" t="s">
        <v>115</v>
      </c>
      <c r="C7138" s="0" t="str">
        <f aca="false">INDEX(Intent_Analysis!$B$5:$B$81,MATCH(B7138,Intent_Analysis!$A$5:$A$81,0))</f>
        <v>Transfers</v>
      </c>
      <c r="D7138" s="0" t="n">
        <f aca="false">INDEX(Intent_Analysis!$E$5:$E$81,MATCH(B7138,Intent_Analysis!$A$5:$A$81,0))</f>
        <v>2</v>
      </c>
    </row>
    <row r="7139" customFormat="false" ht="15" hidden="false" customHeight="false" outlineLevel="0" collapsed="false">
      <c r="A7139" s="0" t="s">
        <v>7463</v>
      </c>
      <c r="B7139" s="0" t="s">
        <v>115</v>
      </c>
      <c r="C7139" s="0" t="str">
        <f aca="false">INDEX(Intent_Analysis!$B$5:$B$81,MATCH(B7139,Intent_Analysis!$A$5:$A$81,0))</f>
        <v>Transfers</v>
      </c>
      <c r="D7139" s="0" t="n">
        <f aca="false">INDEX(Intent_Analysis!$E$5:$E$81,MATCH(B7139,Intent_Analysis!$A$5:$A$81,0))</f>
        <v>2</v>
      </c>
    </row>
    <row r="7140" customFormat="false" ht="15" hidden="false" customHeight="false" outlineLevel="0" collapsed="false">
      <c r="A7140" s="0" t="s">
        <v>7464</v>
      </c>
      <c r="B7140" s="0" t="s">
        <v>115</v>
      </c>
      <c r="C7140" s="0" t="str">
        <f aca="false">INDEX(Intent_Analysis!$B$5:$B$81,MATCH(B7140,Intent_Analysis!$A$5:$A$81,0))</f>
        <v>Transfers</v>
      </c>
      <c r="D7140" s="0" t="n">
        <f aca="false">INDEX(Intent_Analysis!$E$5:$E$81,MATCH(B7140,Intent_Analysis!$A$5:$A$81,0))</f>
        <v>2</v>
      </c>
    </row>
    <row r="7141" customFormat="false" ht="15" hidden="false" customHeight="false" outlineLevel="0" collapsed="false">
      <c r="A7141" s="0" t="s">
        <v>7465</v>
      </c>
      <c r="B7141" s="0" t="s">
        <v>115</v>
      </c>
      <c r="C7141" s="0" t="str">
        <f aca="false">INDEX(Intent_Analysis!$B$5:$B$81,MATCH(B7141,Intent_Analysis!$A$5:$A$81,0))</f>
        <v>Transfers</v>
      </c>
      <c r="D7141" s="0" t="n">
        <f aca="false">INDEX(Intent_Analysis!$E$5:$E$81,MATCH(B7141,Intent_Analysis!$A$5:$A$81,0))</f>
        <v>2</v>
      </c>
    </row>
    <row r="7142" customFormat="false" ht="15" hidden="false" customHeight="false" outlineLevel="0" collapsed="false">
      <c r="A7142" s="0" t="s">
        <v>7466</v>
      </c>
      <c r="B7142" s="0" t="s">
        <v>115</v>
      </c>
      <c r="C7142" s="0" t="str">
        <f aca="false">INDEX(Intent_Analysis!$B$5:$B$81,MATCH(B7142,Intent_Analysis!$A$5:$A$81,0))</f>
        <v>Transfers</v>
      </c>
      <c r="D7142" s="0" t="n">
        <f aca="false">INDEX(Intent_Analysis!$E$5:$E$81,MATCH(B7142,Intent_Analysis!$A$5:$A$81,0))</f>
        <v>2</v>
      </c>
    </row>
    <row r="7143" customFormat="false" ht="15" hidden="false" customHeight="false" outlineLevel="0" collapsed="false">
      <c r="A7143" s="0" t="s">
        <v>7467</v>
      </c>
      <c r="B7143" s="0" t="s">
        <v>115</v>
      </c>
      <c r="C7143" s="0" t="str">
        <f aca="false">INDEX(Intent_Analysis!$B$5:$B$81,MATCH(B7143,Intent_Analysis!$A$5:$A$81,0))</f>
        <v>Transfers</v>
      </c>
      <c r="D7143" s="0" t="n">
        <f aca="false">INDEX(Intent_Analysis!$E$5:$E$81,MATCH(B7143,Intent_Analysis!$A$5:$A$81,0))</f>
        <v>2</v>
      </c>
    </row>
    <row r="7144" customFormat="false" ht="15" hidden="false" customHeight="false" outlineLevel="0" collapsed="false">
      <c r="A7144" s="0" t="s">
        <v>7468</v>
      </c>
      <c r="B7144" s="0" t="s">
        <v>115</v>
      </c>
      <c r="C7144" s="0" t="str">
        <f aca="false">INDEX(Intent_Analysis!$B$5:$B$81,MATCH(B7144,Intent_Analysis!$A$5:$A$81,0))</f>
        <v>Transfers</v>
      </c>
      <c r="D7144" s="0" t="n">
        <f aca="false">INDEX(Intent_Analysis!$E$5:$E$81,MATCH(B7144,Intent_Analysis!$A$5:$A$81,0))</f>
        <v>2</v>
      </c>
    </row>
    <row r="7145" customFormat="false" ht="15" hidden="false" customHeight="false" outlineLevel="0" collapsed="false">
      <c r="A7145" s="0" t="s">
        <v>7469</v>
      </c>
      <c r="B7145" s="0" t="s">
        <v>115</v>
      </c>
      <c r="C7145" s="0" t="str">
        <f aca="false">INDEX(Intent_Analysis!$B$5:$B$81,MATCH(B7145,Intent_Analysis!$A$5:$A$81,0))</f>
        <v>Transfers</v>
      </c>
      <c r="D7145" s="0" t="n">
        <f aca="false">INDEX(Intent_Analysis!$E$5:$E$81,MATCH(B7145,Intent_Analysis!$A$5:$A$81,0))</f>
        <v>2</v>
      </c>
    </row>
    <row r="7146" customFormat="false" ht="15" hidden="false" customHeight="false" outlineLevel="0" collapsed="false">
      <c r="A7146" s="0" t="s">
        <v>7470</v>
      </c>
      <c r="B7146" s="0" t="s">
        <v>115</v>
      </c>
      <c r="C7146" s="0" t="str">
        <f aca="false">INDEX(Intent_Analysis!$B$5:$B$81,MATCH(B7146,Intent_Analysis!$A$5:$A$81,0))</f>
        <v>Transfers</v>
      </c>
      <c r="D7146" s="0" t="n">
        <f aca="false">INDEX(Intent_Analysis!$E$5:$E$81,MATCH(B7146,Intent_Analysis!$A$5:$A$81,0))</f>
        <v>2</v>
      </c>
    </row>
    <row r="7147" customFormat="false" ht="15" hidden="false" customHeight="false" outlineLevel="0" collapsed="false">
      <c r="A7147" s="0" t="s">
        <v>7471</v>
      </c>
      <c r="B7147" s="0" t="s">
        <v>115</v>
      </c>
      <c r="C7147" s="0" t="str">
        <f aca="false">INDEX(Intent_Analysis!$B$5:$B$81,MATCH(B7147,Intent_Analysis!$A$5:$A$81,0))</f>
        <v>Transfers</v>
      </c>
      <c r="D7147" s="0" t="n">
        <f aca="false">INDEX(Intent_Analysis!$E$5:$E$81,MATCH(B7147,Intent_Analysis!$A$5:$A$81,0))</f>
        <v>2</v>
      </c>
    </row>
    <row r="7148" customFormat="false" ht="15" hidden="false" customHeight="false" outlineLevel="0" collapsed="false">
      <c r="A7148" s="0" t="s">
        <v>7472</v>
      </c>
      <c r="B7148" s="0" t="s">
        <v>115</v>
      </c>
      <c r="C7148" s="0" t="str">
        <f aca="false">INDEX(Intent_Analysis!$B$5:$B$81,MATCH(B7148,Intent_Analysis!$A$5:$A$81,0))</f>
        <v>Transfers</v>
      </c>
      <c r="D7148" s="0" t="n">
        <f aca="false">INDEX(Intent_Analysis!$E$5:$E$81,MATCH(B7148,Intent_Analysis!$A$5:$A$81,0))</f>
        <v>2</v>
      </c>
    </row>
    <row r="7149" customFormat="false" ht="15" hidden="false" customHeight="false" outlineLevel="0" collapsed="false">
      <c r="A7149" s="0" t="s">
        <v>7473</v>
      </c>
      <c r="B7149" s="0" t="s">
        <v>115</v>
      </c>
      <c r="C7149" s="0" t="str">
        <f aca="false">INDEX(Intent_Analysis!$B$5:$B$81,MATCH(B7149,Intent_Analysis!$A$5:$A$81,0))</f>
        <v>Transfers</v>
      </c>
      <c r="D7149" s="0" t="n">
        <f aca="false">INDEX(Intent_Analysis!$E$5:$E$81,MATCH(B7149,Intent_Analysis!$A$5:$A$81,0))</f>
        <v>2</v>
      </c>
    </row>
    <row r="7150" customFormat="false" ht="15" hidden="false" customHeight="false" outlineLevel="0" collapsed="false">
      <c r="A7150" s="0" t="s">
        <v>7474</v>
      </c>
      <c r="B7150" s="0" t="s">
        <v>115</v>
      </c>
      <c r="C7150" s="0" t="str">
        <f aca="false">INDEX(Intent_Analysis!$B$5:$B$81,MATCH(B7150,Intent_Analysis!$A$5:$A$81,0))</f>
        <v>Transfers</v>
      </c>
      <c r="D7150" s="0" t="n">
        <f aca="false">INDEX(Intent_Analysis!$E$5:$E$81,MATCH(B7150,Intent_Analysis!$A$5:$A$81,0))</f>
        <v>2</v>
      </c>
    </row>
    <row r="7151" customFormat="false" ht="15" hidden="false" customHeight="false" outlineLevel="0" collapsed="false">
      <c r="A7151" s="0" t="s">
        <v>7475</v>
      </c>
      <c r="B7151" s="0" t="s">
        <v>115</v>
      </c>
      <c r="C7151" s="0" t="str">
        <f aca="false">INDEX(Intent_Analysis!$B$5:$B$81,MATCH(B7151,Intent_Analysis!$A$5:$A$81,0))</f>
        <v>Transfers</v>
      </c>
      <c r="D7151" s="0" t="n">
        <f aca="false">INDEX(Intent_Analysis!$E$5:$E$81,MATCH(B7151,Intent_Analysis!$A$5:$A$81,0))</f>
        <v>2</v>
      </c>
    </row>
    <row r="7152" customFormat="false" ht="15" hidden="false" customHeight="false" outlineLevel="0" collapsed="false">
      <c r="A7152" s="0" t="s">
        <v>7476</v>
      </c>
      <c r="B7152" s="0" t="s">
        <v>115</v>
      </c>
      <c r="C7152" s="0" t="str">
        <f aca="false">INDEX(Intent_Analysis!$B$5:$B$81,MATCH(B7152,Intent_Analysis!$A$5:$A$81,0))</f>
        <v>Transfers</v>
      </c>
      <c r="D7152" s="0" t="n">
        <f aca="false">INDEX(Intent_Analysis!$E$5:$E$81,MATCH(B7152,Intent_Analysis!$A$5:$A$81,0))</f>
        <v>2</v>
      </c>
    </row>
    <row r="7153" customFormat="false" ht="15" hidden="false" customHeight="false" outlineLevel="0" collapsed="false">
      <c r="A7153" s="0" t="s">
        <v>7477</v>
      </c>
      <c r="B7153" s="0" t="s">
        <v>115</v>
      </c>
      <c r="C7153" s="0" t="str">
        <f aca="false">INDEX(Intent_Analysis!$B$5:$B$81,MATCH(B7153,Intent_Analysis!$A$5:$A$81,0))</f>
        <v>Transfers</v>
      </c>
      <c r="D7153" s="0" t="n">
        <f aca="false">INDEX(Intent_Analysis!$E$5:$E$81,MATCH(B7153,Intent_Analysis!$A$5:$A$81,0))</f>
        <v>2</v>
      </c>
    </row>
    <row r="7154" customFormat="false" ht="15" hidden="false" customHeight="false" outlineLevel="0" collapsed="false">
      <c r="A7154" s="0" t="s">
        <v>7478</v>
      </c>
      <c r="B7154" s="0" t="s">
        <v>115</v>
      </c>
      <c r="C7154" s="0" t="str">
        <f aca="false">INDEX(Intent_Analysis!$B$5:$B$81,MATCH(B7154,Intent_Analysis!$A$5:$A$81,0))</f>
        <v>Transfers</v>
      </c>
      <c r="D7154" s="0" t="n">
        <f aca="false">INDEX(Intent_Analysis!$E$5:$E$81,MATCH(B7154,Intent_Analysis!$A$5:$A$81,0))</f>
        <v>2</v>
      </c>
    </row>
    <row r="7155" customFormat="false" ht="15" hidden="false" customHeight="false" outlineLevel="0" collapsed="false">
      <c r="A7155" s="0" t="s">
        <v>7479</v>
      </c>
      <c r="B7155" s="0" t="s">
        <v>115</v>
      </c>
      <c r="C7155" s="0" t="str">
        <f aca="false">INDEX(Intent_Analysis!$B$5:$B$81,MATCH(B7155,Intent_Analysis!$A$5:$A$81,0))</f>
        <v>Transfers</v>
      </c>
      <c r="D7155" s="0" t="n">
        <f aca="false">INDEX(Intent_Analysis!$E$5:$E$81,MATCH(B7155,Intent_Analysis!$A$5:$A$81,0))</f>
        <v>2</v>
      </c>
    </row>
    <row r="7156" customFormat="false" ht="15" hidden="false" customHeight="false" outlineLevel="0" collapsed="false">
      <c r="A7156" s="0" t="s">
        <v>7480</v>
      </c>
      <c r="B7156" s="0" t="s">
        <v>115</v>
      </c>
      <c r="C7156" s="0" t="str">
        <f aca="false">INDEX(Intent_Analysis!$B$5:$B$81,MATCH(B7156,Intent_Analysis!$A$5:$A$81,0))</f>
        <v>Transfers</v>
      </c>
      <c r="D7156" s="0" t="n">
        <f aca="false">INDEX(Intent_Analysis!$E$5:$E$81,MATCH(B7156,Intent_Analysis!$A$5:$A$81,0))</f>
        <v>2</v>
      </c>
    </row>
    <row r="7157" customFormat="false" ht="15" hidden="false" customHeight="false" outlineLevel="0" collapsed="false">
      <c r="A7157" s="0" t="s">
        <v>7481</v>
      </c>
      <c r="B7157" s="0" t="s">
        <v>115</v>
      </c>
      <c r="C7157" s="0" t="str">
        <f aca="false">INDEX(Intent_Analysis!$B$5:$B$81,MATCH(B7157,Intent_Analysis!$A$5:$A$81,0))</f>
        <v>Transfers</v>
      </c>
      <c r="D7157" s="0" t="n">
        <f aca="false">INDEX(Intent_Analysis!$E$5:$E$81,MATCH(B7157,Intent_Analysis!$A$5:$A$81,0))</f>
        <v>2</v>
      </c>
    </row>
    <row r="7158" customFormat="false" ht="15" hidden="false" customHeight="false" outlineLevel="0" collapsed="false">
      <c r="A7158" s="0" t="s">
        <v>7482</v>
      </c>
      <c r="B7158" s="0" t="s">
        <v>115</v>
      </c>
      <c r="C7158" s="0" t="str">
        <f aca="false">INDEX(Intent_Analysis!$B$5:$B$81,MATCH(B7158,Intent_Analysis!$A$5:$A$81,0))</f>
        <v>Transfers</v>
      </c>
      <c r="D7158" s="0" t="n">
        <f aca="false">INDEX(Intent_Analysis!$E$5:$E$81,MATCH(B7158,Intent_Analysis!$A$5:$A$81,0))</f>
        <v>2</v>
      </c>
    </row>
    <row r="7159" customFormat="false" ht="15" hidden="false" customHeight="false" outlineLevel="0" collapsed="false">
      <c r="A7159" s="0" t="s">
        <v>7483</v>
      </c>
      <c r="B7159" s="0" t="s">
        <v>115</v>
      </c>
      <c r="C7159" s="0" t="str">
        <f aca="false">INDEX(Intent_Analysis!$B$5:$B$81,MATCH(B7159,Intent_Analysis!$A$5:$A$81,0))</f>
        <v>Transfers</v>
      </c>
      <c r="D7159" s="0" t="n">
        <f aca="false">INDEX(Intent_Analysis!$E$5:$E$81,MATCH(B7159,Intent_Analysis!$A$5:$A$81,0))</f>
        <v>2</v>
      </c>
    </row>
    <row r="7160" customFormat="false" ht="15" hidden="false" customHeight="false" outlineLevel="0" collapsed="false">
      <c r="A7160" s="0" t="s">
        <v>7484</v>
      </c>
      <c r="B7160" s="0" t="s">
        <v>115</v>
      </c>
      <c r="C7160" s="0" t="str">
        <f aca="false">INDEX(Intent_Analysis!$B$5:$B$81,MATCH(B7160,Intent_Analysis!$A$5:$A$81,0))</f>
        <v>Transfers</v>
      </c>
      <c r="D7160" s="0" t="n">
        <f aca="false">INDEX(Intent_Analysis!$E$5:$E$81,MATCH(B7160,Intent_Analysis!$A$5:$A$81,0))</f>
        <v>2</v>
      </c>
    </row>
    <row r="7161" customFormat="false" ht="15" hidden="false" customHeight="false" outlineLevel="0" collapsed="false">
      <c r="A7161" s="0" t="s">
        <v>7485</v>
      </c>
      <c r="B7161" s="0" t="s">
        <v>115</v>
      </c>
      <c r="C7161" s="0" t="str">
        <f aca="false">INDEX(Intent_Analysis!$B$5:$B$81,MATCH(B7161,Intent_Analysis!$A$5:$A$81,0))</f>
        <v>Transfers</v>
      </c>
      <c r="D7161" s="0" t="n">
        <f aca="false">INDEX(Intent_Analysis!$E$5:$E$81,MATCH(B7161,Intent_Analysis!$A$5:$A$81,0))</f>
        <v>2</v>
      </c>
    </row>
    <row r="7162" customFormat="false" ht="15" hidden="false" customHeight="false" outlineLevel="0" collapsed="false">
      <c r="A7162" s="0" t="s">
        <v>7486</v>
      </c>
      <c r="B7162" s="0" t="s">
        <v>115</v>
      </c>
      <c r="C7162" s="0" t="str">
        <f aca="false">INDEX(Intent_Analysis!$B$5:$B$81,MATCH(B7162,Intent_Analysis!$A$5:$A$81,0))</f>
        <v>Transfers</v>
      </c>
      <c r="D7162" s="0" t="n">
        <f aca="false">INDEX(Intent_Analysis!$E$5:$E$81,MATCH(B7162,Intent_Analysis!$A$5:$A$81,0))</f>
        <v>2</v>
      </c>
    </row>
    <row r="7163" customFormat="false" ht="15" hidden="false" customHeight="false" outlineLevel="0" collapsed="false">
      <c r="A7163" s="0" t="s">
        <v>7487</v>
      </c>
      <c r="B7163" s="0" t="s">
        <v>90</v>
      </c>
      <c r="C7163" s="0" t="str">
        <f aca="false">INDEX(Intent_Analysis!$B$5:$B$81,MATCH(B7163,Intent_Analysis!$A$5:$A$81,0))</f>
        <v>Fees &amp; charges</v>
      </c>
      <c r="D7163" s="0" t="n">
        <f aca="false">INDEX(Intent_Analysis!$E$5:$E$81,MATCH(B7163,Intent_Analysis!$A$5:$A$81,0))</f>
        <v>1</v>
      </c>
    </row>
    <row r="7164" customFormat="false" ht="15" hidden="false" customHeight="false" outlineLevel="0" collapsed="false">
      <c r="A7164" s="0" t="s">
        <v>7488</v>
      </c>
      <c r="B7164" s="0" t="s">
        <v>90</v>
      </c>
      <c r="C7164" s="0" t="str">
        <f aca="false">INDEX(Intent_Analysis!$B$5:$B$81,MATCH(B7164,Intent_Analysis!$A$5:$A$81,0))</f>
        <v>Fees &amp; charges</v>
      </c>
      <c r="D7164" s="0" t="n">
        <f aca="false">INDEX(Intent_Analysis!$E$5:$E$81,MATCH(B7164,Intent_Analysis!$A$5:$A$81,0))</f>
        <v>1</v>
      </c>
    </row>
    <row r="7165" customFormat="false" ht="15" hidden="false" customHeight="false" outlineLevel="0" collapsed="false">
      <c r="A7165" s="0" t="s">
        <v>7489</v>
      </c>
      <c r="B7165" s="0" t="s">
        <v>90</v>
      </c>
      <c r="C7165" s="0" t="str">
        <f aca="false">INDEX(Intent_Analysis!$B$5:$B$81,MATCH(B7165,Intent_Analysis!$A$5:$A$81,0))</f>
        <v>Fees &amp; charges</v>
      </c>
      <c r="D7165" s="0" t="n">
        <f aca="false">INDEX(Intent_Analysis!$E$5:$E$81,MATCH(B7165,Intent_Analysis!$A$5:$A$81,0))</f>
        <v>1</v>
      </c>
    </row>
    <row r="7166" customFormat="false" ht="15" hidden="false" customHeight="false" outlineLevel="0" collapsed="false">
      <c r="A7166" s="0" t="s">
        <v>7490</v>
      </c>
      <c r="B7166" s="0" t="s">
        <v>90</v>
      </c>
      <c r="C7166" s="0" t="str">
        <f aca="false">INDEX(Intent_Analysis!$B$5:$B$81,MATCH(B7166,Intent_Analysis!$A$5:$A$81,0))</f>
        <v>Fees &amp; charges</v>
      </c>
      <c r="D7166" s="0" t="n">
        <f aca="false">INDEX(Intent_Analysis!$E$5:$E$81,MATCH(B7166,Intent_Analysis!$A$5:$A$81,0))</f>
        <v>1</v>
      </c>
    </row>
    <row r="7167" customFormat="false" ht="15" hidden="false" customHeight="false" outlineLevel="0" collapsed="false">
      <c r="A7167" s="0" t="s">
        <v>7491</v>
      </c>
      <c r="B7167" s="0" t="s">
        <v>90</v>
      </c>
      <c r="C7167" s="0" t="str">
        <f aca="false">INDEX(Intent_Analysis!$B$5:$B$81,MATCH(B7167,Intent_Analysis!$A$5:$A$81,0))</f>
        <v>Fees &amp; charges</v>
      </c>
      <c r="D7167" s="0" t="n">
        <f aca="false">INDEX(Intent_Analysis!$E$5:$E$81,MATCH(B7167,Intent_Analysis!$A$5:$A$81,0))</f>
        <v>1</v>
      </c>
    </row>
    <row r="7168" customFormat="false" ht="15" hidden="false" customHeight="false" outlineLevel="0" collapsed="false">
      <c r="A7168" s="0" t="s">
        <v>7492</v>
      </c>
      <c r="B7168" s="0" t="s">
        <v>90</v>
      </c>
      <c r="C7168" s="0" t="str">
        <f aca="false">INDEX(Intent_Analysis!$B$5:$B$81,MATCH(B7168,Intent_Analysis!$A$5:$A$81,0))</f>
        <v>Fees &amp; charges</v>
      </c>
      <c r="D7168" s="0" t="n">
        <f aca="false">INDEX(Intent_Analysis!$E$5:$E$81,MATCH(B7168,Intent_Analysis!$A$5:$A$81,0))</f>
        <v>1</v>
      </c>
    </row>
    <row r="7169" customFormat="false" ht="15" hidden="false" customHeight="false" outlineLevel="0" collapsed="false">
      <c r="A7169" s="0" t="s">
        <v>7493</v>
      </c>
      <c r="B7169" s="0" t="s">
        <v>90</v>
      </c>
      <c r="C7169" s="0" t="str">
        <f aca="false">INDEX(Intent_Analysis!$B$5:$B$81,MATCH(B7169,Intent_Analysis!$A$5:$A$81,0))</f>
        <v>Fees &amp; charges</v>
      </c>
      <c r="D7169" s="0" t="n">
        <f aca="false">INDEX(Intent_Analysis!$E$5:$E$81,MATCH(B7169,Intent_Analysis!$A$5:$A$81,0))</f>
        <v>1</v>
      </c>
    </row>
    <row r="7170" customFormat="false" ht="15" hidden="false" customHeight="false" outlineLevel="0" collapsed="false">
      <c r="A7170" s="0" t="s">
        <v>7494</v>
      </c>
      <c r="B7170" s="0" t="s">
        <v>90</v>
      </c>
      <c r="C7170" s="0" t="str">
        <f aca="false">INDEX(Intent_Analysis!$B$5:$B$81,MATCH(B7170,Intent_Analysis!$A$5:$A$81,0))</f>
        <v>Fees &amp; charges</v>
      </c>
      <c r="D7170" s="0" t="n">
        <f aca="false">INDEX(Intent_Analysis!$E$5:$E$81,MATCH(B7170,Intent_Analysis!$A$5:$A$81,0))</f>
        <v>1</v>
      </c>
    </row>
    <row r="7171" customFormat="false" ht="15" hidden="false" customHeight="false" outlineLevel="0" collapsed="false">
      <c r="A7171" s="0" t="s">
        <v>7495</v>
      </c>
      <c r="B7171" s="0" t="s">
        <v>90</v>
      </c>
      <c r="C7171" s="0" t="str">
        <f aca="false">INDEX(Intent_Analysis!$B$5:$B$81,MATCH(B7171,Intent_Analysis!$A$5:$A$81,0))</f>
        <v>Fees &amp; charges</v>
      </c>
      <c r="D7171" s="0" t="n">
        <f aca="false">INDEX(Intent_Analysis!$E$5:$E$81,MATCH(B7171,Intent_Analysis!$A$5:$A$81,0))</f>
        <v>1</v>
      </c>
    </row>
    <row r="7172" customFormat="false" ht="15" hidden="false" customHeight="false" outlineLevel="0" collapsed="false">
      <c r="A7172" s="0" t="s">
        <v>7496</v>
      </c>
      <c r="B7172" s="0" t="s">
        <v>90</v>
      </c>
      <c r="C7172" s="0" t="str">
        <f aca="false">INDEX(Intent_Analysis!$B$5:$B$81,MATCH(B7172,Intent_Analysis!$A$5:$A$81,0))</f>
        <v>Fees &amp; charges</v>
      </c>
      <c r="D7172" s="0" t="n">
        <f aca="false">INDEX(Intent_Analysis!$E$5:$E$81,MATCH(B7172,Intent_Analysis!$A$5:$A$81,0))</f>
        <v>1</v>
      </c>
    </row>
    <row r="7173" customFormat="false" ht="15" hidden="false" customHeight="false" outlineLevel="0" collapsed="false">
      <c r="A7173" s="0" t="s">
        <v>7497</v>
      </c>
      <c r="B7173" s="0" t="s">
        <v>90</v>
      </c>
      <c r="C7173" s="0" t="str">
        <f aca="false">INDEX(Intent_Analysis!$B$5:$B$81,MATCH(B7173,Intent_Analysis!$A$5:$A$81,0))</f>
        <v>Fees &amp; charges</v>
      </c>
      <c r="D7173" s="0" t="n">
        <f aca="false">INDEX(Intent_Analysis!$E$5:$E$81,MATCH(B7173,Intent_Analysis!$A$5:$A$81,0))</f>
        <v>1</v>
      </c>
    </row>
    <row r="7174" customFormat="false" ht="15" hidden="false" customHeight="false" outlineLevel="0" collapsed="false">
      <c r="A7174" s="0" t="s">
        <v>7498</v>
      </c>
      <c r="B7174" s="0" t="s">
        <v>90</v>
      </c>
      <c r="C7174" s="0" t="str">
        <f aca="false">INDEX(Intent_Analysis!$B$5:$B$81,MATCH(B7174,Intent_Analysis!$A$5:$A$81,0))</f>
        <v>Fees &amp; charges</v>
      </c>
      <c r="D7174" s="0" t="n">
        <f aca="false">INDEX(Intent_Analysis!$E$5:$E$81,MATCH(B7174,Intent_Analysis!$A$5:$A$81,0))</f>
        <v>1</v>
      </c>
    </row>
    <row r="7175" customFormat="false" ht="15" hidden="false" customHeight="false" outlineLevel="0" collapsed="false">
      <c r="A7175" s="0" t="s">
        <v>7499</v>
      </c>
      <c r="B7175" s="0" t="s">
        <v>90</v>
      </c>
      <c r="C7175" s="0" t="str">
        <f aca="false">INDEX(Intent_Analysis!$B$5:$B$81,MATCH(B7175,Intent_Analysis!$A$5:$A$81,0))</f>
        <v>Fees &amp; charges</v>
      </c>
      <c r="D7175" s="0" t="n">
        <f aca="false">INDEX(Intent_Analysis!$E$5:$E$81,MATCH(B7175,Intent_Analysis!$A$5:$A$81,0))</f>
        <v>1</v>
      </c>
    </row>
    <row r="7176" customFormat="false" ht="15" hidden="false" customHeight="false" outlineLevel="0" collapsed="false">
      <c r="A7176" s="0" t="s">
        <v>7500</v>
      </c>
      <c r="B7176" s="0" t="s">
        <v>90</v>
      </c>
      <c r="C7176" s="0" t="str">
        <f aca="false">INDEX(Intent_Analysis!$B$5:$B$81,MATCH(B7176,Intent_Analysis!$A$5:$A$81,0))</f>
        <v>Fees &amp; charges</v>
      </c>
      <c r="D7176" s="0" t="n">
        <f aca="false">INDEX(Intent_Analysis!$E$5:$E$81,MATCH(B7176,Intent_Analysis!$A$5:$A$81,0))</f>
        <v>1</v>
      </c>
    </row>
    <row r="7177" customFormat="false" ht="15" hidden="false" customHeight="false" outlineLevel="0" collapsed="false">
      <c r="A7177" s="0" t="s">
        <v>7501</v>
      </c>
      <c r="B7177" s="0" t="s">
        <v>90</v>
      </c>
      <c r="C7177" s="0" t="str">
        <f aca="false">INDEX(Intent_Analysis!$B$5:$B$81,MATCH(B7177,Intent_Analysis!$A$5:$A$81,0))</f>
        <v>Fees &amp; charges</v>
      </c>
      <c r="D7177" s="0" t="n">
        <f aca="false">INDEX(Intent_Analysis!$E$5:$E$81,MATCH(B7177,Intent_Analysis!$A$5:$A$81,0))</f>
        <v>1</v>
      </c>
    </row>
    <row r="7178" customFormat="false" ht="15" hidden="false" customHeight="false" outlineLevel="0" collapsed="false">
      <c r="A7178" s="0" t="s">
        <v>7502</v>
      </c>
      <c r="B7178" s="0" t="s">
        <v>90</v>
      </c>
      <c r="C7178" s="0" t="str">
        <f aca="false">INDEX(Intent_Analysis!$B$5:$B$81,MATCH(B7178,Intent_Analysis!$A$5:$A$81,0))</f>
        <v>Fees &amp; charges</v>
      </c>
      <c r="D7178" s="0" t="n">
        <f aca="false">INDEX(Intent_Analysis!$E$5:$E$81,MATCH(B7178,Intent_Analysis!$A$5:$A$81,0))</f>
        <v>1</v>
      </c>
    </row>
    <row r="7179" customFormat="false" ht="15" hidden="false" customHeight="false" outlineLevel="0" collapsed="false">
      <c r="A7179" s="0" t="s">
        <v>7503</v>
      </c>
      <c r="B7179" s="0" t="s">
        <v>90</v>
      </c>
      <c r="C7179" s="0" t="str">
        <f aca="false">INDEX(Intent_Analysis!$B$5:$B$81,MATCH(B7179,Intent_Analysis!$A$5:$A$81,0))</f>
        <v>Fees &amp; charges</v>
      </c>
      <c r="D7179" s="0" t="n">
        <f aca="false">INDEX(Intent_Analysis!$E$5:$E$81,MATCH(B7179,Intent_Analysis!$A$5:$A$81,0))</f>
        <v>1</v>
      </c>
    </row>
    <row r="7180" customFormat="false" ht="15" hidden="false" customHeight="false" outlineLevel="0" collapsed="false">
      <c r="A7180" s="0" t="s">
        <v>7504</v>
      </c>
      <c r="B7180" s="0" t="s">
        <v>90</v>
      </c>
      <c r="C7180" s="0" t="str">
        <f aca="false">INDEX(Intent_Analysis!$B$5:$B$81,MATCH(B7180,Intent_Analysis!$A$5:$A$81,0))</f>
        <v>Fees &amp; charges</v>
      </c>
      <c r="D7180" s="0" t="n">
        <f aca="false">INDEX(Intent_Analysis!$E$5:$E$81,MATCH(B7180,Intent_Analysis!$A$5:$A$81,0))</f>
        <v>1</v>
      </c>
    </row>
    <row r="7181" customFormat="false" ht="15" hidden="false" customHeight="false" outlineLevel="0" collapsed="false">
      <c r="A7181" s="0" t="s">
        <v>7505</v>
      </c>
      <c r="B7181" s="0" t="s">
        <v>90</v>
      </c>
      <c r="C7181" s="0" t="str">
        <f aca="false">INDEX(Intent_Analysis!$B$5:$B$81,MATCH(B7181,Intent_Analysis!$A$5:$A$81,0))</f>
        <v>Fees &amp; charges</v>
      </c>
      <c r="D7181" s="0" t="n">
        <f aca="false">INDEX(Intent_Analysis!$E$5:$E$81,MATCH(B7181,Intent_Analysis!$A$5:$A$81,0))</f>
        <v>1</v>
      </c>
    </row>
    <row r="7182" customFormat="false" ht="15" hidden="false" customHeight="false" outlineLevel="0" collapsed="false">
      <c r="A7182" s="0" t="s">
        <v>7506</v>
      </c>
      <c r="B7182" s="0" t="s">
        <v>90</v>
      </c>
      <c r="C7182" s="0" t="str">
        <f aca="false">INDEX(Intent_Analysis!$B$5:$B$81,MATCH(B7182,Intent_Analysis!$A$5:$A$81,0))</f>
        <v>Fees &amp; charges</v>
      </c>
      <c r="D7182" s="0" t="n">
        <f aca="false">INDEX(Intent_Analysis!$E$5:$E$81,MATCH(B7182,Intent_Analysis!$A$5:$A$81,0))</f>
        <v>1</v>
      </c>
    </row>
    <row r="7183" customFormat="false" ht="15" hidden="false" customHeight="false" outlineLevel="0" collapsed="false">
      <c r="A7183" s="0" t="s">
        <v>7507</v>
      </c>
      <c r="B7183" s="0" t="s">
        <v>90</v>
      </c>
      <c r="C7183" s="0" t="str">
        <f aca="false">INDEX(Intent_Analysis!$B$5:$B$81,MATCH(B7183,Intent_Analysis!$A$5:$A$81,0))</f>
        <v>Fees &amp; charges</v>
      </c>
      <c r="D7183" s="0" t="n">
        <f aca="false">INDEX(Intent_Analysis!$E$5:$E$81,MATCH(B7183,Intent_Analysis!$A$5:$A$81,0))</f>
        <v>1</v>
      </c>
    </row>
    <row r="7184" customFormat="false" ht="15" hidden="false" customHeight="false" outlineLevel="0" collapsed="false">
      <c r="A7184" s="0" t="s">
        <v>7508</v>
      </c>
      <c r="B7184" s="0" t="s">
        <v>90</v>
      </c>
      <c r="C7184" s="0" t="str">
        <f aca="false">INDEX(Intent_Analysis!$B$5:$B$81,MATCH(B7184,Intent_Analysis!$A$5:$A$81,0))</f>
        <v>Fees &amp; charges</v>
      </c>
      <c r="D7184" s="0" t="n">
        <f aca="false">INDEX(Intent_Analysis!$E$5:$E$81,MATCH(B7184,Intent_Analysis!$A$5:$A$81,0))</f>
        <v>1</v>
      </c>
    </row>
    <row r="7185" customFormat="false" ht="15" hidden="false" customHeight="false" outlineLevel="0" collapsed="false">
      <c r="A7185" s="0" t="s">
        <v>7509</v>
      </c>
      <c r="B7185" s="0" t="s">
        <v>90</v>
      </c>
      <c r="C7185" s="0" t="str">
        <f aca="false">INDEX(Intent_Analysis!$B$5:$B$81,MATCH(B7185,Intent_Analysis!$A$5:$A$81,0))</f>
        <v>Fees &amp; charges</v>
      </c>
      <c r="D7185" s="0" t="n">
        <f aca="false">INDEX(Intent_Analysis!$E$5:$E$81,MATCH(B7185,Intent_Analysis!$A$5:$A$81,0))</f>
        <v>1</v>
      </c>
    </row>
    <row r="7186" customFormat="false" ht="15" hidden="false" customHeight="false" outlineLevel="0" collapsed="false">
      <c r="A7186" s="0" t="s">
        <v>7510</v>
      </c>
      <c r="B7186" s="0" t="s">
        <v>90</v>
      </c>
      <c r="C7186" s="0" t="str">
        <f aca="false">INDEX(Intent_Analysis!$B$5:$B$81,MATCH(B7186,Intent_Analysis!$A$5:$A$81,0))</f>
        <v>Fees &amp; charges</v>
      </c>
      <c r="D7186" s="0" t="n">
        <f aca="false">INDEX(Intent_Analysis!$E$5:$E$81,MATCH(B7186,Intent_Analysis!$A$5:$A$81,0))</f>
        <v>1</v>
      </c>
    </row>
    <row r="7187" customFormat="false" ht="15" hidden="false" customHeight="false" outlineLevel="0" collapsed="false">
      <c r="A7187" s="0" t="s">
        <v>7511</v>
      </c>
      <c r="B7187" s="0" t="s">
        <v>90</v>
      </c>
      <c r="C7187" s="0" t="str">
        <f aca="false">INDEX(Intent_Analysis!$B$5:$B$81,MATCH(B7187,Intent_Analysis!$A$5:$A$81,0))</f>
        <v>Fees &amp; charges</v>
      </c>
      <c r="D7187" s="0" t="n">
        <f aca="false">INDEX(Intent_Analysis!$E$5:$E$81,MATCH(B7187,Intent_Analysis!$A$5:$A$81,0))</f>
        <v>1</v>
      </c>
    </row>
    <row r="7188" customFormat="false" ht="15" hidden="false" customHeight="false" outlineLevel="0" collapsed="false">
      <c r="A7188" s="0" t="s">
        <v>7512</v>
      </c>
      <c r="B7188" s="0" t="s">
        <v>90</v>
      </c>
      <c r="C7188" s="0" t="str">
        <f aca="false">INDEX(Intent_Analysis!$B$5:$B$81,MATCH(B7188,Intent_Analysis!$A$5:$A$81,0))</f>
        <v>Fees &amp; charges</v>
      </c>
      <c r="D7188" s="0" t="n">
        <f aca="false">INDEX(Intent_Analysis!$E$5:$E$81,MATCH(B7188,Intent_Analysis!$A$5:$A$81,0))</f>
        <v>1</v>
      </c>
    </row>
    <row r="7189" customFormat="false" ht="15" hidden="false" customHeight="false" outlineLevel="0" collapsed="false">
      <c r="A7189" s="0" t="s">
        <v>7513</v>
      </c>
      <c r="B7189" s="0" t="s">
        <v>90</v>
      </c>
      <c r="C7189" s="0" t="str">
        <f aca="false">INDEX(Intent_Analysis!$B$5:$B$81,MATCH(B7189,Intent_Analysis!$A$5:$A$81,0))</f>
        <v>Fees &amp; charges</v>
      </c>
      <c r="D7189" s="0" t="n">
        <f aca="false">INDEX(Intent_Analysis!$E$5:$E$81,MATCH(B7189,Intent_Analysis!$A$5:$A$81,0))</f>
        <v>1</v>
      </c>
    </row>
    <row r="7190" customFormat="false" ht="15" hidden="false" customHeight="false" outlineLevel="0" collapsed="false">
      <c r="A7190" s="0" t="s">
        <v>7514</v>
      </c>
      <c r="B7190" s="0" t="s">
        <v>90</v>
      </c>
      <c r="C7190" s="0" t="str">
        <f aca="false">INDEX(Intent_Analysis!$B$5:$B$81,MATCH(B7190,Intent_Analysis!$A$5:$A$81,0))</f>
        <v>Fees &amp; charges</v>
      </c>
      <c r="D7190" s="0" t="n">
        <f aca="false">INDEX(Intent_Analysis!$E$5:$E$81,MATCH(B7190,Intent_Analysis!$A$5:$A$81,0))</f>
        <v>1</v>
      </c>
    </row>
    <row r="7191" customFormat="false" ht="15" hidden="false" customHeight="false" outlineLevel="0" collapsed="false">
      <c r="A7191" s="0" t="s">
        <v>7515</v>
      </c>
      <c r="B7191" s="0" t="s">
        <v>90</v>
      </c>
      <c r="C7191" s="0" t="str">
        <f aca="false">INDEX(Intent_Analysis!$B$5:$B$81,MATCH(B7191,Intent_Analysis!$A$5:$A$81,0))</f>
        <v>Fees &amp; charges</v>
      </c>
      <c r="D7191" s="0" t="n">
        <f aca="false">INDEX(Intent_Analysis!$E$5:$E$81,MATCH(B7191,Intent_Analysis!$A$5:$A$81,0))</f>
        <v>1</v>
      </c>
    </row>
    <row r="7192" customFormat="false" ht="15" hidden="false" customHeight="false" outlineLevel="0" collapsed="false">
      <c r="A7192" s="0" t="s">
        <v>7516</v>
      </c>
      <c r="B7192" s="0" t="s">
        <v>90</v>
      </c>
      <c r="C7192" s="0" t="str">
        <f aca="false">INDEX(Intent_Analysis!$B$5:$B$81,MATCH(B7192,Intent_Analysis!$A$5:$A$81,0))</f>
        <v>Fees &amp; charges</v>
      </c>
      <c r="D7192" s="0" t="n">
        <f aca="false">INDEX(Intent_Analysis!$E$5:$E$81,MATCH(B7192,Intent_Analysis!$A$5:$A$81,0))</f>
        <v>1</v>
      </c>
    </row>
    <row r="7193" customFormat="false" ht="15" hidden="false" customHeight="false" outlineLevel="0" collapsed="false">
      <c r="A7193" s="0" t="s">
        <v>7517</v>
      </c>
      <c r="B7193" s="0" t="s">
        <v>90</v>
      </c>
      <c r="C7193" s="0" t="str">
        <f aca="false">INDEX(Intent_Analysis!$B$5:$B$81,MATCH(B7193,Intent_Analysis!$A$5:$A$81,0))</f>
        <v>Fees &amp; charges</v>
      </c>
      <c r="D7193" s="0" t="n">
        <f aca="false">INDEX(Intent_Analysis!$E$5:$E$81,MATCH(B7193,Intent_Analysis!$A$5:$A$81,0))</f>
        <v>1</v>
      </c>
    </row>
    <row r="7194" customFormat="false" ht="15" hidden="false" customHeight="false" outlineLevel="0" collapsed="false">
      <c r="A7194" s="0" t="s">
        <v>7518</v>
      </c>
      <c r="B7194" s="0" t="s">
        <v>90</v>
      </c>
      <c r="C7194" s="0" t="str">
        <f aca="false">INDEX(Intent_Analysis!$B$5:$B$81,MATCH(B7194,Intent_Analysis!$A$5:$A$81,0))</f>
        <v>Fees &amp; charges</v>
      </c>
      <c r="D7194" s="0" t="n">
        <f aca="false">INDEX(Intent_Analysis!$E$5:$E$81,MATCH(B7194,Intent_Analysis!$A$5:$A$81,0))</f>
        <v>1</v>
      </c>
    </row>
    <row r="7195" customFormat="false" ht="15" hidden="false" customHeight="false" outlineLevel="0" collapsed="false">
      <c r="A7195" s="0" t="s">
        <v>7519</v>
      </c>
      <c r="B7195" s="0" t="s">
        <v>90</v>
      </c>
      <c r="C7195" s="0" t="str">
        <f aca="false">INDEX(Intent_Analysis!$B$5:$B$81,MATCH(B7195,Intent_Analysis!$A$5:$A$81,0))</f>
        <v>Fees &amp; charges</v>
      </c>
      <c r="D7195" s="0" t="n">
        <f aca="false">INDEX(Intent_Analysis!$E$5:$E$81,MATCH(B7195,Intent_Analysis!$A$5:$A$81,0))</f>
        <v>1</v>
      </c>
    </row>
    <row r="7196" customFormat="false" ht="15" hidden="false" customHeight="false" outlineLevel="0" collapsed="false">
      <c r="A7196" s="0" t="s">
        <v>7520</v>
      </c>
      <c r="B7196" s="0" t="s">
        <v>90</v>
      </c>
      <c r="C7196" s="0" t="str">
        <f aca="false">INDEX(Intent_Analysis!$B$5:$B$81,MATCH(B7196,Intent_Analysis!$A$5:$A$81,0))</f>
        <v>Fees &amp; charges</v>
      </c>
      <c r="D7196" s="0" t="n">
        <f aca="false">INDEX(Intent_Analysis!$E$5:$E$81,MATCH(B7196,Intent_Analysis!$A$5:$A$81,0))</f>
        <v>1</v>
      </c>
    </row>
    <row r="7197" customFormat="false" ht="15" hidden="false" customHeight="false" outlineLevel="0" collapsed="false">
      <c r="A7197" s="0" t="s">
        <v>7521</v>
      </c>
      <c r="B7197" s="0" t="s">
        <v>90</v>
      </c>
      <c r="C7197" s="0" t="str">
        <f aca="false">INDEX(Intent_Analysis!$B$5:$B$81,MATCH(B7197,Intent_Analysis!$A$5:$A$81,0))</f>
        <v>Fees &amp; charges</v>
      </c>
      <c r="D7197" s="0" t="n">
        <f aca="false">INDEX(Intent_Analysis!$E$5:$E$81,MATCH(B7197,Intent_Analysis!$A$5:$A$81,0))</f>
        <v>1</v>
      </c>
    </row>
    <row r="7198" customFormat="false" ht="15" hidden="false" customHeight="false" outlineLevel="0" collapsed="false">
      <c r="A7198" s="0" t="s">
        <v>7522</v>
      </c>
      <c r="B7198" s="0" t="s">
        <v>90</v>
      </c>
      <c r="C7198" s="0" t="str">
        <f aca="false">INDEX(Intent_Analysis!$B$5:$B$81,MATCH(B7198,Intent_Analysis!$A$5:$A$81,0))</f>
        <v>Fees &amp; charges</v>
      </c>
      <c r="D7198" s="0" t="n">
        <f aca="false">INDEX(Intent_Analysis!$E$5:$E$81,MATCH(B7198,Intent_Analysis!$A$5:$A$81,0))</f>
        <v>1</v>
      </c>
    </row>
    <row r="7199" customFormat="false" ht="15" hidden="false" customHeight="false" outlineLevel="0" collapsed="false">
      <c r="A7199" s="0" t="s">
        <v>7523</v>
      </c>
      <c r="B7199" s="0" t="s">
        <v>90</v>
      </c>
      <c r="C7199" s="0" t="str">
        <f aca="false">INDEX(Intent_Analysis!$B$5:$B$81,MATCH(B7199,Intent_Analysis!$A$5:$A$81,0))</f>
        <v>Fees &amp; charges</v>
      </c>
      <c r="D7199" s="0" t="n">
        <f aca="false">INDEX(Intent_Analysis!$E$5:$E$81,MATCH(B7199,Intent_Analysis!$A$5:$A$81,0))</f>
        <v>1</v>
      </c>
    </row>
    <row r="7200" customFormat="false" ht="15" hidden="false" customHeight="false" outlineLevel="0" collapsed="false">
      <c r="A7200" s="0" t="s">
        <v>7524</v>
      </c>
      <c r="B7200" s="0" t="s">
        <v>90</v>
      </c>
      <c r="C7200" s="0" t="str">
        <f aca="false">INDEX(Intent_Analysis!$B$5:$B$81,MATCH(B7200,Intent_Analysis!$A$5:$A$81,0))</f>
        <v>Fees &amp; charges</v>
      </c>
      <c r="D7200" s="0" t="n">
        <f aca="false">INDEX(Intent_Analysis!$E$5:$E$81,MATCH(B7200,Intent_Analysis!$A$5:$A$81,0))</f>
        <v>1</v>
      </c>
    </row>
    <row r="7201" customFormat="false" ht="15" hidden="false" customHeight="false" outlineLevel="0" collapsed="false">
      <c r="A7201" s="0" t="s">
        <v>7525</v>
      </c>
      <c r="B7201" s="0" t="s">
        <v>90</v>
      </c>
      <c r="C7201" s="0" t="str">
        <f aca="false">INDEX(Intent_Analysis!$B$5:$B$81,MATCH(B7201,Intent_Analysis!$A$5:$A$81,0))</f>
        <v>Fees &amp; charges</v>
      </c>
      <c r="D7201" s="0" t="n">
        <f aca="false">INDEX(Intent_Analysis!$E$5:$E$81,MATCH(B7201,Intent_Analysis!$A$5:$A$81,0))</f>
        <v>1</v>
      </c>
    </row>
    <row r="7202" customFormat="false" ht="15" hidden="false" customHeight="false" outlineLevel="0" collapsed="false">
      <c r="A7202" s="0" t="s">
        <v>7526</v>
      </c>
      <c r="B7202" s="0" t="s">
        <v>90</v>
      </c>
      <c r="C7202" s="0" t="str">
        <f aca="false">INDEX(Intent_Analysis!$B$5:$B$81,MATCH(B7202,Intent_Analysis!$A$5:$A$81,0))</f>
        <v>Fees &amp; charges</v>
      </c>
      <c r="D7202" s="0" t="n">
        <f aca="false">INDEX(Intent_Analysis!$E$5:$E$81,MATCH(B7202,Intent_Analysis!$A$5:$A$81,0))</f>
        <v>1</v>
      </c>
    </row>
    <row r="7203" customFormat="false" ht="15" hidden="false" customHeight="false" outlineLevel="0" collapsed="false">
      <c r="A7203" s="0" t="s">
        <v>7527</v>
      </c>
      <c r="B7203" s="0" t="s">
        <v>90</v>
      </c>
      <c r="C7203" s="0" t="str">
        <f aca="false">INDEX(Intent_Analysis!$B$5:$B$81,MATCH(B7203,Intent_Analysis!$A$5:$A$81,0))</f>
        <v>Fees &amp; charges</v>
      </c>
      <c r="D7203" s="0" t="n">
        <f aca="false">INDEX(Intent_Analysis!$E$5:$E$81,MATCH(B7203,Intent_Analysis!$A$5:$A$81,0))</f>
        <v>1</v>
      </c>
    </row>
    <row r="7204" customFormat="false" ht="15" hidden="false" customHeight="false" outlineLevel="0" collapsed="false">
      <c r="A7204" s="0" t="s">
        <v>7528</v>
      </c>
      <c r="B7204" s="0" t="s">
        <v>90</v>
      </c>
      <c r="C7204" s="0" t="str">
        <f aca="false">INDEX(Intent_Analysis!$B$5:$B$81,MATCH(B7204,Intent_Analysis!$A$5:$A$81,0))</f>
        <v>Fees &amp; charges</v>
      </c>
      <c r="D7204" s="0" t="n">
        <f aca="false">INDEX(Intent_Analysis!$E$5:$E$81,MATCH(B7204,Intent_Analysis!$A$5:$A$81,0))</f>
        <v>1</v>
      </c>
    </row>
    <row r="7205" customFormat="false" ht="15" hidden="false" customHeight="false" outlineLevel="0" collapsed="false">
      <c r="A7205" s="0" t="s">
        <v>7529</v>
      </c>
      <c r="B7205" s="0" t="s">
        <v>90</v>
      </c>
      <c r="C7205" s="0" t="str">
        <f aca="false">INDEX(Intent_Analysis!$B$5:$B$81,MATCH(B7205,Intent_Analysis!$A$5:$A$81,0))</f>
        <v>Fees &amp; charges</v>
      </c>
      <c r="D7205" s="0" t="n">
        <f aca="false">INDEX(Intent_Analysis!$E$5:$E$81,MATCH(B7205,Intent_Analysis!$A$5:$A$81,0))</f>
        <v>1</v>
      </c>
    </row>
    <row r="7206" customFormat="false" ht="15" hidden="false" customHeight="false" outlineLevel="0" collapsed="false">
      <c r="A7206" s="0" t="s">
        <v>7530</v>
      </c>
      <c r="B7206" s="0" t="s">
        <v>90</v>
      </c>
      <c r="C7206" s="0" t="str">
        <f aca="false">INDEX(Intent_Analysis!$B$5:$B$81,MATCH(B7206,Intent_Analysis!$A$5:$A$81,0))</f>
        <v>Fees &amp; charges</v>
      </c>
      <c r="D7206" s="0" t="n">
        <f aca="false">INDEX(Intent_Analysis!$E$5:$E$81,MATCH(B7206,Intent_Analysis!$A$5:$A$81,0))</f>
        <v>1</v>
      </c>
    </row>
    <row r="7207" customFormat="false" ht="15" hidden="false" customHeight="false" outlineLevel="0" collapsed="false">
      <c r="A7207" s="0" t="s">
        <v>7531</v>
      </c>
      <c r="B7207" s="0" t="s">
        <v>90</v>
      </c>
      <c r="C7207" s="0" t="str">
        <f aca="false">INDEX(Intent_Analysis!$B$5:$B$81,MATCH(B7207,Intent_Analysis!$A$5:$A$81,0))</f>
        <v>Fees &amp; charges</v>
      </c>
      <c r="D7207" s="0" t="n">
        <f aca="false">INDEX(Intent_Analysis!$E$5:$E$81,MATCH(B7207,Intent_Analysis!$A$5:$A$81,0))</f>
        <v>1</v>
      </c>
    </row>
    <row r="7208" customFormat="false" ht="15" hidden="false" customHeight="false" outlineLevel="0" collapsed="false">
      <c r="A7208" s="0" t="s">
        <v>7532</v>
      </c>
      <c r="B7208" s="0" t="s">
        <v>90</v>
      </c>
      <c r="C7208" s="0" t="str">
        <f aca="false">INDEX(Intent_Analysis!$B$5:$B$81,MATCH(B7208,Intent_Analysis!$A$5:$A$81,0))</f>
        <v>Fees &amp; charges</v>
      </c>
      <c r="D7208" s="0" t="n">
        <f aca="false">INDEX(Intent_Analysis!$E$5:$E$81,MATCH(B7208,Intent_Analysis!$A$5:$A$81,0))</f>
        <v>1</v>
      </c>
    </row>
    <row r="7209" customFormat="false" ht="15" hidden="false" customHeight="false" outlineLevel="0" collapsed="false">
      <c r="A7209" s="0" t="s">
        <v>7533</v>
      </c>
      <c r="B7209" s="0" t="s">
        <v>90</v>
      </c>
      <c r="C7209" s="0" t="str">
        <f aca="false">INDEX(Intent_Analysis!$B$5:$B$81,MATCH(B7209,Intent_Analysis!$A$5:$A$81,0))</f>
        <v>Fees &amp; charges</v>
      </c>
      <c r="D7209" s="0" t="n">
        <f aca="false">INDEX(Intent_Analysis!$E$5:$E$81,MATCH(B7209,Intent_Analysis!$A$5:$A$81,0))</f>
        <v>1</v>
      </c>
    </row>
    <row r="7210" customFormat="false" ht="15" hidden="false" customHeight="false" outlineLevel="0" collapsed="false">
      <c r="A7210" s="0" t="s">
        <v>7534</v>
      </c>
      <c r="B7210" s="0" t="s">
        <v>90</v>
      </c>
      <c r="C7210" s="0" t="str">
        <f aca="false">INDEX(Intent_Analysis!$B$5:$B$81,MATCH(B7210,Intent_Analysis!$A$5:$A$81,0))</f>
        <v>Fees &amp; charges</v>
      </c>
      <c r="D7210" s="0" t="n">
        <f aca="false">INDEX(Intent_Analysis!$E$5:$E$81,MATCH(B7210,Intent_Analysis!$A$5:$A$81,0))</f>
        <v>1</v>
      </c>
    </row>
    <row r="7211" customFormat="false" ht="15" hidden="false" customHeight="false" outlineLevel="0" collapsed="false">
      <c r="A7211" s="0" t="s">
        <v>7535</v>
      </c>
      <c r="B7211" s="0" t="s">
        <v>90</v>
      </c>
      <c r="C7211" s="0" t="str">
        <f aca="false">INDEX(Intent_Analysis!$B$5:$B$81,MATCH(B7211,Intent_Analysis!$A$5:$A$81,0))</f>
        <v>Fees &amp; charges</v>
      </c>
      <c r="D7211" s="0" t="n">
        <f aca="false">INDEX(Intent_Analysis!$E$5:$E$81,MATCH(B7211,Intent_Analysis!$A$5:$A$81,0))</f>
        <v>1</v>
      </c>
    </row>
    <row r="7212" customFormat="false" ht="15" hidden="false" customHeight="false" outlineLevel="0" collapsed="false">
      <c r="A7212" s="0" t="s">
        <v>7536</v>
      </c>
      <c r="B7212" s="0" t="s">
        <v>90</v>
      </c>
      <c r="C7212" s="0" t="str">
        <f aca="false">INDEX(Intent_Analysis!$B$5:$B$81,MATCH(B7212,Intent_Analysis!$A$5:$A$81,0))</f>
        <v>Fees &amp; charges</v>
      </c>
      <c r="D7212" s="0" t="n">
        <f aca="false">INDEX(Intent_Analysis!$E$5:$E$81,MATCH(B7212,Intent_Analysis!$A$5:$A$81,0))</f>
        <v>1</v>
      </c>
    </row>
    <row r="7213" customFormat="false" ht="15" hidden="false" customHeight="false" outlineLevel="0" collapsed="false">
      <c r="A7213" s="0" t="s">
        <v>7537</v>
      </c>
      <c r="B7213" s="0" t="s">
        <v>90</v>
      </c>
      <c r="C7213" s="0" t="str">
        <f aca="false">INDEX(Intent_Analysis!$B$5:$B$81,MATCH(B7213,Intent_Analysis!$A$5:$A$81,0))</f>
        <v>Fees &amp; charges</v>
      </c>
      <c r="D7213" s="0" t="n">
        <f aca="false">INDEX(Intent_Analysis!$E$5:$E$81,MATCH(B7213,Intent_Analysis!$A$5:$A$81,0))</f>
        <v>1</v>
      </c>
    </row>
    <row r="7214" customFormat="false" ht="15" hidden="false" customHeight="false" outlineLevel="0" collapsed="false">
      <c r="A7214" s="0" t="s">
        <v>7538</v>
      </c>
      <c r="B7214" s="0" t="s">
        <v>90</v>
      </c>
      <c r="C7214" s="0" t="str">
        <f aca="false">INDEX(Intent_Analysis!$B$5:$B$81,MATCH(B7214,Intent_Analysis!$A$5:$A$81,0))</f>
        <v>Fees &amp; charges</v>
      </c>
      <c r="D7214" s="0" t="n">
        <f aca="false">INDEX(Intent_Analysis!$E$5:$E$81,MATCH(B7214,Intent_Analysis!$A$5:$A$81,0))</f>
        <v>1</v>
      </c>
    </row>
    <row r="7215" customFormat="false" ht="15" hidden="false" customHeight="false" outlineLevel="0" collapsed="false">
      <c r="A7215" s="0" t="s">
        <v>7539</v>
      </c>
      <c r="B7215" s="0" t="s">
        <v>90</v>
      </c>
      <c r="C7215" s="0" t="str">
        <f aca="false">INDEX(Intent_Analysis!$B$5:$B$81,MATCH(B7215,Intent_Analysis!$A$5:$A$81,0))</f>
        <v>Fees &amp; charges</v>
      </c>
      <c r="D7215" s="0" t="n">
        <f aca="false">INDEX(Intent_Analysis!$E$5:$E$81,MATCH(B7215,Intent_Analysis!$A$5:$A$81,0))</f>
        <v>1</v>
      </c>
    </row>
    <row r="7216" customFormat="false" ht="15" hidden="false" customHeight="false" outlineLevel="0" collapsed="false">
      <c r="A7216" s="0" t="s">
        <v>7540</v>
      </c>
      <c r="B7216" s="0" t="s">
        <v>90</v>
      </c>
      <c r="C7216" s="0" t="str">
        <f aca="false">INDEX(Intent_Analysis!$B$5:$B$81,MATCH(B7216,Intent_Analysis!$A$5:$A$81,0))</f>
        <v>Fees &amp; charges</v>
      </c>
      <c r="D7216" s="0" t="n">
        <f aca="false">INDEX(Intent_Analysis!$E$5:$E$81,MATCH(B7216,Intent_Analysis!$A$5:$A$81,0))</f>
        <v>1</v>
      </c>
    </row>
    <row r="7217" customFormat="false" ht="15" hidden="false" customHeight="false" outlineLevel="0" collapsed="false">
      <c r="A7217" s="0" t="s">
        <v>7541</v>
      </c>
      <c r="B7217" s="0" t="s">
        <v>90</v>
      </c>
      <c r="C7217" s="0" t="str">
        <f aca="false">INDEX(Intent_Analysis!$B$5:$B$81,MATCH(B7217,Intent_Analysis!$A$5:$A$81,0))</f>
        <v>Fees &amp; charges</v>
      </c>
      <c r="D7217" s="0" t="n">
        <f aca="false">INDEX(Intent_Analysis!$E$5:$E$81,MATCH(B7217,Intent_Analysis!$A$5:$A$81,0))</f>
        <v>1</v>
      </c>
    </row>
    <row r="7218" customFormat="false" ht="15" hidden="false" customHeight="false" outlineLevel="0" collapsed="false">
      <c r="A7218" s="0" t="s">
        <v>7542</v>
      </c>
      <c r="B7218" s="0" t="s">
        <v>90</v>
      </c>
      <c r="C7218" s="0" t="str">
        <f aca="false">INDEX(Intent_Analysis!$B$5:$B$81,MATCH(B7218,Intent_Analysis!$A$5:$A$81,0))</f>
        <v>Fees &amp; charges</v>
      </c>
      <c r="D7218" s="0" t="n">
        <f aca="false">INDEX(Intent_Analysis!$E$5:$E$81,MATCH(B7218,Intent_Analysis!$A$5:$A$81,0))</f>
        <v>1</v>
      </c>
    </row>
    <row r="7219" customFormat="false" ht="15" hidden="false" customHeight="false" outlineLevel="0" collapsed="false">
      <c r="A7219" s="0" t="s">
        <v>7543</v>
      </c>
      <c r="B7219" s="0" t="s">
        <v>90</v>
      </c>
      <c r="C7219" s="0" t="str">
        <f aca="false">INDEX(Intent_Analysis!$B$5:$B$81,MATCH(B7219,Intent_Analysis!$A$5:$A$81,0))</f>
        <v>Fees &amp; charges</v>
      </c>
      <c r="D7219" s="0" t="n">
        <f aca="false">INDEX(Intent_Analysis!$E$5:$E$81,MATCH(B7219,Intent_Analysis!$A$5:$A$81,0))</f>
        <v>1</v>
      </c>
    </row>
    <row r="7220" customFormat="false" ht="15" hidden="false" customHeight="false" outlineLevel="0" collapsed="false">
      <c r="A7220" s="0" t="s">
        <v>7544</v>
      </c>
      <c r="B7220" s="0" t="s">
        <v>90</v>
      </c>
      <c r="C7220" s="0" t="str">
        <f aca="false">INDEX(Intent_Analysis!$B$5:$B$81,MATCH(B7220,Intent_Analysis!$A$5:$A$81,0))</f>
        <v>Fees &amp; charges</v>
      </c>
      <c r="D7220" s="0" t="n">
        <f aca="false">INDEX(Intent_Analysis!$E$5:$E$81,MATCH(B7220,Intent_Analysis!$A$5:$A$81,0))</f>
        <v>1</v>
      </c>
    </row>
    <row r="7221" customFormat="false" ht="15" hidden="false" customHeight="false" outlineLevel="0" collapsed="false">
      <c r="A7221" s="0" t="s">
        <v>7545</v>
      </c>
      <c r="B7221" s="0" t="s">
        <v>90</v>
      </c>
      <c r="C7221" s="0" t="str">
        <f aca="false">INDEX(Intent_Analysis!$B$5:$B$81,MATCH(B7221,Intent_Analysis!$A$5:$A$81,0))</f>
        <v>Fees &amp; charges</v>
      </c>
      <c r="D7221" s="0" t="n">
        <f aca="false">INDEX(Intent_Analysis!$E$5:$E$81,MATCH(B7221,Intent_Analysis!$A$5:$A$81,0))</f>
        <v>1</v>
      </c>
    </row>
    <row r="7222" customFormat="false" ht="15" hidden="false" customHeight="false" outlineLevel="0" collapsed="false">
      <c r="A7222" s="0" t="s">
        <v>7546</v>
      </c>
      <c r="B7222" s="0" t="s">
        <v>90</v>
      </c>
      <c r="C7222" s="0" t="str">
        <f aca="false">INDEX(Intent_Analysis!$B$5:$B$81,MATCH(B7222,Intent_Analysis!$A$5:$A$81,0))</f>
        <v>Fees &amp; charges</v>
      </c>
      <c r="D7222" s="0" t="n">
        <f aca="false">INDEX(Intent_Analysis!$E$5:$E$81,MATCH(B7222,Intent_Analysis!$A$5:$A$81,0))</f>
        <v>1</v>
      </c>
    </row>
    <row r="7223" customFormat="false" ht="15" hidden="false" customHeight="false" outlineLevel="0" collapsed="false">
      <c r="A7223" s="0" t="s">
        <v>7547</v>
      </c>
      <c r="B7223" s="0" t="s">
        <v>90</v>
      </c>
      <c r="C7223" s="0" t="str">
        <f aca="false">INDEX(Intent_Analysis!$B$5:$B$81,MATCH(B7223,Intent_Analysis!$A$5:$A$81,0))</f>
        <v>Fees &amp; charges</v>
      </c>
      <c r="D7223" s="0" t="n">
        <f aca="false">INDEX(Intent_Analysis!$E$5:$E$81,MATCH(B7223,Intent_Analysis!$A$5:$A$81,0))</f>
        <v>1</v>
      </c>
    </row>
    <row r="7224" customFormat="false" ht="15" hidden="false" customHeight="false" outlineLevel="0" collapsed="false">
      <c r="A7224" s="0" t="s">
        <v>7548</v>
      </c>
      <c r="B7224" s="0" t="s">
        <v>90</v>
      </c>
      <c r="C7224" s="0" t="str">
        <f aca="false">INDEX(Intent_Analysis!$B$5:$B$81,MATCH(B7224,Intent_Analysis!$A$5:$A$81,0))</f>
        <v>Fees &amp; charges</v>
      </c>
      <c r="D7224" s="0" t="n">
        <f aca="false">INDEX(Intent_Analysis!$E$5:$E$81,MATCH(B7224,Intent_Analysis!$A$5:$A$81,0))</f>
        <v>1</v>
      </c>
    </row>
    <row r="7225" customFormat="false" ht="15" hidden="false" customHeight="false" outlineLevel="0" collapsed="false">
      <c r="A7225" s="0" t="s">
        <v>7549</v>
      </c>
      <c r="B7225" s="0" t="s">
        <v>90</v>
      </c>
      <c r="C7225" s="0" t="str">
        <f aca="false">INDEX(Intent_Analysis!$B$5:$B$81,MATCH(B7225,Intent_Analysis!$A$5:$A$81,0))</f>
        <v>Fees &amp; charges</v>
      </c>
      <c r="D7225" s="0" t="n">
        <f aca="false">INDEX(Intent_Analysis!$E$5:$E$81,MATCH(B7225,Intent_Analysis!$A$5:$A$81,0))</f>
        <v>1</v>
      </c>
    </row>
    <row r="7226" customFormat="false" ht="15" hidden="false" customHeight="false" outlineLevel="0" collapsed="false">
      <c r="A7226" s="0" t="s">
        <v>7550</v>
      </c>
      <c r="B7226" s="0" t="s">
        <v>90</v>
      </c>
      <c r="C7226" s="0" t="str">
        <f aca="false">INDEX(Intent_Analysis!$B$5:$B$81,MATCH(B7226,Intent_Analysis!$A$5:$A$81,0))</f>
        <v>Fees &amp; charges</v>
      </c>
      <c r="D7226" s="0" t="n">
        <f aca="false">INDEX(Intent_Analysis!$E$5:$E$81,MATCH(B7226,Intent_Analysis!$A$5:$A$81,0))</f>
        <v>1</v>
      </c>
    </row>
    <row r="7227" customFormat="false" ht="15" hidden="false" customHeight="false" outlineLevel="0" collapsed="false">
      <c r="A7227" s="0" t="s">
        <v>7551</v>
      </c>
      <c r="B7227" s="0" t="s">
        <v>90</v>
      </c>
      <c r="C7227" s="0" t="str">
        <f aca="false">INDEX(Intent_Analysis!$B$5:$B$81,MATCH(B7227,Intent_Analysis!$A$5:$A$81,0))</f>
        <v>Fees &amp; charges</v>
      </c>
      <c r="D7227" s="0" t="n">
        <f aca="false">INDEX(Intent_Analysis!$E$5:$E$81,MATCH(B7227,Intent_Analysis!$A$5:$A$81,0))</f>
        <v>1</v>
      </c>
    </row>
    <row r="7228" customFormat="false" ht="15" hidden="false" customHeight="false" outlineLevel="0" collapsed="false">
      <c r="A7228" s="0" t="s">
        <v>7552</v>
      </c>
      <c r="B7228" s="0" t="s">
        <v>90</v>
      </c>
      <c r="C7228" s="0" t="str">
        <f aca="false">INDEX(Intent_Analysis!$B$5:$B$81,MATCH(B7228,Intent_Analysis!$A$5:$A$81,0))</f>
        <v>Fees &amp; charges</v>
      </c>
      <c r="D7228" s="0" t="n">
        <f aca="false">INDEX(Intent_Analysis!$E$5:$E$81,MATCH(B7228,Intent_Analysis!$A$5:$A$81,0))</f>
        <v>1</v>
      </c>
    </row>
    <row r="7229" customFormat="false" ht="15" hidden="false" customHeight="false" outlineLevel="0" collapsed="false">
      <c r="A7229" s="0" t="s">
        <v>7553</v>
      </c>
      <c r="B7229" s="0" t="s">
        <v>90</v>
      </c>
      <c r="C7229" s="0" t="str">
        <f aca="false">INDEX(Intent_Analysis!$B$5:$B$81,MATCH(B7229,Intent_Analysis!$A$5:$A$81,0))</f>
        <v>Fees &amp; charges</v>
      </c>
      <c r="D7229" s="0" t="n">
        <f aca="false">INDEX(Intent_Analysis!$E$5:$E$81,MATCH(B7229,Intent_Analysis!$A$5:$A$81,0))</f>
        <v>1</v>
      </c>
    </row>
    <row r="7230" customFormat="false" ht="15" hidden="false" customHeight="false" outlineLevel="0" collapsed="false">
      <c r="A7230" s="0" t="s">
        <v>7554</v>
      </c>
      <c r="B7230" s="0" t="s">
        <v>90</v>
      </c>
      <c r="C7230" s="0" t="str">
        <f aca="false">INDEX(Intent_Analysis!$B$5:$B$81,MATCH(B7230,Intent_Analysis!$A$5:$A$81,0))</f>
        <v>Fees &amp; charges</v>
      </c>
      <c r="D7230" s="0" t="n">
        <f aca="false">INDEX(Intent_Analysis!$E$5:$E$81,MATCH(B7230,Intent_Analysis!$A$5:$A$81,0))</f>
        <v>1</v>
      </c>
    </row>
    <row r="7231" customFormat="false" ht="15" hidden="false" customHeight="false" outlineLevel="0" collapsed="false">
      <c r="A7231" s="0" t="s">
        <v>7555</v>
      </c>
      <c r="B7231" s="0" t="s">
        <v>90</v>
      </c>
      <c r="C7231" s="0" t="str">
        <f aca="false">INDEX(Intent_Analysis!$B$5:$B$81,MATCH(B7231,Intent_Analysis!$A$5:$A$81,0))</f>
        <v>Fees &amp; charges</v>
      </c>
      <c r="D7231" s="0" t="n">
        <f aca="false">INDEX(Intent_Analysis!$E$5:$E$81,MATCH(B7231,Intent_Analysis!$A$5:$A$81,0))</f>
        <v>1</v>
      </c>
    </row>
    <row r="7232" customFormat="false" ht="15" hidden="false" customHeight="false" outlineLevel="0" collapsed="false">
      <c r="A7232" s="0" t="s">
        <v>7556</v>
      </c>
      <c r="B7232" s="0" t="s">
        <v>90</v>
      </c>
      <c r="C7232" s="0" t="str">
        <f aca="false">INDEX(Intent_Analysis!$B$5:$B$81,MATCH(B7232,Intent_Analysis!$A$5:$A$81,0))</f>
        <v>Fees &amp; charges</v>
      </c>
      <c r="D7232" s="0" t="n">
        <f aca="false">INDEX(Intent_Analysis!$E$5:$E$81,MATCH(B7232,Intent_Analysis!$A$5:$A$81,0))</f>
        <v>1</v>
      </c>
    </row>
    <row r="7233" customFormat="false" ht="15" hidden="false" customHeight="false" outlineLevel="0" collapsed="false">
      <c r="A7233" s="0" t="s">
        <v>7557</v>
      </c>
      <c r="B7233" s="0" t="s">
        <v>90</v>
      </c>
      <c r="C7233" s="0" t="str">
        <f aca="false">INDEX(Intent_Analysis!$B$5:$B$81,MATCH(B7233,Intent_Analysis!$A$5:$A$81,0))</f>
        <v>Fees &amp; charges</v>
      </c>
      <c r="D7233" s="0" t="n">
        <f aca="false">INDEX(Intent_Analysis!$E$5:$E$81,MATCH(B7233,Intent_Analysis!$A$5:$A$81,0))</f>
        <v>1</v>
      </c>
    </row>
    <row r="7234" customFormat="false" ht="15" hidden="false" customHeight="false" outlineLevel="0" collapsed="false">
      <c r="A7234" s="0" t="s">
        <v>7558</v>
      </c>
      <c r="B7234" s="0" t="s">
        <v>90</v>
      </c>
      <c r="C7234" s="0" t="str">
        <f aca="false">INDEX(Intent_Analysis!$B$5:$B$81,MATCH(B7234,Intent_Analysis!$A$5:$A$81,0))</f>
        <v>Fees &amp; charges</v>
      </c>
      <c r="D7234" s="0" t="n">
        <f aca="false">INDEX(Intent_Analysis!$E$5:$E$81,MATCH(B7234,Intent_Analysis!$A$5:$A$81,0))</f>
        <v>1</v>
      </c>
    </row>
    <row r="7235" customFormat="false" ht="15" hidden="false" customHeight="false" outlineLevel="0" collapsed="false">
      <c r="A7235" s="0" t="s">
        <v>7559</v>
      </c>
      <c r="B7235" s="0" t="s">
        <v>90</v>
      </c>
      <c r="C7235" s="0" t="str">
        <f aca="false">INDEX(Intent_Analysis!$B$5:$B$81,MATCH(B7235,Intent_Analysis!$A$5:$A$81,0))</f>
        <v>Fees &amp; charges</v>
      </c>
      <c r="D7235" s="0" t="n">
        <f aca="false">INDEX(Intent_Analysis!$E$5:$E$81,MATCH(B7235,Intent_Analysis!$A$5:$A$81,0))</f>
        <v>1</v>
      </c>
    </row>
    <row r="7236" customFormat="false" ht="15" hidden="false" customHeight="false" outlineLevel="0" collapsed="false">
      <c r="A7236" s="0" t="s">
        <v>7560</v>
      </c>
      <c r="B7236" s="0" t="s">
        <v>90</v>
      </c>
      <c r="C7236" s="0" t="str">
        <f aca="false">INDEX(Intent_Analysis!$B$5:$B$81,MATCH(B7236,Intent_Analysis!$A$5:$A$81,0))</f>
        <v>Fees &amp; charges</v>
      </c>
      <c r="D7236" s="0" t="n">
        <f aca="false">INDEX(Intent_Analysis!$E$5:$E$81,MATCH(B7236,Intent_Analysis!$A$5:$A$81,0))</f>
        <v>1</v>
      </c>
    </row>
    <row r="7237" customFormat="false" ht="15" hidden="false" customHeight="false" outlineLevel="0" collapsed="false">
      <c r="A7237" s="0" t="s">
        <v>7561</v>
      </c>
      <c r="B7237" s="0" t="s">
        <v>90</v>
      </c>
      <c r="C7237" s="0" t="str">
        <f aca="false">INDEX(Intent_Analysis!$B$5:$B$81,MATCH(B7237,Intent_Analysis!$A$5:$A$81,0))</f>
        <v>Fees &amp; charges</v>
      </c>
      <c r="D7237" s="0" t="n">
        <f aca="false">INDEX(Intent_Analysis!$E$5:$E$81,MATCH(B7237,Intent_Analysis!$A$5:$A$81,0))</f>
        <v>1</v>
      </c>
    </row>
    <row r="7238" customFormat="false" ht="15" hidden="false" customHeight="false" outlineLevel="0" collapsed="false">
      <c r="A7238" s="0" t="s">
        <v>7562</v>
      </c>
      <c r="B7238" s="0" t="s">
        <v>90</v>
      </c>
      <c r="C7238" s="0" t="str">
        <f aca="false">INDEX(Intent_Analysis!$B$5:$B$81,MATCH(B7238,Intent_Analysis!$A$5:$A$81,0))</f>
        <v>Fees &amp; charges</v>
      </c>
      <c r="D7238" s="0" t="n">
        <f aca="false">INDEX(Intent_Analysis!$E$5:$E$81,MATCH(B7238,Intent_Analysis!$A$5:$A$81,0))</f>
        <v>1</v>
      </c>
    </row>
    <row r="7239" customFormat="false" ht="15" hidden="false" customHeight="false" outlineLevel="0" collapsed="false">
      <c r="A7239" s="0" t="s">
        <v>7563</v>
      </c>
      <c r="B7239" s="0" t="s">
        <v>90</v>
      </c>
      <c r="C7239" s="0" t="str">
        <f aca="false">INDEX(Intent_Analysis!$B$5:$B$81,MATCH(B7239,Intent_Analysis!$A$5:$A$81,0))</f>
        <v>Fees &amp; charges</v>
      </c>
      <c r="D7239" s="0" t="n">
        <f aca="false">INDEX(Intent_Analysis!$E$5:$E$81,MATCH(B7239,Intent_Analysis!$A$5:$A$81,0))</f>
        <v>1</v>
      </c>
    </row>
    <row r="7240" customFormat="false" ht="15" hidden="false" customHeight="false" outlineLevel="0" collapsed="false">
      <c r="A7240" s="0" t="s">
        <v>7564</v>
      </c>
      <c r="B7240" s="0" t="s">
        <v>90</v>
      </c>
      <c r="C7240" s="0" t="str">
        <f aca="false">INDEX(Intent_Analysis!$B$5:$B$81,MATCH(B7240,Intent_Analysis!$A$5:$A$81,0))</f>
        <v>Fees &amp; charges</v>
      </c>
      <c r="D7240" s="0" t="n">
        <f aca="false">INDEX(Intent_Analysis!$E$5:$E$81,MATCH(B7240,Intent_Analysis!$A$5:$A$81,0))</f>
        <v>1</v>
      </c>
    </row>
    <row r="7241" customFormat="false" ht="15" hidden="false" customHeight="false" outlineLevel="0" collapsed="false">
      <c r="A7241" s="0" t="s">
        <v>7565</v>
      </c>
      <c r="B7241" s="0" t="s">
        <v>90</v>
      </c>
      <c r="C7241" s="0" t="str">
        <f aca="false">INDEX(Intent_Analysis!$B$5:$B$81,MATCH(B7241,Intent_Analysis!$A$5:$A$81,0))</f>
        <v>Fees &amp; charges</v>
      </c>
      <c r="D7241" s="0" t="n">
        <f aca="false">INDEX(Intent_Analysis!$E$5:$E$81,MATCH(B7241,Intent_Analysis!$A$5:$A$81,0))</f>
        <v>1</v>
      </c>
    </row>
    <row r="7242" customFormat="false" ht="15" hidden="false" customHeight="false" outlineLevel="0" collapsed="false">
      <c r="A7242" s="0" t="s">
        <v>7566</v>
      </c>
      <c r="B7242" s="0" t="s">
        <v>90</v>
      </c>
      <c r="C7242" s="0" t="str">
        <f aca="false">INDEX(Intent_Analysis!$B$5:$B$81,MATCH(B7242,Intent_Analysis!$A$5:$A$81,0))</f>
        <v>Fees &amp; charges</v>
      </c>
      <c r="D7242" s="0" t="n">
        <f aca="false">INDEX(Intent_Analysis!$E$5:$E$81,MATCH(B7242,Intent_Analysis!$A$5:$A$81,0))</f>
        <v>1</v>
      </c>
    </row>
    <row r="7243" customFormat="false" ht="15" hidden="false" customHeight="false" outlineLevel="0" collapsed="false">
      <c r="A7243" s="0" t="s">
        <v>7567</v>
      </c>
      <c r="B7243" s="0" t="s">
        <v>90</v>
      </c>
      <c r="C7243" s="0" t="str">
        <f aca="false">INDEX(Intent_Analysis!$B$5:$B$81,MATCH(B7243,Intent_Analysis!$A$5:$A$81,0))</f>
        <v>Fees &amp; charges</v>
      </c>
      <c r="D7243" s="0" t="n">
        <f aca="false">INDEX(Intent_Analysis!$E$5:$E$81,MATCH(B7243,Intent_Analysis!$A$5:$A$81,0))</f>
        <v>1</v>
      </c>
    </row>
    <row r="7244" customFormat="false" ht="15" hidden="false" customHeight="false" outlineLevel="0" collapsed="false">
      <c r="A7244" s="0" t="s">
        <v>7568</v>
      </c>
      <c r="B7244" s="0" t="s">
        <v>90</v>
      </c>
      <c r="C7244" s="0" t="str">
        <f aca="false">INDEX(Intent_Analysis!$B$5:$B$81,MATCH(B7244,Intent_Analysis!$A$5:$A$81,0))</f>
        <v>Fees &amp; charges</v>
      </c>
      <c r="D7244" s="0" t="n">
        <f aca="false">INDEX(Intent_Analysis!$E$5:$E$81,MATCH(B7244,Intent_Analysis!$A$5:$A$81,0))</f>
        <v>1</v>
      </c>
    </row>
    <row r="7245" customFormat="false" ht="15" hidden="false" customHeight="false" outlineLevel="0" collapsed="false">
      <c r="A7245" s="0" t="s">
        <v>7569</v>
      </c>
      <c r="B7245" s="0" t="s">
        <v>90</v>
      </c>
      <c r="C7245" s="0" t="str">
        <f aca="false">INDEX(Intent_Analysis!$B$5:$B$81,MATCH(B7245,Intent_Analysis!$A$5:$A$81,0))</f>
        <v>Fees &amp; charges</v>
      </c>
      <c r="D7245" s="0" t="n">
        <f aca="false">INDEX(Intent_Analysis!$E$5:$E$81,MATCH(B7245,Intent_Analysis!$A$5:$A$81,0))</f>
        <v>1</v>
      </c>
    </row>
    <row r="7246" customFormat="false" ht="15" hidden="false" customHeight="false" outlineLevel="0" collapsed="false">
      <c r="A7246" s="0" t="s">
        <v>7570</v>
      </c>
      <c r="B7246" s="0" t="s">
        <v>90</v>
      </c>
      <c r="C7246" s="0" t="str">
        <f aca="false">INDEX(Intent_Analysis!$B$5:$B$81,MATCH(B7246,Intent_Analysis!$A$5:$A$81,0))</f>
        <v>Fees &amp; charges</v>
      </c>
      <c r="D7246" s="0" t="n">
        <f aca="false">INDEX(Intent_Analysis!$E$5:$E$81,MATCH(B7246,Intent_Analysis!$A$5:$A$81,0))</f>
        <v>1</v>
      </c>
    </row>
    <row r="7247" customFormat="false" ht="15" hidden="false" customHeight="false" outlineLevel="0" collapsed="false">
      <c r="A7247" s="0" t="s">
        <v>7571</v>
      </c>
      <c r="B7247" s="0" t="s">
        <v>90</v>
      </c>
      <c r="C7247" s="0" t="str">
        <f aca="false">INDEX(Intent_Analysis!$B$5:$B$81,MATCH(B7247,Intent_Analysis!$A$5:$A$81,0))</f>
        <v>Fees &amp; charges</v>
      </c>
      <c r="D7247" s="0" t="n">
        <f aca="false">INDEX(Intent_Analysis!$E$5:$E$81,MATCH(B7247,Intent_Analysis!$A$5:$A$81,0))</f>
        <v>1</v>
      </c>
    </row>
    <row r="7248" customFormat="false" ht="15" hidden="false" customHeight="false" outlineLevel="0" collapsed="false">
      <c r="A7248" s="0" t="s">
        <v>7572</v>
      </c>
      <c r="B7248" s="0" t="s">
        <v>90</v>
      </c>
      <c r="C7248" s="0" t="str">
        <f aca="false">INDEX(Intent_Analysis!$B$5:$B$81,MATCH(B7248,Intent_Analysis!$A$5:$A$81,0))</f>
        <v>Fees &amp; charges</v>
      </c>
      <c r="D7248" s="0" t="n">
        <f aca="false">INDEX(Intent_Analysis!$E$5:$E$81,MATCH(B7248,Intent_Analysis!$A$5:$A$81,0))</f>
        <v>1</v>
      </c>
    </row>
    <row r="7249" customFormat="false" ht="15" hidden="false" customHeight="false" outlineLevel="0" collapsed="false">
      <c r="A7249" s="0" t="s">
        <v>7573</v>
      </c>
      <c r="B7249" s="0" t="s">
        <v>90</v>
      </c>
      <c r="C7249" s="0" t="str">
        <f aca="false">INDEX(Intent_Analysis!$B$5:$B$81,MATCH(B7249,Intent_Analysis!$A$5:$A$81,0))</f>
        <v>Fees &amp; charges</v>
      </c>
      <c r="D7249" s="0" t="n">
        <f aca="false">INDEX(Intent_Analysis!$E$5:$E$81,MATCH(B7249,Intent_Analysis!$A$5:$A$81,0))</f>
        <v>1</v>
      </c>
    </row>
    <row r="7250" customFormat="false" ht="15" hidden="false" customHeight="false" outlineLevel="0" collapsed="false">
      <c r="A7250" s="0" t="s">
        <v>7574</v>
      </c>
      <c r="B7250" s="0" t="s">
        <v>90</v>
      </c>
      <c r="C7250" s="0" t="str">
        <f aca="false">INDEX(Intent_Analysis!$B$5:$B$81,MATCH(B7250,Intent_Analysis!$A$5:$A$81,0))</f>
        <v>Fees &amp; charges</v>
      </c>
      <c r="D7250" s="0" t="n">
        <f aca="false">INDEX(Intent_Analysis!$E$5:$E$81,MATCH(B7250,Intent_Analysis!$A$5:$A$81,0))</f>
        <v>1</v>
      </c>
    </row>
    <row r="7251" customFormat="false" ht="15" hidden="false" customHeight="false" outlineLevel="0" collapsed="false">
      <c r="A7251" s="0" t="s">
        <v>7575</v>
      </c>
      <c r="B7251" s="0" t="s">
        <v>90</v>
      </c>
      <c r="C7251" s="0" t="str">
        <f aca="false">INDEX(Intent_Analysis!$B$5:$B$81,MATCH(B7251,Intent_Analysis!$A$5:$A$81,0))</f>
        <v>Fees &amp; charges</v>
      </c>
      <c r="D7251" s="0" t="n">
        <f aca="false">INDEX(Intent_Analysis!$E$5:$E$81,MATCH(B7251,Intent_Analysis!$A$5:$A$81,0))</f>
        <v>1</v>
      </c>
    </row>
    <row r="7252" customFormat="false" ht="15" hidden="false" customHeight="false" outlineLevel="0" collapsed="false">
      <c r="A7252" s="0" t="s">
        <v>7576</v>
      </c>
      <c r="B7252" s="0" t="s">
        <v>90</v>
      </c>
      <c r="C7252" s="0" t="str">
        <f aca="false">INDEX(Intent_Analysis!$B$5:$B$81,MATCH(B7252,Intent_Analysis!$A$5:$A$81,0))</f>
        <v>Fees &amp; charges</v>
      </c>
      <c r="D7252" s="0" t="n">
        <f aca="false">INDEX(Intent_Analysis!$E$5:$E$81,MATCH(B7252,Intent_Analysis!$A$5:$A$81,0))</f>
        <v>1</v>
      </c>
    </row>
    <row r="7253" customFormat="false" ht="15" hidden="false" customHeight="false" outlineLevel="0" collapsed="false">
      <c r="A7253" s="0" t="s">
        <v>7577</v>
      </c>
      <c r="B7253" s="0" t="s">
        <v>90</v>
      </c>
      <c r="C7253" s="0" t="str">
        <f aca="false">INDEX(Intent_Analysis!$B$5:$B$81,MATCH(B7253,Intent_Analysis!$A$5:$A$81,0))</f>
        <v>Fees &amp; charges</v>
      </c>
      <c r="D7253" s="0" t="n">
        <f aca="false">INDEX(Intent_Analysis!$E$5:$E$81,MATCH(B7253,Intent_Analysis!$A$5:$A$81,0))</f>
        <v>1</v>
      </c>
    </row>
    <row r="7254" customFormat="false" ht="15" hidden="false" customHeight="false" outlineLevel="0" collapsed="false">
      <c r="A7254" s="0" t="s">
        <v>7578</v>
      </c>
      <c r="B7254" s="0" t="s">
        <v>90</v>
      </c>
      <c r="C7254" s="0" t="str">
        <f aca="false">INDEX(Intent_Analysis!$B$5:$B$81,MATCH(B7254,Intent_Analysis!$A$5:$A$81,0))</f>
        <v>Fees &amp; charges</v>
      </c>
      <c r="D7254" s="0" t="n">
        <f aca="false">INDEX(Intent_Analysis!$E$5:$E$81,MATCH(B7254,Intent_Analysis!$A$5:$A$81,0))</f>
        <v>1</v>
      </c>
    </row>
    <row r="7255" customFormat="false" ht="15" hidden="false" customHeight="false" outlineLevel="0" collapsed="false">
      <c r="A7255" s="0" t="s">
        <v>7579</v>
      </c>
      <c r="B7255" s="0" t="s">
        <v>90</v>
      </c>
      <c r="C7255" s="0" t="str">
        <f aca="false">INDEX(Intent_Analysis!$B$5:$B$81,MATCH(B7255,Intent_Analysis!$A$5:$A$81,0))</f>
        <v>Fees &amp; charges</v>
      </c>
      <c r="D7255" s="0" t="n">
        <f aca="false">INDEX(Intent_Analysis!$E$5:$E$81,MATCH(B7255,Intent_Analysis!$A$5:$A$81,0))</f>
        <v>1</v>
      </c>
    </row>
    <row r="7256" customFormat="false" ht="15" hidden="false" customHeight="false" outlineLevel="0" collapsed="false">
      <c r="A7256" s="0" t="s">
        <v>7580</v>
      </c>
      <c r="B7256" s="0" t="s">
        <v>90</v>
      </c>
      <c r="C7256" s="0" t="str">
        <f aca="false">INDEX(Intent_Analysis!$B$5:$B$81,MATCH(B7256,Intent_Analysis!$A$5:$A$81,0))</f>
        <v>Fees &amp; charges</v>
      </c>
      <c r="D7256" s="0" t="n">
        <f aca="false">INDEX(Intent_Analysis!$E$5:$E$81,MATCH(B7256,Intent_Analysis!$A$5:$A$81,0))</f>
        <v>1</v>
      </c>
    </row>
    <row r="7257" customFormat="false" ht="15" hidden="false" customHeight="false" outlineLevel="0" collapsed="false">
      <c r="A7257" s="0" t="s">
        <v>7581</v>
      </c>
      <c r="B7257" s="0" t="s">
        <v>90</v>
      </c>
      <c r="C7257" s="0" t="str">
        <f aca="false">INDEX(Intent_Analysis!$B$5:$B$81,MATCH(B7257,Intent_Analysis!$A$5:$A$81,0))</f>
        <v>Fees &amp; charges</v>
      </c>
      <c r="D7257" s="0" t="n">
        <f aca="false">INDEX(Intent_Analysis!$E$5:$E$81,MATCH(B7257,Intent_Analysis!$A$5:$A$81,0))</f>
        <v>1</v>
      </c>
    </row>
    <row r="7258" customFormat="false" ht="15" hidden="false" customHeight="false" outlineLevel="0" collapsed="false">
      <c r="A7258" s="0" t="s">
        <v>7582</v>
      </c>
      <c r="B7258" s="0" t="s">
        <v>90</v>
      </c>
      <c r="C7258" s="0" t="str">
        <f aca="false">INDEX(Intent_Analysis!$B$5:$B$81,MATCH(B7258,Intent_Analysis!$A$5:$A$81,0))</f>
        <v>Fees &amp; charges</v>
      </c>
      <c r="D7258" s="0" t="n">
        <f aca="false">INDEX(Intent_Analysis!$E$5:$E$81,MATCH(B7258,Intent_Analysis!$A$5:$A$81,0))</f>
        <v>1</v>
      </c>
    </row>
    <row r="7259" customFormat="false" ht="15" hidden="false" customHeight="false" outlineLevel="0" collapsed="false">
      <c r="A7259" s="0" t="s">
        <v>7583</v>
      </c>
      <c r="B7259" s="0" t="s">
        <v>90</v>
      </c>
      <c r="C7259" s="0" t="str">
        <f aca="false">INDEX(Intent_Analysis!$B$5:$B$81,MATCH(B7259,Intent_Analysis!$A$5:$A$81,0))</f>
        <v>Fees &amp; charges</v>
      </c>
      <c r="D7259" s="0" t="n">
        <f aca="false">INDEX(Intent_Analysis!$E$5:$E$81,MATCH(B7259,Intent_Analysis!$A$5:$A$81,0))</f>
        <v>1</v>
      </c>
    </row>
    <row r="7260" customFormat="false" ht="15" hidden="false" customHeight="false" outlineLevel="0" collapsed="false">
      <c r="A7260" s="0" t="s">
        <v>7584</v>
      </c>
      <c r="B7260" s="0" t="s">
        <v>90</v>
      </c>
      <c r="C7260" s="0" t="str">
        <f aca="false">INDEX(Intent_Analysis!$B$5:$B$81,MATCH(B7260,Intent_Analysis!$A$5:$A$81,0))</f>
        <v>Fees &amp; charges</v>
      </c>
      <c r="D7260" s="0" t="n">
        <f aca="false">INDEX(Intent_Analysis!$E$5:$E$81,MATCH(B7260,Intent_Analysis!$A$5:$A$81,0))</f>
        <v>1</v>
      </c>
    </row>
    <row r="7261" customFormat="false" ht="15" hidden="false" customHeight="false" outlineLevel="0" collapsed="false">
      <c r="A7261" s="0" t="s">
        <v>7585</v>
      </c>
      <c r="B7261" s="0" t="s">
        <v>90</v>
      </c>
      <c r="C7261" s="0" t="str">
        <f aca="false">INDEX(Intent_Analysis!$B$5:$B$81,MATCH(B7261,Intent_Analysis!$A$5:$A$81,0))</f>
        <v>Fees &amp; charges</v>
      </c>
      <c r="D7261" s="0" t="n">
        <f aca="false">INDEX(Intent_Analysis!$E$5:$E$81,MATCH(B7261,Intent_Analysis!$A$5:$A$81,0))</f>
        <v>1</v>
      </c>
    </row>
    <row r="7262" customFormat="false" ht="15" hidden="false" customHeight="false" outlineLevel="0" collapsed="false">
      <c r="A7262" s="0" t="s">
        <v>7586</v>
      </c>
      <c r="B7262" s="0" t="s">
        <v>90</v>
      </c>
      <c r="C7262" s="0" t="str">
        <f aca="false">INDEX(Intent_Analysis!$B$5:$B$81,MATCH(B7262,Intent_Analysis!$A$5:$A$81,0))</f>
        <v>Fees &amp; charges</v>
      </c>
      <c r="D7262" s="0" t="n">
        <f aca="false">INDEX(Intent_Analysis!$E$5:$E$81,MATCH(B7262,Intent_Analysis!$A$5:$A$81,0))</f>
        <v>1</v>
      </c>
    </row>
    <row r="7263" customFormat="false" ht="15" hidden="false" customHeight="false" outlineLevel="0" collapsed="false">
      <c r="A7263" s="0" t="s">
        <v>7587</v>
      </c>
      <c r="B7263" s="0" t="s">
        <v>90</v>
      </c>
      <c r="C7263" s="0" t="str">
        <f aca="false">INDEX(Intent_Analysis!$B$5:$B$81,MATCH(B7263,Intent_Analysis!$A$5:$A$81,0))</f>
        <v>Fees &amp; charges</v>
      </c>
      <c r="D7263" s="0" t="n">
        <f aca="false">INDEX(Intent_Analysis!$E$5:$E$81,MATCH(B7263,Intent_Analysis!$A$5:$A$81,0))</f>
        <v>1</v>
      </c>
    </row>
    <row r="7264" customFormat="false" ht="15" hidden="false" customHeight="false" outlineLevel="0" collapsed="false">
      <c r="A7264" s="0" t="s">
        <v>7588</v>
      </c>
      <c r="B7264" s="0" t="s">
        <v>90</v>
      </c>
      <c r="C7264" s="0" t="str">
        <f aca="false">INDEX(Intent_Analysis!$B$5:$B$81,MATCH(B7264,Intent_Analysis!$A$5:$A$81,0))</f>
        <v>Fees &amp; charges</v>
      </c>
      <c r="D7264" s="0" t="n">
        <f aca="false">INDEX(Intent_Analysis!$E$5:$E$81,MATCH(B7264,Intent_Analysis!$A$5:$A$81,0))</f>
        <v>1</v>
      </c>
    </row>
    <row r="7265" customFormat="false" ht="15" hidden="false" customHeight="false" outlineLevel="0" collapsed="false">
      <c r="A7265" s="0" t="s">
        <v>7589</v>
      </c>
      <c r="B7265" s="0" t="s">
        <v>90</v>
      </c>
      <c r="C7265" s="0" t="str">
        <f aca="false">INDEX(Intent_Analysis!$B$5:$B$81,MATCH(B7265,Intent_Analysis!$A$5:$A$81,0))</f>
        <v>Fees &amp; charges</v>
      </c>
      <c r="D7265" s="0" t="n">
        <f aca="false">INDEX(Intent_Analysis!$E$5:$E$81,MATCH(B7265,Intent_Analysis!$A$5:$A$81,0))</f>
        <v>1</v>
      </c>
    </row>
    <row r="7266" customFormat="false" ht="15" hidden="false" customHeight="false" outlineLevel="0" collapsed="false">
      <c r="A7266" s="0" t="s">
        <v>7590</v>
      </c>
      <c r="B7266" s="0" t="s">
        <v>90</v>
      </c>
      <c r="C7266" s="0" t="str">
        <f aca="false">INDEX(Intent_Analysis!$B$5:$B$81,MATCH(B7266,Intent_Analysis!$A$5:$A$81,0))</f>
        <v>Fees &amp; charges</v>
      </c>
      <c r="D7266" s="0" t="n">
        <f aca="false">INDEX(Intent_Analysis!$E$5:$E$81,MATCH(B7266,Intent_Analysis!$A$5:$A$81,0))</f>
        <v>1</v>
      </c>
    </row>
    <row r="7267" customFormat="false" ht="15" hidden="false" customHeight="false" outlineLevel="0" collapsed="false">
      <c r="A7267" s="0" t="s">
        <v>7591</v>
      </c>
      <c r="B7267" s="0" t="s">
        <v>90</v>
      </c>
      <c r="C7267" s="0" t="str">
        <f aca="false">INDEX(Intent_Analysis!$B$5:$B$81,MATCH(B7267,Intent_Analysis!$A$5:$A$81,0))</f>
        <v>Fees &amp; charges</v>
      </c>
      <c r="D7267" s="0" t="n">
        <f aca="false">INDEX(Intent_Analysis!$E$5:$E$81,MATCH(B7267,Intent_Analysis!$A$5:$A$81,0))</f>
        <v>1</v>
      </c>
    </row>
    <row r="7268" customFormat="false" ht="15" hidden="false" customHeight="false" outlineLevel="0" collapsed="false">
      <c r="A7268" s="0" t="s">
        <v>7592</v>
      </c>
      <c r="B7268" s="0" t="s">
        <v>90</v>
      </c>
      <c r="C7268" s="0" t="str">
        <f aca="false">INDEX(Intent_Analysis!$B$5:$B$81,MATCH(B7268,Intent_Analysis!$A$5:$A$81,0))</f>
        <v>Fees &amp; charges</v>
      </c>
      <c r="D7268" s="0" t="n">
        <f aca="false">INDEX(Intent_Analysis!$E$5:$E$81,MATCH(B7268,Intent_Analysis!$A$5:$A$81,0))</f>
        <v>1</v>
      </c>
    </row>
    <row r="7269" customFormat="false" ht="15" hidden="false" customHeight="false" outlineLevel="0" collapsed="false">
      <c r="A7269" s="0" t="s">
        <v>7593</v>
      </c>
      <c r="B7269" s="0" t="s">
        <v>90</v>
      </c>
      <c r="C7269" s="0" t="str">
        <f aca="false">INDEX(Intent_Analysis!$B$5:$B$81,MATCH(B7269,Intent_Analysis!$A$5:$A$81,0))</f>
        <v>Fees &amp; charges</v>
      </c>
      <c r="D7269" s="0" t="n">
        <f aca="false">INDEX(Intent_Analysis!$E$5:$E$81,MATCH(B7269,Intent_Analysis!$A$5:$A$81,0))</f>
        <v>1</v>
      </c>
    </row>
    <row r="7270" customFormat="false" ht="15" hidden="false" customHeight="false" outlineLevel="0" collapsed="false">
      <c r="A7270" s="0" t="s">
        <v>7594</v>
      </c>
      <c r="B7270" s="0" t="s">
        <v>90</v>
      </c>
      <c r="C7270" s="0" t="str">
        <f aca="false">INDEX(Intent_Analysis!$B$5:$B$81,MATCH(B7270,Intent_Analysis!$A$5:$A$81,0))</f>
        <v>Fees &amp; charges</v>
      </c>
      <c r="D7270" s="0" t="n">
        <f aca="false">INDEX(Intent_Analysis!$E$5:$E$81,MATCH(B7270,Intent_Analysis!$A$5:$A$81,0))</f>
        <v>1</v>
      </c>
    </row>
    <row r="7271" customFormat="false" ht="15" hidden="false" customHeight="false" outlineLevel="0" collapsed="false">
      <c r="A7271" s="0" t="s">
        <v>7595</v>
      </c>
      <c r="B7271" s="0" t="s">
        <v>90</v>
      </c>
      <c r="C7271" s="0" t="str">
        <f aca="false">INDEX(Intent_Analysis!$B$5:$B$81,MATCH(B7271,Intent_Analysis!$A$5:$A$81,0))</f>
        <v>Fees &amp; charges</v>
      </c>
      <c r="D7271" s="0" t="n">
        <f aca="false">INDEX(Intent_Analysis!$E$5:$E$81,MATCH(B7271,Intent_Analysis!$A$5:$A$81,0))</f>
        <v>1</v>
      </c>
    </row>
    <row r="7272" customFormat="false" ht="15" hidden="false" customHeight="false" outlineLevel="0" collapsed="false">
      <c r="A7272" s="0" t="s">
        <v>7596</v>
      </c>
      <c r="B7272" s="0" t="s">
        <v>90</v>
      </c>
      <c r="C7272" s="0" t="str">
        <f aca="false">INDEX(Intent_Analysis!$B$5:$B$81,MATCH(B7272,Intent_Analysis!$A$5:$A$81,0))</f>
        <v>Fees &amp; charges</v>
      </c>
      <c r="D7272" s="0" t="n">
        <f aca="false">INDEX(Intent_Analysis!$E$5:$E$81,MATCH(B7272,Intent_Analysis!$A$5:$A$81,0))</f>
        <v>1</v>
      </c>
    </row>
    <row r="7273" customFormat="false" ht="15" hidden="false" customHeight="false" outlineLevel="0" collapsed="false">
      <c r="A7273" s="0" t="s">
        <v>7597</v>
      </c>
      <c r="B7273" s="0" t="s">
        <v>90</v>
      </c>
      <c r="C7273" s="0" t="str">
        <f aca="false">INDEX(Intent_Analysis!$B$5:$B$81,MATCH(B7273,Intent_Analysis!$A$5:$A$81,0))</f>
        <v>Fees &amp; charges</v>
      </c>
      <c r="D7273" s="0" t="n">
        <f aca="false">INDEX(Intent_Analysis!$E$5:$E$81,MATCH(B7273,Intent_Analysis!$A$5:$A$81,0))</f>
        <v>1</v>
      </c>
    </row>
    <row r="7274" customFormat="false" ht="15" hidden="false" customHeight="false" outlineLevel="0" collapsed="false">
      <c r="A7274" s="0" t="s">
        <v>7598</v>
      </c>
      <c r="B7274" s="0" t="s">
        <v>90</v>
      </c>
      <c r="C7274" s="0" t="str">
        <f aca="false">INDEX(Intent_Analysis!$B$5:$B$81,MATCH(B7274,Intent_Analysis!$A$5:$A$81,0))</f>
        <v>Fees &amp; charges</v>
      </c>
      <c r="D7274" s="0" t="n">
        <f aca="false">INDEX(Intent_Analysis!$E$5:$E$81,MATCH(B7274,Intent_Analysis!$A$5:$A$81,0))</f>
        <v>1</v>
      </c>
    </row>
    <row r="7275" customFormat="false" ht="15" hidden="false" customHeight="false" outlineLevel="0" collapsed="false">
      <c r="A7275" s="0" t="s">
        <v>7599</v>
      </c>
      <c r="B7275" s="0" t="s">
        <v>90</v>
      </c>
      <c r="C7275" s="0" t="str">
        <f aca="false">INDEX(Intent_Analysis!$B$5:$B$81,MATCH(B7275,Intent_Analysis!$A$5:$A$81,0))</f>
        <v>Fees &amp; charges</v>
      </c>
      <c r="D7275" s="0" t="n">
        <f aca="false">INDEX(Intent_Analysis!$E$5:$E$81,MATCH(B7275,Intent_Analysis!$A$5:$A$81,0))</f>
        <v>1</v>
      </c>
    </row>
    <row r="7276" customFormat="false" ht="15" hidden="false" customHeight="false" outlineLevel="0" collapsed="false">
      <c r="A7276" s="0" t="s">
        <v>7600</v>
      </c>
      <c r="B7276" s="0" t="s">
        <v>90</v>
      </c>
      <c r="C7276" s="0" t="str">
        <f aca="false">INDEX(Intent_Analysis!$B$5:$B$81,MATCH(B7276,Intent_Analysis!$A$5:$A$81,0))</f>
        <v>Fees &amp; charges</v>
      </c>
      <c r="D7276" s="0" t="n">
        <f aca="false">INDEX(Intent_Analysis!$E$5:$E$81,MATCH(B7276,Intent_Analysis!$A$5:$A$81,0))</f>
        <v>1</v>
      </c>
    </row>
    <row r="7277" customFormat="false" ht="15" hidden="false" customHeight="false" outlineLevel="0" collapsed="false">
      <c r="A7277" s="0" t="s">
        <v>7601</v>
      </c>
      <c r="B7277" s="0" t="s">
        <v>90</v>
      </c>
      <c r="C7277" s="0" t="str">
        <f aca="false">INDEX(Intent_Analysis!$B$5:$B$81,MATCH(B7277,Intent_Analysis!$A$5:$A$81,0))</f>
        <v>Fees &amp; charges</v>
      </c>
      <c r="D7277" s="0" t="n">
        <f aca="false">INDEX(Intent_Analysis!$E$5:$E$81,MATCH(B7277,Intent_Analysis!$A$5:$A$81,0))</f>
        <v>1</v>
      </c>
    </row>
    <row r="7278" customFormat="false" ht="15" hidden="false" customHeight="false" outlineLevel="0" collapsed="false">
      <c r="A7278" s="0" t="s">
        <v>7602</v>
      </c>
      <c r="B7278" s="0" t="s">
        <v>90</v>
      </c>
      <c r="C7278" s="0" t="str">
        <f aca="false">INDEX(Intent_Analysis!$B$5:$B$81,MATCH(B7278,Intent_Analysis!$A$5:$A$81,0))</f>
        <v>Fees &amp; charges</v>
      </c>
      <c r="D7278" s="0" t="n">
        <f aca="false">INDEX(Intent_Analysis!$E$5:$E$81,MATCH(B7278,Intent_Analysis!$A$5:$A$81,0))</f>
        <v>1</v>
      </c>
    </row>
    <row r="7279" customFormat="false" ht="15" hidden="false" customHeight="false" outlineLevel="0" collapsed="false">
      <c r="A7279" s="0" t="s">
        <v>7603</v>
      </c>
      <c r="B7279" s="0" t="s">
        <v>90</v>
      </c>
      <c r="C7279" s="0" t="str">
        <f aca="false">INDEX(Intent_Analysis!$B$5:$B$81,MATCH(B7279,Intent_Analysis!$A$5:$A$81,0))</f>
        <v>Fees &amp; charges</v>
      </c>
      <c r="D7279" s="0" t="n">
        <f aca="false">INDEX(Intent_Analysis!$E$5:$E$81,MATCH(B7279,Intent_Analysis!$A$5:$A$81,0))</f>
        <v>1</v>
      </c>
    </row>
    <row r="7280" customFormat="false" ht="15" hidden="false" customHeight="false" outlineLevel="0" collapsed="false">
      <c r="A7280" s="0" t="s">
        <v>7604</v>
      </c>
      <c r="B7280" s="0" t="s">
        <v>90</v>
      </c>
      <c r="C7280" s="0" t="str">
        <f aca="false">INDEX(Intent_Analysis!$B$5:$B$81,MATCH(B7280,Intent_Analysis!$A$5:$A$81,0))</f>
        <v>Fees &amp; charges</v>
      </c>
      <c r="D7280" s="0" t="n">
        <f aca="false">INDEX(Intent_Analysis!$E$5:$E$81,MATCH(B7280,Intent_Analysis!$A$5:$A$81,0))</f>
        <v>1</v>
      </c>
    </row>
    <row r="7281" customFormat="false" ht="15" hidden="false" customHeight="false" outlineLevel="0" collapsed="false">
      <c r="A7281" s="0" t="s">
        <v>7605</v>
      </c>
      <c r="B7281" s="0" t="s">
        <v>90</v>
      </c>
      <c r="C7281" s="0" t="str">
        <f aca="false">INDEX(Intent_Analysis!$B$5:$B$81,MATCH(B7281,Intent_Analysis!$A$5:$A$81,0))</f>
        <v>Fees &amp; charges</v>
      </c>
      <c r="D7281" s="0" t="n">
        <f aca="false">INDEX(Intent_Analysis!$E$5:$E$81,MATCH(B7281,Intent_Analysis!$A$5:$A$81,0))</f>
        <v>1</v>
      </c>
    </row>
    <row r="7282" customFormat="false" ht="15" hidden="false" customHeight="false" outlineLevel="0" collapsed="false">
      <c r="A7282" s="0" t="s">
        <v>7606</v>
      </c>
      <c r="B7282" s="0" t="s">
        <v>90</v>
      </c>
      <c r="C7282" s="0" t="str">
        <f aca="false">INDEX(Intent_Analysis!$B$5:$B$81,MATCH(B7282,Intent_Analysis!$A$5:$A$81,0))</f>
        <v>Fees &amp; charges</v>
      </c>
      <c r="D7282" s="0" t="n">
        <f aca="false">INDEX(Intent_Analysis!$E$5:$E$81,MATCH(B7282,Intent_Analysis!$A$5:$A$81,0))</f>
        <v>1</v>
      </c>
    </row>
    <row r="7283" customFormat="false" ht="15" hidden="false" customHeight="false" outlineLevel="0" collapsed="false">
      <c r="A7283" s="0" t="s">
        <v>7607</v>
      </c>
      <c r="B7283" s="0" t="s">
        <v>90</v>
      </c>
      <c r="C7283" s="0" t="str">
        <f aca="false">INDEX(Intent_Analysis!$B$5:$B$81,MATCH(B7283,Intent_Analysis!$A$5:$A$81,0))</f>
        <v>Fees &amp; charges</v>
      </c>
      <c r="D7283" s="0" t="n">
        <f aca="false">INDEX(Intent_Analysis!$E$5:$E$81,MATCH(B7283,Intent_Analysis!$A$5:$A$81,0))</f>
        <v>1</v>
      </c>
    </row>
    <row r="7284" customFormat="false" ht="15" hidden="false" customHeight="false" outlineLevel="0" collapsed="false">
      <c r="A7284" s="0" t="s">
        <v>7608</v>
      </c>
      <c r="B7284" s="0" t="s">
        <v>90</v>
      </c>
      <c r="C7284" s="0" t="str">
        <f aca="false">INDEX(Intent_Analysis!$B$5:$B$81,MATCH(B7284,Intent_Analysis!$A$5:$A$81,0))</f>
        <v>Fees &amp; charges</v>
      </c>
      <c r="D7284" s="0" t="n">
        <f aca="false">INDEX(Intent_Analysis!$E$5:$E$81,MATCH(B7284,Intent_Analysis!$A$5:$A$81,0))</f>
        <v>1</v>
      </c>
    </row>
    <row r="7285" customFormat="false" ht="15" hidden="false" customHeight="false" outlineLevel="0" collapsed="false">
      <c r="A7285" s="0" t="s">
        <v>7609</v>
      </c>
      <c r="B7285" s="0" t="s">
        <v>90</v>
      </c>
      <c r="C7285" s="0" t="str">
        <f aca="false">INDEX(Intent_Analysis!$B$5:$B$81,MATCH(B7285,Intent_Analysis!$A$5:$A$81,0))</f>
        <v>Fees &amp; charges</v>
      </c>
      <c r="D7285" s="0" t="n">
        <f aca="false">INDEX(Intent_Analysis!$E$5:$E$81,MATCH(B7285,Intent_Analysis!$A$5:$A$81,0))</f>
        <v>1</v>
      </c>
    </row>
    <row r="7286" customFormat="false" ht="15" hidden="false" customHeight="false" outlineLevel="0" collapsed="false">
      <c r="A7286" s="0" t="s">
        <v>7610</v>
      </c>
      <c r="B7286" s="0" t="s">
        <v>90</v>
      </c>
      <c r="C7286" s="0" t="str">
        <f aca="false">INDEX(Intent_Analysis!$B$5:$B$81,MATCH(B7286,Intent_Analysis!$A$5:$A$81,0))</f>
        <v>Fees &amp; charges</v>
      </c>
      <c r="D7286" s="0" t="n">
        <f aca="false">INDEX(Intent_Analysis!$E$5:$E$81,MATCH(B7286,Intent_Analysis!$A$5:$A$81,0))</f>
        <v>1</v>
      </c>
    </row>
    <row r="7287" customFormat="false" ht="15" hidden="false" customHeight="false" outlineLevel="0" collapsed="false">
      <c r="A7287" s="0" t="s">
        <v>7611</v>
      </c>
      <c r="B7287" s="0" t="s">
        <v>90</v>
      </c>
      <c r="C7287" s="0" t="str">
        <f aca="false">INDEX(Intent_Analysis!$B$5:$B$81,MATCH(B7287,Intent_Analysis!$A$5:$A$81,0))</f>
        <v>Fees &amp; charges</v>
      </c>
      <c r="D7287" s="0" t="n">
        <f aca="false">INDEX(Intent_Analysis!$E$5:$E$81,MATCH(B7287,Intent_Analysis!$A$5:$A$81,0))</f>
        <v>1</v>
      </c>
    </row>
    <row r="7288" customFormat="false" ht="15" hidden="false" customHeight="false" outlineLevel="0" collapsed="false">
      <c r="A7288" s="0" t="s">
        <v>7612</v>
      </c>
      <c r="B7288" s="0" t="s">
        <v>90</v>
      </c>
      <c r="C7288" s="0" t="str">
        <f aca="false">INDEX(Intent_Analysis!$B$5:$B$81,MATCH(B7288,Intent_Analysis!$A$5:$A$81,0))</f>
        <v>Fees &amp; charges</v>
      </c>
      <c r="D7288" s="0" t="n">
        <f aca="false">INDEX(Intent_Analysis!$E$5:$E$81,MATCH(B7288,Intent_Analysis!$A$5:$A$81,0))</f>
        <v>1</v>
      </c>
    </row>
    <row r="7289" customFormat="false" ht="15" hidden="false" customHeight="false" outlineLevel="0" collapsed="false">
      <c r="A7289" s="0" t="s">
        <v>7613</v>
      </c>
      <c r="B7289" s="0" t="s">
        <v>90</v>
      </c>
      <c r="C7289" s="0" t="str">
        <f aca="false">INDEX(Intent_Analysis!$B$5:$B$81,MATCH(B7289,Intent_Analysis!$A$5:$A$81,0))</f>
        <v>Fees &amp; charges</v>
      </c>
      <c r="D7289" s="0" t="n">
        <f aca="false">INDEX(Intent_Analysis!$E$5:$E$81,MATCH(B7289,Intent_Analysis!$A$5:$A$81,0))</f>
        <v>1</v>
      </c>
    </row>
    <row r="7290" customFormat="false" ht="15" hidden="false" customHeight="false" outlineLevel="0" collapsed="false">
      <c r="A7290" s="0" t="s">
        <v>7614</v>
      </c>
      <c r="B7290" s="0" t="s">
        <v>90</v>
      </c>
      <c r="C7290" s="0" t="str">
        <f aca="false">INDEX(Intent_Analysis!$B$5:$B$81,MATCH(B7290,Intent_Analysis!$A$5:$A$81,0))</f>
        <v>Fees &amp; charges</v>
      </c>
      <c r="D7290" s="0" t="n">
        <f aca="false">INDEX(Intent_Analysis!$E$5:$E$81,MATCH(B7290,Intent_Analysis!$A$5:$A$81,0))</f>
        <v>1</v>
      </c>
    </row>
    <row r="7291" customFormat="false" ht="15" hidden="false" customHeight="false" outlineLevel="0" collapsed="false">
      <c r="A7291" s="0" t="s">
        <v>7615</v>
      </c>
      <c r="B7291" s="0" t="s">
        <v>90</v>
      </c>
      <c r="C7291" s="0" t="str">
        <f aca="false">INDEX(Intent_Analysis!$B$5:$B$81,MATCH(B7291,Intent_Analysis!$A$5:$A$81,0))</f>
        <v>Fees &amp; charges</v>
      </c>
      <c r="D7291" s="0" t="n">
        <f aca="false">INDEX(Intent_Analysis!$E$5:$E$81,MATCH(B7291,Intent_Analysis!$A$5:$A$81,0))</f>
        <v>1</v>
      </c>
    </row>
    <row r="7292" customFormat="false" ht="15" hidden="false" customHeight="false" outlineLevel="0" collapsed="false">
      <c r="A7292" s="0" t="s">
        <v>7616</v>
      </c>
      <c r="B7292" s="0" t="s">
        <v>90</v>
      </c>
      <c r="C7292" s="0" t="str">
        <f aca="false">INDEX(Intent_Analysis!$B$5:$B$81,MATCH(B7292,Intent_Analysis!$A$5:$A$81,0))</f>
        <v>Fees &amp; charges</v>
      </c>
      <c r="D7292" s="0" t="n">
        <f aca="false">INDEX(Intent_Analysis!$E$5:$E$81,MATCH(B7292,Intent_Analysis!$A$5:$A$81,0))</f>
        <v>1</v>
      </c>
    </row>
    <row r="7293" customFormat="false" ht="15" hidden="false" customHeight="false" outlineLevel="0" collapsed="false">
      <c r="A7293" s="0" t="s">
        <v>7617</v>
      </c>
      <c r="B7293" s="0" t="s">
        <v>90</v>
      </c>
      <c r="C7293" s="0" t="str">
        <f aca="false">INDEX(Intent_Analysis!$B$5:$B$81,MATCH(B7293,Intent_Analysis!$A$5:$A$81,0))</f>
        <v>Fees &amp; charges</v>
      </c>
      <c r="D7293" s="0" t="n">
        <f aca="false">INDEX(Intent_Analysis!$E$5:$E$81,MATCH(B7293,Intent_Analysis!$A$5:$A$81,0))</f>
        <v>1</v>
      </c>
    </row>
    <row r="7294" customFormat="false" ht="15" hidden="false" customHeight="false" outlineLevel="0" collapsed="false">
      <c r="A7294" s="0" t="s">
        <v>7618</v>
      </c>
      <c r="B7294" s="0" t="s">
        <v>90</v>
      </c>
      <c r="C7294" s="0" t="str">
        <f aca="false">INDEX(Intent_Analysis!$B$5:$B$81,MATCH(B7294,Intent_Analysis!$A$5:$A$81,0))</f>
        <v>Fees &amp; charges</v>
      </c>
      <c r="D7294" s="0" t="n">
        <f aca="false">INDEX(Intent_Analysis!$E$5:$E$81,MATCH(B7294,Intent_Analysis!$A$5:$A$81,0))</f>
        <v>1</v>
      </c>
    </row>
    <row r="7295" customFormat="false" ht="15" hidden="false" customHeight="false" outlineLevel="0" collapsed="false">
      <c r="A7295" s="0" t="s">
        <v>7619</v>
      </c>
      <c r="B7295" s="0" t="s">
        <v>90</v>
      </c>
      <c r="C7295" s="0" t="str">
        <f aca="false">INDEX(Intent_Analysis!$B$5:$B$81,MATCH(B7295,Intent_Analysis!$A$5:$A$81,0))</f>
        <v>Fees &amp; charges</v>
      </c>
      <c r="D7295" s="0" t="n">
        <f aca="false">INDEX(Intent_Analysis!$E$5:$E$81,MATCH(B7295,Intent_Analysis!$A$5:$A$81,0))</f>
        <v>1</v>
      </c>
    </row>
    <row r="7296" customFormat="false" ht="15" hidden="false" customHeight="false" outlineLevel="0" collapsed="false">
      <c r="A7296" s="0" t="s">
        <v>7620</v>
      </c>
      <c r="B7296" s="0" t="s">
        <v>90</v>
      </c>
      <c r="C7296" s="0" t="str">
        <f aca="false">INDEX(Intent_Analysis!$B$5:$B$81,MATCH(B7296,Intent_Analysis!$A$5:$A$81,0))</f>
        <v>Fees &amp; charges</v>
      </c>
      <c r="D7296" s="0" t="n">
        <f aca="false">INDEX(Intent_Analysis!$E$5:$E$81,MATCH(B7296,Intent_Analysis!$A$5:$A$81,0))</f>
        <v>1</v>
      </c>
    </row>
    <row r="7297" customFormat="false" ht="15" hidden="false" customHeight="false" outlineLevel="0" collapsed="false">
      <c r="A7297" s="0" t="s">
        <v>7621</v>
      </c>
      <c r="B7297" s="0" t="s">
        <v>90</v>
      </c>
      <c r="C7297" s="0" t="str">
        <f aca="false">INDEX(Intent_Analysis!$B$5:$B$81,MATCH(B7297,Intent_Analysis!$A$5:$A$81,0))</f>
        <v>Fees &amp; charges</v>
      </c>
      <c r="D7297" s="0" t="n">
        <f aca="false">INDEX(Intent_Analysis!$E$5:$E$81,MATCH(B7297,Intent_Analysis!$A$5:$A$81,0))</f>
        <v>1</v>
      </c>
    </row>
    <row r="7298" customFormat="false" ht="15" hidden="false" customHeight="false" outlineLevel="0" collapsed="false">
      <c r="A7298" s="0" t="s">
        <v>7622</v>
      </c>
      <c r="B7298" s="0" t="s">
        <v>90</v>
      </c>
      <c r="C7298" s="0" t="str">
        <f aca="false">INDEX(Intent_Analysis!$B$5:$B$81,MATCH(B7298,Intent_Analysis!$A$5:$A$81,0))</f>
        <v>Fees &amp; charges</v>
      </c>
      <c r="D7298" s="0" t="n">
        <f aca="false">INDEX(Intent_Analysis!$E$5:$E$81,MATCH(B7298,Intent_Analysis!$A$5:$A$81,0))</f>
        <v>1</v>
      </c>
    </row>
    <row r="7299" customFormat="false" ht="15" hidden="false" customHeight="false" outlineLevel="0" collapsed="false">
      <c r="A7299" s="0" t="s">
        <v>7623</v>
      </c>
      <c r="B7299" s="0" t="s">
        <v>90</v>
      </c>
      <c r="C7299" s="0" t="str">
        <f aca="false">INDEX(Intent_Analysis!$B$5:$B$81,MATCH(B7299,Intent_Analysis!$A$5:$A$81,0))</f>
        <v>Fees &amp; charges</v>
      </c>
      <c r="D7299" s="0" t="n">
        <f aca="false">INDEX(Intent_Analysis!$E$5:$E$81,MATCH(B7299,Intent_Analysis!$A$5:$A$81,0))</f>
        <v>1</v>
      </c>
    </row>
    <row r="7300" customFormat="false" ht="15" hidden="false" customHeight="false" outlineLevel="0" collapsed="false">
      <c r="A7300" s="0" t="s">
        <v>7624</v>
      </c>
      <c r="B7300" s="0" t="s">
        <v>90</v>
      </c>
      <c r="C7300" s="0" t="str">
        <f aca="false">INDEX(Intent_Analysis!$B$5:$B$81,MATCH(B7300,Intent_Analysis!$A$5:$A$81,0))</f>
        <v>Fees &amp; charges</v>
      </c>
      <c r="D7300" s="0" t="n">
        <f aca="false">INDEX(Intent_Analysis!$E$5:$E$81,MATCH(B7300,Intent_Analysis!$A$5:$A$81,0))</f>
        <v>1</v>
      </c>
    </row>
    <row r="7301" customFormat="false" ht="15" hidden="false" customHeight="false" outlineLevel="0" collapsed="false">
      <c r="A7301" s="0" t="s">
        <v>7625</v>
      </c>
      <c r="B7301" s="0" t="s">
        <v>90</v>
      </c>
      <c r="C7301" s="0" t="str">
        <f aca="false">INDEX(Intent_Analysis!$B$5:$B$81,MATCH(B7301,Intent_Analysis!$A$5:$A$81,0))</f>
        <v>Fees &amp; charges</v>
      </c>
      <c r="D7301" s="0" t="n">
        <f aca="false">INDEX(Intent_Analysis!$E$5:$E$81,MATCH(B7301,Intent_Analysis!$A$5:$A$81,0))</f>
        <v>1</v>
      </c>
    </row>
    <row r="7302" customFormat="false" ht="15" hidden="false" customHeight="false" outlineLevel="0" collapsed="false">
      <c r="A7302" s="0" t="s">
        <v>7626</v>
      </c>
      <c r="B7302" s="0" t="s">
        <v>90</v>
      </c>
      <c r="C7302" s="0" t="str">
        <f aca="false">INDEX(Intent_Analysis!$B$5:$B$81,MATCH(B7302,Intent_Analysis!$A$5:$A$81,0))</f>
        <v>Fees &amp; charges</v>
      </c>
      <c r="D7302" s="0" t="n">
        <f aca="false">INDEX(Intent_Analysis!$E$5:$E$81,MATCH(B7302,Intent_Analysis!$A$5:$A$81,0))</f>
        <v>1</v>
      </c>
    </row>
    <row r="7303" customFormat="false" ht="15" hidden="false" customHeight="false" outlineLevel="0" collapsed="false">
      <c r="A7303" s="0" t="s">
        <v>7627</v>
      </c>
      <c r="B7303" s="0" t="s">
        <v>90</v>
      </c>
      <c r="C7303" s="0" t="str">
        <f aca="false">INDEX(Intent_Analysis!$B$5:$B$81,MATCH(B7303,Intent_Analysis!$A$5:$A$81,0))</f>
        <v>Fees &amp; charges</v>
      </c>
      <c r="D7303" s="0" t="n">
        <f aca="false">INDEX(Intent_Analysis!$E$5:$E$81,MATCH(B7303,Intent_Analysis!$A$5:$A$81,0))</f>
        <v>1</v>
      </c>
    </row>
    <row r="7304" customFormat="false" ht="15" hidden="false" customHeight="false" outlineLevel="0" collapsed="false">
      <c r="A7304" s="0" t="s">
        <v>7628</v>
      </c>
      <c r="B7304" s="0" t="s">
        <v>90</v>
      </c>
      <c r="C7304" s="0" t="str">
        <f aca="false">INDEX(Intent_Analysis!$B$5:$B$81,MATCH(B7304,Intent_Analysis!$A$5:$A$81,0))</f>
        <v>Fees &amp; charges</v>
      </c>
      <c r="D7304" s="0" t="n">
        <f aca="false">INDEX(Intent_Analysis!$E$5:$E$81,MATCH(B7304,Intent_Analysis!$A$5:$A$81,0))</f>
        <v>1</v>
      </c>
    </row>
    <row r="7305" customFormat="false" ht="15" hidden="false" customHeight="false" outlineLevel="0" collapsed="false">
      <c r="A7305" s="0" t="s">
        <v>7629</v>
      </c>
      <c r="B7305" s="0" t="s">
        <v>90</v>
      </c>
      <c r="C7305" s="0" t="str">
        <f aca="false">INDEX(Intent_Analysis!$B$5:$B$81,MATCH(B7305,Intent_Analysis!$A$5:$A$81,0))</f>
        <v>Fees &amp; charges</v>
      </c>
      <c r="D7305" s="0" t="n">
        <f aca="false">INDEX(Intent_Analysis!$E$5:$E$81,MATCH(B7305,Intent_Analysis!$A$5:$A$81,0))</f>
        <v>1</v>
      </c>
    </row>
    <row r="7306" customFormat="false" ht="15" hidden="false" customHeight="false" outlineLevel="0" collapsed="false">
      <c r="A7306" s="0" t="s">
        <v>7630</v>
      </c>
      <c r="B7306" s="0" t="s">
        <v>90</v>
      </c>
      <c r="C7306" s="0" t="str">
        <f aca="false">INDEX(Intent_Analysis!$B$5:$B$81,MATCH(B7306,Intent_Analysis!$A$5:$A$81,0))</f>
        <v>Fees &amp; charges</v>
      </c>
      <c r="D7306" s="0" t="n">
        <f aca="false">INDEX(Intent_Analysis!$E$5:$E$81,MATCH(B7306,Intent_Analysis!$A$5:$A$81,0))</f>
        <v>1</v>
      </c>
    </row>
    <row r="7307" customFormat="false" ht="15" hidden="false" customHeight="false" outlineLevel="0" collapsed="false">
      <c r="A7307" s="0" t="s">
        <v>7631</v>
      </c>
      <c r="B7307" s="0" t="s">
        <v>90</v>
      </c>
      <c r="C7307" s="0" t="str">
        <f aca="false">INDEX(Intent_Analysis!$B$5:$B$81,MATCH(B7307,Intent_Analysis!$A$5:$A$81,0))</f>
        <v>Fees &amp; charges</v>
      </c>
      <c r="D7307" s="0" t="n">
        <f aca="false">INDEX(Intent_Analysis!$E$5:$E$81,MATCH(B7307,Intent_Analysis!$A$5:$A$81,0))</f>
        <v>1</v>
      </c>
    </row>
    <row r="7308" customFormat="false" ht="15" hidden="false" customHeight="false" outlineLevel="0" collapsed="false">
      <c r="A7308" s="0" t="s">
        <v>7632</v>
      </c>
      <c r="B7308" s="0" t="s">
        <v>90</v>
      </c>
      <c r="C7308" s="0" t="str">
        <f aca="false">INDEX(Intent_Analysis!$B$5:$B$81,MATCH(B7308,Intent_Analysis!$A$5:$A$81,0))</f>
        <v>Fees &amp; charges</v>
      </c>
      <c r="D7308" s="0" t="n">
        <f aca="false">INDEX(Intent_Analysis!$E$5:$E$81,MATCH(B7308,Intent_Analysis!$A$5:$A$81,0))</f>
        <v>1</v>
      </c>
    </row>
    <row r="7309" customFormat="false" ht="15" hidden="false" customHeight="false" outlineLevel="0" collapsed="false">
      <c r="A7309" s="0" t="s">
        <v>7633</v>
      </c>
      <c r="B7309" s="0" t="s">
        <v>90</v>
      </c>
      <c r="C7309" s="0" t="str">
        <f aca="false">INDEX(Intent_Analysis!$B$5:$B$81,MATCH(B7309,Intent_Analysis!$A$5:$A$81,0))</f>
        <v>Fees &amp; charges</v>
      </c>
      <c r="D7309" s="0" t="n">
        <f aca="false">INDEX(Intent_Analysis!$E$5:$E$81,MATCH(B7309,Intent_Analysis!$A$5:$A$81,0))</f>
        <v>1</v>
      </c>
    </row>
    <row r="7310" customFormat="false" ht="15" hidden="false" customHeight="false" outlineLevel="0" collapsed="false">
      <c r="A7310" s="0" t="s">
        <v>7634</v>
      </c>
      <c r="B7310" s="0" t="s">
        <v>90</v>
      </c>
      <c r="C7310" s="0" t="str">
        <f aca="false">INDEX(Intent_Analysis!$B$5:$B$81,MATCH(B7310,Intent_Analysis!$A$5:$A$81,0))</f>
        <v>Fees &amp; charges</v>
      </c>
      <c r="D7310" s="0" t="n">
        <f aca="false">INDEX(Intent_Analysis!$E$5:$E$81,MATCH(B7310,Intent_Analysis!$A$5:$A$81,0))</f>
        <v>1</v>
      </c>
    </row>
    <row r="7311" customFormat="false" ht="15" hidden="false" customHeight="false" outlineLevel="0" collapsed="false">
      <c r="A7311" s="0" t="s">
        <v>7635</v>
      </c>
      <c r="B7311" s="0" t="s">
        <v>90</v>
      </c>
      <c r="C7311" s="0" t="str">
        <f aca="false">INDEX(Intent_Analysis!$B$5:$B$81,MATCH(B7311,Intent_Analysis!$A$5:$A$81,0))</f>
        <v>Fees &amp; charges</v>
      </c>
      <c r="D7311" s="0" t="n">
        <f aca="false">INDEX(Intent_Analysis!$E$5:$E$81,MATCH(B7311,Intent_Analysis!$A$5:$A$81,0))</f>
        <v>1</v>
      </c>
    </row>
    <row r="7312" customFormat="false" ht="15" hidden="false" customHeight="false" outlineLevel="0" collapsed="false">
      <c r="A7312" s="0" t="s">
        <v>7636</v>
      </c>
      <c r="B7312" s="0" t="s">
        <v>90</v>
      </c>
      <c r="C7312" s="0" t="str">
        <f aca="false">INDEX(Intent_Analysis!$B$5:$B$81,MATCH(B7312,Intent_Analysis!$A$5:$A$81,0))</f>
        <v>Fees &amp; charges</v>
      </c>
      <c r="D7312" s="0" t="n">
        <f aca="false">INDEX(Intent_Analysis!$E$5:$E$81,MATCH(B7312,Intent_Analysis!$A$5:$A$81,0))</f>
        <v>1</v>
      </c>
    </row>
    <row r="7313" customFormat="false" ht="15" hidden="false" customHeight="false" outlineLevel="0" collapsed="false">
      <c r="A7313" s="0" t="s">
        <v>7637</v>
      </c>
      <c r="B7313" s="0" t="s">
        <v>90</v>
      </c>
      <c r="C7313" s="0" t="str">
        <f aca="false">INDEX(Intent_Analysis!$B$5:$B$81,MATCH(B7313,Intent_Analysis!$A$5:$A$81,0))</f>
        <v>Fees &amp; charges</v>
      </c>
      <c r="D7313" s="0" t="n">
        <f aca="false">INDEX(Intent_Analysis!$E$5:$E$81,MATCH(B7313,Intent_Analysis!$A$5:$A$81,0))</f>
        <v>1</v>
      </c>
    </row>
    <row r="7314" customFormat="false" ht="15" hidden="false" customHeight="false" outlineLevel="0" collapsed="false">
      <c r="A7314" s="0" t="s">
        <v>7638</v>
      </c>
      <c r="B7314" s="0" t="s">
        <v>90</v>
      </c>
      <c r="C7314" s="0" t="str">
        <f aca="false">INDEX(Intent_Analysis!$B$5:$B$81,MATCH(B7314,Intent_Analysis!$A$5:$A$81,0))</f>
        <v>Fees &amp; charges</v>
      </c>
      <c r="D7314" s="0" t="n">
        <f aca="false">INDEX(Intent_Analysis!$E$5:$E$81,MATCH(B7314,Intent_Analysis!$A$5:$A$81,0))</f>
        <v>1</v>
      </c>
    </row>
    <row r="7315" customFormat="false" ht="15" hidden="false" customHeight="false" outlineLevel="0" collapsed="false">
      <c r="A7315" s="0" t="s">
        <v>7639</v>
      </c>
      <c r="B7315" s="0" t="s">
        <v>90</v>
      </c>
      <c r="C7315" s="0" t="str">
        <f aca="false">INDEX(Intent_Analysis!$B$5:$B$81,MATCH(B7315,Intent_Analysis!$A$5:$A$81,0))</f>
        <v>Fees &amp; charges</v>
      </c>
      <c r="D7315" s="0" t="n">
        <f aca="false">INDEX(Intent_Analysis!$E$5:$E$81,MATCH(B7315,Intent_Analysis!$A$5:$A$81,0))</f>
        <v>1</v>
      </c>
    </row>
    <row r="7316" customFormat="false" ht="15" hidden="false" customHeight="false" outlineLevel="0" collapsed="false">
      <c r="A7316" s="0" t="s">
        <v>7640</v>
      </c>
      <c r="B7316" s="0" t="s">
        <v>90</v>
      </c>
      <c r="C7316" s="0" t="str">
        <f aca="false">INDEX(Intent_Analysis!$B$5:$B$81,MATCH(B7316,Intent_Analysis!$A$5:$A$81,0))</f>
        <v>Fees &amp; charges</v>
      </c>
      <c r="D7316" s="0" t="n">
        <f aca="false">INDEX(Intent_Analysis!$E$5:$E$81,MATCH(B7316,Intent_Analysis!$A$5:$A$81,0))</f>
        <v>1</v>
      </c>
    </row>
    <row r="7317" customFormat="false" ht="15" hidden="false" customHeight="false" outlineLevel="0" collapsed="false">
      <c r="A7317" s="0" t="s">
        <v>7641</v>
      </c>
      <c r="B7317" s="0" t="s">
        <v>90</v>
      </c>
      <c r="C7317" s="0" t="str">
        <f aca="false">INDEX(Intent_Analysis!$B$5:$B$81,MATCH(B7317,Intent_Analysis!$A$5:$A$81,0))</f>
        <v>Fees &amp; charges</v>
      </c>
      <c r="D7317" s="0" t="n">
        <f aca="false">INDEX(Intent_Analysis!$E$5:$E$81,MATCH(B7317,Intent_Analysis!$A$5:$A$81,0))</f>
        <v>1</v>
      </c>
    </row>
    <row r="7318" customFormat="false" ht="15" hidden="false" customHeight="false" outlineLevel="0" collapsed="false">
      <c r="A7318" s="0" t="s">
        <v>7642</v>
      </c>
      <c r="B7318" s="0" t="s">
        <v>90</v>
      </c>
      <c r="C7318" s="0" t="str">
        <f aca="false">INDEX(Intent_Analysis!$B$5:$B$81,MATCH(B7318,Intent_Analysis!$A$5:$A$81,0))</f>
        <v>Fees &amp; charges</v>
      </c>
      <c r="D7318" s="0" t="n">
        <f aca="false">INDEX(Intent_Analysis!$E$5:$E$81,MATCH(B7318,Intent_Analysis!$A$5:$A$81,0))</f>
        <v>1</v>
      </c>
    </row>
    <row r="7319" customFormat="false" ht="15" hidden="false" customHeight="false" outlineLevel="0" collapsed="false">
      <c r="A7319" s="0" t="s">
        <v>7643</v>
      </c>
      <c r="B7319" s="0" t="s">
        <v>90</v>
      </c>
      <c r="C7319" s="0" t="str">
        <f aca="false">INDEX(Intent_Analysis!$B$5:$B$81,MATCH(B7319,Intent_Analysis!$A$5:$A$81,0))</f>
        <v>Fees &amp; charges</v>
      </c>
      <c r="D7319" s="0" t="n">
        <f aca="false">INDEX(Intent_Analysis!$E$5:$E$81,MATCH(B7319,Intent_Analysis!$A$5:$A$81,0))</f>
        <v>1</v>
      </c>
    </row>
    <row r="7320" customFormat="false" ht="15" hidden="false" customHeight="false" outlineLevel="0" collapsed="false">
      <c r="A7320" s="0" t="s">
        <v>7644</v>
      </c>
      <c r="B7320" s="0" t="s">
        <v>90</v>
      </c>
      <c r="C7320" s="0" t="str">
        <f aca="false">INDEX(Intent_Analysis!$B$5:$B$81,MATCH(B7320,Intent_Analysis!$A$5:$A$81,0))</f>
        <v>Fees &amp; charges</v>
      </c>
      <c r="D7320" s="0" t="n">
        <f aca="false">INDEX(Intent_Analysis!$E$5:$E$81,MATCH(B7320,Intent_Analysis!$A$5:$A$81,0))</f>
        <v>1</v>
      </c>
    </row>
    <row r="7321" customFormat="false" ht="15" hidden="false" customHeight="false" outlineLevel="0" collapsed="false">
      <c r="A7321" s="0" t="s">
        <v>7645</v>
      </c>
      <c r="B7321" s="0" t="s">
        <v>90</v>
      </c>
      <c r="C7321" s="0" t="str">
        <f aca="false">INDEX(Intent_Analysis!$B$5:$B$81,MATCH(B7321,Intent_Analysis!$A$5:$A$81,0))</f>
        <v>Fees &amp; charges</v>
      </c>
      <c r="D7321" s="0" t="n">
        <f aca="false">INDEX(Intent_Analysis!$E$5:$E$81,MATCH(B7321,Intent_Analysis!$A$5:$A$81,0))</f>
        <v>1</v>
      </c>
    </row>
    <row r="7322" customFormat="false" ht="15" hidden="false" customHeight="false" outlineLevel="0" collapsed="false">
      <c r="A7322" s="0" t="s">
        <v>7646</v>
      </c>
      <c r="B7322" s="0" t="s">
        <v>90</v>
      </c>
      <c r="C7322" s="0" t="str">
        <f aca="false">INDEX(Intent_Analysis!$B$5:$B$81,MATCH(B7322,Intent_Analysis!$A$5:$A$81,0))</f>
        <v>Fees &amp; charges</v>
      </c>
      <c r="D7322" s="0" t="n">
        <f aca="false">INDEX(Intent_Analysis!$E$5:$E$81,MATCH(B7322,Intent_Analysis!$A$5:$A$81,0))</f>
        <v>1</v>
      </c>
    </row>
    <row r="7323" customFormat="false" ht="15" hidden="false" customHeight="false" outlineLevel="0" collapsed="false">
      <c r="A7323" s="0" t="s">
        <v>7647</v>
      </c>
      <c r="B7323" s="0" t="s">
        <v>90</v>
      </c>
      <c r="C7323" s="0" t="str">
        <f aca="false">INDEX(Intent_Analysis!$B$5:$B$81,MATCH(B7323,Intent_Analysis!$A$5:$A$81,0))</f>
        <v>Fees &amp; charges</v>
      </c>
      <c r="D7323" s="0" t="n">
        <f aca="false">INDEX(Intent_Analysis!$E$5:$E$81,MATCH(B7323,Intent_Analysis!$A$5:$A$81,0))</f>
        <v>1</v>
      </c>
    </row>
    <row r="7324" customFormat="false" ht="15" hidden="false" customHeight="false" outlineLevel="0" collapsed="false">
      <c r="A7324" s="0" t="s">
        <v>7648</v>
      </c>
      <c r="B7324" s="0" t="s">
        <v>90</v>
      </c>
      <c r="C7324" s="0" t="str">
        <f aca="false">INDEX(Intent_Analysis!$B$5:$B$81,MATCH(B7324,Intent_Analysis!$A$5:$A$81,0))</f>
        <v>Fees &amp; charges</v>
      </c>
      <c r="D7324" s="0" t="n">
        <f aca="false">INDEX(Intent_Analysis!$E$5:$E$81,MATCH(B7324,Intent_Analysis!$A$5:$A$81,0))</f>
        <v>1</v>
      </c>
    </row>
    <row r="7325" customFormat="false" ht="15" hidden="false" customHeight="false" outlineLevel="0" collapsed="false">
      <c r="A7325" s="0" t="s">
        <v>7649</v>
      </c>
      <c r="B7325" s="0" t="s">
        <v>90</v>
      </c>
      <c r="C7325" s="0" t="str">
        <f aca="false">INDEX(Intent_Analysis!$B$5:$B$81,MATCH(B7325,Intent_Analysis!$A$5:$A$81,0))</f>
        <v>Fees &amp; charges</v>
      </c>
      <c r="D7325" s="0" t="n">
        <f aca="false">INDEX(Intent_Analysis!$E$5:$E$81,MATCH(B7325,Intent_Analysis!$A$5:$A$81,0))</f>
        <v>1</v>
      </c>
    </row>
    <row r="7326" customFormat="false" ht="15" hidden="false" customHeight="false" outlineLevel="0" collapsed="false">
      <c r="A7326" s="0" t="s">
        <v>7650</v>
      </c>
      <c r="B7326" s="0" t="s">
        <v>90</v>
      </c>
      <c r="C7326" s="0" t="str">
        <f aca="false">INDEX(Intent_Analysis!$B$5:$B$81,MATCH(B7326,Intent_Analysis!$A$5:$A$81,0))</f>
        <v>Fees &amp; charges</v>
      </c>
      <c r="D7326" s="0" t="n">
        <f aca="false">INDEX(Intent_Analysis!$E$5:$E$81,MATCH(B7326,Intent_Analysis!$A$5:$A$81,0))</f>
        <v>1</v>
      </c>
    </row>
    <row r="7327" customFormat="false" ht="15" hidden="false" customHeight="false" outlineLevel="0" collapsed="false">
      <c r="A7327" s="0" t="s">
        <v>7651</v>
      </c>
      <c r="B7327" s="0" t="s">
        <v>90</v>
      </c>
      <c r="C7327" s="0" t="str">
        <f aca="false">INDEX(Intent_Analysis!$B$5:$B$81,MATCH(B7327,Intent_Analysis!$A$5:$A$81,0))</f>
        <v>Fees &amp; charges</v>
      </c>
      <c r="D7327" s="0" t="n">
        <f aca="false">INDEX(Intent_Analysis!$E$5:$E$81,MATCH(B7327,Intent_Analysis!$A$5:$A$81,0))</f>
        <v>1</v>
      </c>
    </row>
    <row r="7328" customFormat="false" ht="15" hidden="false" customHeight="false" outlineLevel="0" collapsed="false">
      <c r="A7328" s="0" t="s">
        <v>7652</v>
      </c>
      <c r="B7328" s="0" t="s">
        <v>90</v>
      </c>
      <c r="C7328" s="0" t="str">
        <f aca="false">INDEX(Intent_Analysis!$B$5:$B$81,MATCH(B7328,Intent_Analysis!$A$5:$A$81,0))</f>
        <v>Fees &amp; charges</v>
      </c>
      <c r="D7328" s="0" t="n">
        <f aca="false">INDEX(Intent_Analysis!$E$5:$E$81,MATCH(B7328,Intent_Analysis!$A$5:$A$81,0))</f>
        <v>1</v>
      </c>
    </row>
    <row r="7329" customFormat="false" ht="15" hidden="false" customHeight="false" outlineLevel="0" collapsed="false">
      <c r="A7329" s="0" t="s">
        <v>7653</v>
      </c>
      <c r="B7329" s="0" t="s">
        <v>90</v>
      </c>
      <c r="C7329" s="0" t="str">
        <f aca="false">INDEX(Intent_Analysis!$B$5:$B$81,MATCH(B7329,Intent_Analysis!$A$5:$A$81,0))</f>
        <v>Fees &amp; charges</v>
      </c>
      <c r="D7329" s="0" t="n">
        <f aca="false">INDEX(Intent_Analysis!$E$5:$E$81,MATCH(B7329,Intent_Analysis!$A$5:$A$81,0))</f>
        <v>1</v>
      </c>
    </row>
    <row r="7330" customFormat="false" ht="15" hidden="false" customHeight="false" outlineLevel="0" collapsed="false">
      <c r="A7330" s="0" t="s">
        <v>7654</v>
      </c>
      <c r="B7330" s="0" t="s">
        <v>90</v>
      </c>
      <c r="C7330" s="0" t="str">
        <f aca="false">INDEX(Intent_Analysis!$B$5:$B$81,MATCH(B7330,Intent_Analysis!$A$5:$A$81,0))</f>
        <v>Fees &amp; charges</v>
      </c>
      <c r="D7330" s="0" t="n">
        <f aca="false">INDEX(Intent_Analysis!$E$5:$E$81,MATCH(B7330,Intent_Analysis!$A$5:$A$81,0))</f>
        <v>1</v>
      </c>
    </row>
    <row r="7331" customFormat="false" ht="15" hidden="false" customHeight="false" outlineLevel="0" collapsed="false">
      <c r="A7331" s="0" t="s">
        <v>7655</v>
      </c>
      <c r="B7331" s="0" t="s">
        <v>90</v>
      </c>
      <c r="C7331" s="0" t="str">
        <f aca="false">INDEX(Intent_Analysis!$B$5:$B$81,MATCH(B7331,Intent_Analysis!$A$5:$A$81,0))</f>
        <v>Fees &amp; charges</v>
      </c>
      <c r="D7331" s="0" t="n">
        <f aca="false">INDEX(Intent_Analysis!$E$5:$E$81,MATCH(B7331,Intent_Analysis!$A$5:$A$81,0))</f>
        <v>1</v>
      </c>
    </row>
    <row r="7332" customFormat="false" ht="15" hidden="false" customHeight="false" outlineLevel="0" collapsed="false">
      <c r="A7332" s="0" t="s">
        <v>7656</v>
      </c>
      <c r="B7332" s="0" t="s">
        <v>90</v>
      </c>
      <c r="C7332" s="0" t="str">
        <f aca="false">INDEX(Intent_Analysis!$B$5:$B$81,MATCH(B7332,Intent_Analysis!$A$5:$A$81,0))</f>
        <v>Fees &amp; charges</v>
      </c>
      <c r="D7332" s="0" t="n">
        <f aca="false">INDEX(Intent_Analysis!$E$5:$E$81,MATCH(B7332,Intent_Analysis!$A$5:$A$81,0))</f>
        <v>1</v>
      </c>
    </row>
    <row r="7333" customFormat="false" ht="15" hidden="false" customHeight="false" outlineLevel="0" collapsed="false">
      <c r="A7333" s="0" t="s">
        <v>7657</v>
      </c>
      <c r="B7333" s="0" t="s">
        <v>90</v>
      </c>
      <c r="C7333" s="0" t="str">
        <f aca="false">INDEX(Intent_Analysis!$B$5:$B$81,MATCH(B7333,Intent_Analysis!$A$5:$A$81,0))</f>
        <v>Fees &amp; charges</v>
      </c>
      <c r="D7333" s="0" t="n">
        <f aca="false">INDEX(Intent_Analysis!$E$5:$E$81,MATCH(B7333,Intent_Analysis!$A$5:$A$81,0))</f>
        <v>1</v>
      </c>
    </row>
    <row r="7334" customFormat="false" ht="15" hidden="false" customHeight="false" outlineLevel="0" collapsed="false">
      <c r="A7334" s="0" t="s">
        <v>7658</v>
      </c>
      <c r="B7334" s="0" t="s">
        <v>90</v>
      </c>
      <c r="C7334" s="0" t="str">
        <f aca="false">INDEX(Intent_Analysis!$B$5:$B$81,MATCH(B7334,Intent_Analysis!$A$5:$A$81,0))</f>
        <v>Fees &amp; charges</v>
      </c>
      <c r="D7334" s="0" t="n">
        <f aca="false">INDEX(Intent_Analysis!$E$5:$E$81,MATCH(B7334,Intent_Analysis!$A$5:$A$81,0))</f>
        <v>1</v>
      </c>
    </row>
    <row r="7335" customFormat="false" ht="15" hidden="false" customHeight="false" outlineLevel="0" collapsed="false">
      <c r="A7335" s="0" t="s">
        <v>7659</v>
      </c>
      <c r="B7335" s="0" t="s">
        <v>121</v>
      </c>
      <c r="C7335" s="0" t="str">
        <f aca="false">INDEX(Intent_Analysis!$B$5:$B$81,MATCH(B7335,Intent_Analysis!$A$5:$A$81,0))</f>
        <v>Transfers</v>
      </c>
      <c r="D7335" s="0" t="n">
        <f aca="false">INDEX(Intent_Analysis!$E$5:$E$81,MATCH(B7335,Intent_Analysis!$A$5:$A$81,0))</f>
        <v>1</v>
      </c>
    </row>
    <row r="7336" customFormat="false" ht="15" hidden="false" customHeight="false" outlineLevel="0" collapsed="false">
      <c r="A7336" s="0" t="s">
        <v>7660</v>
      </c>
      <c r="B7336" s="0" t="s">
        <v>121</v>
      </c>
      <c r="C7336" s="0" t="str">
        <f aca="false">INDEX(Intent_Analysis!$B$5:$B$81,MATCH(B7336,Intent_Analysis!$A$5:$A$81,0))</f>
        <v>Transfers</v>
      </c>
      <c r="D7336" s="0" t="n">
        <f aca="false">INDEX(Intent_Analysis!$E$5:$E$81,MATCH(B7336,Intent_Analysis!$A$5:$A$81,0))</f>
        <v>1</v>
      </c>
    </row>
    <row r="7337" customFormat="false" ht="15" hidden="false" customHeight="false" outlineLevel="0" collapsed="false">
      <c r="A7337" s="0" t="s">
        <v>7661</v>
      </c>
      <c r="B7337" s="0" t="s">
        <v>121</v>
      </c>
      <c r="C7337" s="0" t="str">
        <f aca="false">INDEX(Intent_Analysis!$B$5:$B$81,MATCH(B7337,Intent_Analysis!$A$5:$A$81,0))</f>
        <v>Transfers</v>
      </c>
      <c r="D7337" s="0" t="n">
        <f aca="false">INDEX(Intent_Analysis!$E$5:$E$81,MATCH(B7337,Intent_Analysis!$A$5:$A$81,0))</f>
        <v>1</v>
      </c>
    </row>
    <row r="7338" customFormat="false" ht="15" hidden="false" customHeight="false" outlineLevel="0" collapsed="false">
      <c r="A7338" s="0" t="s">
        <v>7662</v>
      </c>
      <c r="B7338" s="0" t="s">
        <v>121</v>
      </c>
      <c r="C7338" s="0" t="str">
        <f aca="false">INDEX(Intent_Analysis!$B$5:$B$81,MATCH(B7338,Intent_Analysis!$A$5:$A$81,0))</f>
        <v>Transfers</v>
      </c>
      <c r="D7338" s="0" t="n">
        <f aca="false">INDEX(Intent_Analysis!$E$5:$E$81,MATCH(B7338,Intent_Analysis!$A$5:$A$81,0))</f>
        <v>1</v>
      </c>
    </row>
    <row r="7339" customFormat="false" ht="15" hidden="false" customHeight="false" outlineLevel="0" collapsed="false">
      <c r="A7339" s="0" t="s">
        <v>7663</v>
      </c>
      <c r="B7339" s="0" t="s">
        <v>121</v>
      </c>
      <c r="C7339" s="0" t="str">
        <f aca="false">INDEX(Intent_Analysis!$B$5:$B$81,MATCH(B7339,Intent_Analysis!$A$5:$A$81,0))</f>
        <v>Transfers</v>
      </c>
      <c r="D7339" s="0" t="n">
        <f aca="false">INDEX(Intent_Analysis!$E$5:$E$81,MATCH(B7339,Intent_Analysis!$A$5:$A$81,0))</f>
        <v>1</v>
      </c>
    </row>
    <row r="7340" customFormat="false" ht="15" hidden="false" customHeight="false" outlineLevel="0" collapsed="false">
      <c r="A7340" s="0" t="s">
        <v>7664</v>
      </c>
      <c r="B7340" s="0" t="s">
        <v>121</v>
      </c>
      <c r="C7340" s="0" t="str">
        <f aca="false">INDEX(Intent_Analysis!$B$5:$B$81,MATCH(B7340,Intent_Analysis!$A$5:$A$81,0))</f>
        <v>Transfers</v>
      </c>
      <c r="D7340" s="0" t="n">
        <f aca="false">INDEX(Intent_Analysis!$E$5:$E$81,MATCH(B7340,Intent_Analysis!$A$5:$A$81,0))</f>
        <v>1</v>
      </c>
    </row>
    <row r="7341" customFormat="false" ht="15" hidden="false" customHeight="false" outlineLevel="0" collapsed="false">
      <c r="A7341" s="0" t="s">
        <v>7665</v>
      </c>
      <c r="B7341" s="0" t="s">
        <v>121</v>
      </c>
      <c r="C7341" s="0" t="str">
        <f aca="false">INDEX(Intent_Analysis!$B$5:$B$81,MATCH(B7341,Intent_Analysis!$A$5:$A$81,0))</f>
        <v>Transfers</v>
      </c>
      <c r="D7341" s="0" t="n">
        <f aca="false">INDEX(Intent_Analysis!$E$5:$E$81,MATCH(B7341,Intent_Analysis!$A$5:$A$81,0))</f>
        <v>1</v>
      </c>
    </row>
    <row r="7342" customFormat="false" ht="15" hidden="false" customHeight="false" outlineLevel="0" collapsed="false">
      <c r="A7342" s="0" t="s">
        <v>7666</v>
      </c>
      <c r="B7342" s="0" t="s">
        <v>121</v>
      </c>
      <c r="C7342" s="0" t="str">
        <f aca="false">INDEX(Intent_Analysis!$B$5:$B$81,MATCH(B7342,Intent_Analysis!$A$5:$A$81,0))</f>
        <v>Transfers</v>
      </c>
      <c r="D7342" s="0" t="n">
        <f aca="false">INDEX(Intent_Analysis!$E$5:$E$81,MATCH(B7342,Intent_Analysis!$A$5:$A$81,0))</f>
        <v>1</v>
      </c>
    </row>
    <row r="7343" customFormat="false" ht="15" hidden="false" customHeight="false" outlineLevel="0" collapsed="false">
      <c r="A7343" s="0" t="s">
        <v>7667</v>
      </c>
      <c r="B7343" s="0" t="s">
        <v>121</v>
      </c>
      <c r="C7343" s="0" t="str">
        <f aca="false">INDEX(Intent_Analysis!$B$5:$B$81,MATCH(B7343,Intent_Analysis!$A$5:$A$81,0))</f>
        <v>Transfers</v>
      </c>
      <c r="D7343" s="0" t="n">
        <f aca="false">INDEX(Intent_Analysis!$E$5:$E$81,MATCH(B7343,Intent_Analysis!$A$5:$A$81,0))</f>
        <v>1</v>
      </c>
    </row>
    <row r="7344" customFormat="false" ht="15" hidden="false" customHeight="false" outlineLevel="0" collapsed="false">
      <c r="A7344" s="0" t="s">
        <v>7668</v>
      </c>
      <c r="B7344" s="0" t="s">
        <v>121</v>
      </c>
      <c r="C7344" s="0" t="str">
        <f aca="false">INDEX(Intent_Analysis!$B$5:$B$81,MATCH(B7344,Intent_Analysis!$A$5:$A$81,0))</f>
        <v>Transfers</v>
      </c>
      <c r="D7344" s="0" t="n">
        <f aca="false">INDEX(Intent_Analysis!$E$5:$E$81,MATCH(B7344,Intent_Analysis!$A$5:$A$81,0))</f>
        <v>1</v>
      </c>
    </row>
    <row r="7345" customFormat="false" ht="15" hidden="false" customHeight="false" outlineLevel="0" collapsed="false">
      <c r="A7345" s="0" t="s">
        <v>7669</v>
      </c>
      <c r="B7345" s="0" t="s">
        <v>121</v>
      </c>
      <c r="C7345" s="0" t="str">
        <f aca="false">INDEX(Intent_Analysis!$B$5:$B$81,MATCH(B7345,Intent_Analysis!$A$5:$A$81,0))</f>
        <v>Transfers</v>
      </c>
      <c r="D7345" s="0" t="n">
        <f aca="false">INDEX(Intent_Analysis!$E$5:$E$81,MATCH(B7345,Intent_Analysis!$A$5:$A$81,0))</f>
        <v>1</v>
      </c>
    </row>
    <row r="7346" customFormat="false" ht="15" hidden="false" customHeight="false" outlineLevel="0" collapsed="false">
      <c r="A7346" s="0" t="s">
        <v>7670</v>
      </c>
      <c r="B7346" s="0" t="s">
        <v>121</v>
      </c>
      <c r="C7346" s="0" t="str">
        <f aca="false">INDEX(Intent_Analysis!$B$5:$B$81,MATCH(B7346,Intent_Analysis!$A$5:$A$81,0))</f>
        <v>Transfers</v>
      </c>
      <c r="D7346" s="0" t="n">
        <f aca="false">INDEX(Intent_Analysis!$E$5:$E$81,MATCH(B7346,Intent_Analysis!$A$5:$A$81,0))</f>
        <v>1</v>
      </c>
    </row>
    <row r="7347" customFormat="false" ht="15" hidden="false" customHeight="false" outlineLevel="0" collapsed="false">
      <c r="A7347" s="0" t="s">
        <v>7671</v>
      </c>
      <c r="B7347" s="0" t="s">
        <v>121</v>
      </c>
      <c r="C7347" s="0" t="str">
        <f aca="false">INDEX(Intent_Analysis!$B$5:$B$81,MATCH(B7347,Intent_Analysis!$A$5:$A$81,0))</f>
        <v>Transfers</v>
      </c>
      <c r="D7347" s="0" t="n">
        <f aca="false">INDEX(Intent_Analysis!$E$5:$E$81,MATCH(B7347,Intent_Analysis!$A$5:$A$81,0))</f>
        <v>1</v>
      </c>
    </row>
    <row r="7348" customFormat="false" ht="15" hidden="false" customHeight="false" outlineLevel="0" collapsed="false">
      <c r="A7348" s="0" t="s">
        <v>7672</v>
      </c>
      <c r="B7348" s="0" t="s">
        <v>121</v>
      </c>
      <c r="C7348" s="0" t="str">
        <f aca="false">INDEX(Intent_Analysis!$B$5:$B$81,MATCH(B7348,Intent_Analysis!$A$5:$A$81,0))</f>
        <v>Transfers</v>
      </c>
      <c r="D7348" s="0" t="n">
        <f aca="false">INDEX(Intent_Analysis!$E$5:$E$81,MATCH(B7348,Intent_Analysis!$A$5:$A$81,0))</f>
        <v>1</v>
      </c>
    </row>
    <row r="7349" customFormat="false" ht="15" hidden="false" customHeight="false" outlineLevel="0" collapsed="false">
      <c r="A7349" s="0" t="s">
        <v>7673</v>
      </c>
      <c r="B7349" s="0" t="s">
        <v>121</v>
      </c>
      <c r="C7349" s="0" t="str">
        <f aca="false">INDEX(Intent_Analysis!$B$5:$B$81,MATCH(B7349,Intent_Analysis!$A$5:$A$81,0))</f>
        <v>Transfers</v>
      </c>
      <c r="D7349" s="0" t="n">
        <f aca="false">INDEX(Intent_Analysis!$E$5:$E$81,MATCH(B7349,Intent_Analysis!$A$5:$A$81,0))</f>
        <v>1</v>
      </c>
    </row>
    <row r="7350" customFormat="false" ht="15" hidden="false" customHeight="false" outlineLevel="0" collapsed="false">
      <c r="A7350" s="0" t="s">
        <v>7674</v>
      </c>
      <c r="B7350" s="0" t="s">
        <v>121</v>
      </c>
      <c r="C7350" s="0" t="str">
        <f aca="false">INDEX(Intent_Analysis!$B$5:$B$81,MATCH(B7350,Intent_Analysis!$A$5:$A$81,0))</f>
        <v>Transfers</v>
      </c>
      <c r="D7350" s="0" t="n">
        <f aca="false">INDEX(Intent_Analysis!$E$5:$E$81,MATCH(B7350,Intent_Analysis!$A$5:$A$81,0))</f>
        <v>1</v>
      </c>
    </row>
    <row r="7351" customFormat="false" ht="15" hidden="false" customHeight="false" outlineLevel="0" collapsed="false">
      <c r="A7351" s="0" t="s">
        <v>7675</v>
      </c>
      <c r="B7351" s="0" t="s">
        <v>121</v>
      </c>
      <c r="C7351" s="0" t="str">
        <f aca="false">INDEX(Intent_Analysis!$B$5:$B$81,MATCH(B7351,Intent_Analysis!$A$5:$A$81,0))</f>
        <v>Transfers</v>
      </c>
      <c r="D7351" s="0" t="n">
        <f aca="false">INDEX(Intent_Analysis!$E$5:$E$81,MATCH(B7351,Intent_Analysis!$A$5:$A$81,0))</f>
        <v>1</v>
      </c>
    </row>
    <row r="7352" customFormat="false" ht="15" hidden="false" customHeight="false" outlineLevel="0" collapsed="false">
      <c r="A7352" s="0" t="s">
        <v>7676</v>
      </c>
      <c r="B7352" s="0" t="s">
        <v>121</v>
      </c>
      <c r="C7352" s="0" t="str">
        <f aca="false">INDEX(Intent_Analysis!$B$5:$B$81,MATCH(B7352,Intent_Analysis!$A$5:$A$81,0))</f>
        <v>Transfers</v>
      </c>
      <c r="D7352" s="0" t="n">
        <f aca="false">INDEX(Intent_Analysis!$E$5:$E$81,MATCH(B7352,Intent_Analysis!$A$5:$A$81,0))</f>
        <v>1</v>
      </c>
    </row>
    <row r="7353" customFormat="false" ht="15" hidden="false" customHeight="false" outlineLevel="0" collapsed="false">
      <c r="A7353" s="0" t="s">
        <v>7677</v>
      </c>
      <c r="B7353" s="0" t="s">
        <v>121</v>
      </c>
      <c r="C7353" s="0" t="str">
        <f aca="false">INDEX(Intent_Analysis!$B$5:$B$81,MATCH(B7353,Intent_Analysis!$A$5:$A$81,0))</f>
        <v>Transfers</v>
      </c>
      <c r="D7353" s="0" t="n">
        <f aca="false">INDEX(Intent_Analysis!$E$5:$E$81,MATCH(B7353,Intent_Analysis!$A$5:$A$81,0))</f>
        <v>1</v>
      </c>
    </row>
    <row r="7354" customFormat="false" ht="15" hidden="false" customHeight="false" outlineLevel="0" collapsed="false">
      <c r="A7354" s="0" t="s">
        <v>7678</v>
      </c>
      <c r="B7354" s="0" t="s">
        <v>121</v>
      </c>
      <c r="C7354" s="0" t="str">
        <f aca="false">INDEX(Intent_Analysis!$B$5:$B$81,MATCH(B7354,Intent_Analysis!$A$5:$A$81,0))</f>
        <v>Transfers</v>
      </c>
      <c r="D7354" s="0" t="n">
        <f aca="false">INDEX(Intent_Analysis!$E$5:$E$81,MATCH(B7354,Intent_Analysis!$A$5:$A$81,0))</f>
        <v>1</v>
      </c>
    </row>
    <row r="7355" customFormat="false" ht="15" hidden="false" customHeight="false" outlineLevel="0" collapsed="false">
      <c r="A7355" s="0" t="s">
        <v>7679</v>
      </c>
      <c r="B7355" s="0" t="s">
        <v>121</v>
      </c>
      <c r="C7355" s="0" t="str">
        <f aca="false">INDEX(Intent_Analysis!$B$5:$B$81,MATCH(B7355,Intent_Analysis!$A$5:$A$81,0))</f>
        <v>Transfers</v>
      </c>
      <c r="D7355" s="0" t="n">
        <f aca="false">INDEX(Intent_Analysis!$E$5:$E$81,MATCH(B7355,Intent_Analysis!$A$5:$A$81,0))</f>
        <v>1</v>
      </c>
    </row>
    <row r="7356" customFormat="false" ht="15" hidden="false" customHeight="false" outlineLevel="0" collapsed="false">
      <c r="A7356" s="0" t="s">
        <v>7680</v>
      </c>
      <c r="B7356" s="0" t="s">
        <v>121</v>
      </c>
      <c r="C7356" s="0" t="str">
        <f aca="false">INDEX(Intent_Analysis!$B$5:$B$81,MATCH(B7356,Intent_Analysis!$A$5:$A$81,0))</f>
        <v>Transfers</v>
      </c>
      <c r="D7356" s="0" t="n">
        <f aca="false">INDEX(Intent_Analysis!$E$5:$E$81,MATCH(B7356,Intent_Analysis!$A$5:$A$81,0))</f>
        <v>1</v>
      </c>
    </row>
    <row r="7357" customFormat="false" ht="15" hidden="false" customHeight="false" outlineLevel="0" collapsed="false">
      <c r="A7357" s="0" t="s">
        <v>7681</v>
      </c>
      <c r="B7357" s="0" t="s">
        <v>121</v>
      </c>
      <c r="C7357" s="0" t="str">
        <f aca="false">INDEX(Intent_Analysis!$B$5:$B$81,MATCH(B7357,Intent_Analysis!$A$5:$A$81,0))</f>
        <v>Transfers</v>
      </c>
      <c r="D7357" s="0" t="n">
        <f aca="false">INDEX(Intent_Analysis!$E$5:$E$81,MATCH(B7357,Intent_Analysis!$A$5:$A$81,0))</f>
        <v>1</v>
      </c>
    </row>
    <row r="7358" customFormat="false" ht="15" hidden="false" customHeight="false" outlineLevel="0" collapsed="false">
      <c r="A7358" s="0" t="s">
        <v>7682</v>
      </c>
      <c r="B7358" s="0" t="s">
        <v>121</v>
      </c>
      <c r="C7358" s="0" t="str">
        <f aca="false">INDEX(Intent_Analysis!$B$5:$B$81,MATCH(B7358,Intent_Analysis!$A$5:$A$81,0))</f>
        <v>Transfers</v>
      </c>
      <c r="D7358" s="0" t="n">
        <f aca="false">INDEX(Intent_Analysis!$E$5:$E$81,MATCH(B7358,Intent_Analysis!$A$5:$A$81,0))</f>
        <v>1</v>
      </c>
    </row>
    <row r="7359" customFormat="false" ht="15" hidden="false" customHeight="false" outlineLevel="0" collapsed="false">
      <c r="A7359" s="0" t="s">
        <v>7683</v>
      </c>
      <c r="B7359" s="0" t="s">
        <v>121</v>
      </c>
      <c r="C7359" s="0" t="str">
        <f aca="false">INDEX(Intent_Analysis!$B$5:$B$81,MATCH(B7359,Intent_Analysis!$A$5:$A$81,0))</f>
        <v>Transfers</v>
      </c>
      <c r="D7359" s="0" t="n">
        <f aca="false">INDEX(Intent_Analysis!$E$5:$E$81,MATCH(B7359,Intent_Analysis!$A$5:$A$81,0))</f>
        <v>1</v>
      </c>
    </row>
    <row r="7360" customFormat="false" ht="15" hidden="false" customHeight="false" outlineLevel="0" collapsed="false">
      <c r="A7360" s="0" t="s">
        <v>7684</v>
      </c>
      <c r="B7360" s="0" t="s">
        <v>121</v>
      </c>
      <c r="C7360" s="0" t="str">
        <f aca="false">INDEX(Intent_Analysis!$B$5:$B$81,MATCH(B7360,Intent_Analysis!$A$5:$A$81,0))</f>
        <v>Transfers</v>
      </c>
      <c r="D7360" s="0" t="n">
        <f aca="false">INDEX(Intent_Analysis!$E$5:$E$81,MATCH(B7360,Intent_Analysis!$A$5:$A$81,0))</f>
        <v>1</v>
      </c>
    </row>
    <row r="7361" customFormat="false" ht="15" hidden="false" customHeight="false" outlineLevel="0" collapsed="false">
      <c r="A7361" s="0" t="s">
        <v>7685</v>
      </c>
      <c r="B7361" s="0" t="s">
        <v>121</v>
      </c>
      <c r="C7361" s="0" t="str">
        <f aca="false">INDEX(Intent_Analysis!$B$5:$B$81,MATCH(B7361,Intent_Analysis!$A$5:$A$81,0))</f>
        <v>Transfers</v>
      </c>
      <c r="D7361" s="0" t="n">
        <f aca="false">INDEX(Intent_Analysis!$E$5:$E$81,MATCH(B7361,Intent_Analysis!$A$5:$A$81,0))</f>
        <v>1</v>
      </c>
    </row>
    <row r="7362" customFormat="false" ht="15" hidden="false" customHeight="false" outlineLevel="0" collapsed="false">
      <c r="A7362" s="0" t="s">
        <v>7686</v>
      </c>
      <c r="B7362" s="0" t="s">
        <v>121</v>
      </c>
      <c r="C7362" s="0" t="str">
        <f aca="false">INDEX(Intent_Analysis!$B$5:$B$81,MATCH(B7362,Intent_Analysis!$A$5:$A$81,0))</f>
        <v>Transfers</v>
      </c>
      <c r="D7362" s="0" t="n">
        <f aca="false">INDEX(Intent_Analysis!$E$5:$E$81,MATCH(B7362,Intent_Analysis!$A$5:$A$81,0))</f>
        <v>1</v>
      </c>
    </row>
    <row r="7363" customFormat="false" ht="15" hidden="false" customHeight="false" outlineLevel="0" collapsed="false">
      <c r="A7363" s="0" t="s">
        <v>7687</v>
      </c>
      <c r="B7363" s="0" t="s">
        <v>121</v>
      </c>
      <c r="C7363" s="0" t="str">
        <f aca="false">INDEX(Intent_Analysis!$B$5:$B$81,MATCH(B7363,Intent_Analysis!$A$5:$A$81,0))</f>
        <v>Transfers</v>
      </c>
      <c r="D7363" s="0" t="n">
        <f aca="false">INDEX(Intent_Analysis!$E$5:$E$81,MATCH(B7363,Intent_Analysis!$A$5:$A$81,0))</f>
        <v>1</v>
      </c>
    </row>
    <row r="7364" customFormat="false" ht="15" hidden="false" customHeight="false" outlineLevel="0" collapsed="false">
      <c r="A7364" s="0" t="s">
        <v>7688</v>
      </c>
      <c r="B7364" s="0" t="s">
        <v>121</v>
      </c>
      <c r="C7364" s="0" t="str">
        <f aca="false">INDEX(Intent_Analysis!$B$5:$B$81,MATCH(B7364,Intent_Analysis!$A$5:$A$81,0))</f>
        <v>Transfers</v>
      </c>
      <c r="D7364" s="0" t="n">
        <f aca="false">INDEX(Intent_Analysis!$E$5:$E$81,MATCH(B7364,Intent_Analysis!$A$5:$A$81,0))</f>
        <v>1</v>
      </c>
    </row>
    <row r="7365" customFormat="false" ht="15" hidden="false" customHeight="false" outlineLevel="0" collapsed="false">
      <c r="A7365" s="0" t="s">
        <v>7689</v>
      </c>
      <c r="B7365" s="0" t="s">
        <v>121</v>
      </c>
      <c r="C7365" s="0" t="str">
        <f aca="false">INDEX(Intent_Analysis!$B$5:$B$81,MATCH(B7365,Intent_Analysis!$A$5:$A$81,0))</f>
        <v>Transfers</v>
      </c>
      <c r="D7365" s="0" t="n">
        <f aca="false">INDEX(Intent_Analysis!$E$5:$E$81,MATCH(B7365,Intent_Analysis!$A$5:$A$81,0))</f>
        <v>1</v>
      </c>
    </row>
    <row r="7366" customFormat="false" ht="15" hidden="false" customHeight="false" outlineLevel="0" collapsed="false">
      <c r="A7366" s="0" t="s">
        <v>7690</v>
      </c>
      <c r="B7366" s="0" t="s">
        <v>121</v>
      </c>
      <c r="C7366" s="0" t="str">
        <f aca="false">INDEX(Intent_Analysis!$B$5:$B$81,MATCH(B7366,Intent_Analysis!$A$5:$A$81,0))</f>
        <v>Transfers</v>
      </c>
      <c r="D7366" s="0" t="n">
        <f aca="false">INDEX(Intent_Analysis!$E$5:$E$81,MATCH(B7366,Intent_Analysis!$A$5:$A$81,0))</f>
        <v>1</v>
      </c>
    </row>
    <row r="7367" customFormat="false" ht="15" hidden="false" customHeight="false" outlineLevel="0" collapsed="false">
      <c r="A7367" s="0" t="s">
        <v>7691</v>
      </c>
      <c r="B7367" s="0" t="s">
        <v>121</v>
      </c>
      <c r="C7367" s="0" t="str">
        <f aca="false">INDEX(Intent_Analysis!$B$5:$B$81,MATCH(B7367,Intent_Analysis!$A$5:$A$81,0))</f>
        <v>Transfers</v>
      </c>
      <c r="D7367" s="0" t="n">
        <f aca="false">INDEX(Intent_Analysis!$E$5:$E$81,MATCH(B7367,Intent_Analysis!$A$5:$A$81,0))</f>
        <v>1</v>
      </c>
    </row>
    <row r="7368" customFormat="false" ht="15" hidden="false" customHeight="false" outlineLevel="0" collapsed="false">
      <c r="A7368" s="0" t="s">
        <v>7692</v>
      </c>
      <c r="B7368" s="0" t="s">
        <v>121</v>
      </c>
      <c r="C7368" s="0" t="str">
        <f aca="false">INDEX(Intent_Analysis!$B$5:$B$81,MATCH(B7368,Intent_Analysis!$A$5:$A$81,0))</f>
        <v>Transfers</v>
      </c>
      <c r="D7368" s="0" t="n">
        <f aca="false">INDEX(Intent_Analysis!$E$5:$E$81,MATCH(B7368,Intent_Analysis!$A$5:$A$81,0))</f>
        <v>1</v>
      </c>
    </row>
    <row r="7369" customFormat="false" ht="15" hidden="false" customHeight="false" outlineLevel="0" collapsed="false">
      <c r="A7369" s="0" t="s">
        <v>7693</v>
      </c>
      <c r="B7369" s="0" t="s">
        <v>121</v>
      </c>
      <c r="C7369" s="0" t="str">
        <f aca="false">INDEX(Intent_Analysis!$B$5:$B$81,MATCH(B7369,Intent_Analysis!$A$5:$A$81,0))</f>
        <v>Transfers</v>
      </c>
      <c r="D7369" s="0" t="n">
        <f aca="false">INDEX(Intent_Analysis!$E$5:$E$81,MATCH(B7369,Intent_Analysis!$A$5:$A$81,0))</f>
        <v>1</v>
      </c>
    </row>
    <row r="7370" customFormat="false" ht="15" hidden="false" customHeight="false" outlineLevel="0" collapsed="false">
      <c r="A7370" s="0" t="s">
        <v>7694</v>
      </c>
      <c r="B7370" s="0" t="s">
        <v>121</v>
      </c>
      <c r="C7370" s="0" t="str">
        <f aca="false">INDEX(Intent_Analysis!$B$5:$B$81,MATCH(B7370,Intent_Analysis!$A$5:$A$81,0))</f>
        <v>Transfers</v>
      </c>
      <c r="D7370" s="0" t="n">
        <f aca="false">INDEX(Intent_Analysis!$E$5:$E$81,MATCH(B7370,Intent_Analysis!$A$5:$A$81,0))</f>
        <v>1</v>
      </c>
    </row>
    <row r="7371" customFormat="false" ht="15" hidden="false" customHeight="false" outlineLevel="0" collapsed="false">
      <c r="A7371" s="0" t="s">
        <v>7695</v>
      </c>
      <c r="B7371" s="0" t="s">
        <v>121</v>
      </c>
      <c r="C7371" s="0" t="str">
        <f aca="false">INDEX(Intent_Analysis!$B$5:$B$81,MATCH(B7371,Intent_Analysis!$A$5:$A$81,0))</f>
        <v>Transfers</v>
      </c>
      <c r="D7371" s="0" t="n">
        <f aca="false">INDEX(Intent_Analysis!$E$5:$E$81,MATCH(B7371,Intent_Analysis!$A$5:$A$81,0))</f>
        <v>1</v>
      </c>
    </row>
    <row r="7372" customFormat="false" ht="15" hidden="false" customHeight="false" outlineLevel="0" collapsed="false">
      <c r="A7372" s="0" t="s">
        <v>7696</v>
      </c>
      <c r="B7372" s="0" t="s">
        <v>121</v>
      </c>
      <c r="C7372" s="0" t="str">
        <f aca="false">INDEX(Intent_Analysis!$B$5:$B$81,MATCH(B7372,Intent_Analysis!$A$5:$A$81,0))</f>
        <v>Transfers</v>
      </c>
      <c r="D7372" s="0" t="n">
        <f aca="false">INDEX(Intent_Analysis!$E$5:$E$81,MATCH(B7372,Intent_Analysis!$A$5:$A$81,0))</f>
        <v>1</v>
      </c>
    </row>
    <row r="7373" customFormat="false" ht="15" hidden="false" customHeight="false" outlineLevel="0" collapsed="false">
      <c r="A7373" s="0" t="s">
        <v>7697</v>
      </c>
      <c r="B7373" s="0" t="s">
        <v>121</v>
      </c>
      <c r="C7373" s="0" t="str">
        <f aca="false">INDEX(Intent_Analysis!$B$5:$B$81,MATCH(B7373,Intent_Analysis!$A$5:$A$81,0))</f>
        <v>Transfers</v>
      </c>
      <c r="D7373" s="0" t="n">
        <f aca="false">INDEX(Intent_Analysis!$E$5:$E$81,MATCH(B7373,Intent_Analysis!$A$5:$A$81,0))</f>
        <v>1</v>
      </c>
    </row>
    <row r="7374" customFormat="false" ht="15" hidden="false" customHeight="false" outlineLevel="0" collapsed="false">
      <c r="A7374" s="0" t="s">
        <v>7698</v>
      </c>
      <c r="B7374" s="0" t="s">
        <v>121</v>
      </c>
      <c r="C7374" s="0" t="str">
        <f aca="false">INDEX(Intent_Analysis!$B$5:$B$81,MATCH(B7374,Intent_Analysis!$A$5:$A$81,0))</f>
        <v>Transfers</v>
      </c>
      <c r="D7374" s="0" t="n">
        <f aca="false">INDEX(Intent_Analysis!$E$5:$E$81,MATCH(B7374,Intent_Analysis!$A$5:$A$81,0))</f>
        <v>1</v>
      </c>
    </row>
    <row r="7375" customFormat="false" ht="15" hidden="false" customHeight="false" outlineLevel="0" collapsed="false">
      <c r="A7375" s="0" t="s">
        <v>7699</v>
      </c>
      <c r="B7375" s="0" t="s">
        <v>121</v>
      </c>
      <c r="C7375" s="0" t="str">
        <f aca="false">INDEX(Intent_Analysis!$B$5:$B$81,MATCH(B7375,Intent_Analysis!$A$5:$A$81,0))</f>
        <v>Transfers</v>
      </c>
      <c r="D7375" s="0" t="n">
        <f aca="false">INDEX(Intent_Analysis!$E$5:$E$81,MATCH(B7375,Intent_Analysis!$A$5:$A$81,0))</f>
        <v>1</v>
      </c>
    </row>
    <row r="7376" customFormat="false" ht="15" hidden="false" customHeight="false" outlineLevel="0" collapsed="false">
      <c r="A7376" s="0" t="s">
        <v>7700</v>
      </c>
      <c r="B7376" s="0" t="s">
        <v>121</v>
      </c>
      <c r="C7376" s="0" t="str">
        <f aca="false">INDEX(Intent_Analysis!$B$5:$B$81,MATCH(B7376,Intent_Analysis!$A$5:$A$81,0))</f>
        <v>Transfers</v>
      </c>
      <c r="D7376" s="0" t="n">
        <f aca="false">INDEX(Intent_Analysis!$E$5:$E$81,MATCH(B7376,Intent_Analysis!$A$5:$A$81,0))</f>
        <v>1</v>
      </c>
    </row>
    <row r="7377" customFormat="false" ht="15" hidden="false" customHeight="false" outlineLevel="0" collapsed="false">
      <c r="A7377" s="0" t="s">
        <v>7701</v>
      </c>
      <c r="B7377" s="0" t="s">
        <v>121</v>
      </c>
      <c r="C7377" s="0" t="str">
        <f aca="false">INDEX(Intent_Analysis!$B$5:$B$81,MATCH(B7377,Intent_Analysis!$A$5:$A$81,0))</f>
        <v>Transfers</v>
      </c>
      <c r="D7377" s="0" t="n">
        <f aca="false">INDEX(Intent_Analysis!$E$5:$E$81,MATCH(B7377,Intent_Analysis!$A$5:$A$81,0))</f>
        <v>1</v>
      </c>
    </row>
    <row r="7378" customFormat="false" ht="15" hidden="false" customHeight="false" outlineLevel="0" collapsed="false">
      <c r="A7378" s="0" t="s">
        <v>7702</v>
      </c>
      <c r="B7378" s="0" t="s">
        <v>121</v>
      </c>
      <c r="C7378" s="0" t="str">
        <f aca="false">INDEX(Intent_Analysis!$B$5:$B$81,MATCH(B7378,Intent_Analysis!$A$5:$A$81,0))</f>
        <v>Transfers</v>
      </c>
      <c r="D7378" s="0" t="n">
        <f aca="false">INDEX(Intent_Analysis!$E$5:$E$81,MATCH(B7378,Intent_Analysis!$A$5:$A$81,0))</f>
        <v>1</v>
      </c>
    </row>
    <row r="7379" customFormat="false" ht="15" hidden="false" customHeight="false" outlineLevel="0" collapsed="false">
      <c r="A7379" s="0" t="s">
        <v>7703</v>
      </c>
      <c r="B7379" s="0" t="s">
        <v>121</v>
      </c>
      <c r="C7379" s="0" t="str">
        <f aca="false">INDEX(Intent_Analysis!$B$5:$B$81,MATCH(B7379,Intent_Analysis!$A$5:$A$81,0))</f>
        <v>Transfers</v>
      </c>
      <c r="D7379" s="0" t="n">
        <f aca="false">INDEX(Intent_Analysis!$E$5:$E$81,MATCH(B7379,Intent_Analysis!$A$5:$A$81,0))</f>
        <v>1</v>
      </c>
    </row>
    <row r="7380" customFormat="false" ht="15" hidden="false" customHeight="false" outlineLevel="0" collapsed="false">
      <c r="A7380" s="0" t="s">
        <v>7704</v>
      </c>
      <c r="B7380" s="0" t="s">
        <v>121</v>
      </c>
      <c r="C7380" s="0" t="str">
        <f aca="false">INDEX(Intent_Analysis!$B$5:$B$81,MATCH(B7380,Intent_Analysis!$A$5:$A$81,0))</f>
        <v>Transfers</v>
      </c>
      <c r="D7380" s="0" t="n">
        <f aca="false">INDEX(Intent_Analysis!$E$5:$E$81,MATCH(B7380,Intent_Analysis!$A$5:$A$81,0))</f>
        <v>1</v>
      </c>
    </row>
    <row r="7381" customFormat="false" ht="15" hidden="false" customHeight="false" outlineLevel="0" collapsed="false">
      <c r="A7381" s="0" t="s">
        <v>7705</v>
      </c>
      <c r="B7381" s="0" t="s">
        <v>121</v>
      </c>
      <c r="C7381" s="0" t="str">
        <f aca="false">INDEX(Intent_Analysis!$B$5:$B$81,MATCH(B7381,Intent_Analysis!$A$5:$A$81,0))</f>
        <v>Transfers</v>
      </c>
      <c r="D7381" s="0" t="n">
        <f aca="false">INDEX(Intent_Analysis!$E$5:$E$81,MATCH(B7381,Intent_Analysis!$A$5:$A$81,0))</f>
        <v>1</v>
      </c>
    </row>
    <row r="7382" customFormat="false" ht="15" hidden="false" customHeight="false" outlineLevel="0" collapsed="false">
      <c r="A7382" s="0" t="s">
        <v>7706</v>
      </c>
      <c r="B7382" s="0" t="s">
        <v>121</v>
      </c>
      <c r="C7382" s="0" t="str">
        <f aca="false">INDEX(Intent_Analysis!$B$5:$B$81,MATCH(B7382,Intent_Analysis!$A$5:$A$81,0))</f>
        <v>Transfers</v>
      </c>
      <c r="D7382" s="0" t="n">
        <f aca="false">INDEX(Intent_Analysis!$E$5:$E$81,MATCH(B7382,Intent_Analysis!$A$5:$A$81,0))</f>
        <v>1</v>
      </c>
    </row>
    <row r="7383" customFormat="false" ht="15" hidden="false" customHeight="false" outlineLevel="0" collapsed="false">
      <c r="A7383" s="0" t="s">
        <v>7707</v>
      </c>
      <c r="B7383" s="0" t="s">
        <v>121</v>
      </c>
      <c r="C7383" s="0" t="str">
        <f aca="false">INDEX(Intent_Analysis!$B$5:$B$81,MATCH(B7383,Intent_Analysis!$A$5:$A$81,0))</f>
        <v>Transfers</v>
      </c>
      <c r="D7383" s="0" t="n">
        <f aca="false">INDEX(Intent_Analysis!$E$5:$E$81,MATCH(B7383,Intent_Analysis!$A$5:$A$81,0))</f>
        <v>1</v>
      </c>
    </row>
    <row r="7384" customFormat="false" ht="15" hidden="false" customHeight="false" outlineLevel="0" collapsed="false">
      <c r="A7384" s="0" t="s">
        <v>7708</v>
      </c>
      <c r="B7384" s="0" t="s">
        <v>121</v>
      </c>
      <c r="C7384" s="0" t="str">
        <f aca="false">INDEX(Intent_Analysis!$B$5:$B$81,MATCH(B7384,Intent_Analysis!$A$5:$A$81,0))</f>
        <v>Transfers</v>
      </c>
      <c r="D7384" s="0" t="n">
        <f aca="false">INDEX(Intent_Analysis!$E$5:$E$81,MATCH(B7384,Intent_Analysis!$A$5:$A$81,0))</f>
        <v>1</v>
      </c>
    </row>
    <row r="7385" customFormat="false" ht="15" hidden="false" customHeight="false" outlineLevel="0" collapsed="false">
      <c r="A7385" s="0" t="s">
        <v>7709</v>
      </c>
      <c r="B7385" s="0" t="s">
        <v>121</v>
      </c>
      <c r="C7385" s="0" t="str">
        <f aca="false">INDEX(Intent_Analysis!$B$5:$B$81,MATCH(B7385,Intent_Analysis!$A$5:$A$81,0))</f>
        <v>Transfers</v>
      </c>
      <c r="D7385" s="0" t="n">
        <f aca="false">INDEX(Intent_Analysis!$E$5:$E$81,MATCH(B7385,Intent_Analysis!$A$5:$A$81,0))</f>
        <v>1</v>
      </c>
    </row>
    <row r="7386" customFormat="false" ht="15" hidden="false" customHeight="false" outlineLevel="0" collapsed="false">
      <c r="A7386" s="0" t="s">
        <v>7710</v>
      </c>
      <c r="B7386" s="0" t="s">
        <v>121</v>
      </c>
      <c r="C7386" s="0" t="str">
        <f aca="false">INDEX(Intent_Analysis!$B$5:$B$81,MATCH(B7386,Intent_Analysis!$A$5:$A$81,0))</f>
        <v>Transfers</v>
      </c>
      <c r="D7386" s="0" t="n">
        <f aca="false">INDEX(Intent_Analysis!$E$5:$E$81,MATCH(B7386,Intent_Analysis!$A$5:$A$81,0))</f>
        <v>1</v>
      </c>
    </row>
    <row r="7387" customFormat="false" ht="15" hidden="false" customHeight="false" outlineLevel="0" collapsed="false">
      <c r="A7387" s="0" t="s">
        <v>7711</v>
      </c>
      <c r="B7387" s="0" t="s">
        <v>121</v>
      </c>
      <c r="C7387" s="0" t="str">
        <f aca="false">INDEX(Intent_Analysis!$B$5:$B$81,MATCH(B7387,Intent_Analysis!$A$5:$A$81,0))</f>
        <v>Transfers</v>
      </c>
      <c r="D7387" s="0" t="n">
        <f aca="false">INDEX(Intent_Analysis!$E$5:$E$81,MATCH(B7387,Intent_Analysis!$A$5:$A$81,0))</f>
        <v>1</v>
      </c>
    </row>
    <row r="7388" customFormat="false" ht="15" hidden="false" customHeight="false" outlineLevel="0" collapsed="false">
      <c r="A7388" s="0" t="s">
        <v>7712</v>
      </c>
      <c r="B7388" s="0" t="s">
        <v>121</v>
      </c>
      <c r="C7388" s="0" t="str">
        <f aca="false">INDEX(Intent_Analysis!$B$5:$B$81,MATCH(B7388,Intent_Analysis!$A$5:$A$81,0))</f>
        <v>Transfers</v>
      </c>
      <c r="D7388" s="0" t="n">
        <f aca="false">INDEX(Intent_Analysis!$E$5:$E$81,MATCH(B7388,Intent_Analysis!$A$5:$A$81,0))</f>
        <v>1</v>
      </c>
    </row>
    <row r="7389" customFormat="false" ht="15" hidden="false" customHeight="false" outlineLevel="0" collapsed="false">
      <c r="A7389" s="0" t="s">
        <v>7713</v>
      </c>
      <c r="B7389" s="0" t="s">
        <v>121</v>
      </c>
      <c r="C7389" s="0" t="str">
        <f aca="false">INDEX(Intent_Analysis!$B$5:$B$81,MATCH(B7389,Intent_Analysis!$A$5:$A$81,0))</f>
        <v>Transfers</v>
      </c>
      <c r="D7389" s="0" t="n">
        <f aca="false">INDEX(Intent_Analysis!$E$5:$E$81,MATCH(B7389,Intent_Analysis!$A$5:$A$81,0))</f>
        <v>1</v>
      </c>
    </row>
    <row r="7390" customFormat="false" ht="15" hidden="false" customHeight="false" outlineLevel="0" collapsed="false">
      <c r="A7390" s="0" t="s">
        <v>7714</v>
      </c>
      <c r="B7390" s="0" t="s">
        <v>121</v>
      </c>
      <c r="C7390" s="0" t="str">
        <f aca="false">INDEX(Intent_Analysis!$B$5:$B$81,MATCH(B7390,Intent_Analysis!$A$5:$A$81,0))</f>
        <v>Transfers</v>
      </c>
      <c r="D7390" s="0" t="n">
        <f aca="false">INDEX(Intent_Analysis!$E$5:$E$81,MATCH(B7390,Intent_Analysis!$A$5:$A$81,0))</f>
        <v>1</v>
      </c>
    </row>
    <row r="7391" customFormat="false" ht="15" hidden="false" customHeight="false" outlineLevel="0" collapsed="false">
      <c r="A7391" s="0" t="s">
        <v>7715</v>
      </c>
      <c r="B7391" s="0" t="s">
        <v>121</v>
      </c>
      <c r="C7391" s="0" t="str">
        <f aca="false">INDEX(Intent_Analysis!$B$5:$B$81,MATCH(B7391,Intent_Analysis!$A$5:$A$81,0))</f>
        <v>Transfers</v>
      </c>
      <c r="D7391" s="0" t="n">
        <f aca="false">INDEX(Intent_Analysis!$E$5:$E$81,MATCH(B7391,Intent_Analysis!$A$5:$A$81,0))</f>
        <v>1</v>
      </c>
    </row>
    <row r="7392" customFormat="false" ht="15" hidden="false" customHeight="false" outlineLevel="0" collapsed="false">
      <c r="A7392" s="0" t="s">
        <v>7716</v>
      </c>
      <c r="B7392" s="0" t="s">
        <v>121</v>
      </c>
      <c r="C7392" s="0" t="str">
        <f aca="false">INDEX(Intent_Analysis!$B$5:$B$81,MATCH(B7392,Intent_Analysis!$A$5:$A$81,0))</f>
        <v>Transfers</v>
      </c>
      <c r="D7392" s="0" t="n">
        <f aca="false">INDEX(Intent_Analysis!$E$5:$E$81,MATCH(B7392,Intent_Analysis!$A$5:$A$81,0))</f>
        <v>1</v>
      </c>
    </row>
    <row r="7393" customFormat="false" ht="15" hidden="false" customHeight="false" outlineLevel="0" collapsed="false">
      <c r="A7393" s="0" t="s">
        <v>7717</v>
      </c>
      <c r="B7393" s="0" t="s">
        <v>121</v>
      </c>
      <c r="C7393" s="0" t="str">
        <f aca="false">INDEX(Intent_Analysis!$B$5:$B$81,MATCH(B7393,Intent_Analysis!$A$5:$A$81,0))</f>
        <v>Transfers</v>
      </c>
      <c r="D7393" s="0" t="n">
        <f aca="false">INDEX(Intent_Analysis!$E$5:$E$81,MATCH(B7393,Intent_Analysis!$A$5:$A$81,0))</f>
        <v>1</v>
      </c>
    </row>
    <row r="7394" customFormat="false" ht="15" hidden="false" customHeight="false" outlineLevel="0" collapsed="false">
      <c r="A7394" s="0" t="s">
        <v>7718</v>
      </c>
      <c r="B7394" s="0" t="s">
        <v>121</v>
      </c>
      <c r="C7394" s="0" t="str">
        <f aca="false">INDEX(Intent_Analysis!$B$5:$B$81,MATCH(B7394,Intent_Analysis!$A$5:$A$81,0))</f>
        <v>Transfers</v>
      </c>
      <c r="D7394" s="0" t="n">
        <f aca="false">INDEX(Intent_Analysis!$E$5:$E$81,MATCH(B7394,Intent_Analysis!$A$5:$A$81,0))</f>
        <v>1</v>
      </c>
    </row>
    <row r="7395" customFormat="false" ht="15" hidden="false" customHeight="false" outlineLevel="0" collapsed="false">
      <c r="A7395" s="0" t="s">
        <v>7719</v>
      </c>
      <c r="B7395" s="0" t="s">
        <v>121</v>
      </c>
      <c r="C7395" s="0" t="str">
        <f aca="false">INDEX(Intent_Analysis!$B$5:$B$81,MATCH(B7395,Intent_Analysis!$A$5:$A$81,0))</f>
        <v>Transfers</v>
      </c>
      <c r="D7395" s="0" t="n">
        <f aca="false">INDEX(Intent_Analysis!$E$5:$E$81,MATCH(B7395,Intent_Analysis!$A$5:$A$81,0))</f>
        <v>1</v>
      </c>
    </row>
    <row r="7396" customFormat="false" ht="15" hidden="false" customHeight="false" outlineLevel="0" collapsed="false">
      <c r="A7396" s="0" t="s">
        <v>7720</v>
      </c>
      <c r="B7396" s="0" t="s">
        <v>121</v>
      </c>
      <c r="C7396" s="0" t="str">
        <f aca="false">INDEX(Intent_Analysis!$B$5:$B$81,MATCH(B7396,Intent_Analysis!$A$5:$A$81,0))</f>
        <v>Transfers</v>
      </c>
      <c r="D7396" s="0" t="n">
        <f aca="false">INDEX(Intent_Analysis!$E$5:$E$81,MATCH(B7396,Intent_Analysis!$A$5:$A$81,0))</f>
        <v>1</v>
      </c>
    </row>
    <row r="7397" customFormat="false" ht="15" hidden="false" customHeight="false" outlineLevel="0" collapsed="false">
      <c r="A7397" s="0" t="s">
        <v>7721</v>
      </c>
      <c r="B7397" s="0" t="s">
        <v>121</v>
      </c>
      <c r="C7397" s="0" t="str">
        <f aca="false">INDEX(Intent_Analysis!$B$5:$B$81,MATCH(B7397,Intent_Analysis!$A$5:$A$81,0))</f>
        <v>Transfers</v>
      </c>
      <c r="D7397" s="0" t="n">
        <f aca="false">INDEX(Intent_Analysis!$E$5:$E$81,MATCH(B7397,Intent_Analysis!$A$5:$A$81,0))</f>
        <v>1</v>
      </c>
    </row>
    <row r="7398" customFormat="false" ht="15" hidden="false" customHeight="false" outlineLevel="0" collapsed="false">
      <c r="A7398" s="0" t="s">
        <v>7722</v>
      </c>
      <c r="B7398" s="0" t="s">
        <v>121</v>
      </c>
      <c r="C7398" s="0" t="str">
        <f aca="false">INDEX(Intent_Analysis!$B$5:$B$81,MATCH(B7398,Intent_Analysis!$A$5:$A$81,0))</f>
        <v>Transfers</v>
      </c>
      <c r="D7398" s="0" t="n">
        <f aca="false">INDEX(Intent_Analysis!$E$5:$E$81,MATCH(B7398,Intent_Analysis!$A$5:$A$81,0))</f>
        <v>1</v>
      </c>
    </row>
    <row r="7399" customFormat="false" ht="15" hidden="false" customHeight="false" outlineLevel="0" collapsed="false">
      <c r="A7399" s="0" t="s">
        <v>7723</v>
      </c>
      <c r="B7399" s="0" t="s">
        <v>121</v>
      </c>
      <c r="C7399" s="0" t="str">
        <f aca="false">INDEX(Intent_Analysis!$B$5:$B$81,MATCH(B7399,Intent_Analysis!$A$5:$A$81,0))</f>
        <v>Transfers</v>
      </c>
      <c r="D7399" s="0" t="n">
        <f aca="false">INDEX(Intent_Analysis!$E$5:$E$81,MATCH(B7399,Intent_Analysis!$A$5:$A$81,0))</f>
        <v>1</v>
      </c>
    </row>
    <row r="7400" customFormat="false" ht="15" hidden="false" customHeight="false" outlineLevel="0" collapsed="false">
      <c r="A7400" s="0" t="s">
        <v>7724</v>
      </c>
      <c r="B7400" s="0" t="s">
        <v>121</v>
      </c>
      <c r="C7400" s="0" t="str">
        <f aca="false">INDEX(Intent_Analysis!$B$5:$B$81,MATCH(B7400,Intent_Analysis!$A$5:$A$81,0))</f>
        <v>Transfers</v>
      </c>
      <c r="D7400" s="0" t="n">
        <f aca="false">INDEX(Intent_Analysis!$E$5:$E$81,MATCH(B7400,Intent_Analysis!$A$5:$A$81,0))</f>
        <v>1</v>
      </c>
    </row>
    <row r="7401" customFormat="false" ht="15" hidden="false" customHeight="false" outlineLevel="0" collapsed="false">
      <c r="A7401" s="0" t="s">
        <v>7725</v>
      </c>
      <c r="B7401" s="0" t="s">
        <v>121</v>
      </c>
      <c r="C7401" s="0" t="str">
        <f aca="false">INDEX(Intent_Analysis!$B$5:$B$81,MATCH(B7401,Intent_Analysis!$A$5:$A$81,0))</f>
        <v>Transfers</v>
      </c>
      <c r="D7401" s="0" t="n">
        <f aca="false">INDEX(Intent_Analysis!$E$5:$E$81,MATCH(B7401,Intent_Analysis!$A$5:$A$81,0))</f>
        <v>1</v>
      </c>
    </row>
    <row r="7402" customFormat="false" ht="15" hidden="false" customHeight="false" outlineLevel="0" collapsed="false">
      <c r="A7402" s="0" t="s">
        <v>7726</v>
      </c>
      <c r="B7402" s="0" t="s">
        <v>121</v>
      </c>
      <c r="C7402" s="0" t="str">
        <f aca="false">INDEX(Intent_Analysis!$B$5:$B$81,MATCH(B7402,Intent_Analysis!$A$5:$A$81,0))</f>
        <v>Transfers</v>
      </c>
      <c r="D7402" s="0" t="n">
        <f aca="false">INDEX(Intent_Analysis!$E$5:$E$81,MATCH(B7402,Intent_Analysis!$A$5:$A$81,0))</f>
        <v>1</v>
      </c>
    </row>
    <row r="7403" customFormat="false" ht="15" hidden="false" customHeight="false" outlineLevel="0" collapsed="false">
      <c r="A7403" s="0" t="s">
        <v>7727</v>
      </c>
      <c r="B7403" s="0" t="s">
        <v>121</v>
      </c>
      <c r="C7403" s="0" t="str">
        <f aca="false">INDEX(Intent_Analysis!$B$5:$B$81,MATCH(B7403,Intent_Analysis!$A$5:$A$81,0))</f>
        <v>Transfers</v>
      </c>
      <c r="D7403" s="0" t="n">
        <f aca="false">INDEX(Intent_Analysis!$E$5:$E$81,MATCH(B7403,Intent_Analysis!$A$5:$A$81,0))</f>
        <v>1</v>
      </c>
    </row>
    <row r="7404" customFormat="false" ht="15" hidden="false" customHeight="false" outlineLevel="0" collapsed="false">
      <c r="A7404" s="0" t="s">
        <v>7728</v>
      </c>
      <c r="B7404" s="0" t="s">
        <v>121</v>
      </c>
      <c r="C7404" s="0" t="str">
        <f aca="false">INDEX(Intent_Analysis!$B$5:$B$81,MATCH(B7404,Intent_Analysis!$A$5:$A$81,0))</f>
        <v>Transfers</v>
      </c>
      <c r="D7404" s="0" t="n">
        <f aca="false">INDEX(Intent_Analysis!$E$5:$E$81,MATCH(B7404,Intent_Analysis!$A$5:$A$81,0))</f>
        <v>1</v>
      </c>
    </row>
    <row r="7405" customFormat="false" ht="15" hidden="false" customHeight="false" outlineLevel="0" collapsed="false">
      <c r="A7405" s="0" t="s">
        <v>7729</v>
      </c>
      <c r="B7405" s="0" t="s">
        <v>121</v>
      </c>
      <c r="C7405" s="0" t="str">
        <f aca="false">INDEX(Intent_Analysis!$B$5:$B$81,MATCH(B7405,Intent_Analysis!$A$5:$A$81,0))</f>
        <v>Transfers</v>
      </c>
      <c r="D7405" s="0" t="n">
        <f aca="false">INDEX(Intent_Analysis!$E$5:$E$81,MATCH(B7405,Intent_Analysis!$A$5:$A$81,0))</f>
        <v>1</v>
      </c>
    </row>
    <row r="7406" customFormat="false" ht="15" hidden="false" customHeight="false" outlineLevel="0" collapsed="false">
      <c r="A7406" s="0" t="s">
        <v>7730</v>
      </c>
      <c r="B7406" s="0" t="s">
        <v>121</v>
      </c>
      <c r="C7406" s="0" t="str">
        <f aca="false">INDEX(Intent_Analysis!$B$5:$B$81,MATCH(B7406,Intent_Analysis!$A$5:$A$81,0))</f>
        <v>Transfers</v>
      </c>
      <c r="D7406" s="0" t="n">
        <f aca="false">INDEX(Intent_Analysis!$E$5:$E$81,MATCH(B7406,Intent_Analysis!$A$5:$A$81,0))</f>
        <v>1</v>
      </c>
    </row>
    <row r="7407" customFormat="false" ht="15" hidden="false" customHeight="false" outlineLevel="0" collapsed="false">
      <c r="A7407" s="0" t="s">
        <v>7731</v>
      </c>
      <c r="B7407" s="0" t="s">
        <v>121</v>
      </c>
      <c r="C7407" s="0" t="str">
        <f aca="false">INDEX(Intent_Analysis!$B$5:$B$81,MATCH(B7407,Intent_Analysis!$A$5:$A$81,0))</f>
        <v>Transfers</v>
      </c>
      <c r="D7407" s="0" t="n">
        <f aca="false">INDEX(Intent_Analysis!$E$5:$E$81,MATCH(B7407,Intent_Analysis!$A$5:$A$81,0))</f>
        <v>1</v>
      </c>
    </row>
    <row r="7408" customFormat="false" ht="15" hidden="false" customHeight="false" outlineLevel="0" collapsed="false">
      <c r="A7408" s="0" t="s">
        <v>7732</v>
      </c>
      <c r="B7408" s="0" t="s">
        <v>121</v>
      </c>
      <c r="C7408" s="0" t="str">
        <f aca="false">INDEX(Intent_Analysis!$B$5:$B$81,MATCH(B7408,Intent_Analysis!$A$5:$A$81,0))</f>
        <v>Transfers</v>
      </c>
      <c r="D7408" s="0" t="n">
        <f aca="false">INDEX(Intent_Analysis!$E$5:$E$81,MATCH(B7408,Intent_Analysis!$A$5:$A$81,0))</f>
        <v>1</v>
      </c>
    </row>
    <row r="7409" customFormat="false" ht="15" hidden="false" customHeight="false" outlineLevel="0" collapsed="false">
      <c r="A7409" s="0" t="s">
        <v>7733</v>
      </c>
      <c r="B7409" s="0" t="s">
        <v>121</v>
      </c>
      <c r="C7409" s="0" t="str">
        <f aca="false">INDEX(Intent_Analysis!$B$5:$B$81,MATCH(B7409,Intent_Analysis!$A$5:$A$81,0))</f>
        <v>Transfers</v>
      </c>
      <c r="D7409" s="0" t="n">
        <f aca="false">INDEX(Intent_Analysis!$E$5:$E$81,MATCH(B7409,Intent_Analysis!$A$5:$A$81,0))</f>
        <v>1</v>
      </c>
    </row>
    <row r="7410" customFormat="false" ht="15" hidden="false" customHeight="false" outlineLevel="0" collapsed="false">
      <c r="A7410" s="0" t="s">
        <v>7734</v>
      </c>
      <c r="B7410" s="0" t="s">
        <v>121</v>
      </c>
      <c r="C7410" s="0" t="str">
        <f aca="false">INDEX(Intent_Analysis!$B$5:$B$81,MATCH(B7410,Intent_Analysis!$A$5:$A$81,0))</f>
        <v>Transfers</v>
      </c>
      <c r="D7410" s="0" t="n">
        <f aca="false">INDEX(Intent_Analysis!$E$5:$E$81,MATCH(B7410,Intent_Analysis!$A$5:$A$81,0))</f>
        <v>1</v>
      </c>
    </row>
    <row r="7411" customFormat="false" ht="15" hidden="false" customHeight="false" outlineLevel="0" collapsed="false">
      <c r="A7411" s="0" t="s">
        <v>7735</v>
      </c>
      <c r="B7411" s="0" t="s">
        <v>121</v>
      </c>
      <c r="C7411" s="0" t="str">
        <f aca="false">INDEX(Intent_Analysis!$B$5:$B$81,MATCH(B7411,Intent_Analysis!$A$5:$A$81,0))</f>
        <v>Transfers</v>
      </c>
      <c r="D7411" s="0" t="n">
        <f aca="false">INDEX(Intent_Analysis!$E$5:$E$81,MATCH(B7411,Intent_Analysis!$A$5:$A$81,0))</f>
        <v>1</v>
      </c>
    </row>
    <row r="7412" customFormat="false" ht="15" hidden="false" customHeight="false" outlineLevel="0" collapsed="false">
      <c r="A7412" s="0" t="s">
        <v>7736</v>
      </c>
      <c r="B7412" s="0" t="s">
        <v>121</v>
      </c>
      <c r="C7412" s="0" t="str">
        <f aca="false">INDEX(Intent_Analysis!$B$5:$B$81,MATCH(B7412,Intent_Analysis!$A$5:$A$81,0))</f>
        <v>Transfers</v>
      </c>
      <c r="D7412" s="0" t="n">
        <f aca="false">INDEX(Intent_Analysis!$E$5:$E$81,MATCH(B7412,Intent_Analysis!$A$5:$A$81,0))</f>
        <v>1</v>
      </c>
    </row>
    <row r="7413" customFormat="false" ht="15" hidden="false" customHeight="false" outlineLevel="0" collapsed="false">
      <c r="A7413" s="0" t="s">
        <v>7737</v>
      </c>
      <c r="B7413" s="0" t="s">
        <v>121</v>
      </c>
      <c r="C7413" s="0" t="str">
        <f aca="false">INDEX(Intent_Analysis!$B$5:$B$81,MATCH(B7413,Intent_Analysis!$A$5:$A$81,0))</f>
        <v>Transfers</v>
      </c>
      <c r="D7413" s="0" t="n">
        <f aca="false">INDEX(Intent_Analysis!$E$5:$E$81,MATCH(B7413,Intent_Analysis!$A$5:$A$81,0))</f>
        <v>1</v>
      </c>
    </row>
    <row r="7414" customFormat="false" ht="15" hidden="false" customHeight="false" outlineLevel="0" collapsed="false">
      <c r="A7414" s="0" t="s">
        <v>7738</v>
      </c>
      <c r="B7414" s="0" t="s">
        <v>121</v>
      </c>
      <c r="C7414" s="0" t="str">
        <f aca="false">INDEX(Intent_Analysis!$B$5:$B$81,MATCH(B7414,Intent_Analysis!$A$5:$A$81,0))</f>
        <v>Transfers</v>
      </c>
      <c r="D7414" s="0" t="n">
        <f aca="false">INDEX(Intent_Analysis!$E$5:$E$81,MATCH(B7414,Intent_Analysis!$A$5:$A$81,0))</f>
        <v>1</v>
      </c>
    </row>
    <row r="7415" customFormat="false" ht="15" hidden="false" customHeight="false" outlineLevel="0" collapsed="false">
      <c r="A7415" s="0" t="s">
        <v>7739</v>
      </c>
      <c r="B7415" s="0" t="s">
        <v>121</v>
      </c>
      <c r="C7415" s="0" t="str">
        <f aca="false">INDEX(Intent_Analysis!$B$5:$B$81,MATCH(B7415,Intent_Analysis!$A$5:$A$81,0))</f>
        <v>Transfers</v>
      </c>
      <c r="D7415" s="0" t="n">
        <f aca="false">INDEX(Intent_Analysis!$E$5:$E$81,MATCH(B7415,Intent_Analysis!$A$5:$A$81,0))</f>
        <v>1</v>
      </c>
    </row>
    <row r="7416" customFormat="false" ht="15" hidden="false" customHeight="false" outlineLevel="0" collapsed="false">
      <c r="A7416" s="0" t="s">
        <v>7740</v>
      </c>
      <c r="B7416" s="0" t="s">
        <v>121</v>
      </c>
      <c r="C7416" s="0" t="str">
        <f aca="false">INDEX(Intent_Analysis!$B$5:$B$81,MATCH(B7416,Intent_Analysis!$A$5:$A$81,0))</f>
        <v>Transfers</v>
      </c>
      <c r="D7416" s="0" t="n">
        <f aca="false">INDEX(Intent_Analysis!$E$5:$E$81,MATCH(B7416,Intent_Analysis!$A$5:$A$81,0))</f>
        <v>1</v>
      </c>
    </row>
    <row r="7417" customFormat="false" ht="15" hidden="false" customHeight="false" outlineLevel="0" collapsed="false">
      <c r="A7417" s="0" t="s">
        <v>7741</v>
      </c>
      <c r="B7417" s="0" t="s">
        <v>121</v>
      </c>
      <c r="C7417" s="0" t="str">
        <f aca="false">INDEX(Intent_Analysis!$B$5:$B$81,MATCH(B7417,Intent_Analysis!$A$5:$A$81,0))</f>
        <v>Transfers</v>
      </c>
      <c r="D7417" s="0" t="n">
        <f aca="false">INDEX(Intent_Analysis!$E$5:$E$81,MATCH(B7417,Intent_Analysis!$A$5:$A$81,0))</f>
        <v>1</v>
      </c>
    </row>
    <row r="7418" customFormat="false" ht="15" hidden="false" customHeight="false" outlineLevel="0" collapsed="false">
      <c r="A7418" s="0" t="s">
        <v>7742</v>
      </c>
      <c r="B7418" s="0" t="s">
        <v>121</v>
      </c>
      <c r="C7418" s="0" t="str">
        <f aca="false">INDEX(Intent_Analysis!$B$5:$B$81,MATCH(B7418,Intent_Analysis!$A$5:$A$81,0))</f>
        <v>Transfers</v>
      </c>
      <c r="D7418" s="0" t="n">
        <f aca="false">INDEX(Intent_Analysis!$E$5:$E$81,MATCH(B7418,Intent_Analysis!$A$5:$A$81,0))</f>
        <v>1</v>
      </c>
    </row>
    <row r="7419" customFormat="false" ht="15" hidden="false" customHeight="false" outlineLevel="0" collapsed="false">
      <c r="A7419" s="0" t="s">
        <v>7743</v>
      </c>
      <c r="B7419" s="0" t="s">
        <v>121</v>
      </c>
      <c r="C7419" s="0" t="str">
        <f aca="false">INDEX(Intent_Analysis!$B$5:$B$81,MATCH(B7419,Intent_Analysis!$A$5:$A$81,0))</f>
        <v>Transfers</v>
      </c>
      <c r="D7419" s="0" t="n">
        <f aca="false">INDEX(Intent_Analysis!$E$5:$E$81,MATCH(B7419,Intent_Analysis!$A$5:$A$81,0))</f>
        <v>1</v>
      </c>
    </row>
    <row r="7420" customFormat="false" ht="15" hidden="false" customHeight="false" outlineLevel="0" collapsed="false">
      <c r="A7420" s="0" t="s">
        <v>7744</v>
      </c>
      <c r="B7420" s="0" t="s">
        <v>121</v>
      </c>
      <c r="C7420" s="0" t="str">
        <f aca="false">INDEX(Intent_Analysis!$B$5:$B$81,MATCH(B7420,Intent_Analysis!$A$5:$A$81,0))</f>
        <v>Transfers</v>
      </c>
      <c r="D7420" s="0" t="n">
        <f aca="false">INDEX(Intent_Analysis!$E$5:$E$81,MATCH(B7420,Intent_Analysis!$A$5:$A$81,0))</f>
        <v>1</v>
      </c>
    </row>
    <row r="7421" customFormat="false" ht="15" hidden="false" customHeight="false" outlineLevel="0" collapsed="false">
      <c r="A7421" s="0" t="s">
        <v>7745</v>
      </c>
      <c r="B7421" s="0" t="s">
        <v>121</v>
      </c>
      <c r="C7421" s="0" t="str">
        <f aca="false">INDEX(Intent_Analysis!$B$5:$B$81,MATCH(B7421,Intent_Analysis!$A$5:$A$81,0))</f>
        <v>Transfers</v>
      </c>
      <c r="D7421" s="0" t="n">
        <f aca="false">INDEX(Intent_Analysis!$E$5:$E$81,MATCH(B7421,Intent_Analysis!$A$5:$A$81,0))</f>
        <v>1</v>
      </c>
    </row>
    <row r="7422" customFormat="false" ht="15" hidden="false" customHeight="false" outlineLevel="0" collapsed="false">
      <c r="A7422" s="0" t="s">
        <v>7746</v>
      </c>
      <c r="B7422" s="0" t="s">
        <v>121</v>
      </c>
      <c r="C7422" s="0" t="str">
        <f aca="false">INDEX(Intent_Analysis!$B$5:$B$81,MATCH(B7422,Intent_Analysis!$A$5:$A$81,0))</f>
        <v>Transfers</v>
      </c>
      <c r="D7422" s="0" t="n">
        <f aca="false">INDEX(Intent_Analysis!$E$5:$E$81,MATCH(B7422,Intent_Analysis!$A$5:$A$81,0))</f>
        <v>1</v>
      </c>
    </row>
    <row r="7423" customFormat="false" ht="15" hidden="false" customHeight="false" outlineLevel="0" collapsed="false">
      <c r="A7423" s="0" t="s">
        <v>7747</v>
      </c>
      <c r="B7423" s="0" t="s">
        <v>121</v>
      </c>
      <c r="C7423" s="0" t="str">
        <f aca="false">INDEX(Intent_Analysis!$B$5:$B$81,MATCH(B7423,Intent_Analysis!$A$5:$A$81,0))</f>
        <v>Transfers</v>
      </c>
      <c r="D7423" s="0" t="n">
        <f aca="false">INDEX(Intent_Analysis!$E$5:$E$81,MATCH(B7423,Intent_Analysis!$A$5:$A$81,0))</f>
        <v>1</v>
      </c>
    </row>
    <row r="7424" customFormat="false" ht="15" hidden="false" customHeight="false" outlineLevel="0" collapsed="false">
      <c r="A7424" s="0" t="s">
        <v>7748</v>
      </c>
      <c r="B7424" s="0" t="s">
        <v>121</v>
      </c>
      <c r="C7424" s="0" t="str">
        <f aca="false">INDEX(Intent_Analysis!$B$5:$B$81,MATCH(B7424,Intent_Analysis!$A$5:$A$81,0))</f>
        <v>Transfers</v>
      </c>
      <c r="D7424" s="0" t="n">
        <f aca="false">INDEX(Intent_Analysis!$E$5:$E$81,MATCH(B7424,Intent_Analysis!$A$5:$A$81,0))</f>
        <v>1</v>
      </c>
    </row>
    <row r="7425" customFormat="false" ht="15" hidden="false" customHeight="false" outlineLevel="0" collapsed="false">
      <c r="A7425" s="0" t="s">
        <v>7749</v>
      </c>
      <c r="B7425" s="0" t="s">
        <v>121</v>
      </c>
      <c r="C7425" s="0" t="str">
        <f aca="false">INDEX(Intent_Analysis!$B$5:$B$81,MATCH(B7425,Intent_Analysis!$A$5:$A$81,0))</f>
        <v>Transfers</v>
      </c>
      <c r="D7425" s="0" t="n">
        <f aca="false">INDEX(Intent_Analysis!$E$5:$E$81,MATCH(B7425,Intent_Analysis!$A$5:$A$81,0))</f>
        <v>1</v>
      </c>
    </row>
    <row r="7426" customFormat="false" ht="15" hidden="false" customHeight="false" outlineLevel="0" collapsed="false">
      <c r="A7426" s="0" t="s">
        <v>7750</v>
      </c>
      <c r="B7426" s="0" t="s">
        <v>121</v>
      </c>
      <c r="C7426" s="0" t="str">
        <f aca="false">INDEX(Intent_Analysis!$B$5:$B$81,MATCH(B7426,Intent_Analysis!$A$5:$A$81,0))</f>
        <v>Transfers</v>
      </c>
      <c r="D7426" s="0" t="n">
        <f aca="false">INDEX(Intent_Analysis!$E$5:$E$81,MATCH(B7426,Intent_Analysis!$A$5:$A$81,0))</f>
        <v>1</v>
      </c>
    </row>
    <row r="7427" customFormat="false" ht="15" hidden="false" customHeight="false" outlineLevel="0" collapsed="false">
      <c r="A7427" s="0" t="s">
        <v>7751</v>
      </c>
      <c r="B7427" s="0" t="s">
        <v>121</v>
      </c>
      <c r="C7427" s="0" t="str">
        <f aca="false">INDEX(Intent_Analysis!$B$5:$B$81,MATCH(B7427,Intent_Analysis!$A$5:$A$81,0))</f>
        <v>Transfers</v>
      </c>
      <c r="D7427" s="0" t="n">
        <f aca="false">INDEX(Intent_Analysis!$E$5:$E$81,MATCH(B7427,Intent_Analysis!$A$5:$A$81,0))</f>
        <v>1</v>
      </c>
    </row>
    <row r="7428" customFormat="false" ht="15" hidden="false" customHeight="false" outlineLevel="0" collapsed="false">
      <c r="A7428" s="0" t="s">
        <v>7752</v>
      </c>
      <c r="B7428" s="0" t="s">
        <v>121</v>
      </c>
      <c r="C7428" s="0" t="str">
        <f aca="false">INDEX(Intent_Analysis!$B$5:$B$81,MATCH(B7428,Intent_Analysis!$A$5:$A$81,0))</f>
        <v>Transfers</v>
      </c>
      <c r="D7428" s="0" t="n">
        <f aca="false">INDEX(Intent_Analysis!$E$5:$E$81,MATCH(B7428,Intent_Analysis!$A$5:$A$81,0))</f>
        <v>1</v>
      </c>
    </row>
    <row r="7429" customFormat="false" ht="15" hidden="false" customHeight="false" outlineLevel="0" collapsed="false">
      <c r="A7429" s="0" t="s">
        <v>7753</v>
      </c>
      <c r="B7429" s="0" t="s">
        <v>121</v>
      </c>
      <c r="C7429" s="0" t="str">
        <f aca="false">INDEX(Intent_Analysis!$B$5:$B$81,MATCH(B7429,Intent_Analysis!$A$5:$A$81,0))</f>
        <v>Transfers</v>
      </c>
      <c r="D7429" s="0" t="n">
        <f aca="false">INDEX(Intent_Analysis!$E$5:$E$81,MATCH(B7429,Intent_Analysis!$A$5:$A$81,0))</f>
        <v>1</v>
      </c>
    </row>
    <row r="7430" customFormat="false" ht="15" hidden="false" customHeight="false" outlineLevel="0" collapsed="false">
      <c r="A7430" s="0" t="s">
        <v>7754</v>
      </c>
      <c r="B7430" s="0" t="s">
        <v>117</v>
      </c>
      <c r="C7430" s="0" t="str">
        <f aca="false">INDEX(Intent_Analysis!$B$5:$B$81,MATCH(B7430,Intent_Analysis!$A$5:$A$81,0))</f>
        <v>Transfers</v>
      </c>
      <c r="D7430" s="0" t="n">
        <f aca="false">INDEX(Intent_Analysis!$E$5:$E$81,MATCH(B7430,Intent_Analysis!$A$5:$A$81,0))</f>
        <v>2</v>
      </c>
    </row>
    <row r="7431" customFormat="false" ht="15" hidden="false" customHeight="false" outlineLevel="0" collapsed="false">
      <c r="A7431" s="0" t="s">
        <v>7755</v>
      </c>
      <c r="B7431" s="0" t="s">
        <v>117</v>
      </c>
      <c r="C7431" s="0" t="str">
        <f aca="false">INDEX(Intent_Analysis!$B$5:$B$81,MATCH(B7431,Intent_Analysis!$A$5:$A$81,0))</f>
        <v>Transfers</v>
      </c>
      <c r="D7431" s="0" t="n">
        <f aca="false">INDEX(Intent_Analysis!$E$5:$E$81,MATCH(B7431,Intent_Analysis!$A$5:$A$81,0))</f>
        <v>2</v>
      </c>
    </row>
    <row r="7432" customFormat="false" ht="15" hidden="false" customHeight="false" outlineLevel="0" collapsed="false">
      <c r="A7432" s="0" t="s">
        <v>7756</v>
      </c>
      <c r="B7432" s="0" t="s">
        <v>117</v>
      </c>
      <c r="C7432" s="0" t="str">
        <f aca="false">INDEX(Intent_Analysis!$B$5:$B$81,MATCH(B7432,Intent_Analysis!$A$5:$A$81,0))</f>
        <v>Transfers</v>
      </c>
      <c r="D7432" s="0" t="n">
        <f aca="false">INDEX(Intent_Analysis!$E$5:$E$81,MATCH(B7432,Intent_Analysis!$A$5:$A$81,0))</f>
        <v>2</v>
      </c>
    </row>
    <row r="7433" customFormat="false" ht="15" hidden="false" customHeight="false" outlineLevel="0" collapsed="false">
      <c r="A7433" s="0" t="s">
        <v>7757</v>
      </c>
      <c r="B7433" s="0" t="s">
        <v>117</v>
      </c>
      <c r="C7433" s="0" t="str">
        <f aca="false">INDEX(Intent_Analysis!$B$5:$B$81,MATCH(B7433,Intent_Analysis!$A$5:$A$81,0))</f>
        <v>Transfers</v>
      </c>
      <c r="D7433" s="0" t="n">
        <f aca="false">INDEX(Intent_Analysis!$E$5:$E$81,MATCH(B7433,Intent_Analysis!$A$5:$A$81,0))</f>
        <v>2</v>
      </c>
    </row>
    <row r="7434" customFormat="false" ht="15" hidden="false" customHeight="false" outlineLevel="0" collapsed="false">
      <c r="A7434" s="0" t="s">
        <v>7758</v>
      </c>
      <c r="B7434" s="0" t="s">
        <v>117</v>
      </c>
      <c r="C7434" s="0" t="str">
        <f aca="false">INDEX(Intent_Analysis!$B$5:$B$81,MATCH(B7434,Intent_Analysis!$A$5:$A$81,0))</f>
        <v>Transfers</v>
      </c>
      <c r="D7434" s="0" t="n">
        <f aca="false">INDEX(Intent_Analysis!$E$5:$E$81,MATCH(B7434,Intent_Analysis!$A$5:$A$81,0))</f>
        <v>2</v>
      </c>
    </row>
    <row r="7435" customFormat="false" ht="15" hidden="false" customHeight="false" outlineLevel="0" collapsed="false">
      <c r="A7435" s="0" t="s">
        <v>7759</v>
      </c>
      <c r="B7435" s="0" t="s">
        <v>117</v>
      </c>
      <c r="C7435" s="0" t="str">
        <f aca="false">INDEX(Intent_Analysis!$B$5:$B$81,MATCH(B7435,Intent_Analysis!$A$5:$A$81,0))</f>
        <v>Transfers</v>
      </c>
      <c r="D7435" s="0" t="n">
        <f aca="false">INDEX(Intent_Analysis!$E$5:$E$81,MATCH(B7435,Intent_Analysis!$A$5:$A$81,0))</f>
        <v>2</v>
      </c>
    </row>
    <row r="7436" customFormat="false" ht="15" hidden="false" customHeight="false" outlineLevel="0" collapsed="false">
      <c r="A7436" s="0" t="s">
        <v>7760</v>
      </c>
      <c r="B7436" s="0" t="s">
        <v>117</v>
      </c>
      <c r="C7436" s="0" t="str">
        <f aca="false">INDEX(Intent_Analysis!$B$5:$B$81,MATCH(B7436,Intent_Analysis!$A$5:$A$81,0))</f>
        <v>Transfers</v>
      </c>
      <c r="D7436" s="0" t="n">
        <f aca="false">INDEX(Intent_Analysis!$E$5:$E$81,MATCH(B7436,Intent_Analysis!$A$5:$A$81,0))</f>
        <v>2</v>
      </c>
    </row>
    <row r="7437" customFormat="false" ht="15" hidden="false" customHeight="false" outlineLevel="0" collapsed="false">
      <c r="A7437" s="0" t="s">
        <v>7761</v>
      </c>
      <c r="B7437" s="0" t="s">
        <v>117</v>
      </c>
      <c r="C7437" s="0" t="str">
        <f aca="false">INDEX(Intent_Analysis!$B$5:$B$81,MATCH(B7437,Intent_Analysis!$A$5:$A$81,0))</f>
        <v>Transfers</v>
      </c>
      <c r="D7437" s="0" t="n">
        <f aca="false">INDEX(Intent_Analysis!$E$5:$E$81,MATCH(B7437,Intent_Analysis!$A$5:$A$81,0))</f>
        <v>2</v>
      </c>
    </row>
    <row r="7438" customFormat="false" ht="15" hidden="false" customHeight="false" outlineLevel="0" collapsed="false">
      <c r="A7438" s="0" t="s">
        <v>7762</v>
      </c>
      <c r="B7438" s="0" t="s">
        <v>117</v>
      </c>
      <c r="C7438" s="0" t="str">
        <f aca="false">INDEX(Intent_Analysis!$B$5:$B$81,MATCH(B7438,Intent_Analysis!$A$5:$A$81,0))</f>
        <v>Transfers</v>
      </c>
      <c r="D7438" s="0" t="n">
        <f aca="false">INDEX(Intent_Analysis!$E$5:$E$81,MATCH(B7438,Intent_Analysis!$A$5:$A$81,0))</f>
        <v>2</v>
      </c>
    </row>
    <row r="7439" customFormat="false" ht="15" hidden="false" customHeight="false" outlineLevel="0" collapsed="false">
      <c r="A7439" s="0" t="s">
        <v>7763</v>
      </c>
      <c r="B7439" s="0" t="s">
        <v>117</v>
      </c>
      <c r="C7439" s="0" t="str">
        <f aca="false">INDEX(Intent_Analysis!$B$5:$B$81,MATCH(B7439,Intent_Analysis!$A$5:$A$81,0))</f>
        <v>Transfers</v>
      </c>
      <c r="D7439" s="0" t="n">
        <f aca="false">INDEX(Intent_Analysis!$E$5:$E$81,MATCH(B7439,Intent_Analysis!$A$5:$A$81,0))</f>
        <v>2</v>
      </c>
    </row>
    <row r="7440" customFormat="false" ht="15" hidden="false" customHeight="false" outlineLevel="0" collapsed="false">
      <c r="A7440" s="0" t="s">
        <v>7764</v>
      </c>
      <c r="B7440" s="0" t="s">
        <v>117</v>
      </c>
      <c r="C7440" s="0" t="str">
        <f aca="false">INDEX(Intent_Analysis!$B$5:$B$81,MATCH(B7440,Intent_Analysis!$A$5:$A$81,0))</f>
        <v>Transfers</v>
      </c>
      <c r="D7440" s="0" t="n">
        <f aca="false">INDEX(Intent_Analysis!$E$5:$E$81,MATCH(B7440,Intent_Analysis!$A$5:$A$81,0))</f>
        <v>2</v>
      </c>
    </row>
    <row r="7441" customFormat="false" ht="15" hidden="false" customHeight="false" outlineLevel="0" collapsed="false">
      <c r="A7441" s="0" t="s">
        <v>7765</v>
      </c>
      <c r="B7441" s="0" t="s">
        <v>117</v>
      </c>
      <c r="C7441" s="0" t="str">
        <f aca="false">INDEX(Intent_Analysis!$B$5:$B$81,MATCH(B7441,Intent_Analysis!$A$5:$A$81,0))</f>
        <v>Transfers</v>
      </c>
      <c r="D7441" s="0" t="n">
        <f aca="false">INDEX(Intent_Analysis!$E$5:$E$81,MATCH(B7441,Intent_Analysis!$A$5:$A$81,0))</f>
        <v>2</v>
      </c>
    </row>
    <row r="7442" customFormat="false" ht="15" hidden="false" customHeight="false" outlineLevel="0" collapsed="false">
      <c r="A7442" s="0" t="s">
        <v>7766</v>
      </c>
      <c r="B7442" s="0" t="s">
        <v>117</v>
      </c>
      <c r="C7442" s="0" t="str">
        <f aca="false">INDEX(Intent_Analysis!$B$5:$B$81,MATCH(B7442,Intent_Analysis!$A$5:$A$81,0))</f>
        <v>Transfers</v>
      </c>
      <c r="D7442" s="0" t="n">
        <f aca="false">INDEX(Intent_Analysis!$E$5:$E$81,MATCH(B7442,Intent_Analysis!$A$5:$A$81,0))</f>
        <v>2</v>
      </c>
    </row>
    <row r="7443" customFormat="false" ht="15" hidden="false" customHeight="false" outlineLevel="0" collapsed="false">
      <c r="A7443" s="0" t="s">
        <v>7767</v>
      </c>
      <c r="B7443" s="0" t="s">
        <v>117</v>
      </c>
      <c r="C7443" s="0" t="str">
        <f aca="false">INDEX(Intent_Analysis!$B$5:$B$81,MATCH(B7443,Intent_Analysis!$A$5:$A$81,0))</f>
        <v>Transfers</v>
      </c>
      <c r="D7443" s="0" t="n">
        <f aca="false">INDEX(Intent_Analysis!$E$5:$E$81,MATCH(B7443,Intent_Analysis!$A$5:$A$81,0))</f>
        <v>2</v>
      </c>
    </row>
    <row r="7444" customFormat="false" ht="15" hidden="false" customHeight="false" outlineLevel="0" collapsed="false">
      <c r="A7444" s="0" t="s">
        <v>7768</v>
      </c>
      <c r="B7444" s="0" t="s">
        <v>117</v>
      </c>
      <c r="C7444" s="0" t="str">
        <f aca="false">INDEX(Intent_Analysis!$B$5:$B$81,MATCH(B7444,Intent_Analysis!$A$5:$A$81,0))</f>
        <v>Transfers</v>
      </c>
      <c r="D7444" s="0" t="n">
        <f aca="false">INDEX(Intent_Analysis!$E$5:$E$81,MATCH(B7444,Intent_Analysis!$A$5:$A$81,0))</f>
        <v>2</v>
      </c>
    </row>
    <row r="7445" customFormat="false" ht="15" hidden="false" customHeight="false" outlineLevel="0" collapsed="false">
      <c r="A7445" s="0" t="s">
        <v>7769</v>
      </c>
      <c r="B7445" s="0" t="s">
        <v>117</v>
      </c>
      <c r="C7445" s="0" t="str">
        <f aca="false">INDEX(Intent_Analysis!$B$5:$B$81,MATCH(B7445,Intent_Analysis!$A$5:$A$81,0))</f>
        <v>Transfers</v>
      </c>
      <c r="D7445" s="0" t="n">
        <f aca="false">INDEX(Intent_Analysis!$E$5:$E$81,MATCH(B7445,Intent_Analysis!$A$5:$A$81,0))</f>
        <v>2</v>
      </c>
    </row>
    <row r="7446" customFormat="false" ht="15" hidden="false" customHeight="false" outlineLevel="0" collapsed="false">
      <c r="A7446" s="0" t="s">
        <v>7770</v>
      </c>
      <c r="B7446" s="0" t="s">
        <v>117</v>
      </c>
      <c r="C7446" s="0" t="str">
        <f aca="false">INDEX(Intent_Analysis!$B$5:$B$81,MATCH(B7446,Intent_Analysis!$A$5:$A$81,0))</f>
        <v>Transfers</v>
      </c>
      <c r="D7446" s="0" t="n">
        <f aca="false">INDEX(Intent_Analysis!$E$5:$E$81,MATCH(B7446,Intent_Analysis!$A$5:$A$81,0))</f>
        <v>2</v>
      </c>
    </row>
    <row r="7447" customFormat="false" ht="15" hidden="false" customHeight="false" outlineLevel="0" collapsed="false">
      <c r="A7447" s="0" t="s">
        <v>7771</v>
      </c>
      <c r="B7447" s="0" t="s">
        <v>117</v>
      </c>
      <c r="C7447" s="0" t="str">
        <f aca="false">INDEX(Intent_Analysis!$B$5:$B$81,MATCH(B7447,Intent_Analysis!$A$5:$A$81,0))</f>
        <v>Transfers</v>
      </c>
      <c r="D7447" s="0" t="n">
        <f aca="false">INDEX(Intent_Analysis!$E$5:$E$81,MATCH(B7447,Intent_Analysis!$A$5:$A$81,0))</f>
        <v>2</v>
      </c>
    </row>
    <row r="7448" customFormat="false" ht="15" hidden="false" customHeight="false" outlineLevel="0" collapsed="false">
      <c r="A7448" s="0" t="s">
        <v>7772</v>
      </c>
      <c r="B7448" s="0" t="s">
        <v>117</v>
      </c>
      <c r="C7448" s="0" t="str">
        <f aca="false">INDEX(Intent_Analysis!$B$5:$B$81,MATCH(B7448,Intent_Analysis!$A$5:$A$81,0))</f>
        <v>Transfers</v>
      </c>
      <c r="D7448" s="0" t="n">
        <f aca="false">INDEX(Intent_Analysis!$E$5:$E$81,MATCH(B7448,Intent_Analysis!$A$5:$A$81,0))</f>
        <v>2</v>
      </c>
    </row>
    <row r="7449" customFormat="false" ht="15" hidden="false" customHeight="false" outlineLevel="0" collapsed="false">
      <c r="A7449" s="0" t="s">
        <v>7773</v>
      </c>
      <c r="B7449" s="0" t="s">
        <v>117</v>
      </c>
      <c r="C7449" s="0" t="str">
        <f aca="false">INDEX(Intent_Analysis!$B$5:$B$81,MATCH(B7449,Intent_Analysis!$A$5:$A$81,0))</f>
        <v>Transfers</v>
      </c>
      <c r="D7449" s="0" t="n">
        <f aca="false">INDEX(Intent_Analysis!$E$5:$E$81,MATCH(B7449,Intent_Analysis!$A$5:$A$81,0))</f>
        <v>2</v>
      </c>
    </row>
    <row r="7450" customFormat="false" ht="15" hidden="false" customHeight="false" outlineLevel="0" collapsed="false">
      <c r="A7450" s="0" t="s">
        <v>7774</v>
      </c>
      <c r="B7450" s="0" t="s">
        <v>117</v>
      </c>
      <c r="C7450" s="0" t="str">
        <f aca="false">INDEX(Intent_Analysis!$B$5:$B$81,MATCH(B7450,Intent_Analysis!$A$5:$A$81,0))</f>
        <v>Transfers</v>
      </c>
      <c r="D7450" s="0" t="n">
        <f aca="false">INDEX(Intent_Analysis!$E$5:$E$81,MATCH(B7450,Intent_Analysis!$A$5:$A$81,0))</f>
        <v>2</v>
      </c>
    </row>
    <row r="7451" customFormat="false" ht="15" hidden="false" customHeight="false" outlineLevel="0" collapsed="false">
      <c r="A7451" s="0" t="s">
        <v>7775</v>
      </c>
      <c r="B7451" s="0" t="s">
        <v>117</v>
      </c>
      <c r="C7451" s="0" t="str">
        <f aca="false">INDEX(Intent_Analysis!$B$5:$B$81,MATCH(B7451,Intent_Analysis!$A$5:$A$81,0))</f>
        <v>Transfers</v>
      </c>
      <c r="D7451" s="0" t="n">
        <f aca="false">INDEX(Intent_Analysis!$E$5:$E$81,MATCH(B7451,Intent_Analysis!$A$5:$A$81,0))</f>
        <v>2</v>
      </c>
    </row>
    <row r="7452" customFormat="false" ht="15" hidden="false" customHeight="false" outlineLevel="0" collapsed="false">
      <c r="A7452" s="0" t="s">
        <v>7776</v>
      </c>
      <c r="B7452" s="0" t="s">
        <v>117</v>
      </c>
      <c r="C7452" s="0" t="str">
        <f aca="false">INDEX(Intent_Analysis!$B$5:$B$81,MATCH(B7452,Intent_Analysis!$A$5:$A$81,0))</f>
        <v>Transfers</v>
      </c>
      <c r="D7452" s="0" t="n">
        <f aca="false">INDEX(Intent_Analysis!$E$5:$E$81,MATCH(B7452,Intent_Analysis!$A$5:$A$81,0))</f>
        <v>2</v>
      </c>
    </row>
    <row r="7453" customFormat="false" ht="15" hidden="false" customHeight="false" outlineLevel="0" collapsed="false">
      <c r="A7453" s="0" t="s">
        <v>7777</v>
      </c>
      <c r="B7453" s="0" t="s">
        <v>117</v>
      </c>
      <c r="C7453" s="0" t="str">
        <f aca="false">INDEX(Intent_Analysis!$B$5:$B$81,MATCH(B7453,Intent_Analysis!$A$5:$A$81,0))</f>
        <v>Transfers</v>
      </c>
      <c r="D7453" s="0" t="n">
        <f aca="false">INDEX(Intent_Analysis!$E$5:$E$81,MATCH(B7453,Intent_Analysis!$A$5:$A$81,0))</f>
        <v>2</v>
      </c>
    </row>
    <row r="7454" customFormat="false" ht="15" hidden="false" customHeight="false" outlineLevel="0" collapsed="false">
      <c r="A7454" s="0" t="s">
        <v>7778</v>
      </c>
      <c r="B7454" s="0" t="s">
        <v>117</v>
      </c>
      <c r="C7454" s="0" t="str">
        <f aca="false">INDEX(Intent_Analysis!$B$5:$B$81,MATCH(B7454,Intent_Analysis!$A$5:$A$81,0))</f>
        <v>Transfers</v>
      </c>
      <c r="D7454" s="0" t="n">
        <f aca="false">INDEX(Intent_Analysis!$E$5:$E$81,MATCH(B7454,Intent_Analysis!$A$5:$A$81,0))</f>
        <v>2</v>
      </c>
    </row>
    <row r="7455" customFormat="false" ht="15" hidden="false" customHeight="false" outlineLevel="0" collapsed="false">
      <c r="A7455" s="0" t="s">
        <v>7779</v>
      </c>
      <c r="B7455" s="0" t="s">
        <v>117</v>
      </c>
      <c r="C7455" s="0" t="str">
        <f aca="false">INDEX(Intent_Analysis!$B$5:$B$81,MATCH(B7455,Intent_Analysis!$A$5:$A$81,0))</f>
        <v>Transfers</v>
      </c>
      <c r="D7455" s="0" t="n">
        <f aca="false">INDEX(Intent_Analysis!$E$5:$E$81,MATCH(B7455,Intent_Analysis!$A$5:$A$81,0))</f>
        <v>2</v>
      </c>
    </row>
    <row r="7456" customFormat="false" ht="15" hidden="false" customHeight="false" outlineLevel="0" collapsed="false">
      <c r="A7456" s="0" t="s">
        <v>7780</v>
      </c>
      <c r="B7456" s="0" t="s">
        <v>117</v>
      </c>
      <c r="C7456" s="0" t="str">
        <f aca="false">INDEX(Intent_Analysis!$B$5:$B$81,MATCH(B7456,Intent_Analysis!$A$5:$A$81,0))</f>
        <v>Transfers</v>
      </c>
      <c r="D7456" s="0" t="n">
        <f aca="false">INDEX(Intent_Analysis!$E$5:$E$81,MATCH(B7456,Intent_Analysis!$A$5:$A$81,0))</f>
        <v>2</v>
      </c>
    </row>
    <row r="7457" customFormat="false" ht="15" hidden="false" customHeight="false" outlineLevel="0" collapsed="false">
      <c r="A7457" s="0" t="s">
        <v>7781</v>
      </c>
      <c r="B7457" s="0" t="s">
        <v>117</v>
      </c>
      <c r="C7457" s="0" t="str">
        <f aca="false">INDEX(Intent_Analysis!$B$5:$B$81,MATCH(B7457,Intent_Analysis!$A$5:$A$81,0))</f>
        <v>Transfers</v>
      </c>
      <c r="D7457" s="0" t="n">
        <f aca="false">INDEX(Intent_Analysis!$E$5:$E$81,MATCH(B7457,Intent_Analysis!$A$5:$A$81,0))</f>
        <v>2</v>
      </c>
    </row>
    <row r="7458" customFormat="false" ht="15" hidden="false" customHeight="false" outlineLevel="0" collapsed="false">
      <c r="A7458" s="0" t="s">
        <v>7782</v>
      </c>
      <c r="B7458" s="0" t="s">
        <v>117</v>
      </c>
      <c r="C7458" s="0" t="str">
        <f aca="false">INDEX(Intent_Analysis!$B$5:$B$81,MATCH(B7458,Intent_Analysis!$A$5:$A$81,0))</f>
        <v>Transfers</v>
      </c>
      <c r="D7458" s="0" t="n">
        <f aca="false">INDEX(Intent_Analysis!$E$5:$E$81,MATCH(B7458,Intent_Analysis!$A$5:$A$81,0))</f>
        <v>2</v>
      </c>
    </row>
    <row r="7459" customFormat="false" ht="15" hidden="false" customHeight="false" outlineLevel="0" collapsed="false">
      <c r="A7459" s="0" t="s">
        <v>7783</v>
      </c>
      <c r="B7459" s="0" t="s">
        <v>117</v>
      </c>
      <c r="C7459" s="0" t="str">
        <f aca="false">INDEX(Intent_Analysis!$B$5:$B$81,MATCH(B7459,Intent_Analysis!$A$5:$A$81,0))</f>
        <v>Transfers</v>
      </c>
      <c r="D7459" s="0" t="n">
        <f aca="false">INDEX(Intent_Analysis!$E$5:$E$81,MATCH(B7459,Intent_Analysis!$A$5:$A$81,0))</f>
        <v>2</v>
      </c>
    </row>
    <row r="7460" customFormat="false" ht="15" hidden="false" customHeight="false" outlineLevel="0" collapsed="false">
      <c r="A7460" s="0" t="s">
        <v>7784</v>
      </c>
      <c r="B7460" s="0" t="s">
        <v>117</v>
      </c>
      <c r="C7460" s="0" t="str">
        <f aca="false">INDEX(Intent_Analysis!$B$5:$B$81,MATCH(B7460,Intent_Analysis!$A$5:$A$81,0))</f>
        <v>Transfers</v>
      </c>
      <c r="D7460" s="0" t="n">
        <f aca="false">INDEX(Intent_Analysis!$E$5:$E$81,MATCH(B7460,Intent_Analysis!$A$5:$A$81,0))</f>
        <v>2</v>
      </c>
    </row>
    <row r="7461" customFormat="false" ht="15" hidden="false" customHeight="false" outlineLevel="0" collapsed="false">
      <c r="A7461" s="0" t="s">
        <v>7785</v>
      </c>
      <c r="B7461" s="0" t="s">
        <v>117</v>
      </c>
      <c r="C7461" s="0" t="str">
        <f aca="false">INDEX(Intent_Analysis!$B$5:$B$81,MATCH(B7461,Intent_Analysis!$A$5:$A$81,0))</f>
        <v>Transfers</v>
      </c>
      <c r="D7461" s="0" t="n">
        <f aca="false">INDEX(Intent_Analysis!$E$5:$E$81,MATCH(B7461,Intent_Analysis!$A$5:$A$81,0))</f>
        <v>2</v>
      </c>
    </row>
    <row r="7462" customFormat="false" ht="15" hidden="false" customHeight="false" outlineLevel="0" collapsed="false">
      <c r="A7462" s="0" t="s">
        <v>7786</v>
      </c>
      <c r="B7462" s="0" t="s">
        <v>117</v>
      </c>
      <c r="C7462" s="0" t="str">
        <f aca="false">INDEX(Intent_Analysis!$B$5:$B$81,MATCH(B7462,Intent_Analysis!$A$5:$A$81,0))</f>
        <v>Transfers</v>
      </c>
      <c r="D7462" s="0" t="n">
        <f aca="false">INDEX(Intent_Analysis!$E$5:$E$81,MATCH(B7462,Intent_Analysis!$A$5:$A$81,0))</f>
        <v>2</v>
      </c>
    </row>
    <row r="7463" customFormat="false" ht="15" hidden="false" customHeight="false" outlineLevel="0" collapsed="false">
      <c r="A7463" s="0" t="s">
        <v>7787</v>
      </c>
      <c r="B7463" s="0" t="s">
        <v>117</v>
      </c>
      <c r="C7463" s="0" t="str">
        <f aca="false">INDEX(Intent_Analysis!$B$5:$B$81,MATCH(B7463,Intent_Analysis!$A$5:$A$81,0))</f>
        <v>Transfers</v>
      </c>
      <c r="D7463" s="0" t="n">
        <f aca="false">INDEX(Intent_Analysis!$E$5:$E$81,MATCH(B7463,Intent_Analysis!$A$5:$A$81,0))</f>
        <v>2</v>
      </c>
    </row>
    <row r="7464" customFormat="false" ht="15" hidden="false" customHeight="false" outlineLevel="0" collapsed="false">
      <c r="A7464" s="0" t="s">
        <v>7788</v>
      </c>
      <c r="B7464" s="0" t="s">
        <v>117</v>
      </c>
      <c r="C7464" s="0" t="str">
        <f aca="false">INDEX(Intent_Analysis!$B$5:$B$81,MATCH(B7464,Intent_Analysis!$A$5:$A$81,0))</f>
        <v>Transfers</v>
      </c>
      <c r="D7464" s="0" t="n">
        <f aca="false">INDEX(Intent_Analysis!$E$5:$E$81,MATCH(B7464,Intent_Analysis!$A$5:$A$81,0))</f>
        <v>2</v>
      </c>
    </row>
    <row r="7465" customFormat="false" ht="15" hidden="false" customHeight="false" outlineLevel="0" collapsed="false">
      <c r="A7465" s="0" t="s">
        <v>7789</v>
      </c>
      <c r="B7465" s="0" t="s">
        <v>117</v>
      </c>
      <c r="C7465" s="0" t="str">
        <f aca="false">INDEX(Intent_Analysis!$B$5:$B$81,MATCH(B7465,Intent_Analysis!$A$5:$A$81,0))</f>
        <v>Transfers</v>
      </c>
      <c r="D7465" s="0" t="n">
        <f aca="false">INDEX(Intent_Analysis!$E$5:$E$81,MATCH(B7465,Intent_Analysis!$A$5:$A$81,0))</f>
        <v>2</v>
      </c>
    </row>
    <row r="7466" customFormat="false" ht="15" hidden="false" customHeight="false" outlineLevel="0" collapsed="false">
      <c r="A7466" s="0" t="s">
        <v>7790</v>
      </c>
      <c r="B7466" s="0" t="s">
        <v>117</v>
      </c>
      <c r="C7466" s="0" t="str">
        <f aca="false">INDEX(Intent_Analysis!$B$5:$B$81,MATCH(B7466,Intent_Analysis!$A$5:$A$81,0))</f>
        <v>Transfers</v>
      </c>
      <c r="D7466" s="0" t="n">
        <f aca="false">INDEX(Intent_Analysis!$E$5:$E$81,MATCH(B7466,Intent_Analysis!$A$5:$A$81,0))</f>
        <v>2</v>
      </c>
    </row>
    <row r="7467" customFormat="false" ht="15" hidden="false" customHeight="false" outlineLevel="0" collapsed="false">
      <c r="A7467" s="0" t="s">
        <v>7791</v>
      </c>
      <c r="B7467" s="0" t="s">
        <v>117</v>
      </c>
      <c r="C7467" s="0" t="str">
        <f aca="false">INDEX(Intent_Analysis!$B$5:$B$81,MATCH(B7467,Intent_Analysis!$A$5:$A$81,0))</f>
        <v>Transfers</v>
      </c>
      <c r="D7467" s="0" t="n">
        <f aca="false">INDEX(Intent_Analysis!$E$5:$E$81,MATCH(B7467,Intent_Analysis!$A$5:$A$81,0))</f>
        <v>2</v>
      </c>
    </row>
    <row r="7468" customFormat="false" ht="15" hidden="false" customHeight="false" outlineLevel="0" collapsed="false">
      <c r="A7468" s="0" t="s">
        <v>7792</v>
      </c>
      <c r="B7468" s="0" t="s">
        <v>117</v>
      </c>
      <c r="C7468" s="0" t="str">
        <f aca="false">INDEX(Intent_Analysis!$B$5:$B$81,MATCH(B7468,Intent_Analysis!$A$5:$A$81,0))</f>
        <v>Transfers</v>
      </c>
      <c r="D7468" s="0" t="n">
        <f aca="false">INDEX(Intent_Analysis!$E$5:$E$81,MATCH(B7468,Intent_Analysis!$A$5:$A$81,0))</f>
        <v>2</v>
      </c>
    </row>
    <row r="7469" customFormat="false" ht="15" hidden="false" customHeight="false" outlineLevel="0" collapsed="false">
      <c r="A7469" s="0" t="s">
        <v>7793</v>
      </c>
      <c r="B7469" s="0" t="s">
        <v>117</v>
      </c>
      <c r="C7469" s="0" t="str">
        <f aca="false">INDEX(Intent_Analysis!$B$5:$B$81,MATCH(B7469,Intent_Analysis!$A$5:$A$81,0))</f>
        <v>Transfers</v>
      </c>
      <c r="D7469" s="0" t="n">
        <f aca="false">INDEX(Intent_Analysis!$E$5:$E$81,MATCH(B7469,Intent_Analysis!$A$5:$A$81,0))</f>
        <v>2</v>
      </c>
    </row>
    <row r="7470" customFormat="false" ht="15" hidden="false" customHeight="false" outlineLevel="0" collapsed="false">
      <c r="A7470" s="0" t="s">
        <v>7794</v>
      </c>
      <c r="B7470" s="0" t="s">
        <v>117</v>
      </c>
      <c r="C7470" s="0" t="str">
        <f aca="false">INDEX(Intent_Analysis!$B$5:$B$81,MATCH(B7470,Intent_Analysis!$A$5:$A$81,0))</f>
        <v>Transfers</v>
      </c>
      <c r="D7470" s="0" t="n">
        <f aca="false">INDEX(Intent_Analysis!$E$5:$E$81,MATCH(B7470,Intent_Analysis!$A$5:$A$81,0))</f>
        <v>2</v>
      </c>
    </row>
    <row r="7471" customFormat="false" ht="15" hidden="false" customHeight="false" outlineLevel="0" collapsed="false">
      <c r="A7471" s="0" t="s">
        <v>7795</v>
      </c>
      <c r="B7471" s="0" t="s">
        <v>117</v>
      </c>
      <c r="C7471" s="0" t="str">
        <f aca="false">INDEX(Intent_Analysis!$B$5:$B$81,MATCH(B7471,Intent_Analysis!$A$5:$A$81,0))</f>
        <v>Transfers</v>
      </c>
      <c r="D7471" s="0" t="n">
        <f aca="false">INDEX(Intent_Analysis!$E$5:$E$81,MATCH(B7471,Intent_Analysis!$A$5:$A$81,0))</f>
        <v>2</v>
      </c>
    </row>
    <row r="7472" customFormat="false" ht="15" hidden="false" customHeight="false" outlineLevel="0" collapsed="false">
      <c r="A7472" s="0" t="s">
        <v>7796</v>
      </c>
      <c r="B7472" s="0" t="s">
        <v>117</v>
      </c>
      <c r="C7472" s="0" t="str">
        <f aca="false">INDEX(Intent_Analysis!$B$5:$B$81,MATCH(B7472,Intent_Analysis!$A$5:$A$81,0))</f>
        <v>Transfers</v>
      </c>
      <c r="D7472" s="0" t="n">
        <f aca="false">INDEX(Intent_Analysis!$E$5:$E$81,MATCH(B7472,Intent_Analysis!$A$5:$A$81,0))</f>
        <v>2</v>
      </c>
    </row>
    <row r="7473" customFormat="false" ht="15" hidden="false" customHeight="false" outlineLevel="0" collapsed="false">
      <c r="A7473" s="0" t="s">
        <v>7797</v>
      </c>
      <c r="B7473" s="0" t="s">
        <v>117</v>
      </c>
      <c r="C7473" s="0" t="str">
        <f aca="false">INDEX(Intent_Analysis!$B$5:$B$81,MATCH(B7473,Intent_Analysis!$A$5:$A$81,0))</f>
        <v>Transfers</v>
      </c>
      <c r="D7473" s="0" t="n">
        <f aca="false">INDEX(Intent_Analysis!$E$5:$E$81,MATCH(B7473,Intent_Analysis!$A$5:$A$81,0))</f>
        <v>2</v>
      </c>
    </row>
    <row r="7474" customFormat="false" ht="15" hidden="false" customHeight="false" outlineLevel="0" collapsed="false">
      <c r="A7474" s="0" t="s">
        <v>7798</v>
      </c>
      <c r="B7474" s="0" t="s">
        <v>117</v>
      </c>
      <c r="C7474" s="0" t="str">
        <f aca="false">INDEX(Intent_Analysis!$B$5:$B$81,MATCH(B7474,Intent_Analysis!$A$5:$A$81,0))</f>
        <v>Transfers</v>
      </c>
      <c r="D7474" s="0" t="n">
        <f aca="false">INDEX(Intent_Analysis!$E$5:$E$81,MATCH(B7474,Intent_Analysis!$A$5:$A$81,0))</f>
        <v>2</v>
      </c>
    </row>
    <row r="7475" customFormat="false" ht="15" hidden="false" customHeight="false" outlineLevel="0" collapsed="false">
      <c r="A7475" s="0" t="s">
        <v>7799</v>
      </c>
      <c r="B7475" s="0" t="s">
        <v>117</v>
      </c>
      <c r="C7475" s="0" t="str">
        <f aca="false">INDEX(Intent_Analysis!$B$5:$B$81,MATCH(B7475,Intent_Analysis!$A$5:$A$81,0))</f>
        <v>Transfers</v>
      </c>
      <c r="D7475" s="0" t="n">
        <f aca="false">INDEX(Intent_Analysis!$E$5:$E$81,MATCH(B7475,Intent_Analysis!$A$5:$A$81,0))</f>
        <v>2</v>
      </c>
    </row>
    <row r="7476" customFormat="false" ht="15" hidden="false" customHeight="false" outlineLevel="0" collapsed="false">
      <c r="A7476" s="0" t="s">
        <v>7800</v>
      </c>
      <c r="B7476" s="0" t="s">
        <v>117</v>
      </c>
      <c r="C7476" s="0" t="str">
        <f aca="false">INDEX(Intent_Analysis!$B$5:$B$81,MATCH(B7476,Intent_Analysis!$A$5:$A$81,0))</f>
        <v>Transfers</v>
      </c>
      <c r="D7476" s="0" t="n">
        <f aca="false">INDEX(Intent_Analysis!$E$5:$E$81,MATCH(B7476,Intent_Analysis!$A$5:$A$81,0))</f>
        <v>2</v>
      </c>
    </row>
    <row r="7477" customFormat="false" ht="15" hidden="false" customHeight="false" outlineLevel="0" collapsed="false">
      <c r="A7477" s="0" t="s">
        <v>7801</v>
      </c>
      <c r="B7477" s="0" t="s">
        <v>117</v>
      </c>
      <c r="C7477" s="0" t="str">
        <f aca="false">INDEX(Intent_Analysis!$B$5:$B$81,MATCH(B7477,Intent_Analysis!$A$5:$A$81,0))</f>
        <v>Transfers</v>
      </c>
      <c r="D7477" s="0" t="n">
        <f aca="false">INDEX(Intent_Analysis!$E$5:$E$81,MATCH(B7477,Intent_Analysis!$A$5:$A$81,0))</f>
        <v>2</v>
      </c>
    </row>
    <row r="7478" customFormat="false" ht="15" hidden="false" customHeight="false" outlineLevel="0" collapsed="false">
      <c r="A7478" s="0" t="s">
        <v>7802</v>
      </c>
      <c r="B7478" s="0" t="s">
        <v>117</v>
      </c>
      <c r="C7478" s="0" t="str">
        <f aca="false">INDEX(Intent_Analysis!$B$5:$B$81,MATCH(B7478,Intent_Analysis!$A$5:$A$81,0))</f>
        <v>Transfers</v>
      </c>
      <c r="D7478" s="0" t="n">
        <f aca="false">INDEX(Intent_Analysis!$E$5:$E$81,MATCH(B7478,Intent_Analysis!$A$5:$A$81,0))</f>
        <v>2</v>
      </c>
    </row>
    <row r="7479" customFormat="false" ht="15" hidden="false" customHeight="false" outlineLevel="0" collapsed="false">
      <c r="A7479" s="0" t="s">
        <v>7803</v>
      </c>
      <c r="B7479" s="0" t="s">
        <v>117</v>
      </c>
      <c r="C7479" s="0" t="str">
        <f aca="false">INDEX(Intent_Analysis!$B$5:$B$81,MATCH(B7479,Intent_Analysis!$A$5:$A$81,0))</f>
        <v>Transfers</v>
      </c>
      <c r="D7479" s="0" t="n">
        <f aca="false">INDEX(Intent_Analysis!$E$5:$E$81,MATCH(B7479,Intent_Analysis!$A$5:$A$81,0))</f>
        <v>2</v>
      </c>
    </row>
    <row r="7480" customFormat="false" ht="15" hidden="false" customHeight="false" outlineLevel="0" collapsed="false">
      <c r="A7480" s="0" t="s">
        <v>7804</v>
      </c>
      <c r="B7480" s="0" t="s">
        <v>117</v>
      </c>
      <c r="C7480" s="0" t="str">
        <f aca="false">INDEX(Intent_Analysis!$B$5:$B$81,MATCH(B7480,Intent_Analysis!$A$5:$A$81,0))</f>
        <v>Transfers</v>
      </c>
      <c r="D7480" s="0" t="n">
        <f aca="false">INDEX(Intent_Analysis!$E$5:$E$81,MATCH(B7480,Intent_Analysis!$A$5:$A$81,0))</f>
        <v>2</v>
      </c>
    </row>
    <row r="7481" customFormat="false" ht="15" hidden="false" customHeight="false" outlineLevel="0" collapsed="false">
      <c r="A7481" s="0" t="s">
        <v>7805</v>
      </c>
      <c r="B7481" s="0" t="s">
        <v>117</v>
      </c>
      <c r="C7481" s="0" t="str">
        <f aca="false">INDEX(Intent_Analysis!$B$5:$B$81,MATCH(B7481,Intent_Analysis!$A$5:$A$81,0))</f>
        <v>Transfers</v>
      </c>
      <c r="D7481" s="0" t="n">
        <f aca="false">INDEX(Intent_Analysis!$E$5:$E$81,MATCH(B7481,Intent_Analysis!$A$5:$A$81,0))</f>
        <v>2</v>
      </c>
    </row>
    <row r="7482" customFormat="false" ht="15" hidden="false" customHeight="false" outlineLevel="0" collapsed="false">
      <c r="A7482" s="0" t="s">
        <v>7806</v>
      </c>
      <c r="B7482" s="0" t="s">
        <v>117</v>
      </c>
      <c r="C7482" s="0" t="str">
        <f aca="false">INDEX(Intent_Analysis!$B$5:$B$81,MATCH(B7482,Intent_Analysis!$A$5:$A$81,0))</f>
        <v>Transfers</v>
      </c>
      <c r="D7482" s="0" t="n">
        <f aca="false">INDEX(Intent_Analysis!$E$5:$E$81,MATCH(B7482,Intent_Analysis!$A$5:$A$81,0))</f>
        <v>2</v>
      </c>
    </row>
    <row r="7483" customFormat="false" ht="15" hidden="false" customHeight="false" outlineLevel="0" collapsed="false">
      <c r="A7483" s="0" t="s">
        <v>7807</v>
      </c>
      <c r="B7483" s="0" t="s">
        <v>117</v>
      </c>
      <c r="C7483" s="0" t="str">
        <f aca="false">INDEX(Intent_Analysis!$B$5:$B$81,MATCH(B7483,Intent_Analysis!$A$5:$A$81,0))</f>
        <v>Transfers</v>
      </c>
      <c r="D7483" s="0" t="n">
        <f aca="false">INDEX(Intent_Analysis!$E$5:$E$81,MATCH(B7483,Intent_Analysis!$A$5:$A$81,0))</f>
        <v>2</v>
      </c>
    </row>
    <row r="7484" customFormat="false" ht="15" hidden="false" customHeight="false" outlineLevel="0" collapsed="false">
      <c r="A7484" s="0" t="s">
        <v>7808</v>
      </c>
      <c r="B7484" s="0" t="s">
        <v>117</v>
      </c>
      <c r="C7484" s="0" t="str">
        <f aca="false">INDEX(Intent_Analysis!$B$5:$B$81,MATCH(B7484,Intent_Analysis!$A$5:$A$81,0))</f>
        <v>Transfers</v>
      </c>
      <c r="D7484" s="0" t="n">
        <f aca="false">INDEX(Intent_Analysis!$E$5:$E$81,MATCH(B7484,Intent_Analysis!$A$5:$A$81,0))</f>
        <v>2</v>
      </c>
    </row>
    <row r="7485" customFormat="false" ht="15" hidden="false" customHeight="false" outlineLevel="0" collapsed="false">
      <c r="A7485" s="0" t="s">
        <v>7809</v>
      </c>
      <c r="B7485" s="0" t="s">
        <v>117</v>
      </c>
      <c r="C7485" s="0" t="str">
        <f aca="false">INDEX(Intent_Analysis!$B$5:$B$81,MATCH(B7485,Intent_Analysis!$A$5:$A$81,0))</f>
        <v>Transfers</v>
      </c>
      <c r="D7485" s="0" t="n">
        <f aca="false">INDEX(Intent_Analysis!$E$5:$E$81,MATCH(B7485,Intent_Analysis!$A$5:$A$81,0))</f>
        <v>2</v>
      </c>
    </row>
    <row r="7486" customFormat="false" ht="15" hidden="false" customHeight="false" outlineLevel="0" collapsed="false">
      <c r="A7486" s="0" t="s">
        <v>7810</v>
      </c>
      <c r="B7486" s="0" t="s">
        <v>117</v>
      </c>
      <c r="C7486" s="0" t="str">
        <f aca="false">INDEX(Intent_Analysis!$B$5:$B$81,MATCH(B7486,Intent_Analysis!$A$5:$A$81,0))</f>
        <v>Transfers</v>
      </c>
      <c r="D7486" s="0" t="n">
        <f aca="false">INDEX(Intent_Analysis!$E$5:$E$81,MATCH(B7486,Intent_Analysis!$A$5:$A$81,0))</f>
        <v>2</v>
      </c>
    </row>
    <row r="7487" customFormat="false" ht="15" hidden="false" customHeight="false" outlineLevel="0" collapsed="false">
      <c r="A7487" s="0" t="s">
        <v>7811</v>
      </c>
      <c r="B7487" s="0" t="s">
        <v>117</v>
      </c>
      <c r="C7487" s="0" t="str">
        <f aca="false">INDEX(Intent_Analysis!$B$5:$B$81,MATCH(B7487,Intent_Analysis!$A$5:$A$81,0))</f>
        <v>Transfers</v>
      </c>
      <c r="D7487" s="0" t="n">
        <f aca="false">INDEX(Intent_Analysis!$E$5:$E$81,MATCH(B7487,Intent_Analysis!$A$5:$A$81,0))</f>
        <v>2</v>
      </c>
    </row>
    <row r="7488" customFormat="false" ht="15" hidden="false" customHeight="false" outlineLevel="0" collapsed="false">
      <c r="A7488" s="0" t="s">
        <v>7812</v>
      </c>
      <c r="B7488" s="0" t="s">
        <v>117</v>
      </c>
      <c r="C7488" s="0" t="str">
        <f aca="false">INDEX(Intent_Analysis!$B$5:$B$81,MATCH(B7488,Intent_Analysis!$A$5:$A$81,0))</f>
        <v>Transfers</v>
      </c>
      <c r="D7488" s="0" t="n">
        <f aca="false">INDEX(Intent_Analysis!$E$5:$E$81,MATCH(B7488,Intent_Analysis!$A$5:$A$81,0))</f>
        <v>2</v>
      </c>
    </row>
    <row r="7489" customFormat="false" ht="15" hidden="false" customHeight="false" outlineLevel="0" collapsed="false">
      <c r="A7489" s="0" t="s">
        <v>7813</v>
      </c>
      <c r="B7489" s="0" t="s">
        <v>117</v>
      </c>
      <c r="C7489" s="0" t="str">
        <f aca="false">INDEX(Intent_Analysis!$B$5:$B$81,MATCH(B7489,Intent_Analysis!$A$5:$A$81,0))</f>
        <v>Transfers</v>
      </c>
      <c r="D7489" s="0" t="n">
        <f aca="false">INDEX(Intent_Analysis!$E$5:$E$81,MATCH(B7489,Intent_Analysis!$A$5:$A$81,0))</f>
        <v>2</v>
      </c>
    </row>
    <row r="7490" customFormat="false" ht="15" hidden="false" customHeight="false" outlineLevel="0" collapsed="false">
      <c r="A7490" s="0" t="s">
        <v>7814</v>
      </c>
      <c r="B7490" s="0" t="s">
        <v>117</v>
      </c>
      <c r="C7490" s="0" t="str">
        <f aca="false">INDEX(Intent_Analysis!$B$5:$B$81,MATCH(B7490,Intent_Analysis!$A$5:$A$81,0))</f>
        <v>Transfers</v>
      </c>
      <c r="D7490" s="0" t="n">
        <f aca="false">INDEX(Intent_Analysis!$E$5:$E$81,MATCH(B7490,Intent_Analysis!$A$5:$A$81,0))</f>
        <v>2</v>
      </c>
    </row>
    <row r="7491" customFormat="false" ht="15" hidden="false" customHeight="false" outlineLevel="0" collapsed="false">
      <c r="A7491" s="0" t="s">
        <v>7815</v>
      </c>
      <c r="B7491" s="0" t="s">
        <v>117</v>
      </c>
      <c r="C7491" s="0" t="str">
        <f aca="false">INDEX(Intent_Analysis!$B$5:$B$81,MATCH(B7491,Intent_Analysis!$A$5:$A$81,0))</f>
        <v>Transfers</v>
      </c>
      <c r="D7491" s="0" t="n">
        <f aca="false">INDEX(Intent_Analysis!$E$5:$E$81,MATCH(B7491,Intent_Analysis!$A$5:$A$81,0))</f>
        <v>2</v>
      </c>
    </row>
    <row r="7492" customFormat="false" ht="15" hidden="false" customHeight="false" outlineLevel="0" collapsed="false">
      <c r="A7492" s="0" t="s">
        <v>7816</v>
      </c>
      <c r="B7492" s="0" t="s">
        <v>117</v>
      </c>
      <c r="C7492" s="0" t="str">
        <f aca="false">INDEX(Intent_Analysis!$B$5:$B$81,MATCH(B7492,Intent_Analysis!$A$5:$A$81,0))</f>
        <v>Transfers</v>
      </c>
      <c r="D7492" s="0" t="n">
        <f aca="false">INDEX(Intent_Analysis!$E$5:$E$81,MATCH(B7492,Intent_Analysis!$A$5:$A$81,0))</f>
        <v>2</v>
      </c>
    </row>
    <row r="7493" customFormat="false" ht="15" hidden="false" customHeight="false" outlineLevel="0" collapsed="false">
      <c r="A7493" s="0" t="s">
        <v>7817</v>
      </c>
      <c r="B7493" s="0" t="s">
        <v>117</v>
      </c>
      <c r="C7493" s="0" t="str">
        <f aca="false">INDEX(Intent_Analysis!$B$5:$B$81,MATCH(B7493,Intent_Analysis!$A$5:$A$81,0))</f>
        <v>Transfers</v>
      </c>
      <c r="D7493" s="0" t="n">
        <f aca="false">INDEX(Intent_Analysis!$E$5:$E$81,MATCH(B7493,Intent_Analysis!$A$5:$A$81,0))</f>
        <v>2</v>
      </c>
    </row>
    <row r="7494" customFormat="false" ht="15" hidden="false" customHeight="false" outlineLevel="0" collapsed="false">
      <c r="A7494" s="0" t="s">
        <v>7818</v>
      </c>
      <c r="B7494" s="0" t="s">
        <v>117</v>
      </c>
      <c r="C7494" s="0" t="str">
        <f aca="false">INDEX(Intent_Analysis!$B$5:$B$81,MATCH(B7494,Intent_Analysis!$A$5:$A$81,0))</f>
        <v>Transfers</v>
      </c>
      <c r="D7494" s="0" t="n">
        <f aca="false">INDEX(Intent_Analysis!$E$5:$E$81,MATCH(B7494,Intent_Analysis!$A$5:$A$81,0))</f>
        <v>2</v>
      </c>
    </row>
    <row r="7495" customFormat="false" ht="15" hidden="false" customHeight="false" outlineLevel="0" collapsed="false">
      <c r="A7495" s="0" t="s">
        <v>7819</v>
      </c>
      <c r="B7495" s="0" t="s">
        <v>117</v>
      </c>
      <c r="C7495" s="0" t="str">
        <f aca="false">INDEX(Intent_Analysis!$B$5:$B$81,MATCH(B7495,Intent_Analysis!$A$5:$A$81,0))</f>
        <v>Transfers</v>
      </c>
      <c r="D7495" s="0" t="n">
        <f aca="false">INDEX(Intent_Analysis!$E$5:$E$81,MATCH(B7495,Intent_Analysis!$A$5:$A$81,0))</f>
        <v>2</v>
      </c>
    </row>
    <row r="7496" customFormat="false" ht="15" hidden="false" customHeight="false" outlineLevel="0" collapsed="false">
      <c r="A7496" s="0" t="s">
        <v>7820</v>
      </c>
      <c r="B7496" s="0" t="s">
        <v>117</v>
      </c>
      <c r="C7496" s="0" t="str">
        <f aca="false">INDEX(Intent_Analysis!$B$5:$B$81,MATCH(B7496,Intent_Analysis!$A$5:$A$81,0))</f>
        <v>Transfers</v>
      </c>
      <c r="D7496" s="0" t="n">
        <f aca="false">INDEX(Intent_Analysis!$E$5:$E$81,MATCH(B7496,Intent_Analysis!$A$5:$A$81,0))</f>
        <v>2</v>
      </c>
    </row>
    <row r="7497" customFormat="false" ht="15" hidden="false" customHeight="false" outlineLevel="0" collapsed="false">
      <c r="A7497" s="0" t="s">
        <v>7821</v>
      </c>
      <c r="B7497" s="0" t="s">
        <v>117</v>
      </c>
      <c r="C7497" s="0" t="str">
        <f aca="false">INDEX(Intent_Analysis!$B$5:$B$81,MATCH(B7497,Intent_Analysis!$A$5:$A$81,0))</f>
        <v>Transfers</v>
      </c>
      <c r="D7497" s="0" t="n">
        <f aca="false">INDEX(Intent_Analysis!$E$5:$E$81,MATCH(B7497,Intent_Analysis!$A$5:$A$81,0))</f>
        <v>2</v>
      </c>
    </row>
    <row r="7498" customFormat="false" ht="15" hidden="false" customHeight="false" outlineLevel="0" collapsed="false">
      <c r="A7498" s="0" t="s">
        <v>7822</v>
      </c>
      <c r="B7498" s="0" t="s">
        <v>117</v>
      </c>
      <c r="C7498" s="0" t="str">
        <f aca="false">INDEX(Intent_Analysis!$B$5:$B$81,MATCH(B7498,Intent_Analysis!$A$5:$A$81,0))</f>
        <v>Transfers</v>
      </c>
      <c r="D7498" s="0" t="n">
        <f aca="false">INDEX(Intent_Analysis!$E$5:$E$81,MATCH(B7498,Intent_Analysis!$A$5:$A$81,0))</f>
        <v>2</v>
      </c>
    </row>
    <row r="7499" customFormat="false" ht="15" hidden="false" customHeight="false" outlineLevel="0" collapsed="false">
      <c r="A7499" s="0" t="s">
        <v>7823</v>
      </c>
      <c r="B7499" s="0" t="s">
        <v>117</v>
      </c>
      <c r="C7499" s="0" t="str">
        <f aca="false">INDEX(Intent_Analysis!$B$5:$B$81,MATCH(B7499,Intent_Analysis!$A$5:$A$81,0))</f>
        <v>Transfers</v>
      </c>
      <c r="D7499" s="0" t="n">
        <f aca="false">INDEX(Intent_Analysis!$E$5:$E$81,MATCH(B7499,Intent_Analysis!$A$5:$A$81,0))</f>
        <v>2</v>
      </c>
    </row>
    <row r="7500" customFormat="false" ht="15" hidden="false" customHeight="false" outlineLevel="0" collapsed="false">
      <c r="A7500" s="0" t="s">
        <v>7824</v>
      </c>
      <c r="B7500" s="0" t="s">
        <v>117</v>
      </c>
      <c r="C7500" s="0" t="str">
        <f aca="false">INDEX(Intent_Analysis!$B$5:$B$81,MATCH(B7500,Intent_Analysis!$A$5:$A$81,0))</f>
        <v>Transfers</v>
      </c>
      <c r="D7500" s="0" t="n">
        <f aca="false">INDEX(Intent_Analysis!$E$5:$E$81,MATCH(B7500,Intent_Analysis!$A$5:$A$81,0))</f>
        <v>2</v>
      </c>
    </row>
    <row r="7501" customFormat="false" ht="15" hidden="false" customHeight="false" outlineLevel="0" collapsed="false">
      <c r="A7501" s="0" t="s">
        <v>7825</v>
      </c>
      <c r="B7501" s="0" t="s">
        <v>117</v>
      </c>
      <c r="C7501" s="0" t="str">
        <f aca="false">INDEX(Intent_Analysis!$B$5:$B$81,MATCH(B7501,Intent_Analysis!$A$5:$A$81,0))</f>
        <v>Transfers</v>
      </c>
      <c r="D7501" s="0" t="n">
        <f aca="false">INDEX(Intent_Analysis!$E$5:$E$81,MATCH(B7501,Intent_Analysis!$A$5:$A$81,0))</f>
        <v>2</v>
      </c>
    </row>
    <row r="7502" customFormat="false" ht="15" hidden="false" customHeight="false" outlineLevel="0" collapsed="false">
      <c r="A7502" s="0" t="s">
        <v>7826</v>
      </c>
      <c r="B7502" s="0" t="s">
        <v>117</v>
      </c>
      <c r="C7502" s="0" t="str">
        <f aca="false">INDEX(Intent_Analysis!$B$5:$B$81,MATCH(B7502,Intent_Analysis!$A$5:$A$81,0))</f>
        <v>Transfers</v>
      </c>
      <c r="D7502" s="0" t="n">
        <f aca="false">INDEX(Intent_Analysis!$E$5:$E$81,MATCH(B7502,Intent_Analysis!$A$5:$A$81,0))</f>
        <v>2</v>
      </c>
    </row>
    <row r="7503" customFormat="false" ht="15" hidden="false" customHeight="false" outlineLevel="0" collapsed="false">
      <c r="A7503" s="0" t="s">
        <v>7827</v>
      </c>
      <c r="B7503" s="0" t="s">
        <v>117</v>
      </c>
      <c r="C7503" s="0" t="str">
        <f aca="false">INDEX(Intent_Analysis!$B$5:$B$81,MATCH(B7503,Intent_Analysis!$A$5:$A$81,0))</f>
        <v>Transfers</v>
      </c>
      <c r="D7503" s="0" t="n">
        <f aca="false">INDEX(Intent_Analysis!$E$5:$E$81,MATCH(B7503,Intent_Analysis!$A$5:$A$81,0))</f>
        <v>2</v>
      </c>
    </row>
    <row r="7504" customFormat="false" ht="15" hidden="false" customHeight="false" outlineLevel="0" collapsed="false">
      <c r="A7504" s="0" t="s">
        <v>7828</v>
      </c>
      <c r="B7504" s="0" t="s">
        <v>117</v>
      </c>
      <c r="C7504" s="0" t="str">
        <f aca="false">INDEX(Intent_Analysis!$B$5:$B$81,MATCH(B7504,Intent_Analysis!$A$5:$A$81,0))</f>
        <v>Transfers</v>
      </c>
      <c r="D7504" s="0" t="n">
        <f aca="false">INDEX(Intent_Analysis!$E$5:$E$81,MATCH(B7504,Intent_Analysis!$A$5:$A$81,0))</f>
        <v>2</v>
      </c>
    </row>
    <row r="7505" customFormat="false" ht="15" hidden="false" customHeight="false" outlineLevel="0" collapsed="false">
      <c r="A7505" s="0" t="s">
        <v>7829</v>
      </c>
      <c r="B7505" s="0" t="s">
        <v>117</v>
      </c>
      <c r="C7505" s="0" t="str">
        <f aca="false">INDEX(Intent_Analysis!$B$5:$B$81,MATCH(B7505,Intent_Analysis!$A$5:$A$81,0))</f>
        <v>Transfers</v>
      </c>
      <c r="D7505" s="0" t="n">
        <f aca="false">INDEX(Intent_Analysis!$E$5:$E$81,MATCH(B7505,Intent_Analysis!$A$5:$A$81,0))</f>
        <v>2</v>
      </c>
    </row>
    <row r="7506" customFormat="false" ht="15" hidden="false" customHeight="false" outlineLevel="0" collapsed="false">
      <c r="A7506" s="0" t="s">
        <v>7830</v>
      </c>
      <c r="B7506" s="0" t="s">
        <v>117</v>
      </c>
      <c r="C7506" s="0" t="str">
        <f aca="false">INDEX(Intent_Analysis!$B$5:$B$81,MATCH(B7506,Intent_Analysis!$A$5:$A$81,0))</f>
        <v>Transfers</v>
      </c>
      <c r="D7506" s="0" t="n">
        <f aca="false">INDEX(Intent_Analysis!$E$5:$E$81,MATCH(B7506,Intent_Analysis!$A$5:$A$81,0))</f>
        <v>2</v>
      </c>
    </row>
    <row r="7507" customFormat="false" ht="15" hidden="false" customHeight="false" outlineLevel="0" collapsed="false">
      <c r="A7507" s="0" t="s">
        <v>7831</v>
      </c>
      <c r="B7507" s="0" t="s">
        <v>117</v>
      </c>
      <c r="C7507" s="0" t="str">
        <f aca="false">INDEX(Intent_Analysis!$B$5:$B$81,MATCH(B7507,Intent_Analysis!$A$5:$A$81,0))</f>
        <v>Transfers</v>
      </c>
      <c r="D7507" s="0" t="n">
        <f aca="false">INDEX(Intent_Analysis!$E$5:$E$81,MATCH(B7507,Intent_Analysis!$A$5:$A$81,0))</f>
        <v>2</v>
      </c>
    </row>
    <row r="7508" customFormat="false" ht="15" hidden="false" customHeight="false" outlineLevel="0" collapsed="false">
      <c r="A7508" s="0" t="s">
        <v>7832</v>
      </c>
      <c r="B7508" s="0" t="s">
        <v>117</v>
      </c>
      <c r="C7508" s="0" t="str">
        <f aca="false">INDEX(Intent_Analysis!$B$5:$B$81,MATCH(B7508,Intent_Analysis!$A$5:$A$81,0))</f>
        <v>Transfers</v>
      </c>
      <c r="D7508" s="0" t="n">
        <f aca="false">INDEX(Intent_Analysis!$E$5:$E$81,MATCH(B7508,Intent_Analysis!$A$5:$A$81,0))</f>
        <v>2</v>
      </c>
    </row>
    <row r="7509" customFormat="false" ht="15" hidden="false" customHeight="false" outlineLevel="0" collapsed="false">
      <c r="A7509" s="0" t="s">
        <v>7833</v>
      </c>
      <c r="B7509" s="0" t="s">
        <v>117</v>
      </c>
      <c r="C7509" s="0" t="str">
        <f aca="false">INDEX(Intent_Analysis!$B$5:$B$81,MATCH(B7509,Intent_Analysis!$A$5:$A$81,0))</f>
        <v>Transfers</v>
      </c>
      <c r="D7509" s="0" t="n">
        <f aca="false">INDEX(Intent_Analysis!$E$5:$E$81,MATCH(B7509,Intent_Analysis!$A$5:$A$81,0))</f>
        <v>2</v>
      </c>
    </row>
    <row r="7510" customFormat="false" ht="15" hidden="false" customHeight="false" outlineLevel="0" collapsed="false">
      <c r="A7510" s="0" t="s">
        <v>7834</v>
      </c>
      <c r="B7510" s="0" t="s">
        <v>117</v>
      </c>
      <c r="C7510" s="0" t="str">
        <f aca="false">INDEX(Intent_Analysis!$B$5:$B$81,MATCH(B7510,Intent_Analysis!$A$5:$A$81,0))</f>
        <v>Transfers</v>
      </c>
      <c r="D7510" s="0" t="n">
        <f aca="false">INDEX(Intent_Analysis!$E$5:$E$81,MATCH(B7510,Intent_Analysis!$A$5:$A$81,0))</f>
        <v>2</v>
      </c>
    </row>
    <row r="7511" customFormat="false" ht="15" hidden="false" customHeight="false" outlineLevel="0" collapsed="false">
      <c r="A7511" s="0" t="s">
        <v>7835</v>
      </c>
      <c r="B7511" s="0" t="s">
        <v>117</v>
      </c>
      <c r="C7511" s="0" t="str">
        <f aca="false">INDEX(Intent_Analysis!$B$5:$B$81,MATCH(B7511,Intent_Analysis!$A$5:$A$81,0))</f>
        <v>Transfers</v>
      </c>
      <c r="D7511" s="0" t="n">
        <f aca="false">INDEX(Intent_Analysis!$E$5:$E$81,MATCH(B7511,Intent_Analysis!$A$5:$A$81,0))</f>
        <v>2</v>
      </c>
    </row>
    <row r="7512" customFormat="false" ht="15" hidden="false" customHeight="false" outlineLevel="0" collapsed="false">
      <c r="A7512" s="0" t="s">
        <v>7836</v>
      </c>
      <c r="B7512" s="0" t="s">
        <v>117</v>
      </c>
      <c r="C7512" s="0" t="str">
        <f aca="false">INDEX(Intent_Analysis!$B$5:$B$81,MATCH(B7512,Intent_Analysis!$A$5:$A$81,0))</f>
        <v>Transfers</v>
      </c>
      <c r="D7512" s="0" t="n">
        <f aca="false">INDEX(Intent_Analysis!$E$5:$E$81,MATCH(B7512,Intent_Analysis!$A$5:$A$81,0))</f>
        <v>2</v>
      </c>
    </row>
    <row r="7513" customFormat="false" ht="15" hidden="false" customHeight="false" outlineLevel="0" collapsed="false">
      <c r="A7513" s="0" t="s">
        <v>7837</v>
      </c>
      <c r="B7513" s="0" t="s">
        <v>117</v>
      </c>
      <c r="C7513" s="0" t="str">
        <f aca="false">INDEX(Intent_Analysis!$B$5:$B$81,MATCH(B7513,Intent_Analysis!$A$5:$A$81,0))</f>
        <v>Transfers</v>
      </c>
      <c r="D7513" s="0" t="n">
        <f aca="false">INDEX(Intent_Analysis!$E$5:$E$81,MATCH(B7513,Intent_Analysis!$A$5:$A$81,0))</f>
        <v>2</v>
      </c>
    </row>
    <row r="7514" customFormat="false" ht="15" hidden="false" customHeight="false" outlineLevel="0" collapsed="false">
      <c r="A7514" s="0" t="s">
        <v>7838</v>
      </c>
      <c r="B7514" s="0" t="s">
        <v>117</v>
      </c>
      <c r="C7514" s="0" t="str">
        <f aca="false">INDEX(Intent_Analysis!$B$5:$B$81,MATCH(B7514,Intent_Analysis!$A$5:$A$81,0))</f>
        <v>Transfers</v>
      </c>
      <c r="D7514" s="0" t="n">
        <f aca="false">INDEX(Intent_Analysis!$E$5:$E$81,MATCH(B7514,Intent_Analysis!$A$5:$A$81,0))</f>
        <v>2</v>
      </c>
    </row>
    <row r="7515" customFormat="false" ht="15" hidden="false" customHeight="false" outlineLevel="0" collapsed="false">
      <c r="A7515" s="0" t="s">
        <v>7839</v>
      </c>
      <c r="B7515" s="0" t="s">
        <v>117</v>
      </c>
      <c r="C7515" s="0" t="str">
        <f aca="false">INDEX(Intent_Analysis!$B$5:$B$81,MATCH(B7515,Intent_Analysis!$A$5:$A$81,0))</f>
        <v>Transfers</v>
      </c>
      <c r="D7515" s="0" t="n">
        <f aca="false">INDEX(Intent_Analysis!$E$5:$E$81,MATCH(B7515,Intent_Analysis!$A$5:$A$81,0))</f>
        <v>2</v>
      </c>
    </row>
    <row r="7516" customFormat="false" ht="15" hidden="false" customHeight="false" outlineLevel="0" collapsed="false">
      <c r="A7516" s="0" t="s">
        <v>7840</v>
      </c>
      <c r="B7516" s="0" t="s">
        <v>117</v>
      </c>
      <c r="C7516" s="0" t="str">
        <f aca="false">INDEX(Intent_Analysis!$B$5:$B$81,MATCH(B7516,Intent_Analysis!$A$5:$A$81,0))</f>
        <v>Transfers</v>
      </c>
      <c r="D7516" s="0" t="n">
        <f aca="false">INDEX(Intent_Analysis!$E$5:$E$81,MATCH(B7516,Intent_Analysis!$A$5:$A$81,0))</f>
        <v>2</v>
      </c>
    </row>
    <row r="7517" customFormat="false" ht="15" hidden="false" customHeight="false" outlineLevel="0" collapsed="false">
      <c r="A7517" s="0" t="s">
        <v>7841</v>
      </c>
      <c r="B7517" s="0" t="s">
        <v>117</v>
      </c>
      <c r="C7517" s="0" t="str">
        <f aca="false">INDEX(Intent_Analysis!$B$5:$B$81,MATCH(B7517,Intent_Analysis!$A$5:$A$81,0))</f>
        <v>Transfers</v>
      </c>
      <c r="D7517" s="0" t="n">
        <f aca="false">INDEX(Intent_Analysis!$E$5:$E$81,MATCH(B7517,Intent_Analysis!$A$5:$A$81,0))</f>
        <v>2</v>
      </c>
    </row>
    <row r="7518" customFormat="false" ht="15" hidden="false" customHeight="false" outlineLevel="0" collapsed="false">
      <c r="A7518" s="0" t="s">
        <v>7842</v>
      </c>
      <c r="B7518" s="0" t="s">
        <v>117</v>
      </c>
      <c r="C7518" s="0" t="str">
        <f aca="false">INDEX(Intent_Analysis!$B$5:$B$81,MATCH(B7518,Intent_Analysis!$A$5:$A$81,0))</f>
        <v>Transfers</v>
      </c>
      <c r="D7518" s="0" t="n">
        <f aca="false">INDEX(Intent_Analysis!$E$5:$E$81,MATCH(B7518,Intent_Analysis!$A$5:$A$81,0))</f>
        <v>2</v>
      </c>
    </row>
    <row r="7519" customFormat="false" ht="15" hidden="false" customHeight="false" outlineLevel="0" collapsed="false">
      <c r="A7519" s="0" t="s">
        <v>7843</v>
      </c>
      <c r="B7519" s="0" t="s">
        <v>117</v>
      </c>
      <c r="C7519" s="0" t="str">
        <f aca="false">INDEX(Intent_Analysis!$B$5:$B$81,MATCH(B7519,Intent_Analysis!$A$5:$A$81,0))</f>
        <v>Transfers</v>
      </c>
      <c r="D7519" s="0" t="n">
        <f aca="false">INDEX(Intent_Analysis!$E$5:$E$81,MATCH(B7519,Intent_Analysis!$A$5:$A$81,0))</f>
        <v>2</v>
      </c>
    </row>
    <row r="7520" customFormat="false" ht="15" hidden="false" customHeight="false" outlineLevel="0" collapsed="false">
      <c r="A7520" s="0" t="s">
        <v>7844</v>
      </c>
      <c r="B7520" s="0" t="s">
        <v>117</v>
      </c>
      <c r="C7520" s="0" t="str">
        <f aca="false">INDEX(Intent_Analysis!$B$5:$B$81,MATCH(B7520,Intent_Analysis!$A$5:$A$81,0))</f>
        <v>Transfers</v>
      </c>
      <c r="D7520" s="0" t="n">
        <f aca="false">INDEX(Intent_Analysis!$E$5:$E$81,MATCH(B7520,Intent_Analysis!$A$5:$A$81,0))</f>
        <v>2</v>
      </c>
    </row>
    <row r="7521" customFormat="false" ht="15" hidden="false" customHeight="false" outlineLevel="0" collapsed="false">
      <c r="A7521" s="0" t="s">
        <v>7845</v>
      </c>
      <c r="B7521" s="0" t="s">
        <v>117</v>
      </c>
      <c r="C7521" s="0" t="str">
        <f aca="false">INDEX(Intent_Analysis!$B$5:$B$81,MATCH(B7521,Intent_Analysis!$A$5:$A$81,0))</f>
        <v>Transfers</v>
      </c>
      <c r="D7521" s="0" t="n">
        <f aca="false">INDEX(Intent_Analysis!$E$5:$E$81,MATCH(B7521,Intent_Analysis!$A$5:$A$81,0))</f>
        <v>2</v>
      </c>
    </row>
    <row r="7522" customFormat="false" ht="15" hidden="false" customHeight="false" outlineLevel="0" collapsed="false">
      <c r="A7522" s="0" t="s">
        <v>7846</v>
      </c>
      <c r="B7522" s="0" t="s">
        <v>117</v>
      </c>
      <c r="C7522" s="0" t="str">
        <f aca="false">INDEX(Intent_Analysis!$B$5:$B$81,MATCH(B7522,Intent_Analysis!$A$5:$A$81,0))</f>
        <v>Transfers</v>
      </c>
      <c r="D7522" s="0" t="n">
        <f aca="false">INDEX(Intent_Analysis!$E$5:$E$81,MATCH(B7522,Intent_Analysis!$A$5:$A$81,0))</f>
        <v>2</v>
      </c>
    </row>
    <row r="7523" customFormat="false" ht="15" hidden="false" customHeight="false" outlineLevel="0" collapsed="false">
      <c r="A7523" s="0" t="s">
        <v>7847</v>
      </c>
      <c r="B7523" s="0" t="s">
        <v>117</v>
      </c>
      <c r="C7523" s="0" t="str">
        <f aca="false">INDEX(Intent_Analysis!$B$5:$B$81,MATCH(B7523,Intent_Analysis!$A$5:$A$81,0))</f>
        <v>Transfers</v>
      </c>
      <c r="D7523" s="0" t="n">
        <f aca="false">INDEX(Intent_Analysis!$E$5:$E$81,MATCH(B7523,Intent_Analysis!$A$5:$A$81,0))</f>
        <v>2</v>
      </c>
    </row>
    <row r="7524" customFormat="false" ht="15" hidden="false" customHeight="false" outlineLevel="0" collapsed="false">
      <c r="A7524" s="0" t="s">
        <v>7848</v>
      </c>
      <c r="B7524" s="0" t="s">
        <v>117</v>
      </c>
      <c r="C7524" s="0" t="str">
        <f aca="false">INDEX(Intent_Analysis!$B$5:$B$81,MATCH(B7524,Intent_Analysis!$A$5:$A$81,0))</f>
        <v>Transfers</v>
      </c>
      <c r="D7524" s="0" t="n">
        <f aca="false">INDEX(Intent_Analysis!$E$5:$E$81,MATCH(B7524,Intent_Analysis!$A$5:$A$81,0))</f>
        <v>2</v>
      </c>
    </row>
    <row r="7525" customFormat="false" ht="15" hidden="false" customHeight="false" outlineLevel="0" collapsed="false">
      <c r="A7525" s="0" t="s">
        <v>7849</v>
      </c>
      <c r="B7525" s="0" t="s">
        <v>117</v>
      </c>
      <c r="C7525" s="0" t="str">
        <f aca="false">INDEX(Intent_Analysis!$B$5:$B$81,MATCH(B7525,Intent_Analysis!$A$5:$A$81,0))</f>
        <v>Transfers</v>
      </c>
      <c r="D7525" s="0" t="n">
        <f aca="false">INDEX(Intent_Analysis!$E$5:$E$81,MATCH(B7525,Intent_Analysis!$A$5:$A$81,0))</f>
        <v>2</v>
      </c>
    </row>
    <row r="7526" customFormat="false" ht="15" hidden="false" customHeight="false" outlineLevel="0" collapsed="false">
      <c r="A7526" s="0" t="s">
        <v>7850</v>
      </c>
      <c r="B7526" s="0" t="s">
        <v>117</v>
      </c>
      <c r="C7526" s="0" t="str">
        <f aca="false">INDEX(Intent_Analysis!$B$5:$B$81,MATCH(B7526,Intent_Analysis!$A$5:$A$81,0))</f>
        <v>Transfers</v>
      </c>
      <c r="D7526" s="0" t="n">
        <f aca="false">INDEX(Intent_Analysis!$E$5:$E$81,MATCH(B7526,Intent_Analysis!$A$5:$A$81,0))</f>
        <v>2</v>
      </c>
    </row>
    <row r="7527" customFormat="false" ht="15" hidden="false" customHeight="false" outlineLevel="0" collapsed="false">
      <c r="A7527" s="0" t="s">
        <v>7851</v>
      </c>
      <c r="B7527" s="0" t="s">
        <v>117</v>
      </c>
      <c r="C7527" s="0" t="str">
        <f aca="false">INDEX(Intent_Analysis!$B$5:$B$81,MATCH(B7527,Intent_Analysis!$A$5:$A$81,0))</f>
        <v>Transfers</v>
      </c>
      <c r="D7527" s="0" t="n">
        <f aca="false">INDEX(Intent_Analysis!$E$5:$E$81,MATCH(B7527,Intent_Analysis!$A$5:$A$81,0))</f>
        <v>2</v>
      </c>
    </row>
    <row r="7528" customFormat="false" ht="15" hidden="false" customHeight="false" outlineLevel="0" collapsed="false">
      <c r="A7528" s="0" t="s">
        <v>7852</v>
      </c>
      <c r="B7528" s="0" t="s">
        <v>117</v>
      </c>
      <c r="C7528" s="0" t="str">
        <f aca="false">INDEX(Intent_Analysis!$B$5:$B$81,MATCH(B7528,Intent_Analysis!$A$5:$A$81,0))</f>
        <v>Transfers</v>
      </c>
      <c r="D7528" s="0" t="n">
        <f aca="false">INDEX(Intent_Analysis!$E$5:$E$81,MATCH(B7528,Intent_Analysis!$A$5:$A$81,0))</f>
        <v>2</v>
      </c>
    </row>
    <row r="7529" customFormat="false" ht="15" hidden="false" customHeight="false" outlineLevel="0" collapsed="false">
      <c r="A7529" s="0" t="s">
        <v>7853</v>
      </c>
      <c r="B7529" s="0" t="s">
        <v>117</v>
      </c>
      <c r="C7529" s="0" t="str">
        <f aca="false">INDEX(Intent_Analysis!$B$5:$B$81,MATCH(B7529,Intent_Analysis!$A$5:$A$81,0))</f>
        <v>Transfers</v>
      </c>
      <c r="D7529" s="0" t="n">
        <f aca="false">INDEX(Intent_Analysis!$E$5:$E$81,MATCH(B7529,Intent_Analysis!$A$5:$A$81,0))</f>
        <v>2</v>
      </c>
    </row>
    <row r="7530" customFormat="false" ht="15" hidden="false" customHeight="false" outlineLevel="0" collapsed="false">
      <c r="A7530" s="0" t="s">
        <v>7854</v>
      </c>
      <c r="B7530" s="0" t="s">
        <v>117</v>
      </c>
      <c r="C7530" s="0" t="str">
        <f aca="false">INDEX(Intent_Analysis!$B$5:$B$81,MATCH(B7530,Intent_Analysis!$A$5:$A$81,0))</f>
        <v>Transfers</v>
      </c>
      <c r="D7530" s="0" t="n">
        <f aca="false">INDEX(Intent_Analysis!$E$5:$E$81,MATCH(B7530,Intent_Analysis!$A$5:$A$81,0))</f>
        <v>2</v>
      </c>
    </row>
    <row r="7531" customFormat="false" ht="15" hidden="false" customHeight="false" outlineLevel="0" collapsed="false">
      <c r="A7531" s="0" t="s">
        <v>7855</v>
      </c>
      <c r="B7531" s="0" t="s">
        <v>117</v>
      </c>
      <c r="C7531" s="0" t="str">
        <f aca="false">INDEX(Intent_Analysis!$B$5:$B$81,MATCH(B7531,Intent_Analysis!$A$5:$A$81,0))</f>
        <v>Transfers</v>
      </c>
      <c r="D7531" s="0" t="n">
        <f aca="false">INDEX(Intent_Analysis!$E$5:$E$81,MATCH(B7531,Intent_Analysis!$A$5:$A$81,0))</f>
        <v>2</v>
      </c>
    </row>
    <row r="7532" customFormat="false" ht="15" hidden="false" customHeight="false" outlineLevel="0" collapsed="false">
      <c r="A7532" s="0" t="s">
        <v>7856</v>
      </c>
      <c r="B7532" s="0" t="s">
        <v>117</v>
      </c>
      <c r="C7532" s="0" t="str">
        <f aca="false">INDEX(Intent_Analysis!$B$5:$B$81,MATCH(B7532,Intent_Analysis!$A$5:$A$81,0))</f>
        <v>Transfers</v>
      </c>
      <c r="D7532" s="0" t="n">
        <f aca="false">INDEX(Intent_Analysis!$E$5:$E$81,MATCH(B7532,Intent_Analysis!$A$5:$A$81,0))</f>
        <v>2</v>
      </c>
    </row>
    <row r="7533" customFormat="false" ht="15" hidden="false" customHeight="false" outlineLevel="0" collapsed="false">
      <c r="A7533" s="0" t="s">
        <v>7857</v>
      </c>
      <c r="B7533" s="0" t="s">
        <v>117</v>
      </c>
      <c r="C7533" s="0" t="str">
        <f aca="false">INDEX(Intent_Analysis!$B$5:$B$81,MATCH(B7533,Intent_Analysis!$A$5:$A$81,0))</f>
        <v>Transfers</v>
      </c>
      <c r="D7533" s="0" t="n">
        <f aca="false">INDEX(Intent_Analysis!$E$5:$E$81,MATCH(B7533,Intent_Analysis!$A$5:$A$81,0))</f>
        <v>2</v>
      </c>
    </row>
    <row r="7534" customFormat="false" ht="15" hidden="false" customHeight="false" outlineLevel="0" collapsed="false">
      <c r="A7534" s="0" t="s">
        <v>7858</v>
      </c>
      <c r="B7534" s="0" t="s">
        <v>117</v>
      </c>
      <c r="C7534" s="0" t="str">
        <f aca="false">INDEX(Intent_Analysis!$B$5:$B$81,MATCH(B7534,Intent_Analysis!$A$5:$A$81,0))</f>
        <v>Transfers</v>
      </c>
      <c r="D7534" s="0" t="n">
        <f aca="false">INDEX(Intent_Analysis!$E$5:$E$81,MATCH(B7534,Intent_Analysis!$A$5:$A$81,0))</f>
        <v>2</v>
      </c>
    </row>
    <row r="7535" customFormat="false" ht="15" hidden="false" customHeight="false" outlineLevel="0" collapsed="false">
      <c r="A7535" s="0" t="s">
        <v>7859</v>
      </c>
      <c r="B7535" s="0" t="s">
        <v>117</v>
      </c>
      <c r="C7535" s="0" t="str">
        <f aca="false">INDEX(Intent_Analysis!$B$5:$B$81,MATCH(B7535,Intent_Analysis!$A$5:$A$81,0))</f>
        <v>Transfers</v>
      </c>
      <c r="D7535" s="0" t="n">
        <f aca="false">INDEX(Intent_Analysis!$E$5:$E$81,MATCH(B7535,Intent_Analysis!$A$5:$A$81,0))</f>
        <v>2</v>
      </c>
    </row>
    <row r="7536" customFormat="false" ht="15" hidden="false" customHeight="false" outlineLevel="0" collapsed="false">
      <c r="A7536" s="0" t="s">
        <v>7860</v>
      </c>
      <c r="B7536" s="0" t="s">
        <v>117</v>
      </c>
      <c r="C7536" s="0" t="str">
        <f aca="false">INDEX(Intent_Analysis!$B$5:$B$81,MATCH(B7536,Intent_Analysis!$A$5:$A$81,0))</f>
        <v>Transfers</v>
      </c>
      <c r="D7536" s="0" t="n">
        <f aca="false">INDEX(Intent_Analysis!$E$5:$E$81,MATCH(B7536,Intent_Analysis!$A$5:$A$81,0))</f>
        <v>2</v>
      </c>
    </row>
    <row r="7537" customFormat="false" ht="15" hidden="false" customHeight="false" outlineLevel="0" collapsed="false">
      <c r="A7537" s="0" t="s">
        <v>7861</v>
      </c>
      <c r="B7537" s="0" t="s">
        <v>117</v>
      </c>
      <c r="C7537" s="0" t="str">
        <f aca="false">INDEX(Intent_Analysis!$B$5:$B$81,MATCH(B7537,Intent_Analysis!$A$5:$A$81,0))</f>
        <v>Transfers</v>
      </c>
      <c r="D7537" s="0" t="n">
        <f aca="false">INDEX(Intent_Analysis!$E$5:$E$81,MATCH(B7537,Intent_Analysis!$A$5:$A$81,0))</f>
        <v>2</v>
      </c>
    </row>
    <row r="7538" customFormat="false" ht="15" hidden="false" customHeight="false" outlineLevel="0" collapsed="false">
      <c r="A7538" s="0" t="s">
        <v>7862</v>
      </c>
      <c r="B7538" s="0" t="s">
        <v>117</v>
      </c>
      <c r="C7538" s="0" t="str">
        <f aca="false">INDEX(Intent_Analysis!$B$5:$B$81,MATCH(B7538,Intent_Analysis!$A$5:$A$81,0))</f>
        <v>Transfers</v>
      </c>
      <c r="D7538" s="0" t="n">
        <f aca="false">INDEX(Intent_Analysis!$E$5:$E$81,MATCH(B7538,Intent_Analysis!$A$5:$A$81,0))</f>
        <v>2</v>
      </c>
    </row>
    <row r="7539" customFormat="false" ht="15" hidden="false" customHeight="false" outlineLevel="0" collapsed="false">
      <c r="A7539" s="0" t="s">
        <v>7863</v>
      </c>
      <c r="B7539" s="0" t="s">
        <v>117</v>
      </c>
      <c r="C7539" s="0" t="str">
        <f aca="false">INDEX(Intent_Analysis!$B$5:$B$81,MATCH(B7539,Intent_Analysis!$A$5:$A$81,0))</f>
        <v>Transfers</v>
      </c>
      <c r="D7539" s="0" t="n">
        <f aca="false">INDEX(Intent_Analysis!$E$5:$E$81,MATCH(B7539,Intent_Analysis!$A$5:$A$81,0))</f>
        <v>2</v>
      </c>
    </row>
    <row r="7540" customFormat="false" ht="15" hidden="false" customHeight="false" outlineLevel="0" collapsed="false">
      <c r="A7540" s="0" t="s">
        <v>7864</v>
      </c>
      <c r="B7540" s="0" t="s">
        <v>117</v>
      </c>
      <c r="C7540" s="0" t="str">
        <f aca="false">INDEX(Intent_Analysis!$B$5:$B$81,MATCH(B7540,Intent_Analysis!$A$5:$A$81,0))</f>
        <v>Transfers</v>
      </c>
      <c r="D7540" s="0" t="n">
        <f aca="false">INDEX(Intent_Analysis!$E$5:$E$81,MATCH(B7540,Intent_Analysis!$A$5:$A$81,0))</f>
        <v>2</v>
      </c>
    </row>
    <row r="7541" customFormat="false" ht="15" hidden="false" customHeight="false" outlineLevel="0" collapsed="false">
      <c r="A7541" s="0" t="s">
        <v>7865</v>
      </c>
      <c r="B7541" s="0" t="s">
        <v>117</v>
      </c>
      <c r="C7541" s="0" t="str">
        <f aca="false">INDEX(Intent_Analysis!$B$5:$B$81,MATCH(B7541,Intent_Analysis!$A$5:$A$81,0))</f>
        <v>Transfers</v>
      </c>
      <c r="D7541" s="0" t="n">
        <f aca="false">INDEX(Intent_Analysis!$E$5:$E$81,MATCH(B7541,Intent_Analysis!$A$5:$A$81,0))</f>
        <v>2</v>
      </c>
    </row>
    <row r="7542" customFormat="false" ht="15" hidden="false" customHeight="false" outlineLevel="0" collapsed="false">
      <c r="A7542" s="0" t="s">
        <v>7866</v>
      </c>
      <c r="B7542" s="0" t="s">
        <v>117</v>
      </c>
      <c r="C7542" s="0" t="str">
        <f aca="false">INDEX(Intent_Analysis!$B$5:$B$81,MATCH(B7542,Intent_Analysis!$A$5:$A$81,0))</f>
        <v>Transfers</v>
      </c>
      <c r="D7542" s="0" t="n">
        <f aca="false">INDEX(Intent_Analysis!$E$5:$E$81,MATCH(B7542,Intent_Analysis!$A$5:$A$81,0))</f>
        <v>2</v>
      </c>
    </row>
    <row r="7543" customFormat="false" ht="15" hidden="false" customHeight="false" outlineLevel="0" collapsed="false">
      <c r="A7543" s="0" t="s">
        <v>7867</v>
      </c>
      <c r="B7543" s="0" t="s">
        <v>117</v>
      </c>
      <c r="C7543" s="0" t="str">
        <f aca="false">INDEX(Intent_Analysis!$B$5:$B$81,MATCH(B7543,Intent_Analysis!$A$5:$A$81,0))</f>
        <v>Transfers</v>
      </c>
      <c r="D7543" s="0" t="n">
        <f aca="false">INDEX(Intent_Analysis!$E$5:$E$81,MATCH(B7543,Intent_Analysis!$A$5:$A$81,0))</f>
        <v>2</v>
      </c>
    </row>
    <row r="7544" customFormat="false" ht="15" hidden="false" customHeight="false" outlineLevel="0" collapsed="false">
      <c r="A7544" s="0" t="s">
        <v>7868</v>
      </c>
      <c r="B7544" s="0" t="s">
        <v>117</v>
      </c>
      <c r="C7544" s="0" t="str">
        <f aca="false">INDEX(Intent_Analysis!$B$5:$B$81,MATCH(B7544,Intent_Analysis!$A$5:$A$81,0))</f>
        <v>Transfers</v>
      </c>
      <c r="D7544" s="0" t="n">
        <f aca="false">INDEX(Intent_Analysis!$E$5:$E$81,MATCH(B7544,Intent_Analysis!$A$5:$A$81,0))</f>
        <v>2</v>
      </c>
    </row>
    <row r="7545" customFormat="false" ht="15" hidden="false" customHeight="false" outlineLevel="0" collapsed="false">
      <c r="A7545" s="0" t="s">
        <v>7869</v>
      </c>
      <c r="B7545" s="0" t="s">
        <v>117</v>
      </c>
      <c r="C7545" s="0" t="str">
        <f aca="false">INDEX(Intent_Analysis!$B$5:$B$81,MATCH(B7545,Intent_Analysis!$A$5:$A$81,0))</f>
        <v>Transfers</v>
      </c>
      <c r="D7545" s="0" t="n">
        <f aca="false">INDEX(Intent_Analysis!$E$5:$E$81,MATCH(B7545,Intent_Analysis!$A$5:$A$81,0))</f>
        <v>2</v>
      </c>
    </row>
    <row r="7546" customFormat="false" ht="15" hidden="false" customHeight="false" outlineLevel="0" collapsed="false">
      <c r="A7546" s="0" t="s">
        <v>7870</v>
      </c>
      <c r="B7546" s="0" t="s">
        <v>117</v>
      </c>
      <c r="C7546" s="0" t="str">
        <f aca="false">INDEX(Intent_Analysis!$B$5:$B$81,MATCH(B7546,Intent_Analysis!$A$5:$A$81,0))</f>
        <v>Transfers</v>
      </c>
      <c r="D7546" s="0" t="n">
        <f aca="false">INDEX(Intent_Analysis!$E$5:$E$81,MATCH(B7546,Intent_Analysis!$A$5:$A$81,0))</f>
        <v>2</v>
      </c>
    </row>
    <row r="7547" customFormat="false" ht="15" hidden="false" customHeight="false" outlineLevel="0" collapsed="false">
      <c r="A7547" s="0" t="s">
        <v>7871</v>
      </c>
      <c r="B7547" s="0" t="s">
        <v>117</v>
      </c>
      <c r="C7547" s="0" t="str">
        <f aca="false">INDEX(Intent_Analysis!$B$5:$B$81,MATCH(B7547,Intent_Analysis!$A$5:$A$81,0))</f>
        <v>Transfers</v>
      </c>
      <c r="D7547" s="0" t="n">
        <f aca="false">INDEX(Intent_Analysis!$E$5:$E$81,MATCH(B7547,Intent_Analysis!$A$5:$A$81,0))</f>
        <v>2</v>
      </c>
    </row>
    <row r="7548" customFormat="false" ht="15" hidden="false" customHeight="false" outlineLevel="0" collapsed="false">
      <c r="A7548" s="0" t="s">
        <v>7872</v>
      </c>
      <c r="B7548" s="0" t="s">
        <v>117</v>
      </c>
      <c r="C7548" s="0" t="str">
        <f aca="false">INDEX(Intent_Analysis!$B$5:$B$81,MATCH(B7548,Intent_Analysis!$A$5:$A$81,0))</f>
        <v>Transfers</v>
      </c>
      <c r="D7548" s="0" t="n">
        <f aca="false">INDEX(Intent_Analysis!$E$5:$E$81,MATCH(B7548,Intent_Analysis!$A$5:$A$81,0))</f>
        <v>2</v>
      </c>
    </row>
    <row r="7549" customFormat="false" ht="15" hidden="false" customHeight="false" outlineLevel="0" collapsed="false">
      <c r="A7549" s="0" t="s">
        <v>7873</v>
      </c>
      <c r="B7549" s="0" t="s">
        <v>117</v>
      </c>
      <c r="C7549" s="0" t="str">
        <f aca="false">INDEX(Intent_Analysis!$B$5:$B$81,MATCH(B7549,Intent_Analysis!$A$5:$A$81,0))</f>
        <v>Transfers</v>
      </c>
      <c r="D7549" s="0" t="n">
        <f aca="false">INDEX(Intent_Analysis!$E$5:$E$81,MATCH(B7549,Intent_Analysis!$A$5:$A$81,0))</f>
        <v>2</v>
      </c>
    </row>
    <row r="7550" customFormat="false" ht="15" hidden="false" customHeight="false" outlineLevel="0" collapsed="false">
      <c r="A7550" s="0" t="s">
        <v>7874</v>
      </c>
      <c r="B7550" s="0" t="s">
        <v>117</v>
      </c>
      <c r="C7550" s="0" t="str">
        <f aca="false">INDEX(Intent_Analysis!$B$5:$B$81,MATCH(B7550,Intent_Analysis!$A$5:$A$81,0))</f>
        <v>Transfers</v>
      </c>
      <c r="D7550" s="0" t="n">
        <f aca="false">INDEX(Intent_Analysis!$E$5:$E$81,MATCH(B7550,Intent_Analysis!$A$5:$A$81,0))</f>
        <v>2</v>
      </c>
    </row>
    <row r="7551" customFormat="false" ht="15" hidden="false" customHeight="false" outlineLevel="0" collapsed="false">
      <c r="A7551" s="0" t="s">
        <v>7875</v>
      </c>
      <c r="B7551" s="0" t="s">
        <v>117</v>
      </c>
      <c r="C7551" s="0" t="str">
        <f aca="false">INDEX(Intent_Analysis!$B$5:$B$81,MATCH(B7551,Intent_Analysis!$A$5:$A$81,0))</f>
        <v>Transfers</v>
      </c>
      <c r="D7551" s="0" t="n">
        <f aca="false">INDEX(Intent_Analysis!$E$5:$E$81,MATCH(B7551,Intent_Analysis!$A$5:$A$81,0))</f>
        <v>2</v>
      </c>
    </row>
    <row r="7552" customFormat="false" ht="15" hidden="false" customHeight="false" outlineLevel="0" collapsed="false">
      <c r="A7552" s="0" t="s">
        <v>7876</v>
      </c>
      <c r="B7552" s="0" t="s">
        <v>117</v>
      </c>
      <c r="C7552" s="0" t="str">
        <f aca="false">INDEX(Intent_Analysis!$B$5:$B$81,MATCH(B7552,Intent_Analysis!$A$5:$A$81,0))</f>
        <v>Transfers</v>
      </c>
      <c r="D7552" s="0" t="n">
        <f aca="false">INDEX(Intent_Analysis!$E$5:$E$81,MATCH(B7552,Intent_Analysis!$A$5:$A$81,0))</f>
        <v>2</v>
      </c>
    </row>
    <row r="7553" customFormat="false" ht="15" hidden="false" customHeight="false" outlineLevel="0" collapsed="false">
      <c r="A7553" s="0" t="s">
        <v>7877</v>
      </c>
      <c r="B7553" s="0" t="s">
        <v>117</v>
      </c>
      <c r="C7553" s="0" t="str">
        <f aca="false">INDEX(Intent_Analysis!$B$5:$B$81,MATCH(B7553,Intent_Analysis!$A$5:$A$81,0))</f>
        <v>Transfers</v>
      </c>
      <c r="D7553" s="0" t="n">
        <f aca="false">INDEX(Intent_Analysis!$E$5:$E$81,MATCH(B7553,Intent_Analysis!$A$5:$A$81,0))</f>
        <v>2</v>
      </c>
    </row>
    <row r="7554" customFormat="false" ht="15" hidden="false" customHeight="false" outlineLevel="0" collapsed="false">
      <c r="A7554" s="0" t="s">
        <v>7878</v>
      </c>
      <c r="B7554" s="0" t="s">
        <v>117</v>
      </c>
      <c r="C7554" s="0" t="str">
        <f aca="false">INDEX(Intent_Analysis!$B$5:$B$81,MATCH(B7554,Intent_Analysis!$A$5:$A$81,0))</f>
        <v>Transfers</v>
      </c>
      <c r="D7554" s="0" t="n">
        <f aca="false">INDEX(Intent_Analysis!$E$5:$E$81,MATCH(B7554,Intent_Analysis!$A$5:$A$81,0))</f>
        <v>2</v>
      </c>
    </row>
    <row r="7555" customFormat="false" ht="15" hidden="false" customHeight="false" outlineLevel="0" collapsed="false">
      <c r="A7555" s="0" t="s">
        <v>7879</v>
      </c>
      <c r="B7555" s="0" t="s">
        <v>117</v>
      </c>
      <c r="C7555" s="0" t="str">
        <f aca="false">INDEX(Intent_Analysis!$B$5:$B$81,MATCH(B7555,Intent_Analysis!$A$5:$A$81,0))</f>
        <v>Transfers</v>
      </c>
      <c r="D7555" s="0" t="n">
        <f aca="false">INDEX(Intent_Analysis!$E$5:$E$81,MATCH(B7555,Intent_Analysis!$A$5:$A$81,0))</f>
        <v>2</v>
      </c>
    </row>
    <row r="7556" customFormat="false" ht="15" hidden="false" customHeight="false" outlineLevel="0" collapsed="false">
      <c r="A7556" s="0" t="s">
        <v>7880</v>
      </c>
      <c r="B7556" s="0" t="s">
        <v>117</v>
      </c>
      <c r="C7556" s="0" t="str">
        <f aca="false">INDEX(Intent_Analysis!$B$5:$B$81,MATCH(B7556,Intent_Analysis!$A$5:$A$81,0))</f>
        <v>Transfers</v>
      </c>
      <c r="D7556" s="0" t="n">
        <f aca="false">INDEX(Intent_Analysis!$E$5:$E$81,MATCH(B7556,Intent_Analysis!$A$5:$A$81,0))</f>
        <v>2</v>
      </c>
    </row>
    <row r="7557" customFormat="false" ht="15" hidden="false" customHeight="false" outlineLevel="0" collapsed="false">
      <c r="A7557" s="0" t="s">
        <v>7881</v>
      </c>
      <c r="B7557" s="0" t="s">
        <v>117</v>
      </c>
      <c r="C7557" s="0" t="str">
        <f aca="false">INDEX(Intent_Analysis!$B$5:$B$81,MATCH(B7557,Intent_Analysis!$A$5:$A$81,0))</f>
        <v>Transfers</v>
      </c>
      <c r="D7557" s="0" t="n">
        <f aca="false">INDEX(Intent_Analysis!$E$5:$E$81,MATCH(B7557,Intent_Analysis!$A$5:$A$81,0))</f>
        <v>2</v>
      </c>
    </row>
    <row r="7558" customFormat="false" ht="15" hidden="false" customHeight="false" outlineLevel="0" collapsed="false">
      <c r="A7558" s="0" t="s">
        <v>7882</v>
      </c>
      <c r="B7558" s="0" t="s">
        <v>117</v>
      </c>
      <c r="C7558" s="0" t="str">
        <f aca="false">INDEX(Intent_Analysis!$B$5:$B$81,MATCH(B7558,Intent_Analysis!$A$5:$A$81,0))</f>
        <v>Transfers</v>
      </c>
      <c r="D7558" s="0" t="n">
        <f aca="false">INDEX(Intent_Analysis!$E$5:$E$81,MATCH(B7558,Intent_Analysis!$A$5:$A$81,0))</f>
        <v>2</v>
      </c>
    </row>
    <row r="7559" customFormat="false" ht="15" hidden="false" customHeight="false" outlineLevel="0" collapsed="false">
      <c r="A7559" s="0" t="s">
        <v>7883</v>
      </c>
      <c r="B7559" s="0" t="s">
        <v>117</v>
      </c>
      <c r="C7559" s="0" t="str">
        <f aca="false">INDEX(Intent_Analysis!$B$5:$B$81,MATCH(B7559,Intent_Analysis!$A$5:$A$81,0))</f>
        <v>Transfers</v>
      </c>
      <c r="D7559" s="0" t="n">
        <f aca="false">INDEX(Intent_Analysis!$E$5:$E$81,MATCH(B7559,Intent_Analysis!$A$5:$A$81,0))</f>
        <v>2</v>
      </c>
    </row>
    <row r="7560" customFormat="false" ht="15" hidden="false" customHeight="false" outlineLevel="0" collapsed="false">
      <c r="A7560" s="0" t="s">
        <v>7884</v>
      </c>
      <c r="B7560" s="0" t="s">
        <v>117</v>
      </c>
      <c r="C7560" s="0" t="str">
        <f aca="false">INDEX(Intent_Analysis!$B$5:$B$81,MATCH(B7560,Intent_Analysis!$A$5:$A$81,0))</f>
        <v>Transfers</v>
      </c>
      <c r="D7560" s="0" t="n">
        <f aca="false">INDEX(Intent_Analysis!$E$5:$E$81,MATCH(B7560,Intent_Analysis!$A$5:$A$81,0))</f>
        <v>2</v>
      </c>
    </row>
    <row r="7561" customFormat="false" ht="15" hidden="false" customHeight="false" outlineLevel="0" collapsed="false">
      <c r="A7561" s="0" t="s">
        <v>7885</v>
      </c>
      <c r="B7561" s="0" t="s">
        <v>117</v>
      </c>
      <c r="C7561" s="0" t="str">
        <f aca="false">INDEX(Intent_Analysis!$B$5:$B$81,MATCH(B7561,Intent_Analysis!$A$5:$A$81,0))</f>
        <v>Transfers</v>
      </c>
      <c r="D7561" s="0" t="n">
        <f aca="false">INDEX(Intent_Analysis!$E$5:$E$81,MATCH(B7561,Intent_Analysis!$A$5:$A$81,0))</f>
        <v>2</v>
      </c>
    </row>
    <row r="7562" customFormat="false" ht="15" hidden="false" customHeight="false" outlineLevel="0" collapsed="false">
      <c r="A7562" s="0" t="s">
        <v>7886</v>
      </c>
      <c r="B7562" s="0" t="s">
        <v>117</v>
      </c>
      <c r="C7562" s="0" t="str">
        <f aca="false">INDEX(Intent_Analysis!$B$5:$B$81,MATCH(B7562,Intent_Analysis!$A$5:$A$81,0))</f>
        <v>Transfers</v>
      </c>
      <c r="D7562" s="0" t="n">
        <f aca="false">INDEX(Intent_Analysis!$E$5:$E$81,MATCH(B7562,Intent_Analysis!$A$5:$A$81,0))</f>
        <v>2</v>
      </c>
    </row>
    <row r="7563" customFormat="false" ht="15" hidden="false" customHeight="false" outlineLevel="0" collapsed="false">
      <c r="A7563" s="0" t="s">
        <v>7887</v>
      </c>
      <c r="B7563" s="0" t="s">
        <v>117</v>
      </c>
      <c r="C7563" s="0" t="str">
        <f aca="false">INDEX(Intent_Analysis!$B$5:$B$81,MATCH(B7563,Intent_Analysis!$A$5:$A$81,0))</f>
        <v>Transfers</v>
      </c>
      <c r="D7563" s="0" t="n">
        <f aca="false">INDEX(Intent_Analysis!$E$5:$E$81,MATCH(B7563,Intent_Analysis!$A$5:$A$81,0))</f>
        <v>2</v>
      </c>
    </row>
    <row r="7564" customFormat="false" ht="15" hidden="false" customHeight="false" outlineLevel="0" collapsed="false">
      <c r="A7564" s="0" t="s">
        <v>7888</v>
      </c>
      <c r="B7564" s="0" t="s">
        <v>117</v>
      </c>
      <c r="C7564" s="0" t="str">
        <f aca="false">INDEX(Intent_Analysis!$B$5:$B$81,MATCH(B7564,Intent_Analysis!$A$5:$A$81,0))</f>
        <v>Transfers</v>
      </c>
      <c r="D7564" s="0" t="n">
        <f aca="false">INDEX(Intent_Analysis!$E$5:$E$81,MATCH(B7564,Intent_Analysis!$A$5:$A$81,0))</f>
        <v>2</v>
      </c>
    </row>
    <row r="7565" customFormat="false" ht="15" hidden="false" customHeight="false" outlineLevel="0" collapsed="false">
      <c r="A7565" s="0" t="s">
        <v>7889</v>
      </c>
      <c r="B7565" s="0" t="s">
        <v>117</v>
      </c>
      <c r="C7565" s="0" t="str">
        <f aca="false">INDEX(Intent_Analysis!$B$5:$B$81,MATCH(B7565,Intent_Analysis!$A$5:$A$81,0))</f>
        <v>Transfers</v>
      </c>
      <c r="D7565" s="0" t="n">
        <f aca="false">INDEX(Intent_Analysis!$E$5:$E$81,MATCH(B7565,Intent_Analysis!$A$5:$A$81,0))</f>
        <v>2</v>
      </c>
    </row>
    <row r="7566" customFormat="false" ht="15" hidden="false" customHeight="false" outlineLevel="0" collapsed="false">
      <c r="A7566" s="0" t="s">
        <v>7890</v>
      </c>
      <c r="B7566" s="0" t="s">
        <v>117</v>
      </c>
      <c r="C7566" s="0" t="str">
        <f aca="false">INDEX(Intent_Analysis!$B$5:$B$81,MATCH(B7566,Intent_Analysis!$A$5:$A$81,0))</f>
        <v>Transfers</v>
      </c>
      <c r="D7566" s="0" t="n">
        <f aca="false">INDEX(Intent_Analysis!$E$5:$E$81,MATCH(B7566,Intent_Analysis!$A$5:$A$81,0))</f>
        <v>2</v>
      </c>
    </row>
    <row r="7567" customFormat="false" ht="15" hidden="false" customHeight="false" outlineLevel="0" collapsed="false">
      <c r="A7567" s="0" t="s">
        <v>7891</v>
      </c>
      <c r="B7567" s="0" t="s">
        <v>120</v>
      </c>
      <c r="C7567" s="0" t="str">
        <f aca="false">INDEX(Intent_Analysis!$B$5:$B$81,MATCH(B7567,Intent_Analysis!$A$5:$A$81,0))</f>
        <v>Transfers</v>
      </c>
      <c r="D7567" s="0" t="n">
        <f aca="false">INDEX(Intent_Analysis!$E$5:$E$81,MATCH(B7567,Intent_Analysis!$A$5:$A$81,0))</f>
        <v>1</v>
      </c>
    </row>
    <row r="7568" customFormat="false" ht="15" hidden="false" customHeight="false" outlineLevel="0" collapsed="false">
      <c r="A7568" s="0" t="s">
        <v>7892</v>
      </c>
      <c r="B7568" s="0" t="s">
        <v>120</v>
      </c>
      <c r="C7568" s="0" t="str">
        <f aca="false">INDEX(Intent_Analysis!$B$5:$B$81,MATCH(B7568,Intent_Analysis!$A$5:$A$81,0))</f>
        <v>Transfers</v>
      </c>
      <c r="D7568" s="0" t="n">
        <f aca="false">INDEX(Intent_Analysis!$E$5:$E$81,MATCH(B7568,Intent_Analysis!$A$5:$A$81,0))</f>
        <v>1</v>
      </c>
    </row>
    <row r="7569" customFormat="false" ht="15" hidden="false" customHeight="false" outlineLevel="0" collapsed="false">
      <c r="A7569" s="0" t="s">
        <v>7893</v>
      </c>
      <c r="B7569" s="0" t="s">
        <v>120</v>
      </c>
      <c r="C7569" s="0" t="str">
        <f aca="false">INDEX(Intent_Analysis!$B$5:$B$81,MATCH(B7569,Intent_Analysis!$A$5:$A$81,0))</f>
        <v>Transfers</v>
      </c>
      <c r="D7569" s="0" t="n">
        <f aca="false">INDEX(Intent_Analysis!$E$5:$E$81,MATCH(B7569,Intent_Analysis!$A$5:$A$81,0))</f>
        <v>1</v>
      </c>
    </row>
    <row r="7570" customFormat="false" ht="15" hidden="false" customHeight="false" outlineLevel="0" collapsed="false">
      <c r="A7570" s="0" t="s">
        <v>7894</v>
      </c>
      <c r="B7570" s="0" t="s">
        <v>120</v>
      </c>
      <c r="C7570" s="0" t="str">
        <f aca="false">INDEX(Intent_Analysis!$B$5:$B$81,MATCH(B7570,Intent_Analysis!$A$5:$A$81,0))</f>
        <v>Transfers</v>
      </c>
      <c r="D7570" s="0" t="n">
        <f aca="false">INDEX(Intent_Analysis!$E$5:$E$81,MATCH(B7570,Intent_Analysis!$A$5:$A$81,0))</f>
        <v>1</v>
      </c>
    </row>
    <row r="7571" customFormat="false" ht="15" hidden="false" customHeight="false" outlineLevel="0" collapsed="false">
      <c r="A7571" s="0" t="s">
        <v>7895</v>
      </c>
      <c r="B7571" s="0" t="s">
        <v>120</v>
      </c>
      <c r="C7571" s="0" t="str">
        <f aca="false">INDEX(Intent_Analysis!$B$5:$B$81,MATCH(B7571,Intent_Analysis!$A$5:$A$81,0))</f>
        <v>Transfers</v>
      </c>
      <c r="D7571" s="0" t="n">
        <f aca="false">INDEX(Intent_Analysis!$E$5:$E$81,MATCH(B7571,Intent_Analysis!$A$5:$A$81,0))</f>
        <v>1</v>
      </c>
    </row>
    <row r="7572" customFormat="false" ht="15" hidden="false" customHeight="false" outlineLevel="0" collapsed="false">
      <c r="A7572" s="0" t="s">
        <v>7896</v>
      </c>
      <c r="B7572" s="0" t="s">
        <v>120</v>
      </c>
      <c r="C7572" s="0" t="str">
        <f aca="false">INDEX(Intent_Analysis!$B$5:$B$81,MATCH(B7572,Intent_Analysis!$A$5:$A$81,0))</f>
        <v>Transfers</v>
      </c>
      <c r="D7572" s="0" t="n">
        <f aca="false">INDEX(Intent_Analysis!$E$5:$E$81,MATCH(B7572,Intent_Analysis!$A$5:$A$81,0))</f>
        <v>1</v>
      </c>
    </row>
    <row r="7573" customFormat="false" ht="15" hidden="false" customHeight="false" outlineLevel="0" collapsed="false">
      <c r="A7573" s="0" t="s">
        <v>7897</v>
      </c>
      <c r="B7573" s="0" t="s">
        <v>120</v>
      </c>
      <c r="C7573" s="0" t="str">
        <f aca="false">INDEX(Intent_Analysis!$B$5:$B$81,MATCH(B7573,Intent_Analysis!$A$5:$A$81,0))</f>
        <v>Transfers</v>
      </c>
      <c r="D7573" s="0" t="n">
        <f aca="false">INDEX(Intent_Analysis!$E$5:$E$81,MATCH(B7573,Intent_Analysis!$A$5:$A$81,0))</f>
        <v>1</v>
      </c>
    </row>
    <row r="7574" customFormat="false" ht="15" hidden="false" customHeight="false" outlineLevel="0" collapsed="false">
      <c r="A7574" s="0" t="s">
        <v>7898</v>
      </c>
      <c r="B7574" s="0" t="s">
        <v>120</v>
      </c>
      <c r="C7574" s="0" t="str">
        <f aca="false">INDEX(Intent_Analysis!$B$5:$B$81,MATCH(B7574,Intent_Analysis!$A$5:$A$81,0))</f>
        <v>Transfers</v>
      </c>
      <c r="D7574" s="0" t="n">
        <f aca="false">INDEX(Intent_Analysis!$E$5:$E$81,MATCH(B7574,Intent_Analysis!$A$5:$A$81,0))</f>
        <v>1</v>
      </c>
    </row>
    <row r="7575" customFormat="false" ht="15" hidden="false" customHeight="false" outlineLevel="0" collapsed="false">
      <c r="A7575" s="0" t="s">
        <v>7899</v>
      </c>
      <c r="B7575" s="0" t="s">
        <v>120</v>
      </c>
      <c r="C7575" s="0" t="str">
        <f aca="false">INDEX(Intent_Analysis!$B$5:$B$81,MATCH(B7575,Intent_Analysis!$A$5:$A$81,0))</f>
        <v>Transfers</v>
      </c>
      <c r="D7575" s="0" t="n">
        <f aca="false">INDEX(Intent_Analysis!$E$5:$E$81,MATCH(B7575,Intent_Analysis!$A$5:$A$81,0))</f>
        <v>1</v>
      </c>
    </row>
    <row r="7576" customFormat="false" ht="15" hidden="false" customHeight="false" outlineLevel="0" collapsed="false">
      <c r="A7576" s="0" t="s">
        <v>7900</v>
      </c>
      <c r="B7576" s="0" t="s">
        <v>120</v>
      </c>
      <c r="C7576" s="0" t="str">
        <f aca="false">INDEX(Intent_Analysis!$B$5:$B$81,MATCH(B7576,Intent_Analysis!$A$5:$A$81,0))</f>
        <v>Transfers</v>
      </c>
      <c r="D7576" s="0" t="n">
        <f aca="false">INDEX(Intent_Analysis!$E$5:$E$81,MATCH(B7576,Intent_Analysis!$A$5:$A$81,0))</f>
        <v>1</v>
      </c>
    </row>
    <row r="7577" customFormat="false" ht="15" hidden="false" customHeight="false" outlineLevel="0" collapsed="false">
      <c r="A7577" s="0" t="s">
        <v>7901</v>
      </c>
      <c r="B7577" s="0" t="s">
        <v>120</v>
      </c>
      <c r="C7577" s="0" t="str">
        <f aca="false">INDEX(Intent_Analysis!$B$5:$B$81,MATCH(B7577,Intent_Analysis!$A$5:$A$81,0))</f>
        <v>Transfers</v>
      </c>
      <c r="D7577" s="0" t="n">
        <f aca="false">INDEX(Intent_Analysis!$E$5:$E$81,MATCH(B7577,Intent_Analysis!$A$5:$A$81,0))</f>
        <v>1</v>
      </c>
    </row>
    <row r="7578" customFormat="false" ht="15" hidden="false" customHeight="false" outlineLevel="0" collapsed="false">
      <c r="A7578" s="0" t="s">
        <v>7902</v>
      </c>
      <c r="B7578" s="0" t="s">
        <v>120</v>
      </c>
      <c r="C7578" s="0" t="str">
        <f aca="false">INDEX(Intent_Analysis!$B$5:$B$81,MATCH(B7578,Intent_Analysis!$A$5:$A$81,0))</f>
        <v>Transfers</v>
      </c>
      <c r="D7578" s="0" t="n">
        <f aca="false">INDEX(Intent_Analysis!$E$5:$E$81,MATCH(B7578,Intent_Analysis!$A$5:$A$81,0))</f>
        <v>1</v>
      </c>
    </row>
    <row r="7579" customFormat="false" ht="15" hidden="false" customHeight="false" outlineLevel="0" collapsed="false">
      <c r="A7579" s="0" t="s">
        <v>7903</v>
      </c>
      <c r="B7579" s="0" t="s">
        <v>120</v>
      </c>
      <c r="C7579" s="0" t="str">
        <f aca="false">INDEX(Intent_Analysis!$B$5:$B$81,MATCH(B7579,Intent_Analysis!$A$5:$A$81,0))</f>
        <v>Transfers</v>
      </c>
      <c r="D7579" s="0" t="n">
        <f aca="false">INDEX(Intent_Analysis!$E$5:$E$81,MATCH(B7579,Intent_Analysis!$A$5:$A$81,0))</f>
        <v>1</v>
      </c>
    </row>
    <row r="7580" customFormat="false" ht="15" hidden="false" customHeight="false" outlineLevel="0" collapsed="false">
      <c r="A7580" s="0" t="s">
        <v>7904</v>
      </c>
      <c r="B7580" s="0" t="s">
        <v>120</v>
      </c>
      <c r="C7580" s="0" t="str">
        <f aca="false">INDEX(Intent_Analysis!$B$5:$B$81,MATCH(B7580,Intent_Analysis!$A$5:$A$81,0))</f>
        <v>Transfers</v>
      </c>
      <c r="D7580" s="0" t="n">
        <f aca="false">INDEX(Intent_Analysis!$E$5:$E$81,MATCH(B7580,Intent_Analysis!$A$5:$A$81,0))</f>
        <v>1</v>
      </c>
    </row>
    <row r="7581" customFormat="false" ht="15" hidden="false" customHeight="false" outlineLevel="0" collapsed="false">
      <c r="A7581" s="0" t="s">
        <v>7905</v>
      </c>
      <c r="B7581" s="0" t="s">
        <v>120</v>
      </c>
      <c r="C7581" s="0" t="str">
        <f aca="false">INDEX(Intent_Analysis!$B$5:$B$81,MATCH(B7581,Intent_Analysis!$A$5:$A$81,0))</f>
        <v>Transfers</v>
      </c>
      <c r="D7581" s="0" t="n">
        <f aca="false">INDEX(Intent_Analysis!$E$5:$E$81,MATCH(B7581,Intent_Analysis!$A$5:$A$81,0))</f>
        <v>1</v>
      </c>
    </row>
    <row r="7582" customFormat="false" ht="15" hidden="false" customHeight="false" outlineLevel="0" collapsed="false">
      <c r="A7582" s="0" t="s">
        <v>7906</v>
      </c>
      <c r="B7582" s="0" t="s">
        <v>120</v>
      </c>
      <c r="C7582" s="0" t="str">
        <f aca="false">INDEX(Intent_Analysis!$B$5:$B$81,MATCH(B7582,Intent_Analysis!$A$5:$A$81,0))</f>
        <v>Transfers</v>
      </c>
      <c r="D7582" s="0" t="n">
        <f aca="false">INDEX(Intent_Analysis!$E$5:$E$81,MATCH(B7582,Intent_Analysis!$A$5:$A$81,0))</f>
        <v>1</v>
      </c>
    </row>
    <row r="7583" customFormat="false" ht="15" hidden="false" customHeight="false" outlineLevel="0" collapsed="false">
      <c r="A7583" s="0" t="s">
        <v>7907</v>
      </c>
      <c r="B7583" s="0" t="s">
        <v>120</v>
      </c>
      <c r="C7583" s="0" t="str">
        <f aca="false">INDEX(Intent_Analysis!$B$5:$B$81,MATCH(B7583,Intent_Analysis!$A$5:$A$81,0))</f>
        <v>Transfers</v>
      </c>
      <c r="D7583" s="0" t="n">
        <f aca="false">INDEX(Intent_Analysis!$E$5:$E$81,MATCH(B7583,Intent_Analysis!$A$5:$A$81,0))</f>
        <v>1</v>
      </c>
    </row>
    <row r="7584" customFormat="false" ht="15" hidden="false" customHeight="false" outlineLevel="0" collapsed="false">
      <c r="A7584" s="0" t="s">
        <v>7908</v>
      </c>
      <c r="B7584" s="0" t="s">
        <v>120</v>
      </c>
      <c r="C7584" s="0" t="str">
        <f aca="false">INDEX(Intent_Analysis!$B$5:$B$81,MATCH(B7584,Intent_Analysis!$A$5:$A$81,0))</f>
        <v>Transfers</v>
      </c>
      <c r="D7584" s="0" t="n">
        <f aca="false">INDEX(Intent_Analysis!$E$5:$E$81,MATCH(B7584,Intent_Analysis!$A$5:$A$81,0))</f>
        <v>1</v>
      </c>
    </row>
    <row r="7585" customFormat="false" ht="15" hidden="false" customHeight="false" outlineLevel="0" collapsed="false">
      <c r="A7585" s="0" t="s">
        <v>7909</v>
      </c>
      <c r="B7585" s="0" t="s">
        <v>120</v>
      </c>
      <c r="C7585" s="0" t="str">
        <f aca="false">INDEX(Intent_Analysis!$B$5:$B$81,MATCH(B7585,Intent_Analysis!$A$5:$A$81,0))</f>
        <v>Transfers</v>
      </c>
      <c r="D7585" s="0" t="n">
        <f aca="false">INDEX(Intent_Analysis!$E$5:$E$81,MATCH(B7585,Intent_Analysis!$A$5:$A$81,0))</f>
        <v>1</v>
      </c>
    </row>
    <row r="7586" customFormat="false" ht="15" hidden="false" customHeight="false" outlineLevel="0" collapsed="false">
      <c r="A7586" s="0" t="s">
        <v>7910</v>
      </c>
      <c r="B7586" s="0" t="s">
        <v>120</v>
      </c>
      <c r="C7586" s="0" t="str">
        <f aca="false">INDEX(Intent_Analysis!$B$5:$B$81,MATCH(B7586,Intent_Analysis!$A$5:$A$81,0))</f>
        <v>Transfers</v>
      </c>
      <c r="D7586" s="0" t="n">
        <f aca="false">INDEX(Intent_Analysis!$E$5:$E$81,MATCH(B7586,Intent_Analysis!$A$5:$A$81,0))</f>
        <v>1</v>
      </c>
    </row>
    <row r="7587" customFormat="false" ht="15" hidden="false" customHeight="false" outlineLevel="0" collapsed="false">
      <c r="A7587" s="0" t="s">
        <v>7911</v>
      </c>
      <c r="B7587" s="0" t="s">
        <v>120</v>
      </c>
      <c r="C7587" s="0" t="str">
        <f aca="false">INDEX(Intent_Analysis!$B$5:$B$81,MATCH(B7587,Intent_Analysis!$A$5:$A$81,0))</f>
        <v>Transfers</v>
      </c>
      <c r="D7587" s="0" t="n">
        <f aca="false">INDEX(Intent_Analysis!$E$5:$E$81,MATCH(B7587,Intent_Analysis!$A$5:$A$81,0))</f>
        <v>1</v>
      </c>
    </row>
    <row r="7588" customFormat="false" ht="15" hidden="false" customHeight="false" outlineLevel="0" collapsed="false">
      <c r="A7588" s="0" t="s">
        <v>7912</v>
      </c>
      <c r="B7588" s="0" t="s">
        <v>120</v>
      </c>
      <c r="C7588" s="0" t="str">
        <f aca="false">INDEX(Intent_Analysis!$B$5:$B$81,MATCH(B7588,Intent_Analysis!$A$5:$A$81,0))</f>
        <v>Transfers</v>
      </c>
      <c r="D7588" s="0" t="n">
        <f aca="false">INDEX(Intent_Analysis!$E$5:$E$81,MATCH(B7588,Intent_Analysis!$A$5:$A$81,0))</f>
        <v>1</v>
      </c>
    </row>
    <row r="7589" customFormat="false" ht="15" hidden="false" customHeight="false" outlineLevel="0" collapsed="false">
      <c r="A7589" s="0" t="s">
        <v>7913</v>
      </c>
      <c r="B7589" s="0" t="s">
        <v>120</v>
      </c>
      <c r="C7589" s="0" t="str">
        <f aca="false">INDEX(Intent_Analysis!$B$5:$B$81,MATCH(B7589,Intent_Analysis!$A$5:$A$81,0))</f>
        <v>Transfers</v>
      </c>
      <c r="D7589" s="0" t="n">
        <f aca="false">INDEX(Intent_Analysis!$E$5:$E$81,MATCH(B7589,Intent_Analysis!$A$5:$A$81,0))</f>
        <v>1</v>
      </c>
    </row>
    <row r="7590" customFormat="false" ht="15" hidden="false" customHeight="false" outlineLevel="0" collapsed="false">
      <c r="A7590" s="0" t="s">
        <v>7914</v>
      </c>
      <c r="B7590" s="0" t="s">
        <v>120</v>
      </c>
      <c r="C7590" s="0" t="str">
        <f aca="false">INDEX(Intent_Analysis!$B$5:$B$81,MATCH(B7590,Intent_Analysis!$A$5:$A$81,0))</f>
        <v>Transfers</v>
      </c>
      <c r="D7590" s="0" t="n">
        <f aca="false">INDEX(Intent_Analysis!$E$5:$E$81,MATCH(B7590,Intent_Analysis!$A$5:$A$81,0))</f>
        <v>1</v>
      </c>
    </row>
    <row r="7591" customFormat="false" ht="15" hidden="false" customHeight="false" outlineLevel="0" collapsed="false">
      <c r="A7591" s="0" t="s">
        <v>7915</v>
      </c>
      <c r="B7591" s="0" t="s">
        <v>120</v>
      </c>
      <c r="C7591" s="0" t="str">
        <f aca="false">INDEX(Intent_Analysis!$B$5:$B$81,MATCH(B7591,Intent_Analysis!$A$5:$A$81,0))</f>
        <v>Transfers</v>
      </c>
      <c r="D7591" s="0" t="n">
        <f aca="false">INDEX(Intent_Analysis!$E$5:$E$81,MATCH(B7591,Intent_Analysis!$A$5:$A$81,0))</f>
        <v>1</v>
      </c>
    </row>
    <row r="7592" customFormat="false" ht="15" hidden="false" customHeight="false" outlineLevel="0" collapsed="false">
      <c r="A7592" s="0" t="s">
        <v>7916</v>
      </c>
      <c r="B7592" s="0" t="s">
        <v>120</v>
      </c>
      <c r="C7592" s="0" t="str">
        <f aca="false">INDEX(Intent_Analysis!$B$5:$B$81,MATCH(B7592,Intent_Analysis!$A$5:$A$81,0))</f>
        <v>Transfers</v>
      </c>
      <c r="D7592" s="0" t="n">
        <f aca="false">INDEX(Intent_Analysis!$E$5:$E$81,MATCH(B7592,Intent_Analysis!$A$5:$A$81,0))</f>
        <v>1</v>
      </c>
    </row>
    <row r="7593" customFormat="false" ht="15" hidden="false" customHeight="false" outlineLevel="0" collapsed="false">
      <c r="A7593" s="0" t="s">
        <v>7917</v>
      </c>
      <c r="B7593" s="0" t="s">
        <v>120</v>
      </c>
      <c r="C7593" s="0" t="str">
        <f aca="false">INDEX(Intent_Analysis!$B$5:$B$81,MATCH(B7593,Intent_Analysis!$A$5:$A$81,0))</f>
        <v>Transfers</v>
      </c>
      <c r="D7593" s="0" t="n">
        <f aca="false">INDEX(Intent_Analysis!$E$5:$E$81,MATCH(B7593,Intent_Analysis!$A$5:$A$81,0))</f>
        <v>1</v>
      </c>
    </row>
    <row r="7594" customFormat="false" ht="15" hidden="false" customHeight="false" outlineLevel="0" collapsed="false">
      <c r="A7594" s="0" t="s">
        <v>7918</v>
      </c>
      <c r="B7594" s="0" t="s">
        <v>120</v>
      </c>
      <c r="C7594" s="0" t="str">
        <f aca="false">INDEX(Intent_Analysis!$B$5:$B$81,MATCH(B7594,Intent_Analysis!$A$5:$A$81,0))</f>
        <v>Transfers</v>
      </c>
      <c r="D7594" s="0" t="n">
        <f aca="false">INDEX(Intent_Analysis!$E$5:$E$81,MATCH(B7594,Intent_Analysis!$A$5:$A$81,0))</f>
        <v>1</v>
      </c>
    </row>
    <row r="7595" customFormat="false" ht="15" hidden="false" customHeight="false" outlineLevel="0" collapsed="false">
      <c r="A7595" s="0" t="s">
        <v>7919</v>
      </c>
      <c r="B7595" s="0" t="s">
        <v>120</v>
      </c>
      <c r="C7595" s="0" t="str">
        <f aca="false">INDEX(Intent_Analysis!$B$5:$B$81,MATCH(B7595,Intent_Analysis!$A$5:$A$81,0))</f>
        <v>Transfers</v>
      </c>
      <c r="D7595" s="0" t="n">
        <f aca="false">INDEX(Intent_Analysis!$E$5:$E$81,MATCH(B7595,Intent_Analysis!$A$5:$A$81,0))</f>
        <v>1</v>
      </c>
    </row>
    <row r="7596" customFormat="false" ht="15" hidden="false" customHeight="false" outlineLevel="0" collapsed="false">
      <c r="A7596" s="0" t="s">
        <v>7920</v>
      </c>
      <c r="B7596" s="0" t="s">
        <v>120</v>
      </c>
      <c r="C7596" s="0" t="str">
        <f aca="false">INDEX(Intent_Analysis!$B$5:$B$81,MATCH(B7596,Intent_Analysis!$A$5:$A$81,0))</f>
        <v>Transfers</v>
      </c>
      <c r="D7596" s="0" t="n">
        <f aca="false">INDEX(Intent_Analysis!$E$5:$E$81,MATCH(B7596,Intent_Analysis!$A$5:$A$81,0))</f>
        <v>1</v>
      </c>
    </row>
    <row r="7597" customFormat="false" ht="15" hidden="false" customHeight="false" outlineLevel="0" collapsed="false">
      <c r="A7597" s="0" t="s">
        <v>7921</v>
      </c>
      <c r="B7597" s="0" t="s">
        <v>120</v>
      </c>
      <c r="C7597" s="0" t="str">
        <f aca="false">INDEX(Intent_Analysis!$B$5:$B$81,MATCH(B7597,Intent_Analysis!$A$5:$A$81,0))</f>
        <v>Transfers</v>
      </c>
      <c r="D7597" s="0" t="n">
        <f aca="false">INDEX(Intent_Analysis!$E$5:$E$81,MATCH(B7597,Intent_Analysis!$A$5:$A$81,0))</f>
        <v>1</v>
      </c>
    </row>
    <row r="7598" customFormat="false" ht="15" hidden="false" customHeight="false" outlineLevel="0" collapsed="false">
      <c r="A7598" s="0" t="s">
        <v>7922</v>
      </c>
      <c r="B7598" s="0" t="s">
        <v>120</v>
      </c>
      <c r="C7598" s="0" t="str">
        <f aca="false">INDEX(Intent_Analysis!$B$5:$B$81,MATCH(B7598,Intent_Analysis!$A$5:$A$81,0))</f>
        <v>Transfers</v>
      </c>
      <c r="D7598" s="0" t="n">
        <f aca="false">INDEX(Intent_Analysis!$E$5:$E$81,MATCH(B7598,Intent_Analysis!$A$5:$A$81,0))</f>
        <v>1</v>
      </c>
    </row>
    <row r="7599" customFormat="false" ht="15" hidden="false" customHeight="false" outlineLevel="0" collapsed="false">
      <c r="A7599" s="0" t="s">
        <v>7923</v>
      </c>
      <c r="B7599" s="0" t="s">
        <v>120</v>
      </c>
      <c r="C7599" s="0" t="str">
        <f aca="false">INDEX(Intent_Analysis!$B$5:$B$81,MATCH(B7599,Intent_Analysis!$A$5:$A$81,0))</f>
        <v>Transfers</v>
      </c>
      <c r="D7599" s="0" t="n">
        <f aca="false">INDEX(Intent_Analysis!$E$5:$E$81,MATCH(B7599,Intent_Analysis!$A$5:$A$81,0))</f>
        <v>1</v>
      </c>
    </row>
    <row r="7600" customFormat="false" ht="15" hidden="false" customHeight="false" outlineLevel="0" collapsed="false">
      <c r="A7600" s="0" t="s">
        <v>7924</v>
      </c>
      <c r="B7600" s="0" t="s">
        <v>120</v>
      </c>
      <c r="C7600" s="0" t="str">
        <f aca="false">INDEX(Intent_Analysis!$B$5:$B$81,MATCH(B7600,Intent_Analysis!$A$5:$A$81,0))</f>
        <v>Transfers</v>
      </c>
      <c r="D7600" s="0" t="n">
        <f aca="false">INDEX(Intent_Analysis!$E$5:$E$81,MATCH(B7600,Intent_Analysis!$A$5:$A$81,0))</f>
        <v>1</v>
      </c>
    </row>
    <row r="7601" customFormat="false" ht="15" hidden="false" customHeight="false" outlineLevel="0" collapsed="false">
      <c r="A7601" s="0" t="s">
        <v>7925</v>
      </c>
      <c r="B7601" s="0" t="s">
        <v>120</v>
      </c>
      <c r="C7601" s="0" t="str">
        <f aca="false">INDEX(Intent_Analysis!$B$5:$B$81,MATCH(B7601,Intent_Analysis!$A$5:$A$81,0))</f>
        <v>Transfers</v>
      </c>
      <c r="D7601" s="0" t="n">
        <f aca="false">INDEX(Intent_Analysis!$E$5:$E$81,MATCH(B7601,Intent_Analysis!$A$5:$A$81,0))</f>
        <v>1</v>
      </c>
    </row>
    <row r="7602" customFormat="false" ht="15" hidden="false" customHeight="false" outlineLevel="0" collapsed="false">
      <c r="A7602" s="0" t="s">
        <v>7926</v>
      </c>
      <c r="B7602" s="0" t="s">
        <v>120</v>
      </c>
      <c r="C7602" s="0" t="str">
        <f aca="false">INDEX(Intent_Analysis!$B$5:$B$81,MATCH(B7602,Intent_Analysis!$A$5:$A$81,0))</f>
        <v>Transfers</v>
      </c>
      <c r="D7602" s="0" t="n">
        <f aca="false">INDEX(Intent_Analysis!$E$5:$E$81,MATCH(B7602,Intent_Analysis!$A$5:$A$81,0))</f>
        <v>1</v>
      </c>
    </row>
    <row r="7603" customFormat="false" ht="15" hidden="false" customHeight="false" outlineLevel="0" collapsed="false">
      <c r="A7603" s="0" t="s">
        <v>7927</v>
      </c>
      <c r="B7603" s="0" t="s">
        <v>120</v>
      </c>
      <c r="C7603" s="0" t="str">
        <f aca="false">INDEX(Intent_Analysis!$B$5:$B$81,MATCH(B7603,Intent_Analysis!$A$5:$A$81,0))</f>
        <v>Transfers</v>
      </c>
      <c r="D7603" s="0" t="n">
        <f aca="false">INDEX(Intent_Analysis!$E$5:$E$81,MATCH(B7603,Intent_Analysis!$A$5:$A$81,0))</f>
        <v>1</v>
      </c>
    </row>
    <row r="7604" customFormat="false" ht="28.35" hidden="false" customHeight="false" outlineLevel="0" collapsed="false">
      <c r="A7604" s="25" t="s">
        <v>7928</v>
      </c>
      <c r="B7604" s="0" t="s">
        <v>120</v>
      </c>
      <c r="C7604" s="0" t="str">
        <f aca="false">INDEX(Intent_Analysis!$B$5:$B$81,MATCH(B7604,Intent_Analysis!$A$5:$A$81,0))</f>
        <v>Transfers</v>
      </c>
      <c r="D7604" s="0" t="n">
        <f aca="false">INDEX(Intent_Analysis!$E$5:$E$81,MATCH(B7604,Intent_Analysis!$A$5:$A$81,0))</f>
        <v>1</v>
      </c>
    </row>
    <row r="7605" customFormat="false" ht="15" hidden="false" customHeight="false" outlineLevel="0" collapsed="false">
      <c r="A7605" s="0" t="s">
        <v>7929</v>
      </c>
      <c r="B7605" s="0" t="s">
        <v>120</v>
      </c>
      <c r="C7605" s="0" t="str">
        <f aca="false">INDEX(Intent_Analysis!$B$5:$B$81,MATCH(B7605,Intent_Analysis!$A$5:$A$81,0))</f>
        <v>Transfers</v>
      </c>
      <c r="D7605" s="0" t="n">
        <f aca="false">INDEX(Intent_Analysis!$E$5:$E$81,MATCH(B7605,Intent_Analysis!$A$5:$A$81,0))</f>
        <v>1</v>
      </c>
    </row>
    <row r="7606" customFormat="false" ht="15" hidden="false" customHeight="false" outlineLevel="0" collapsed="false">
      <c r="A7606" s="0" t="s">
        <v>7930</v>
      </c>
      <c r="B7606" s="0" t="s">
        <v>120</v>
      </c>
      <c r="C7606" s="0" t="str">
        <f aca="false">INDEX(Intent_Analysis!$B$5:$B$81,MATCH(B7606,Intent_Analysis!$A$5:$A$81,0))</f>
        <v>Transfers</v>
      </c>
      <c r="D7606" s="0" t="n">
        <f aca="false">INDEX(Intent_Analysis!$E$5:$E$81,MATCH(B7606,Intent_Analysis!$A$5:$A$81,0))</f>
        <v>1</v>
      </c>
    </row>
    <row r="7607" customFormat="false" ht="15" hidden="false" customHeight="false" outlineLevel="0" collapsed="false">
      <c r="A7607" s="0" t="s">
        <v>7931</v>
      </c>
      <c r="B7607" s="0" t="s">
        <v>120</v>
      </c>
      <c r="C7607" s="0" t="str">
        <f aca="false">INDEX(Intent_Analysis!$B$5:$B$81,MATCH(B7607,Intent_Analysis!$A$5:$A$81,0))</f>
        <v>Transfers</v>
      </c>
      <c r="D7607" s="0" t="n">
        <f aca="false">INDEX(Intent_Analysis!$E$5:$E$81,MATCH(B7607,Intent_Analysis!$A$5:$A$81,0))</f>
        <v>1</v>
      </c>
    </row>
    <row r="7608" customFormat="false" ht="15" hidden="false" customHeight="false" outlineLevel="0" collapsed="false">
      <c r="A7608" s="0" t="s">
        <v>7932</v>
      </c>
      <c r="B7608" s="0" t="s">
        <v>120</v>
      </c>
      <c r="C7608" s="0" t="str">
        <f aca="false">INDEX(Intent_Analysis!$B$5:$B$81,MATCH(B7608,Intent_Analysis!$A$5:$A$81,0))</f>
        <v>Transfers</v>
      </c>
      <c r="D7608" s="0" t="n">
        <f aca="false">INDEX(Intent_Analysis!$E$5:$E$81,MATCH(B7608,Intent_Analysis!$A$5:$A$81,0))</f>
        <v>1</v>
      </c>
    </row>
    <row r="7609" customFormat="false" ht="15" hidden="false" customHeight="false" outlineLevel="0" collapsed="false">
      <c r="A7609" s="0" t="s">
        <v>7933</v>
      </c>
      <c r="B7609" s="0" t="s">
        <v>120</v>
      </c>
      <c r="C7609" s="0" t="str">
        <f aca="false">INDEX(Intent_Analysis!$B$5:$B$81,MATCH(B7609,Intent_Analysis!$A$5:$A$81,0))</f>
        <v>Transfers</v>
      </c>
      <c r="D7609" s="0" t="n">
        <f aca="false">INDEX(Intent_Analysis!$E$5:$E$81,MATCH(B7609,Intent_Analysis!$A$5:$A$81,0))</f>
        <v>1</v>
      </c>
    </row>
    <row r="7610" customFormat="false" ht="15" hidden="false" customHeight="false" outlineLevel="0" collapsed="false">
      <c r="A7610" s="0" t="s">
        <v>7934</v>
      </c>
      <c r="B7610" s="0" t="s">
        <v>120</v>
      </c>
      <c r="C7610" s="0" t="str">
        <f aca="false">INDEX(Intent_Analysis!$B$5:$B$81,MATCH(B7610,Intent_Analysis!$A$5:$A$81,0))</f>
        <v>Transfers</v>
      </c>
      <c r="D7610" s="0" t="n">
        <f aca="false">INDEX(Intent_Analysis!$E$5:$E$81,MATCH(B7610,Intent_Analysis!$A$5:$A$81,0))</f>
        <v>1</v>
      </c>
    </row>
    <row r="7611" customFormat="false" ht="15" hidden="false" customHeight="false" outlineLevel="0" collapsed="false">
      <c r="A7611" s="0" t="s">
        <v>7935</v>
      </c>
      <c r="B7611" s="0" t="s">
        <v>120</v>
      </c>
      <c r="C7611" s="0" t="str">
        <f aca="false">INDEX(Intent_Analysis!$B$5:$B$81,MATCH(B7611,Intent_Analysis!$A$5:$A$81,0))</f>
        <v>Transfers</v>
      </c>
      <c r="D7611" s="0" t="n">
        <f aca="false">INDEX(Intent_Analysis!$E$5:$E$81,MATCH(B7611,Intent_Analysis!$A$5:$A$81,0))</f>
        <v>1</v>
      </c>
    </row>
    <row r="7612" customFormat="false" ht="15" hidden="false" customHeight="false" outlineLevel="0" collapsed="false">
      <c r="A7612" s="0" t="s">
        <v>7936</v>
      </c>
      <c r="B7612" s="0" t="s">
        <v>120</v>
      </c>
      <c r="C7612" s="0" t="str">
        <f aca="false">INDEX(Intent_Analysis!$B$5:$B$81,MATCH(B7612,Intent_Analysis!$A$5:$A$81,0))</f>
        <v>Transfers</v>
      </c>
      <c r="D7612" s="0" t="n">
        <f aca="false">INDEX(Intent_Analysis!$E$5:$E$81,MATCH(B7612,Intent_Analysis!$A$5:$A$81,0))</f>
        <v>1</v>
      </c>
    </row>
    <row r="7613" customFormat="false" ht="15" hidden="false" customHeight="false" outlineLevel="0" collapsed="false">
      <c r="A7613" s="0" t="s">
        <v>7937</v>
      </c>
      <c r="B7613" s="0" t="s">
        <v>120</v>
      </c>
      <c r="C7613" s="0" t="str">
        <f aca="false">INDEX(Intent_Analysis!$B$5:$B$81,MATCH(B7613,Intent_Analysis!$A$5:$A$81,0))</f>
        <v>Transfers</v>
      </c>
      <c r="D7613" s="0" t="n">
        <f aca="false">INDEX(Intent_Analysis!$E$5:$E$81,MATCH(B7613,Intent_Analysis!$A$5:$A$81,0))</f>
        <v>1</v>
      </c>
    </row>
    <row r="7614" customFormat="false" ht="15" hidden="false" customHeight="false" outlineLevel="0" collapsed="false">
      <c r="A7614" s="0" t="s">
        <v>7938</v>
      </c>
      <c r="B7614" s="0" t="s">
        <v>120</v>
      </c>
      <c r="C7614" s="0" t="str">
        <f aca="false">INDEX(Intent_Analysis!$B$5:$B$81,MATCH(B7614,Intent_Analysis!$A$5:$A$81,0))</f>
        <v>Transfers</v>
      </c>
      <c r="D7614" s="0" t="n">
        <f aca="false">INDEX(Intent_Analysis!$E$5:$E$81,MATCH(B7614,Intent_Analysis!$A$5:$A$81,0))</f>
        <v>1</v>
      </c>
    </row>
    <row r="7615" customFormat="false" ht="15" hidden="false" customHeight="false" outlineLevel="0" collapsed="false">
      <c r="A7615" s="0" t="s">
        <v>7939</v>
      </c>
      <c r="B7615" s="0" t="s">
        <v>120</v>
      </c>
      <c r="C7615" s="0" t="str">
        <f aca="false">INDEX(Intent_Analysis!$B$5:$B$81,MATCH(B7615,Intent_Analysis!$A$5:$A$81,0))</f>
        <v>Transfers</v>
      </c>
      <c r="D7615" s="0" t="n">
        <f aca="false">INDEX(Intent_Analysis!$E$5:$E$81,MATCH(B7615,Intent_Analysis!$A$5:$A$81,0))</f>
        <v>1</v>
      </c>
    </row>
    <row r="7616" customFormat="false" ht="15" hidden="false" customHeight="false" outlineLevel="0" collapsed="false">
      <c r="A7616" s="0" t="s">
        <v>7940</v>
      </c>
      <c r="B7616" s="0" t="s">
        <v>120</v>
      </c>
      <c r="C7616" s="0" t="str">
        <f aca="false">INDEX(Intent_Analysis!$B$5:$B$81,MATCH(B7616,Intent_Analysis!$A$5:$A$81,0))</f>
        <v>Transfers</v>
      </c>
      <c r="D7616" s="0" t="n">
        <f aca="false">INDEX(Intent_Analysis!$E$5:$E$81,MATCH(B7616,Intent_Analysis!$A$5:$A$81,0))</f>
        <v>1</v>
      </c>
    </row>
    <row r="7617" customFormat="false" ht="15" hidden="false" customHeight="false" outlineLevel="0" collapsed="false">
      <c r="A7617" s="0" t="s">
        <v>7941</v>
      </c>
      <c r="B7617" s="0" t="s">
        <v>120</v>
      </c>
      <c r="C7617" s="0" t="str">
        <f aca="false">INDEX(Intent_Analysis!$B$5:$B$81,MATCH(B7617,Intent_Analysis!$A$5:$A$81,0))</f>
        <v>Transfers</v>
      </c>
      <c r="D7617" s="0" t="n">
        <f aca="false">INDEX(Intent_Analysis!$E$5:$E$81,MATCH(B7617,Intent_Analysis!$A$5:$A$81,0))</f>
        <v>1</v>
      </c>
    </row>
    <row r="7618" customFormat="false" ht="15" hidden="false" customHeight="false" outlineLevel="0" collapsed="false">
      <c r="A7618" s="0" t="s">
        <v>7942</v>
      </c>
      <c r="B7618" s="0" t="s">
        <v>120</v>
      </c>
      <c r="C7618" s="0" t="str">
        <f aca="false">INDEX(Intent_Analysis!$B$5:$B$81,MATCH(B7618,Intent_Analysis!$A$5:$A$81,0))</f>
        <v>Transfers</v>
      </c>
      <c r="D7618" s="0" t="n">
        <f aca="false">INDEX(Intent_Analysis!$E$5:$E$81,MATCH(B7618,Intent_Analysis!$A$5:$A$81,0))</f>
        <v>1</v>
      </c>
    </row>
    <row r="7619" customFormat="false" ht="15" hidden="false" customHeight="false" outlineLevel="0" collapsed="false">
      <c r="A7619" s="0" t="s">
        <v>7943</v>
      </c>
      <c r="B7619" s="0" t="s">
        <v>120</v>
      </c>
      <c r="C7619" s="0" t="str">
        <f aca="false">INDEX(Intent_Analysis!$B$5:$B$81,MATCH(B7619,Intent_Analysis!$A$5:$A$81,0))</f>
        <v>Transfers</v>
      </c>
      <c r="D7619" s="0" t="n">
        <f aca="false">INDEX(Intent_Analysis!$E$5:$E$81,MATCH(B7619,Intent_Analysis!$A$5:$A$81,0))</f>
        <v>1</v>
      </c>
    </row>
    <row r="7620" customFormat="false" ht="15" hidden="false" customHeight="false" outlineLevel="0" collapsed="false">
      <c r="A7620" s="0" t="s">
        <v>7944</v>
      </c>
      <c r="B7620" s="0" t="s">
        <v>120</v>
      </c>
      <c r="C7620" s="0" t="str">
        <f aca="false">INDEX(Intent_Analysis!$B$5:$B$81,MATCH(B7620,Intent_Analysis!$A$5:$A$81,0))</f>
        <v>Transfers</v>
      </c>
      <c r="D7620" s="0" t="n">
        <f aca="false">INDEX(Intent_Analysis!$E$5:$E$81,MATCH(B7620,Intent_Analysis!$A$5:$A$81,0))</f>
        <v>1</v>
      </c>
    </row>
    <row r="7621" customFormat="false" ht="15" hidden="false" customHeight="false" outlineLevel="0" collapsed="false">
      <c r="A7621" s="0" t="s">
        <v>7945</v>
      </c>
      <c r="B7621" s="0" t="s">
        <v>120</v>
      </c>
      <c r="C7621" s="0" t="str">
        <f aca="false">INDEX(Intent_Analysis!$B$5:$B$81,MATCH(B7621,Intent_Analysis!$A$5:$A$81,0))</f>
        <v>Transfers</v>
      </c>
      <c r="D7621" s="0" t="n">
        <f aca="false">INDEX(Intent_Analysis!$E$5:$E$81,MATCH(B7621,Intent_Analysis!$A$5:$A$81,0))</f>
        <v>1</v>
      </c>
    </row>
    <row r="7622" customFormat="false" ht="15" hidden="false" customHeight="false" outlineLevel="0" collapsed="false">
      <c r="A7622" s="0" t="s">
        <v>7946</v>
      </c>
      <c r="B7622" s="0" t="s">
        <v>120</v>
      </c>
      <c r="C7622" s="0" t="str">
        <f aca="false">INDEX(Intent_Analysis!$B$5:$B$81,MATCH(B7622,Intent_Analysis!$A$5:$A$81,0))</f>
        <v>Transfers</v>
      </c>
      <c r="D7622" s="0" t="n">
        <f aca="false">INDEX(Intent_Analysis!$E$5:$E$81,MATCH(B7622,Intent_Analysis!$A$5:$A$81,0))</f>
        <v>1</v>
      </c>
    </row>
    <row r="7623" customFormat="false" ht="15" hidden="false" customHeight="false" outlineLevel="0" collapsed="false">
      <c r="A7623" s="0" t="s">
        <v>7947</v>
      </c>
      <c r="B7623" s="0" t="s">
        <v>120</v>
      </c>
      <c r="C7623" s="0" t="str">
        <f aca="false">INDEX(Intent_Analysis!$B$5:$B$81,MATCH(B7623,Intent_Analysis!$A$5:$A$81,0))</f>
        <v>Transfers</v>
      </c>
      <c r="D7623" s="0" t="n">
        <f aca="false">INDEX(Intent_Analysis!$E$5:$E$81,MATCH(B7623,Intent_Analysis!$A$5:$A$81,0))</f>
        <v>1</v>
      </c>
    </row>
    <row r="7624" customFormat="false" ht="15" hidden="false" customHeight="false" outlineLevel="0" collapsed="false">
      <c r="A7624" s="0" t="s">
        <v>7948</v>
      </c>
      <c r="B7624" s="0" t="s">
        <v>120</v>
      </c>
      <c r="C7624" s="0" t="str">
        <f aca="false">INDEX(Intent_Analysis!$B$5:$B$81,MATCH(B7624,Intent_Analysis!$A$5:$A$81,0))</f>
        <v>Transfers</v>
      </c>
      <c r="D7624" s="0" t="n">
        <f aca="false">INDEX(Intent_Analysis!$E$5:$E$81,MATCH(B7624,Intent_Analysis!$A$5:$A$81,0))</f>
        <v>1</v>
      </c>
    </row>
    <row r="7625" customFormat="false" ht="15" hidden="false" customHeight="false" outlineLevel="0" collapsed="false">
      <c r="A7625" s="0" t="s">
        <v>7949</v>
      </c>
      <c r="B7625" s="0" t="s">
        <v>120</v>
      </c>
      <c r="C7625" s="0" t="str">
        <f aca="false">INDEX(Intent_Analysis!$B$5:$B$81,MATCH(B7625,Intent_Analysis!$A$5:$A$81,0))</f>
        <v>Transfers</v>
      </c>
      <c r="D7625" s="0" t="n">
        <f aca="false">INDEX(Intent_Analysis!$E$5:$E$81,MATCH(B7625,Intent_Analysis!$A$5:$A$81,0))</f>
        <v>1</v>
      </c>
    </row>
    <row r="7626" customFormat="false" ht="15" hidden="false" customHeight="false" outlineLevel="0" collapsed="false">
      <c r="A7626" s="0" t="s">
        <v>7950</v>
      </c>
      <c r="B7626" s="0" t="s">
        <v>120</v>
      </c>
      <c r="C7626" s="0" t="str">
        <f aca="false">INDEX(Intent_Analysis!$B$5:$B$81,MATCH(B7626,Intent_Analysis!$A$5:$A$81,0))</f>
        <v>Transfers</v>
      </c>
      <c r="D7626" s="0" t="n">
        <f aca="false">INDEX(Intent_Analysis!$E$5:$E$81,MATCH(B7626,Intent_Analysis!$A$5:$A$81,0))</f>
        <v>1</v>
      </c>
    </row>
    <row r="7627" customFormat="false" ht="15" hidden="false" customHeight="false" outlineLevel="0" collapsed="false">
      <c r="A7627" s="0" t="s">
        <v>7951</v>
      </c>
      <c r="B7627" s="0" t="s">
        <v>120</v>
      </c>
      <c r="C7627" s="0" t="str">
        <f aca="false">INDEX(Intent_Analysis!$B$5:$B$81,MATCH(B7627,Intent_Analysis!$A$5:$A$81,0))</f>
        <v>Transfers</v>
      </c>
      <c r="D7627" s="0" t="n">
        <f aca="false">INDEX(Intent_Analysis!$E$5:$E$81,MATCH(B7627,Intent_Analysis!$A$5:$A$81,0))</f>
        <v>1</v>
      </c>
    </row>
    <row r="7628" customFormat="false" ht="15" hidden="false" customHeight="false" outlineLevel="0" collapsed="false">
      <c r="A7628" s="0" t="s">
        <v>7952</v>
      </c>
      <c r="B7628" s="0" t="s">
        <v>120</v>
      </c>
      <c r="C7628" s="0" t="str">
        <f aca="false">INDEX(Intent_Analysis!$B$5:$B$81,MATCH(B7628,Intent_Analysis!$A$5:$A$81,0))</f>
        <v>Transfers</v>
      </c>
      <c r="D7628" s="0" t="n">
        <f aca="false">INDEX(Intent_Analysis!$E$5:$E$81,MATCH(B7628,Intent_Analysis!$A$5:$A$81,0))</f>
        <v>1</v>
      </c>
    </row>
    <row r="7629" customFormat="false" ht="15" hidden="false" customHeight="false" outlineLevel="0" collapsed="false">
      <c r="A7629" s="0" t="s">
        <v>7953</v>
      </c>
      <c r="B7629" s="0" t="s">
        <v>120</v>
      </c>
      <c r="C7629" s="0" t="str">
        <f aca="false">INDEX(Intent_Analysis!$B$5:$B$81,MATCH(B7629,Intent_Analysis!$A$5:$A$81,0))</f>
        <v>Transfers</v>
      </c>
      <c r="D7629" s="0" t="n">
        <f aca="false">INDEX(Intent_Analysis!$E$5:$E$81,MATCH(B7629,Intent_Analysis!$A$5:$A$81,0))</f>
        <v>1</v>
      </c>
    </row>
    <row r="7630" customFormat="false" ht="15" hidden="false" customHeight="false" outlineLevel="0" collapsed="false">
      <c r="A7630" s="0" t="s">
        <v>7954</v>
      </c>
      <c r="B7630" s="0" t="s">
        <v>120</v>
      </c>
      <c r="C7630" s="0" t="str">
        <f aca="false">INDEX(Intent_Analysis!$B$5:$B$81,MATCH(B7630,Intent_Analysis!$A$5:$A$81,0))</f>
        <v>Transfers</v>
      </c>
      <c r="D7630" s="0" t="n">
        <f aca="false">INDEX(Intent_Analysis!$E$5:$E$81,MATCH(B7630,Intent_Analysis!$A$5:$A$81,0))</f>
        <v>1</v>
      </c>
    </row>
    <row r="7631" customFormat="false" ht="15" hidden="false" customHeight="false" outlineLevel="0" collapsed="false">
      <c r="A7631" s="0" t="s">
        <v>7955</v>
      </c>
      <c r="B7631" s="0" t="s">
        <v>120</v>
      </c>
      <c r="C7631" s="0" t="str">
        <f aca="false">INDEX(Intent_Analysis!$B$5:$B$81,MATCH(B7631,Intent_Analysis!$A$5:$A$81,0))</f>
        <v>Transfers</v>
      </c>
      <c r="D7631" s="0" t="n">
        <f aca="false">INDEX(Intent_Analysis!$E$5:$E$81,MATCH(B7631,Intent_Analysis!$A$5:$A$81,0))</f>
        <v>1</v>
      </c>
    </row>
    <row r="7632" customFormat="false" ht="15" hidden="false" customHeight="false" outlineLevel="0" collapsed="false">
      <c r="A7632" s="0" t="s">
        <v>7956</v>
      </c>
      <c r="B7632" s="0" t="s">
        <v>120</v>
      </c>
      <c r="C7632" s="0" t="str">
        <f aca="false">INDEX(Intent_Analysis!$B$5:$B$81,MATCH(B7632,Intent_Analysis!$A$5:$A$81,0))</f>
        <v>Transfers</v>
      </c>
      <c r="D7632" s="0" t="n">
        <f aca="false">INDEX(Intent_Analysis!$E$5:$E$81,MATCH(B7632,Intent_Analysis!$A$5:$A$81,0))</f>
        <v>1</v>
      </c>
    </row>
    <row r="7633" customFormat="false" ht="15" hidden="false" customHeight="false" outlineLevel="0" collapsed="false">
      <c r="A7633" s="0" t="s">
        <v>7957</v>
      </c>
      <c r="B7633" s="0" t="s">
        <v>120</v>
      </c>
      <c r="C7633" s="0" t="str">
        <f aca="false">INDEX(Intent_Analysis!$B$5:$B$81,MATCH(B7633,Intent_Analysis!$A$5:$A$81,0))</f>
        <v>Transfers</v>
      </c>
      <c r="D7633" s="0" t="n">
        <f aca="false">INDEX(Intent_Analysis!$E$5:$E$81,MATCH(B7633,Intent_Analysis!$A$5:$A$81,0))</f>
        <v>1</v>
      </c>
    </row>
    <row r="7634" customFormat="false" ht="15" hidden="false" customHeight="false" outlineLevel="0" collapsed="false">
      <c r="A7634" s="0" t="s">
        <v>7958</v>
      </c>
      <c r="B7634" s="0" t="s">
        <v>120</v>
      </c>
      <c r="C7634" s="0" t="str">
        <f aca="false">INDEX(Intent_Analysis!$B$5:$B$81,MATCH(B7634,Intent_Analysis!$A$5:$A$81,0))</f>
        <v>Transfers</v>
      </c>
      <c r="D7634" s="0" t="n">
        <f aca="false">INDEX(Intent_Analysis!$E$5:$E$81,MATCH(B7634,Intent_Analysis!$A$5:$A$81,0))</f>
        <v>1</v>
      </c>
    </row>
    <row r="7635" customFormat="false" ht="15" hidden="false" customHeight="false" outlineLevel="0" collapsed="false">
      <c r="A7635" s="0" t="s">
        <v>7959</v>
      </c>
      <c r="B7635" s="0" t="s">
        <v>120</v>
      </c>
      <c r="C7635" s="0" t="str">
        <f aca="false">INDEX(Intent_Analysis!$B$5:$B$81,MATCH(B7635,Intent_Analysis!$A$5:$A$81,0))</f>
        <v>Transfers</v>
      </c>
      <c r="D7635" s="0" t="n">
        <f aca="false">INDEX(Intent_Analysis!$E$5:$E$81,MATCH(B7635,Intent_Analysis!$A$5:$A$81,0))</f>
        <v>1</v>
      </c>
    </row>
    <row r="7636" customFormat="false" ht="15" hidden="false" customHeight="false" outlineLevel="0" collapsed="false">
      <c r="A7636" s="0" t="s">
        <v>7960</v>
      </c>
      <c r="B7636" s="0" t="s">
        <v>120</v>
      </c>
      <c r="C7636" s="0" t="str">
        <f aca="false">INDEX(Intent_Analysis!$B$5:$B$81,MATCH(B7636,Intent_Analysis!$A$5:$A$81,0))</f>
        <v>Transfers</v>
      </c>
      <c r="D7636" s="0" t="n">
        <f aca="false">INDEX(Intent_Analysis!$E$5:$E$81,MATCH(B7636,Intent_Analysis!$A$5:$A$81,0))</f>
        <v>1</v>
      </c>
    </row>
    <row r="7637" customFormat="false" ht="15" hidden="false" customHeight="false" outlineLevel="0" collapsed="false">
      <c r="A7637" s="0" t="s">
        <v>7961</v>
      </c>
      <c r="B7637" s="0" t="s">
        <v>120</v>
      </c>
      <c r="C7637" s="0" t="str">
        <f aca="false">INDEX(Intent_Analysis!$B$5:$B$81,MATCH(B7637,Intent_Analysis!$A$5:$A$81,0))</f>
        <v>Transfers</v>
      </c>
      <c r="D7637" s="0" t="n">
        <f aca="false">INDEX(Intent_Analysis!$E$5:$E$81,MATCH(B7637,Intent_Analysis!$A$5:$A$81,0))</f>
        <v>1</v>
      </c>
    </row>
    <row r="7638" customFormat="false" ht="15" hidden="false" customHeight="false" outlineLevel="0" collapsed="false">
      <c r="A7638" s="0" t="s">
        <v>7962</v>
      </c>
      <c r="B7638" s="0" t="s">
        <v>120</v>
      </c>
      <c r="C7638" s="0" t="str">
        <f aca="false">INDEX(Intent_Analysis!$B$5:$B$81,MATCH(B7638,Intent_Analysis!$A$5:$A$81,0))</f>
        <v>Transfers</v>
      </c>
      <c r="D7638" s="0" t="n">
        <f aca="false">INDEX(Intent_Analysis!$E$5:$E$81,MATCH(B7638,Intent_Analysis!$A$5:$A$81,0))</f>
        <v>1</v>
      </c>
    </row>
    <row r="7639" customFormat="false" ht="15" hidden="false" customHeight="false" outlineLevel="0" collapsed="false">
      <c r="A7639" s="0" t="s">
        <v>7963</v>
      </c>
      <c r="B7639" s="0" t="s">
        <v>120</v>
      </c>
      <c r="C7639" s="0" t="str">
        <f aca="false">INDEX(Intent_Analysis!$B$5:$B$81,MATCH(B7639,Intent_Analysis!$A$5:$A$81,0))</f>
        <v>Transfers</v>
      </c>
      <c r="D7639" s="0" t="n">
        <f aca="false">INDEX(Intent_Analysis!$E$5:$E$81,MATCH(B7639,Intent_Analysis!$A$5:$A$81,0))</f>
        <v>1</v>
      </c>
    </row>
    <row r="7640" customFormat="false" ht="15" hidden="false" customHeight="false" outlineLevel="0" collapsed="false">
      <c r="A7640" s="0" t="s">
        <v>7964</v>
      </c>
      <c r="B7640" s="0" t="s">
        <v>120</v>
      </c>
      <c r="C7640" s="0" t="str">
        <f aca="false">INDEX(Intent_Analysis!$B$5:$B$81,MATCH(B7640,Intent_Analysis!$A$5:$A$81,0))</f>
        <v>Transfers</v>
      </c>
      <c r="D7640" s="0" t="n">
        <f aca="false">INDEX(Intent_Analysis!$E$5:$E$81,MATCH(B7640,Intent_Analysis!$A$5:$A$81,0))</f>
        <v>1</v>
      </c>
    </row>
    <row r="7641" customFormat="false" ht="15" hidden="false" customHeight="false" outlineLevel="0" collapsed="false">
      <c r="A7641" s="0" t="s">
        <v>7965</v>
      </c>
      <c r="B7641" s="0" t="s">
        <v>120</v>
      </c>
      <c r="C7641" s="0" t="str">
        <f aca="false">INDEX(Intent_Analysis!$B$5:$B$81,MATCH(B7641,Intent_Analysis!$A$5:$A$81,0))</f>
        <v>Transfers</v>
      </c>
      <c r="D7641" s="0" t="n">
        <f aca="false">INDEX(Intent_Analysis!$E$5:$E$81,MATCH(B7641,Intent_Analysis!$A$5:$A$81,0))</f>
        <v>1</v>
      </c>
    </row>
    <row r="7642" customFormat="false" ht="15" hidden="false" customHeight="false" outlineLevel="0" collapsed="false">
      <c r="A7642" s="0" t="s">
        <v>7966</v>
      </c>
      <c r="B7642" s="0" t="s">
        <v>120</v>
      </c>
      <c r="C7642" s="0" t="str">
        <f aca="false">INDEX(Intent_Analysis!$B$5:$B$81,MATCH(B7642,Intent_Analysis!$A$5:$A$81,0))</f>
        <v>Transfers</v>
      </c>
      <c r="D7642" s="0" t="n">
        <f aca="false">INDEX(Intent_Analysis!$E$5:$E$81,MATCH(B7642,Intent_Analysis!$A$5:$A$81,0))</f>
        <v>1</v>
      </c>
    </row>
    <row r="7643" customFormat="false" ht="15" hidden="false" customHeight="false" outlineLevel="0" collapsed="false">
      <c r="A7643" s="0" t="s">
        <v>7967</v>
      </c>
      <c r="B7643" s="0" t="s">
        <v>120</v>
      </c>
      <c r="C7643" s="0" t="str">
        <f aca="false">INDEX(Intent_Analysis!$B$5:$B$81,MATCH(B7643,Intent_Analysis!$A$5:$A$81,0))</f>
        <v>Transfers</v>
      </c>
      <c r="D7643" s="0" t="n">
        <f aca="false">INDEX(Intent_Analysis!$E$5:$E$81,MATCH(B7643,Intent_Analysis!$A$5:$A$81,0))</f>
        <v>1</v>
      </c>
    </row>
    <row r="7644" customFormat="false" ht="15" hidden="false" customHeight="false" outlineLevel="0" collapsed="false">
      <c r="A7644" s="0" t="s">
        <v>7968</v>
      </c>
      <c r="B7644" s="0" t="s">
        <v>120</v>
      </c>
      <c r="C7644" s="0" t="str">
        <f aca="false">INDEX(Intent_Analysis!$B$5:$B$81,MATCH(B7644,Intent_Analysis!$A$5:$A$81,0))</f>
        <v>Transfers</v>
      </c>
      <c r="D7644" s="0" t="n">
        <f aca="false">INDEX(Intent_Analysis!$E$5:$E$81,MATCH(B7644,Intent_Analysis!$A$5:$A$81,0))</f>
        <v>1</v>
      </c>
    </row>
    <row r="7645" customFormat="false" ht="15" hidden="false" customHeight="false" outlineLevel="0" collapsed="false">
      <c r="A7645" s="0" t="s">
        <v>7969</v>
      </c>
      <c r="B7645" s="0" t="s">
        <v>120</v>
      </c>
      <c r="C7645" s="0" t="str">
        <f aca="false">INDEX(Intent_Analysis!$B$5:$B$81,MATCH(B7645,Intent_Analysis!$A$5:$A$81,0))</f>
        <v>Transfers</v>
      </c>
      <c r="D7645" s="0" t="n">
        <f aca="false">INDEX(Intent_Analysis!$E$5:$E$81,MATCH(B7645,Intent_Analysis!$A$5:$A$81,0))</f>
        <v>1</v>
      </c>
    </row>
    <row r="7646" customFormat="false" ht="15" hidden="false" customHeight="false" outlineLevel="0" collapsed="false">
      <c r="A7646" s="0" t="s">
        <v>7970</v>
      </c>
      <c r="B7646" s="0" t="s">
        <v>120</v>
      </c>
      <c r="C7646" s="0" t="str">
        <f aca="false">INDEX(Intent_Analysis!$B$5:$B$81,MATCH(B7646,Intent_Analysis!$A$5:$A$81,0))</f>
        <v>Transfers</v>
      </c>
      <c r="D7646" s="0" t="n">
        <f aca="false">INDEX(Intent_Analysis!$E$5:$E$81,MATCH(B7646,Intent_Analysis!$A$5:$A$81,0))</f>
        <v>1</v>
      </c>
    </row>
    <row r="7647" customFormat="false" ht="15" hidden="false" customHeight="false" outlineLevel="0" collapsed="false">
      <c r="A7647" s="0" t="s">
        <v>7971</v>
      </c>
      <c r="B7647" s="0" t="s">
        <v>120</v>
      </c>
      <c r="C7647" s="0" t="str">
        <f aca="false">INDEX(Intent_Analysis!$B$5:$B$81,MATCH(B7647,Intent_Analysis!$A$5:$A$81,0))</f>
        <v>Transfers</v>
      </c>
      <c r="D7647" s="0" t="n">
        <f aca="false">INDEX(Intent_Analysis!$E$5:$E$81,MATCH(B7647,Intent_Analysis!$A$5:$A$81,0))</f>
        <v>1</v>
      </c>
    </row>
    <row r="7648" customFormat="false" ht="15" hidden="false" customHeight="false" outlineLevel="0" collapsed="false">
      <c r="A7648" s="0" t="s">
        <v>7972</v>
      </c>
      <c r="B7648" s="0" t="s">
        <v>120</v>
      </c>
      <c r="C7648" s="0" t="str">
        <f aca="false">INDEX(Intent_Analysis!$B$5:$B$81,MATCH(B7648,Intent_Analysis!$A$5:$A$81,0))</f>
        <v>Transfers</v>
      </c>
      <c r="D7648" s="0" t="n">
        <f aca="false">INDEX(Intent_Analysis!$E$5:$E$81,MATCH(B7648,Intent_Analysis!$A$5:$A$81,0))</f>
        <v>1</v>
      </c>
    </row>
    <row r="7649" customFormat="false" ht="15" hidden="false" customHeight="false" outlineLevel="0" collapsed="false">
      <c r="A7649" s="0" t="s">
        <v>7973</v>
      </c>
      <c r="B7649" s="0" t="s">
        <v>120</v>
      </c>
      <c r="C7649" s="0" t="str">
        <f aca="false">INDEX(Intent_Analysis!$B$5:$B$81,MATCH(B7649,Intent_Analysis!$A$5:$A$81,0))</f>
        <v>Transfers</v>
      </c>
      <c r="D7649" s="0" t="n">
        <f aca="false">INDEX(Intent_Analysis!$E$5:$E$81,MATCH(B7649,Intent_Analysis!$A$5:$A$81,0))</f>
        <v>1</v>
      </c>
    </row>
    <row r="7650" customFormat="false" ht="15" hidden="false" customHeight="false" outlineLevel="0" collapsed="false">
      <c r="A7650" s="0" t="s">
        <v>7974</v>
      </c>
      <c r="B7650" s="0" t="s">
        <v>120</v>
      </c>
      <c r="C7650" s="0" t="str">
        <f aca="false">INDEX(Intent_Analysis!$B$5:$B$81,MATCH(B7650,Intent_Analysis!$A$5:$A$81,0))</f>
        <v>Transfers</v>
      </c>
      <c r="D7650" s="0" t="n">
        <f aca="false">INDEX(Intent_Analysis!$E$5:$E$81,MATCH(B7650,Intent_Analysis!$A$5:$A$81,0))</f>
        <v>1</v>
      </c>
    </row>
    <row r="7651" customFormat="false" ht="15" hidden="false" customHeight="false" outlineLevel="0" collapsed="false">
      <c r="A7651" s="0" t="s">
        <v>7975</v>
      </c>
      <c r="B7651" s="0" t="s">
        <v>120</v>
      </c>
      <c r="C7651" s="0" t="str">
        <f aca="false">INDEX(Intent_Analysis!$B$5:$B$81,MATCH(B7651,Intent_Analysis!$A$5:$A$81,0))</f>
        <v>Transfers</v>
      </c>
      <c r="D7651" s="0" t="n">
        <f aca="false">INDEX(Intent_Analysis!$E$5:$E$81,MATCH(B7651,Intent_Analysis!$A$5:$A$81,0))</f>
        <v>1</v>
      </c>
    </row>
    <row r="7652" customFormat="false" ht="15" hidden="false" customHeight="false" outlineLevel="0" collapsed="false">
      <c r="A7652" s="0" t="s">
        <v>7976</v>
      </c>
      <c r="B7652" s="0" t="s">
        <v>120</v>
      </c>
      <c r="C7652" s="0" t="str">
        <f aca="false">INDEX(Intent_Analysis!$B$5:$B$81,MATCH(B7652,Intent_Analysis!$A$5:$A$81,0))</f>
        <v>Transfers</v>
      </c>
      <c r="D7652" s="0" t="n">
        <f aca="false">INDEX(Intent_Analysis!$E$5:$E$81,MATCH(B7652,Intent_Analysis!$A$5:$A$81,0))</f>
        <v>1</v>
      </c>
    </row>
    <row r="7653" customFormat="false" ht="15" hidden="false" customHeight="false" outlineLevel="0" collapsed="false">
      <c r="A7653" s="0" t="s">
        <v>7977</v>
      </c>
      <c r="B7653" s="0" t="s">
        <v>120</v>
      </c>
      <c r="C7653" s="0" t="str">
        <f aca="false">INDEX(Intent_Analysis!$B$5:$B$81,MATCH(B7653,Intent_Analysis!$A$5:$A$81,0))</f>
        <v>Transfers</v>
      </c>
      <c r="D7653" s="0" t="n">
        <f aca="false">INDEX(Intent_Analysis!$E$5:$E$81,MATCH(B7653,Intent_Analysis!$A$5:$A$81,0))</f>
        <v>1</v>
      </c>
    </row>
    <row r="7654" customFormat="false" ht="15" hidden="false" customHeight="false" outlineLevel="0" collapsed="false">
      <c r="A7654" s="0" t="s">
        <v>7978</v>
      </c>
      <c r="B7654" s="0" t="s">
        <v>120</v>
      </c>
      <c r="C7654" s="0" t="str">
        <f aca="false">INDEX(Intent_Analysis!$B$5:$B$81,MATCH(B7654,Intent_Analysis!$A$5:$A$81,0))</f>
        <v>Transfers</v>
      </c>
      <c r="D7654" s="0" t="n">
        <f aca="false">INDEX(Intent_Analysis!$E$5:$E$81,MATCH(B7654,Intent_Analysis!$A$5:$A$81,0))</f>
        <v>1</v>
      </c>
    </row>
    <row r="7655" customFormat="false" ht="15" hidden="false" customHeight="false" outlineLevel="0" collapsed="false">
      <c r="A7655" s="0" t="s">
        <v>7979</v>
      </c>
      <c r="B7655" s="0" t="s">
        <v>120</v>
      </c>
      <c r="C7655" s="0" t="str">
        <f aca="false">INDEX(Intent_Analysis!$B$5:$B$81,MATCH(B7655,Intent_Analysis!$A$5:$A$81,0))</f>
        <v>Transfers</v>
      </c>
      <c r="D7655" s="0" t="n">
        <f aca="false">INDEX(Intent_Analysis!$E$5:$E$81,MATCH(B7655,Intent_Analysis!$A$5:$A$81,0))</f>
        <v>1</v>
      </c>
    </row>
    <row r="7656" customFormat="false" ht="15" hidden="false" customHeight="false" outlineLevel="0" collapsed="false">
      <c r="A7656" s="0" t="s">
        <v>7980</v>
      </c>
      <c r="B7656" s="0" t="s">
        <v>120</v>
      </c>
      <c r="C7656" s="0" t="str">
        <f aca="false">INDEX(Intent_Analysis!$B$5:$B$81,MATCH(B7656,Intent_Analysis!$A$5:$A$81,0))</f>
        <v>Transfers</v>
      </c>
      <c r="D7656" s="0" t="n">
        <f aca="false">INDEX(Intent_Analysis!$E$5:$E$81,MATCH(B7656,Intent_Analysis!$A$5:$A$81,0))</f>
        <v>1</v>
      </c>
    </row>
    <row r="7657" customFormat="false" ht="15" hidden="false" customHeight="false" outlineLevel="0" collapsed="false">
      <c r="A7657" s="0" t="s">
        <v>7981</v>
      </c>
      <c r="B7657" s="0" t="s">
        <v>120</v>
      </c>
      <c r="C7657" s="0" t="str">
        <f aca="false">INDEX(Intent_Analysis!$B$5:$B$81,MATCH(B7657,Intent_Analysis!$A$5:$A$81,0))</f>
        <v>Transfers</v>
      </c>
      <c r="D7657" s="0" t="n">
        <f aca="false">INDEX(Intent_Analysis!$E$5:$E$81,MATCH(B7657,Intent_Analysis!$A$5:$A$81,0))</f>
        <v>1</v>
      </c>
    </row>
    <row r="7658" customFormat="false" ht="15" hidden="false" customHeight="false" outlineLevel="0" collapsed="false">
      <c r="A7658" s="0" t="s">
        <v>7982</v>
      </c>
      <c r="B7658" s="0" t="s">
        <v>120</v>
      </c>
      <c r="C7658" s="0" t="str">
        <f aca="false">INDEX(Intent_Analysis!$B$5:$B$81,MATCH(B7658,Intent_Analysis!$A$5:$A$81,0))</f>
        <v>Transfers</v>
      </c>
      <c r="D7658" s="0" t="n">
        <f aca="false">INDEX(Intent_Analysis!$E$5:$E$81,MATCH(B7658,Intent_Analysis!$A$5:$A$81,0))</f>
        <v>1</v>
      </c>
    </row>
    <row r="7659" customFormat="false" ht="15" hidden="false" customHeight="false" outlineLevel="0" collapsed="false">
      <c r="A7659" s="0" t="s">
        <v>7983</v>
      </c>
      <c r="B7659" s="0" t="s">
        <v>120</v>
      </c>
      <c r="C7659" s="0" t="str">
        <f aca="false">INDEX(Intent_Analysis!$B$5:$B$81,MATCH(B7659,Intent_Analysis!$A$5:$A$81,0))</f>
        <v>Transfers</v>
      </c>
      <c r="D7659" s="0" t="n">
        <f aca="false">INDEX(Intent_Analysis!$E$5:$E$81,MATCH(B7659,Intent_Analysis!$A$5:$A$81,0))</f>
        <v>1</v>
      </c>
    </row>
    <row r="7660" customFormat="false" ht="15" hidden="false" customHeight="false" outlineLevel="0" collapsed="false">
      <c r="A7660" s="0" t="s">
        <v>7984</v>
      </c>
      <c r="B7660" s="0" t="s">
        <v>120</v>
      </c>
      <c r="C7660" s="0" t="str">
        <f aca="false">INDEX(Intent_Analysis!$B$5:$B$81,MATCH(B7660,Intent_Analysis!$A$5:$A$81,0))</f>
        <v>Transfers</v>
      </c>
      <c r="D7660" s="0" t="n">
        <f aca="false">INDEX(Intent_Analysis!$E$5:$E$81,MATCH(B7660,Intent_Analysis!$A$5:$A$81,0))</f>
        <v>1</v>
      </c>
    </row>
    <row r="7661" customFormat="false" ht="15" hidden="false" customHeight="false" outlineLevel="0" collapsed="false">
      <c r="A7661" s="0" t="s">
        <v>7985</v>
      </c>
      <c r="B7661" s="0" t="s">
        <v>120</v>
      </c>
      <c r="C7661" s="0" t="str">
        <f aca="false">INDEX(Intent_Analysis!$B$5:$B$81,MATCH(B7661,Intent_Analysis!$A$5:$A$81,0))</f>
        <v>Transfers</v>
      </c>
      <c r="D7661" s="0" t="n">
        <f aca="false">INDEX(Intent_Analysis!$E$5:$E$81,MATCH(B7661,Intent_Analysis!$A$5:$A$81,0))</f>
        <v>1</v>
      </c>
    </row>
    <row r="7662" customFormat="false" ht="15" hidden="false" customHeight="false" outlineLevel="0" collapsed="false">
      <c r="A7662" s="0" t="s">
        <v>7986</v>
      </c>
      <c r="B7662" s="0" t="s">
        <v>120</v>
      </c>
      <c r="C7662" s="0" t="str">
        <f aca="false">INDEX(Intent_Analysis!$B$5:$B$81,MATCH(B7662,Intent_Analysis!$A$5:$A$81,0))</f>
        <v>Transfers</v>
      </c>
      <c r="D7662" s="0" t="n">
        <f aca="false">INDEX(Intent_Analysis!$E$5:$E$81,MATCH(B7662,Intent_Analysis!$A$5:$A$81,0))</f>
        <v>1</v>
      </c>
    </row>
    <row r="7663" customFormat="false" ht="15" hidden="false" customHeight="false" outlineLevel="0" collapsed="false">
      <c r="A7663" s="0" t="s">
        <v>7987</v>
      </c>
      <c r="B7663" s="0" t="s">
        <v>120</v>
      </c>
      <c r="C7663" s="0" t="str">
        <f aca="false">INDEX(Intent_Analysis!$B$5:$B$81,MATCH(B7663,Intent_Analysis!$A$5:$A$81,0))</f>
        <v>Transfers</v>
      </c>
      <c r="D7663" s="0" t="n">
        <f aca="false">INDEX(Intent_Analysis!$E$5:$E$81,MATCH(B7663,Intent_Analysis!$A$5:$A$81,0))</f>
        <v>1</v>
      </c>
    </row>
    <row r="7664" customFormat="false" ht="15" hidden="false" customHeight="false" outlineLevel="0" collapsed="false">
      <c r="A7664" s="0" t="s">
        <v>7988</v>
      </c>
      <c r="B7664" s="0" t="s">
        <v>120</v>
      </c>
      <c r="C7664" s="0" t="str">
        <f aca="false">INDEX(Intent_Analysis!$B$5:$B$81,MATCH(B7664,Intent_Analysis!$A$5:$A$81,0))</f>
        <v>Transfers</v>
      </c>
      <c r="D7664" s="0" t="n">
        <f aca="false">INDEX(Intent_Analysis!$E$5:$E$81,MATCH(B7664,Intent_Analysis!$A$5:$A$81,0))</f>
        <v>1</v>
      </c>
    </row>
    <row r="7665" customFormat="false" ht="15" hidden="false" customHeight="false" outlineLevel="0" collapsed="false">
      <c r="A7665" s="0" t="s">
        <v>7989</v>
      </c>
      <c r="B7665" s="0" t="s">
        <v>120</v>
      </c>
      <c r="C7665" s="0" t="str">
        <f aca="false">INDEX(Intent_Analysis!$B$5:$B$81,MATCH(B7665,Intent_Analysis!$A$5:$A$81,0))</f>
        <v>Transfers</v>
      </c>
      <c r="D7665" s="0" t="n">
        <f aca="false">INDEX(Intent_Analysis!$E$5:$E$81,MATCH(B7665,Intent_Analysis!$A$5:$A$81,0))</f>
        <v>1</v>
      </c>
    </row>
    <row r="7666" customFormat="false" ht="15" hidden="false" customHeight="false" outlineLevel="0" collapsed="false">
      <c r="A7666" s="0" t="s">
        <v>7990</v>
      </c>
      <c r="B7666" s="0" t="s">
        <v>120</v>
      </c>
      <c r="C7666" s="0" t="str">
        <f aca="false">INDEX(Intent_Analysis!$B$5:$B$81,MATCH(B7666,Intent_Analysis!$A$5:$A$81,0))</f>
        <v>Transfers</v>
      </c>
      <c r="D7666" s="0" t="n">
        <f aca="false">INDEX(Intent_Analysis!$E$5:$E$81,MATCH(B7666,Intent_Analysis!$A$5:$A$81,0))</f>
        <v>1</v>
      </c>
    </row>
    <row r="7667" customFormat="false" ht="15" hidden="false" customHeight="false" outlineLevel="0" collapsed="false">
      <c r="A7667" s="0" t="s">
        <v>7991</v>
      </c>
      <c r="B7667" s="0" t="s">
        <v>120</v>
      </c>
      <c r="C7667" s="0" t="str">
        <f aca="false">INDEX(Intent_Analysis!$B$5:$B$81,MATCH(B7667,Intent_Analysis!$A$5:$A$81,0))</f>
        <v>Transfers</v>
      </c>
      <c r="D7667" s="0" t="n">
        <f aca="false">INDEX(Intent_Analysis!$E$5:$E$81,MATCH(B7667,Intent_Analysis!$A$5:$A$81,0))</f>
        <v>1</v>
      </c>
    </row>
    <row r="7668" customFormat="false" ht="15" hidden="false" customHeight="false" outlineLevel="0" collapsed="false">
      <c r="A7668" s="0" t="s">
        <v>7992</v>
      </c>
      <c r="B7668" s="0" t="s">
        <v>120</v>
      </c>
      <c r="C7668" s="0" t="str">
        <f aca="false">INDEX(Intent_Analysis!$B$5:$B$81,MATCH(B7668,Intent_Analysis!$A$5:$A$81,0))</f>
        <v>Transfers</v>
      </c>
      <c r="D7668" s="0" t="n">
        <f aca="false">INDEX(Intent_Analysis!$E$5:$E$81,MATCH(B7668,Intent_Analysis!$A$5:$A$81,0))</f>
        <v>1</v>
      </c>
    </row>
    <row r="7669" customFormat="false" ht="15" hidden="false" customHeight="false" outlineLevel="0" collapsed="false">
      <c r="A7669" s="0" t="s">
        <v>7993</v>
      </c>
      <c r="B7669" s="0" t="s">
        <v>120</v>
      </c>
      <c r="C7669" s="0" t="str">
        <f aca="false">INDEX(Intent_Analysis!$B$5:$B$81,MATCH(B7669,Intent_Analysis!$A$5:$A$81,0))</f>
        <v>Transfers</v>
      </c>
      <c r="D7669" s="0" t="n">
        <f aca="false">INDEX(Intent_Analysis!$E$5:$E$81,MATCH(B7669,Intent_Analysis!$A$5:$A$81,0))</f>
        <v>1</v>
      </c>
    </row>
    <row r="7670" customFormat="false" ht="15" hidden="false" customHeight="false" outlineLevel="0" collapsed="false">
      <c r="A7670" s="0" t="s">
        <v>7994</v>
      </c>
      <c r="B7670" s="0" t="s">
        <v>120</v>
      </c>
      <c r="C7670" s="0" t="str">
        <f aca="false">INDEX(Intent_Analysis!$B$5:$B$81,MATCH(B7670,Intent_Analysis!$A$5:$A$81,0))</f>
        <v>Transfers</v>
      </c>
      <c r="D7670" s="0" t="n">
        <f aca="false">INDEX(Intent_Analysis!$E$5:$E$81,MATCH(B7670,Intent_Analysis!$A$5:$A$81,0))</f>
        <v>1</v>
      </c>
    </row>
    <row r="7671" customFormat="false" ht="15" hidden="false" customHeight="false" outlineLevel="0" collapsed="false">
      <c r="A7671" s="0" t="s">
        <v>7995</v>
      </c>
      <c r="B7671" s="0" t="s">
        <v>120</v>
      </c>
      <c r="C7671" s="0" t="str">
        <f aca="false">INDEX(Intent_Analysis!$B$5:$B$81,MATCH(B7671,Intent_Analysis!$A$5:$A$81,0))</f>
        <v>Transfers</v>
      </c>
      <c r="D7671" s="0" t="n">
        <f aca="false">INDEX(Intent_Analysis!$E$5:$E$81,MATCH(B7671,Intent_Analysis!$A$5:$A$81,0))</f>
        <v>1</v>
      </c>
    </row>
    <row r="7672" customFormat="false" ht="15" hidden="false" customHeight="false" outlineLevel="0" collapsed="false">
      <c r="A7672" s="0" t="s">
        <v>7996</v>
      </c>
      <c r="B7672" s="0" t="s">
        <v>120</v>
      </c>
      <c r="C7672" s="0" t="str">
        <f aca="false">INDEX(Intent_Analysis!$B$5:$B$81,MATCH(B7672,Intent_Analysis!$A$5:$A$81,0))</f>
        <v>Transfers</v>
      </c>
      <c r="D7672" s="0" t="n">
        <f aca="false">INDEX(Intent_Analysis!$E$5:$E$81,MATCH(B7672,Intent_Analysis!$A$5:$A$81,0))</f>
        <v>1</v>
      </c>
    </row>
    <row r="7673" customFormat="false" ht="15" hidden="false" customHeight="false" outlineLevel="0" collapsed="false">
      <c r="A7673" s="0" t="s">
        <v>7997</v>
      </c>
      <c r="B7673" s="0" t="s">
        <v>120</v>
      </c>
      <c r="C7673" s="0" t="str">
        <f aca="false">INDEX(Intent_Analysis!$B$5:$B$81,MATCH(B7673,Intent_Analysis!$A$5:$A$81,0))</f>
        <v>Transfers</v>
      </c>
      <c r="D7673" s="0" t="n">
        <f aca="false">INDEX(Intent_Analysis!$E$5:$E$81,MATCH(B7673,Intent_Analysis!$A$5:$A$81,0))</f>
        <v>1</v>
      </c>
    </row>
    <row r="7674" customFormat="false" ht="15" hidden="false" customHeight="false" outlineLevel="0" collapsed="false">
      <c r="A7674" s="0" t="s">
        <v>7998</v>
      </c>
      <c r="B7674" s="0" t="s">
        <v>120</v>
      </c>
      <c r="C7674" s="0" t="str">
        <f aca="false">INDEX(Intent_Analysis!$B$5:$B$81,MATCH(B7674,Intent_Analysis!$A$5:$A$81,0))</f>
        <v>Transfers</v>
      </c>
      <c r="D7674" s="0" t="n">
        <f aca="false">INDEX(Intent_Analysis!$E$5:$E$81,MATCH(B7674,Intent_Analysis!$A$5:$A$81,0))</f>
        <v>1</v>
      </c>
    </row>
    <row r="7675" customFormat="false" ht="15" hidden="false" customHeight="false" outlineLevel="0" collapsed="false">
      <c r="A7675" s="0" t="s">
        <v>7999</v>
      </c>
      <c r="B7675" s="0" t="s">
        <v>120</v>
      </c>
      <c r="C7675" s="0" t="str">
        <f aca="false">INDEX(Intent_Analysis!$B$5:$B$81,MATCH(B7675,Intent_Analysis!$A$5:$A$81,0))</f>
        <v>Transfers</v>
      </c>
      <c r="D7675" s="0" t="n">
        <f aca="false">INDEX(Intent_Analysis!$E$5:$E$81,MATCH(B7675,Intent_Analysis!$A$5:$A$81,0))</f>
        <v>1</v>
      </c>
    </row>
    <row r="7676" customFormat="false" ht="15" hidden="false" customHeight="false" outlineLevel="0" collapsed="false">
      <c r="A7676" s="0" t="s">
        <v>8000</v>
      </c>
      <c r="B7676" s="0" t="s">
        <v>120</v>
      </c>
      <c r="C7676" s="0" t="str">
        <f aca="false">INDEX(Intent_Analysis!$B$5:$B$81,MATCH(B7676,Intent_Analysis!$A$5:$A$81,0))</f>
        <v>Transfers</v>
      </c>
      <c r="D7676" s="0" t="n">
        <f aca="false">INDEX(Intent_Analysis!$E$5:$E$81,MATCH(B7676,Intent_Analysis!$A$5:$A$81,0))</f>
        <v>1</v>
      </c>
    </row>
    <row r="7677" customFormat="false" ht="15" hidden="false" customHeight="false" outlineLevel="0" collapsed="false">
      <c r="A7677" s="0" t="s">
        <v>8001</v>
      </c>
      <c r="B7677" s="0" t="s">
        <v>120</v>
      </c>
      <c r="C7677" s="0" t="str">
        <f aca="false">INDEX(Intent_Analysis!$B$5:$B$81,MATCH(B7677,Intent_Analysis!$A$5:$A$81,0))</f>
        <v>Transfers</v>
      </c>
      <c r="D7677" s="0" t="n">
        <f aca="false">INDEX(Intent_Analysis!$E$5:$E$81,MATCH(B7677,Intent_Analysis!$A$5:$A$81,0))</f>
        <v>1</v>
      </c>
    </row>
    <row r="7678" customFormat="false" ht="15" hidden="false" customHeight="false" outlineLevel="0" collapsed="false">
      <c r="A7678" s="0" t="s">
        <v>8002</v>
      </c>
      <c r="B7678" s="0" t="s">
        <v>120</v>
      </c>
      <c r="C7678" s="0" t="str">
        <f aca="false">INDEX(Intent_Analysis!$B$5:$B$81,MATCH(B7678,Intent_Analysis!$A$5:$A$81,0))</f>
        <v>Transfers</v>
      </c>
      <c r="D7678" s="0" t="n">
        <f aca="false">INDEX(Intent_Analysis!$E$5:$E$81,MATCH(B7678,Intent_Analysis!$A$5:$A$81,0))</f>
        <v>1</v>
      </c>
    </row>
    <row r="7679" customFormat="false" ht="15" hidden="false" customHeight="false" outlineLevel="0" collapsed="false">
      <c r="A7679" s="0" t="s">
        <v>8003</v>
      </c>
      <c r="B7679" s="0" t="s">
        <v>120</v>
      </c>
      <c r="C7679" s="0" t="str">
        <f aca="false">INDEX(Intent_Analysis!$B$5:$B$81,MATCH(B7679,Intent_Analysis!$A$5:$A$81,0))</f>
        <v>Transfers</v>
      </c>
      <c r="D7679" s="0" t="n">
        <f aca="false">INDEX(Intent_Analysis!$E$5:$E$81,MATCH(B7679,Intent_Analysis!$A$5:$A$81,0))</f>
        <v>1</v>
      </c>
    </row>
    <row r="7680" customFormat="false" ht="15" hidden="false" customHeight="false" outlineLevel="0" collapsed="false">
      <c r="A7680" s="0" t="s">
        <v>8004</v>
      </c>
      <c r="B7680" s="0" t="s">
        <v>107</v>
      </c>
      <c r="C7680" s="0" t="str">
        <f aca="false">INDEX(Intent_Analysis!$B$5:$B$81,MATCH(B7680,Intent_Analysis!$A$5:$A$81,0))</f>
        <v>Top-ups</v>
      </c>
      <c r="D7680" s="0" t="n">
        <f aca="false">INDEX(Intent_Analysis!$E$5:$E$81,MATCH(B7680,Intent_Analysis!$A$5:$A$81,0))</f>
        <v>1</v>
      </c>
    </row>
    <row r="7681" customFormat="false" ht="15" hidden="false" customHeight="false" outlineLevel="0" collapsed="false">
      <c r="A7681" s="0" t="s">
        <v>8005</v>
      </c>
      <c r="B7681" s="0" t="s">
        <v>107</v>
      </c>
      <c r="C7681" s="0" t="str">
        <f aca="false">INDEX(Intent_Analysis!$B$5:$B$81,MATCH(B7681,Intent_Analysis!$A$5:$A$81,0))</f>
        <v>Top-ups</v>
      </c>
      <c r="D7681" s="0" t="n">
        <f aca="false">INDEX(Intent_Analysis!$E$5:$E$81,MATCH(B7681,Intent_Analysis!$A$5:$A$81,0))</f>
        <v>1</v>
      </c>
    </row>
    <row r="7682" customFormat="false" ht="15" hidden="false" customHeight="false" outlineLevel="0" collapsed="false">
      <c r="A7682" s="0" t="s">
        <v>8006</v>
      </c>
      <c r="B7682" s="0" t="s">
        <v>107</v>
      </c>
      <c r="C7682" s="0" t="str">
        <f aca="false">INDEX(Intent_Analysis!$B$5:$B$81,MATCH(B7682,Intent_Analysis!$A$5:$A$81,0))</f>
        <v>Top-ups</v>
      </c>
      <c r="D7682" s="0" t="n">
        <f aca="false">INDEX(Intent_Analysis!$E$5:$E$81,MATCH(B7682,Intent_Analysis!$A$5:$A$81,0))</f>
        <v>1</v>
      </c>
    </row>
    <row r="7683" customFormat="false" ht="15" hidden="false" customHeight="false" outlineLevel="0" collapsed="false">
      <c r="A7683" s="0" t="s">
        <v>8007</v>
      </c>
      <c r="B7683" s="0" t="s">
        <v>107</v>
      </c>
      <c r="C7683" s="0" t="str">
        <f aca="false">INDEX(Intent_Analysis!$B$5:$B$81,MATCH(B7683,Intent_Analysis!$A$5:$A$81,0))</f>
        <v>Top-ups</v>
      </c>
      <c r="D7683" s="0" t="n">
        <f aca="false">INDEX(Intent_Analysis!$E$5:$E$81,MATCH(B7683,Intent_Analysis!$A$5:$A$81,0))</f>
        <v>1</v>
      </c>
    </row>
    <row r="7684" customFormat="false" ht="15" hidden="false" customHeight="false" outlineLevel="0" collapsed="false">
      <c r="A7684" s="0" t="s">
        <v>8008</v>
      </c>
      <c r="B7684" s="0" t="s">
        <v>107</v>
      </c>
      <c r="C7684" s="0" t="str">
        <f aca="false">INDEX(Intent_Analysis!$B$5:$B$81,MATCH(B7684,Intent_Analysis!$A$5:$A$81,0))</f>
        <v>Top-ups</v>
      </c>
      <c r="D7684" s="0" t="n">
        <f aca="false">INDEX(Intent_Analysis!$E$5:$E$81,MATCH(B7684,Intent_Analysis!$A$5:$A$81,0))</f>
        <v>1</v>
      </c>
    </row>
    <row r="7685" customFormat="false" ht="15" hidden="false" customHeight="false" outlineLevel="0" collapsed="false">
      <c r="A7685" s="0" t="s">
        <v>8009</v>
      </c>
      <c r="B7685" s="0" t="s">
        <v>107</v>
      </c>
      <c r="C7685" s="0" t="str">
        <f aca="false">INDEX(Intent_Analysis!$B$5:$B$81,MATCH(B7685,Intent_Analysis!$A$5:$A$81,0))</f>
        <v>Top-ups</v>
      </c>
      <c r="D7685" s="0" t="n">
        <f aca="false">INDEX(Intent_Analysis!$E$5:$E$81,MATCH(B7685,Intent_Analysis!$A$5:$A$81,0))</f>
        <v>1</v>
      </c>
    </row>
    <row r="7686" customFormat="false" ht="15" hidden="false" customHeight="false" outlineLevel="0" collapsed="false">
      <c r="A7686" s="0" t="s">
        <v>8010</v>
      </c>
      <c r="B7686" s="0" t="s">
        <v>107</v>
      </c>
      <c r="C7686" s="0" t="str">
        <f aca="false">INDEX(Intent_Analysis!$B$5:$B$81,MATCH(B7686,Intent_Analysis!$A$5:$A$81,0))</f>
        <v>Top-ups</v>
      </c>
      <c r="D7686" s="0" t="n">
        <f aca="false">INDEX(Intent_Analysis!$E$5:$E$81,MATCH(B7686,Intent_Analysis!$A$5:$A$81,0))</f>
        <v>1</v>
      </c>
    </row>
    <row r="7687" customFormat="false" ht="15" hidden="false" customHeight="false" outlineLevel="0" collapsed="false">
      <c r="A7687" s="0" t="s">
        <v>8011</v>
      </c>
      <c r="B7687" s="0" t="s">
        <v>107</v>
      </c>
      <c r="C7687" s="0" t="str">
        <f aca="false">INDEX(Intent_Analysis!$B$5:$B$81,MATCH(B7687,Intent_Analysis!$A$5:$A$81,0))</f>
        <v>Top-ups</v>
      </c>
      <c r="D7687" s="0" t="n">
        <f aca="false">INDEX(Intent_Analysis!$E$5:$E$81,MATCH(B7687,Intent_Analysis!$A$5:$A$81,0))</f>
        <v>1</v>
      </c>
    </row>
    <row r="7688" customFormat="false" ht="15" hidden="false" customHeight="false" outlineLevel="0" collapsed="false">
      <c r="A7688" s="0" t="s">
        <v>8012</v>
      </c>
      <c r="B7688" s="0" t="s">
        <v>107</v>
      </c>
      <c r="C7688" s="0" t="str">
        <f aca="false">INDEX(Intent_Analysis!$B$5:$B$81,MATCH(B7688,Intent_Analysis!$A$5:$A$81,0))</f>
        <v>Top-ups</v>
      </c>
      <c r="D7688" s="0" t="n">
        <f aca="false">INDEX(Intent_Analysis!$E$5:$E$81,MATCH(B7688,Intent_Analysis!$A$5:$A$81,0))</f>
        <v>1</v>
      </c>
    </row>
    <row r="7689" customFormat="false" ht="15" hidden="false" customHeight="false" outlineLevel="0" collapsed="false">
      <c r="A7689" s="0" t="s">
        <v>8013</v>
      </c>
      <c r="B7689" s="0" t="s">
        <v>107</v>
      </c>
      <c r="C7689" s="0" t="str">
        <f aca="false">INDEX(Intent_Analysis!$B$5:$B$81,MATCH(B7689,Intent_Analysis!$A$5:$A$81,0))</f>
        <v>Top-ups</v>
      </c>
      <c r="D7689" s="0" t="n">
        <f aca="false">INDEX(Intent_Analysis!$E$5:$E$81,MATCH(B7689,Intent_Analysis!$A$5:$A$81,0))</f>
        <v>1</v>
      </c>
    </row>
    <row r="7690" customFormat="false" ht="15" hidden="false" customHeight="false" outlineLevel="0" collapsed="false">
      <c r="A7690" s="0" t="s">
        <v>8014</v>
      </c>
      <c r="B7690" s="0" t="s">
        <v>107</v>
      </c>
      <c r="C7690" s="0" t="str">
        <f aca="false">INDEX(Intent_Analysis!$B$5:$B$81,MATCH(B7690,Intent_Analysis!$A$5:$A$81,0))</f>
        <v>Top-ups</v>
      </c>
      <c r="D7690" s="0" t="n">
        <f aca="false">INDEX(Intent_Analysis!$E$5:$E$81,MATCH(B7690,Intent_Analysis!$A$5:$A$81,0))</f>
        <v>1</v>
      </c>
    </row>
    <row r="7691" customFormat="false" ht="15" hidden="false" customHeight="false" outlineLevel="0" collapsed="false">
      <c r="A7691" s="0" t="s">
        <v>8015</v>
      </c>
      <c r="B7691" s="0" t="s">
        <v>107</v>
      </c>
      <c r="C7691" s="0" t="str">
        <f aca="false">INDEX(Intent_Analysis!$B$5:$B$81,MATCH(B7691,Intent_Analysis!$A$5:$A$81,0))</f>
        <v>Top-ups</v>
      </c>
      <c r="D7691" s="0" t="n">
        <f aca="false">INDEX(Intent_Analysis!$E$5:$E$81,MATCH(B7691,Intent_Analysis!$A$5:$A$81,0))</f>
        <v>1</v>
      </c>
    </row>
    <row r="7692" customFormat="false" ht="15" hidden="false" customHeight="false" outlineLevel="0" collapsed="false">
      <c r="A7692" s="0" t="s">
        <v>8016</v>
      </c>
      <c r="B7692" s="0" t="s">
        <v>107</v>
      </c>
      <c r="C7692" s="0" t="str">
        <f aca="false">INDEX(Intent_Analysis!$B$5:$B$81,MATCH(B7692,Intent_Analysis!$A$5:$A$81,0))</f>
        <v>Top-ups</v>
      </c>
      <c r="D7692" s="0" t="n">
        <f aca="false">INDEX(Intent_Analysis!$E$5:$E$81,MATCH(B7692,Intent_Analysis!$A$5:$A$81,0))</f>
        <v>1</v>
      </c>
    </row>
    <row r="7693" customFormat="false" ht="15" hidden="false" customHeight="false" outlineLevel="0" collapsed="false">
      <c r="A7693" s="0" t="s">
        <v>8017</v>
      </c>
      <c r="B7693" s="0" t="s">
        <v>107</v>
      </c>
      <c r="C7693" s="0" t="str">
        <f aca="false">INDEX(Intent_Analysis!$B$5:$B$81,MATCH(B7693,Intent_Analysis!$A$5:$A$81,0))</f>
        <v>Top-ups</v>
      </c>
      <c r="D7693" s="0" t="n">
        <f aca="false">INDEX(Intent_Analysis!$E$5:$E$81,MATCH(B7693,Intent_Analysis!$A$5:$A$81,0))</f>
        <v>1</v>
      </c>
    </row>
    <row r="7694" customFormat="false" ht="15" hidden="false" customHeight="false" outlineLevel="0" collapsed="false">
      <c r="A7694" s="0" t="s">
        <v>8018</v>
      </c>
      <c r="B7694" s="0" t="s">
        <v>107</v>
      </c>
      <c r="C7694" s="0" t="str">
        <f aca="false">INDEX(Intent_Analysis!$B$5:$B$81,MATCH(B7694,Intent_Analysis!$A$5:$A$81,0))</f>
        <v>Top-ups</v>
      </c>
      <c r="D7694" s="0" t="n">
        <f aca="false">INDEX(Intent_Analysis!$E$5:$E$81,MATCH(B7694,Intent_Analysis!$A$5:$A$81,0))</f>
        <v>1</v>
      </c>
    </row>
    <row r="7695" customFormat="false" ht="15" hidden="false" customHeight="false" outlineLevel="0" collapsed="false">
      <c r="A7695" s="0" t="s">
        <v>8019</v>
      </c>
      <c r="B7695" s="0" t="s">
        <v>107</v>
      </c>
      <c r="C7695" s="0" t="str">
        <f aca="false">INDEX(Intent_Analysis!$B$5:$B$81,MATCH(B7695,Intent_Analysis!$A$5:$A$81,0))</f>
        <v>Top-ups</v>
      </c>
      <c r="D7695" s="0" t="n">
        <f aca="false">INDEX(Intent_Analysis!$E$5:$E$81,MATCH(B7695,Intent_Analysis!$A$5:$A$81,0))</f>
        <v>1</v>
      </c>
    </row>
    <row r="7696" customFormat="false" ht="15" hidden="false" customHeight="false" outlineLevel="0" collapsed="false">
      <c r="A7696" s="0" t="s">
        <v>8020</v>
      </c>
      <c r="B7696" s="0" t="s">
        <v>107</v>
      </c>
      <c r="C7696" s="0" t="str">
        <f aca="false">INDEX(Intent_Analysis!$B$5:$B$81,MATCH(B7696,Intent_Analysis!$A$5:$A$81,0))</f>
        <v>Top-ups</v>
      </c>
      <c r="D7696" s="0" t="n">
        <f aca="false">INDEX(Intent_Analysis!$E$5:$E$81,MATCH(B7696,Intent_Analysis!$A$5:$A$81,0))</f>
        <v>1</v>
      </c>
    </row>
    <row r="7697" customFormat="false" ht="15" hidden="false" customHeight="false" outlineLevel="0" collapsed="false">
      <c r="A7697" s="0" t="s">
        <v>8021</v>
      </c>
      <c r="B7697" s="0" t="s">
        <v>107</v>
      </c>
      <c r="C7697" s="0" t="str">
        <f aca="false">INDEX(Intent_Analysis!$B$5:$B$81,MATCH(B7697,Intent_Analysis!$A$5:$A$81,0))</f>
        <v>Top-ups</v>
      </c>
      <c r="D7697" s="0" t="n">
        <f aca="false">INDEX(Intent_Analysis!$E$5:$E$81,MATCH(B7697,Intent_Analysis!$A$5:$A$81,0))</f>
        <v>1</v>
      </c>
    </row>
    <row r="7698" customFormat="false" ht="15" hidden="false" customHeight="false" outlineLevel="0" collapsed="false">
      <c r="A7698" s="0" t="s">
        <v>8022</v>
      </c>
      <c r="B7698" s="0" t="s">
        <v>107</v>
      </c>
      <c r="C7698" s="0" t="str">
        <f aca="false">INDEX(Intent_Analysis!$B$5:$B$81,MATCH(B7698,Intent_Analysis!$A$5:$A$81,0))</f>
        <v>Top-ups</v>
      </c>
      <c r="D7698" s="0" t="n">
        <f aca="false">INDEX(Intent_Analysis!$E$5:$E$81,MATCH(B7698,Intent_Analysis!$A$5:$A$81,0))</f>
        <v>1</v>
      </c>
    </row>
    <row r="7699" customFormat="false" ht="15" hidden="false" customHeight="false" outlineLevel="0" collapsed="false">
      <c r="A7699" s="0" t="s">
        <v>8023</v>
      </c>
      <c r="B7699" s="0" t="s">
        <v>107</v>
      </c>
      <c r="C7699" s="0" t="str">
        <f aca="false">INDEX(Intent_Analysis!$B$5:$B$81,MATCH(B7699,Intent_Analysis!$A$5:$A$81,0))</f>
        <v>Top-ups</v>
      </c>
      <c r="D7699" s="0" t="n">
        <f aca="false">INDEX(Intent_Analysis!$E$5:$E$81,MATCH(B7699,Intent_Analysis!$A$5:$A$81,0))</f>
        <v>1</v>
      </c>
    </row>
    <row r="7700" customFormat="false" ht="15" hidden="false" customHeight="false" outlineLevel="0" collapsed="false">
      <c r="A7700" s="0" t="s">
        <v>8024</v>
      </c>
      <c r="B7700" s="0" t="s">
        <v>107</v>
      </c>
      <c r="C7700" s="0" t="str">
        <f aca="false">INDEX(Intent_Analysis!$B$5:$B$81,MATCH(B7700,Intent_Analysis!$A$5:$A$81,0))</f>
        <v>Top-ups</v>
      </c>
      <c r="D7700" s="0" t="n">
        <f aca="false">INDEX(Intent_Analysis!$E$5:$E$81,MATCH(B7700,Intent_Analysis!$A$5:$A$81,0))</f>
        <v>1</v>
      </c>
    </row>
    <row r="7701" customFormat="false" ht="15" hidden="false" customHeight="false" outlineLevel="0" collapsed="false">
      <c r="A7701" s="0" t="s">
        <v>8025</v>
      </c>
      <c r="B7701" s="0" t="s">
        <v>107</v>
      </c>
      <c r="C7701" s="0" t="str">
        <f aca="false">INDEX(Intent_Analysis!$B$5:$B$81,MATCH(B7701,Intent_Analysis!$A$5:$A$81,0))</f>
        <v>Top-ups</v>
      </c>
      <c r="D7701" s="0" t="n">
        <f aca="false">INDEX(Intent_Analysis!$E$5:$E$81,MATCH(B7701,Intent_Analysis!$A$5:$A$81,0))</f>
        <v>1</v>
      </c>
    </row>
    <row r="7702" customFormat="false" ht="15" hidden="false" customHeight="false" outlineLevel="0" collapsed="false">
      <c r="A7702" s="0" t="s">
        <v>8026</v>
      </c>
      <c r="B7702" s="0" t="s">
        <v>107</v>
      </c>
      <c r="C7702" s="0" t="str">
        <f aca="false">INDEX(Intent_Analysis!$B$5:$B$81,MATCH(B7702,Intent_Analysis!$A$5:$A$81,0))</f>
        <v>Top-ups</v>
      </c>
      <c r="D7702" s="0" t="n">
        <f aca="false">INDEX(Intent_Analysis!$E$5:$E$81,MATCH(B7702,Intent_Analysis!$A$5:$A$81,0))</f>
        <v>1</v>
      </c>
    </row>
    <row r="7703" customFormat="false" ht="15" hidden="false" customHeight="false" outlineLevel="0" collapsed="false">
      <c r="A7703" s="0" t="s">
        <v>8027</v>
      </c>
      <c r="B7703" s="0" t="s">
        <v>107</v>
      </c>
      <c r="C7703" s="0" t="str">
        <f aca="false">INDEX(Intent_Analysis!$B$5:$B$81,MATCH(B7703,Intent_Analysis!$A$5:$A$81,0))</f>
        <v>Top-ups</v>
      </c>
      <c r="D7703" s="0" t="n">
        <f aca="false">INDEX(Intent_Analysis!$E$5:$E$81,MATCH(B7703,Intent_Analysis!$A$5:$A$81,0))</f>
        <v>1</v>
      </c>
    </row>
    <row r="7704" customFormat="false" ht="15" hidden="false" customHeight="false" outlineLevel="0" collapsed="false">
      <c r="A7704" s="0" t="s">
        <v>8028</v>
      </c>
      <c r="B7704" s="0" t="s">
        <v>107</v>
      </c>
      <c r="C7704" s="0" t="str">
        <f aca="false">INDEX(Intent_Analysis!$B$5:$B$81,MATCH(B7704,Intent_Analysis!$A$5:$A$81,0))</f>
        <v>Top-ups</v>
      </c>
      <c r="D7704" s="0" t="n">
        <f aca="false">INDEX(Intent_Analysis!$E$5:$E$81,MATCH(B7704,Intent_Analysis!$A$5:$A$81,0))</f>
        <v>1</v>
      </c>
    </row>
    <row r="7705" customFormat="false" ht="15" hidden="false" customHeight="false" outlineLevel="0" collapsed="false">
      <c r="A7705" s="0" t="s">
        <v>8029</v>
      </c>
      <c r="B7705" s="0" t="s">
        <v>107</v>
      </c>
      <c r="C7705" s="0" t="str">
        <f aca="false">INDEX(Intent_Analysis!$B$5:$B$81,MATCH(B7705,Intent_Analysis!$A$5:$A$81,0))</f>
        <v>Top-ups</v>
      </c>
      <c r="D7705" s="0" t="n">
        <f aca="false">INDEX(Intent_Analysis!$E$5:$E$81,MATCH(B7705,Intent_Analysis!$A$5:$A$81,0))</f>
        <v>1</v>
      </c>
    </row>
    <row r="7706" customFormat="false" ht="15" hidden="false" customHeight="false" outlineLevel="0" collapsed="false">
      <c r="A7706" s="0" t="s">
        <v>8030</v>
      </c>
      <c r="B7706" s="0" t="s">
        <v>107</v>
      </c>
      <c r="C7706" s="0" t="str">
        <f aca="false">INDEX(Intent_Analysis!$B$5:$B$81,MATCH(B7706,Intent_Analysis!$A$5:$A$81,0))</f>
        <v>Top-ups</v>
      </c>
      <c r="D7706" s="0" t="n">
        <f aca="false">INDEX(Intent_Analysis!$E$5:$E$81,MATCH(B7706,Intent_Analysis!$A$5:$A$81,0))</f>
        <v>1</v>
      </c>
    </row>
    <row r="7707" customFormat="false" ht="15" hidden="false" customHeight="false" outlineLevel="0" collapsed="false">
      <c r="A7707" s="0" t="s">
        <v>8031</v>
      </c>
      <c r="B7707" s="0" t="s">
        <v>107</v>
      </c>
      <c r="C7707" s="0" t="str">
        <f aca="false">INDEX(Intent_Analysis!$B$5:$B$81,MATCH(B7707,Intent_Analysis!$A$5:$A$81,0))</f>
        <v>Top-ups</v>
      </c>
      <c r="D7707" s="0" t="n">
        <f aca="false">INDEX(Intent_Analysis!$E$5:$E$81,MATCH(B7707,Intent_Analysis!$A$5:$A$81,0))</f>
        <v>1</v>
      </c>
    </row>
    <row r="7708" customFormat="false" ht="15" hidden="false" customHeight="false" outlineLevel="0" collapsed="false">
      <c r="A7708" s="0" t="s">
        <v>8032</v>
      </c>
      <c r="B7708" s="0" t="s">
        <v>107</v>
      </c>
      <c r="C7708" s="0" t="str">
        <f aca="false">INDEX(Intent_Analysis!$B$5:$B$81,MATCH(B7708,Intent_Analysis!$A$5:$A$81,0))</f>
        <v>Top-ups</v>
      </c>
      <c r="D7708" s="0" t="n">
        <f aca="false">INDEX(Intent_Analysis!$E$5:$E$81,MATCH(B7708,Intent_Analysis!$A$5:$A$81,0))</f>
        <v>1</v>
      </c>
    </row>
    <row r="7709" customFormat="false" ht="15" hidden="false" customHeight="false" outlineLevel="0" collapsed="false">
      <c r="A7709" s="0" t="s">
        <v>8033</v>
      </c>
      <c r="B7709" s="0" t="s">
        <v>107</v>
      </c>
      <c r="C7709" s="0" t="str">
        <f aca="false">INDEX(Intent_Analysis!$B$5:$B$81,MATCH(B7709,Intent_Analysis!$A$5:$A$81,0))</f>
        <v>Top-ups</v>
      </c>
      <c r="D7709" s="0" t="n">
        <f aca="false">INDEX(Intent_Analysis!$E$5:$E$81,MATCH(B7709,Intent_Analysis!$A$5:$A$81,0))</f>
        <v>1</v>
      </c>
    </row>
    <row r="7710" customFormat="false" ht="15" hidden="false" customHeight="false" outlineLevel="0" collapsed="false">
      <c r="A7710" s="0" t="s">
        <v>8034</v>
      </c>
      <c r="B7710" s="0" t="s">
        <v>107</v>
      </c>
      <c r="C7710" s="0" t="str">
        <f aca="false">INDEX(Intent_Analysis!$B$5:$B$81,MATCH(B7710,Intent_Analysis!$A$5:$A$81,0))</f>
        <v>Top-ups</v>
      </c>
      <c r="D7710" s="0" t="n">
        <f aca="false">INDEX(Intent_Analysis!$E$5:$E$81,MATCH(B7710,Intent_Analysis!$A$5:$A$81,0))</f>
        <v>1</v>
      </c>
    </row>
    <row r="7711" customFormat="false" ht="15" hidden="false" customHeight="false" outlineLevel="0" collapsed="false">
      <c r="A7711" s="0" t="s">
        <v>8035</v>
      </c>
      <c r="B7711" s="0" t="s">
        <v>107</v>
      </c>
      <c r="C7711" s="0" t="str">
        <f aca="false">INDEX(Intent_Analysis!$B$5:$B$81,MATCH(B7711,Intent_Analysis!$A$5:$A$81,0))</f>
        <v>Top-ups</v>
      </c>
      <c r="D7711" s="0" t="n">
        <f aca="false">INDEX(Intent_Analysis!$E$5:$E$81,MATCH(B7711,Intent_Analysis!$A$5:$A$81,0))</f>
        <v>1</v>
      </c>
    </row>
    <row r="7712" customFormat="false" ht="15" hidden="false" customHeight="false" outlineLevel="0" collapsed="false">
      <c r="A7712" s="0" t="s">
        <v>8036</v>
      </c>
      <c r="B7712" s="0" t="s">
        <v>107</v>
      </c>
      <c r="C7712" s="0" t="str">
        <f aca="false">INDEX(Intent_Analysis!$B$5:$B$81,MATCH(B7712,Intent_Analysis!$A$5:$A$81,0))</f>
        <v>Top-ups</v>
      </c>
      <c r="D7712" s="0" t="n">
        <f aca="false">INDEX(Intent_Analysis!$E$5:$E$81,MATCH(B7712,Intent_Analysis!$A$5:$A$81,0))</f>
        <v>1</v>
      </c>
    </row>
    <row r="7713" customFormat="false" ht="15" hidden="false" customHeight="false" outlineLevel="0" collapsed="false">
      <c r="A7713" s="0" t="s">
        <v>8037</v>
      </c>
      <c r="B7713" s="0" t="s">
        <v>107</v>
      </c>
      <c r="C7713" s="0" t="str">
        <f aca="false">INDEX(Intent_Analysis!$B$5:$B$81,MATCH(B7713,Intent_Analysis!$A$5:$A$81,0))</f>
        <v>Top-ups</v>
      </c>
      <c r="D7713" s="0" t="n">
        <f aca="false">INDEX(Intent_Analysis!$E$5:$E$81,MATCH(B7713,Intent_Analysis!$A$5:$A$81,0))</f>
        <v>1</v>
      </c>
    </row>
    <row r="7714" customFormat="false" ht="15" hidden="false" customHeight="false" outlineLevel="0" collapsed="false">
      <c r="A7714" s="0" t="s">
        <v>8038</v>
      </c>
      <c r="B7714" s="0" t="s">
        <v>107</v>
      </c>
      <c r="C7714" s="0" t="str">
        <f aca="false">INDEX(Intent_Analysis!$B$5:$B$81,MATCH(B7714,Intent_Analysis!$A$5:$A$81,0))</f>
        <v>Top-ups</v>
      </c>
      <c r="D7714" s="0" t="n">
        <f aca="false">INDEX(Intent_Analysis!$E$5:$E$81,MATCH(B7714,Intent_Analysis!$A$5:$A$81,0))</f>
        <v>1</v>
      </c>
    </row>
    <row r="7715" customFormat="false" ht="15" hidden="false" customHeight="false" outlineLevel="0" collapsed="false">
      <c r="A7715" s="0" t="s">
        <v>8039</v>
      </c>
      <c r="B7715" s="0" t="s">
        <v>107</v>
      </c>
      <c r="C7715" s="0" t="str">
        <f aca="false">INDEX(Intent_Analysis!$B$5:$B$81,MATCH(B7715,Intent_Analysis!$A$5:$A$81,0))</f>
        <v>Top-ups</v>
      </c>
      <c r="D7715" s="0" t="n">
        <f aca="false">INDEX(Intent_Analysis!$E$5:$E$81,MATCH(B7715,Intent_Analysis!$A$5:$A$81,0))</f>
        <v>1</v>
      </c>
    </row>
    <row r="7716" customFormat="false" ht="15" hidden="false" customHeight="false" outlineLevel="0" collapsed="false">
      <c r="A7716" s="0" t="s">
        <v>8040</v>
      </c>
      <c r="B7716" s="0" t="s">
        <v>107</v>
      </c>
      <c r="C7716" s="0" t="str">
        <f aca="false">INDEX(Intent_Analysis!$B$5:$B$81,MATCH(B7716,Intent_Analysis!$A$5:$A$81,0))</f>
        <v>Top-ups</v>
      </c>
      <c r="D7716" s="0" t="n">
        <f aca="false">INDEX(Intent_Analysis!$E$5:$E$81,MATCH(B7716,Intent_Analysis!$A$5:$A$81,0))</f>
        <v>1</v>
      </c>
    </row>
    <row r="7717" customFormat="false" ht="15" hidden="false" customHeight="false" outlineLevel="0" collapsed="false">
      <c r="A7717" s="0" t="s">
        <v>8041</v>
      </c>
      <c r="B7717" s="0" t="s">
        <v>107</v>
      </c>
      <c r="C7717" s="0" t="str">
        <f aca="false">INDEX(Intent_Analysis!$B$5:$B$81,MATCH(B7717,Intent_Analysis!$A$5:$A$81,0))</f>
        <v>Top-ups</v>
      </c>
      <c r="D7717" s="0" t="n">
        <f aca="false">INDEX(Intent_Analysis!$E$5:$E$81,MATCH(B7717,Intent_Analysis!$A$5:$A$81,0))</f>
        <v>1</v>
      </c>
    </row>
    <row r="7718" customFormat="false" ht="15" hidden="false" customHeight="false" outlineLevel="0" collapsed="false">
      <c r="A7718" s="0" t="s">
        <v>8042</v>
      </c>
      <c r="B7718" s="0" t="s">
        <v>107</v>
      </c>
      <c r="C7718" s="0" t="str">
        <f aca="false">INDEX(Intent_Analysis!$B$5:$B$81,MATCH(B7718,Intent_Analysis!$A$5:$A$81,0))</f>
        <v>Top-ups</v>
      </c>
      <c r="D7718" s="0" t="n">
        <f aca="false">INDEX(Intent_Analysis!$E$5:$E$81,MATCH(B7718,Intent_Analysis!$A$5:$A$81,0))</f>
        <v>1</v>
      </c>
    </row>
    <row r="7719" customFormat="false" ht="15" hidden="false" customHeight="false" outlineLevel="0" collapsed="false">
      <c r="A7719" s="0" t="s">
        <v>8043</v>
      </c>
      <c r="B7719" s="0" t="s">
        <v>107</v>
      </c>
      <c r="C7719" s="0" t="str">
        <f aca="false">INDEX(Intent_Analysis!$B$5:$B$81,MATCH(B7719,Intent_Analysis!$A$5:$A$81,0))</f>
        <v>Top-ups</v>
      </c>
      <c r="D7719" s="0" t="n">
        <f aca="false">INDEX(Intent_Analysis!$E$5:$E$81,MATCH(B7719,Intent_Analysis!$A$5:$A$81,0))</f>
        <v>1</v>
      </c>
    </row>
    <row r="7720" customFormat="false" ht="15" hidden="false" customHeight="false" outlineLevel="0" collapsed="false">
      <c r="A7720" s="0" t="s">
        <v>8044</v>
      </c>
      <c r="B7720" s="0" t="s">
        <v>107</v>
      </c>
      <c r="C7720" s="0" t="str">
        <f aca="false">INDEX(Intent_Analysis!$B$5:$B$81,MATCH(B7720,Intent_Analysis!$A$5:$A$81,0))</f>
        <v>Top-ups</v>
      </c>
      <c r="D7720" s="0" t="n">
        <f aca="false">INDEX(Intent_Analysis!$E$5:$E$81,MATCH(B7720,Intent_Analysis!$A$5:$A$81,0))</f>
        <v>1</v>
      </c>
    </row>
    <row r="7721" customFormat="false" ht="15" hidden="false" customHeight="false" outlineLevel="0" collapsed="false">
      <c r="A7721" s="0" t="s">
        <v>8045</v>
      </c>
      <c r="B7721" s="0" t="s">
        <v>107</v>
      </c>
      <c r="C7721" s="0" t="str">
        <f aca="false">INDEX(Intent_Analysis!$B$5:$B$81,MATCH(B7721,Intent_Analysis!$A$5:$A$81,0))</f>
        <v>Top-ups</v>
      </c>
      <c r="D7721" s="0" t="n">
        <f aca="false">INDEX(Intent_Analysis!$E$5:$E$81,MATCH(B7721,Intent_Analysis!$A$5:$A$81,0))</f>
        <v>1</v>
      </c>
    </row>
    <row r="7722" customFormat="false" ht="15" hidden="false" customHeight="false" outlineLevel="0" collapsed="false">
      <c r="A7722" s="0" t="s">
        <v>8046</v>
      </c>
      <c r="B7722" s="0" t="s">
        <v>107</v>
      </c>
      <c r="C7722" s="0" t="str">
        <f aca="false">INDEX(Intent_Analysis!$B$5:$B$81,MATCH(B7722,Intent_Analysis!$A$5:$A$81,0))</f>
        <v>Top-ups</v>
      </c>
      <c r="D7722" s="0" t="n">
        <f aca="false">INDEX(Intent_Analysis!$E$5:$E$81,MATCH(B7722,Intent_Analysis!$A$5:$A$81,0))</f>
        <v>1</v>
      </c>
    </row>
    <row r="7723" customFormat="false" ht="15" hidden="false" customHeight="false" outlineLevel="0" collapsed="false">
      <c r="A7723" s="0" t="s">
        <v>8047</v>
      </c>
      <c r="B7723" s="0" t="s">
        <v>107</v>
      </c>
      <c r="C7723" s="0" t="str">
        <f aca="false">INDEX(Intent_Analysis!$B$5:$B$81,MATCH(B7723,Intent_Analysis!$A$5:$A$81,0))</f>
        <v>Top-ups</v>
      </c>
      <c r="D7723" s="0" t="n">
        <f aca="false">INDEX(Intent_Analysis!$E$5:$E$81,MATCH(B7723,Intent_Analysis!$A$5:$A$81,0))</f>
        <v>1</v>
      </c>
    </row>
    <row r="7724" customFormat="false" ht="15" hidden="false" customHeight="false" outlineLevel="0" collapsed="false">
      <c r="A7724" s="0" t="s">
        <v>8048</v>
      </c>
      <c r="B7724" s="0" t="s">
        <v>107</v>
      </c>
      <c r="C7724" s="0" t="str">
        <f aca="false">INDEX(Intent_Analysis!$B$5:$B$81,MATCH(B7724,Intent_Analysis!$A$5:$A$81,0))</f>
        <v>Top-ups</v>
      </c>
      <c r="D7724" s="0" t="n">
        <f aca="false">INDEX(Intent_Analysis!$E$5:$E$81,MATCH(B7724,Intent_Analysis!$A$5:$A$81,0))</f>
        <v>1</v>
      </c>
    </row>
    <row r="7725" customFormat="false" ht="15" hidden="false" customHeight="false" outlineLevel="0" collapsed="false">
      <c r="A7725" s="0" t="s">
        <v>8049</v>
      </c>
      <c r="B7725" s="0" t="s">
        <v>107</v>
      </c>
      <c r="C7725" s="0" t="str">
        <f aca="false">INDEX(Intent_Analysis!$B$5:$B$81,MATCH(B7725,Intent_Analysis!$A$5:$A$81,0))</f>
        <v>Top-ups</v>
      </c>
      <c r="D7725" s="0" t="n">
        <f aca="false">INDEX(Intent_Analysis!$E$5:$E$81,MATCH(B7725,Intent_Analysis!$A$5:$A$81,0))</f>
        <v>1</v>
      </c>
    </row>
    <row r="7726" customFormat="false" ht="15" hidden="false" customHeight="false" outlineLevel="0" collapsed="false">
      <c r="A7726" s="0" t="s">
        <v>8050</v>
      </c>
      <c r="B7726" s="0" t="s">
        <v>107</v>
      </c>
      <c r="C7726" s="0" t="str">
        <f aca="false">INDEX(Intent_Analysis!$B$5:$B$81,MATCH(B7726,Intent_Analysis!$A$5:$A$81,0))</f>
        <v>Top-ups</v>
      </c>
      <c r="D7726" s="0" t="n">
        <f aca="false">INDEX(Intent_Analysis!$E$5:$E$81,MATCH(B7726,Intent_Analysis!$A$5:$A$81,0))</f>
        <v>1</v>
      </c>
    </row>
    <row r="7727" customFormat="false" ht="15" hidden="false" customHeight="false" outlineLevel="0" collapsed="false">
      <c r="A7727" s="0" t="s">
        <v>8051</v>
      </c>
      <c r="B7727" s="0" t="s">
        <v>107</v>
      </c>
      <c r="C7727" s="0" t="str">
        <f aca="false">INDEX(Intent_Analysis!$B$5:$B$81,MATCH(B7727,Intent_Analysis!$A$5:$A$81,0))</f>
        <v>Top-ups</v>
      </c>
      <c r="D7727" s="0" t="n">
        <f aca="false">INDEX(Intent_Analysis!$E$5:$E$81,MATCH(B7727,Intent_Analysis!$A$5:$A$81,0))</f>
        <v>1</v>
      </c>
    </row>
    <row r="7728" customFormat="false" ht="15" hidden="false" customHeight="false" outlineLevel="0" collapsed="false">
      <c r="A7728" s="0" t="s">
        <v>8052</v>
      </c>
      <c r="B7728" s="0" t="s">
        <v>107</v>
      </c>
      <c r="C7728" s="0" t="str">
        <f aca="false">INDEX(Intent_Analysis!$B$5:$B$81,MATCH(B7728,Intent_Analysis!$A$5:$A$81,0))</f>
        <v>Top-ups</v>
      </c>
      <c r="D7728" s="0" t="n">
        <f aca="false">INDEX(Intent_Analysis!$E$5:$E$81,MATCH(B7728,Intent_Analysis!$A$5:$A$81,0))</f>
        <v>1</v>
      </c>
    </row>
    <row r="7729" customFormat="false" ht="15" hidden="false" customHeight="false" outlineLevel="0" collapsed="false">
      <c r="A7729" s="0" t="s">
        <v>8053</v>
      </c>
      <c r="B7729" s="0" t="s">
        <v>107</v>
      </c>
      <c r="C7729" s="0" t="str">
        <f aca="false">INDEX(Intent_Analysis!$B$5:$B$81,MATCH(B7729,Intent_Analysis!$A$5:$A$81,0))</f>
        <v>Top-ups</v>
      </c>
      <c r="D7729" s="0" t="n">
        <f aca="false">INDEX(Intent_Analysis!$E$5:$E$81,MATCH(B7729,Intent_Analysis!$A$5:$A$81,0))</f>
        <v>1</v>
      </c>
    </row>
    <row r="7730" customFormat="false" ht="15" hidden="false" customHeight="false" outlineLevel="0" collapsed="false">
      <c r="A7730" s="0" t="s">
        <v>8054</v>
      </c>
      <c r="B7730" s="0" t="s">
        <v>107</v>
      </c>
      <c r="C7730" s="0" t="str">
        <f aca="false">INDEX(Intent_Analysis!$B$5:$B$81,MATCH(B7730,Intent_Analysis!$A$5:$A$81,0))</f>
        <v>Top-ups</v>
      </c>
      <c r="D7730" s="0" t="n">
        <f aca="false">INDEX(Intent_Analysis!$E$5:$E$81,MATCH(B7730,Intent_Analysis!$A$5:$A$81,0))</f>
        <v>1</v>
      </c>
    </row>
    <row r="7731" customFormat="false" ht="15" hidden="false" customHeight="false" outlineLevel="0" collapsed="false">
      <c r="A7731" s="0" t="s">
        <v>8055</v>
      </c>
      <c r="B7731" s="0" t="s">
        <v>107</v>
      </c>
      <c r="C7731" s="0" t="str">
        <f aca="false">INDEX(Intent_Analysis!$B$5:$B$81,MATCH(B7731,Intent_Analysis!$A$5:$A$81,0))</f>
        <v>Top-ups</v>
      </c>
      <c r="D7731" s="0" t="n">
        <f aca="false">INDEX(Intent_Analysis!$E$5:$E$81,MATCH(B7731,Intent_Analysis!$A$5:$A$81,0))</f>
        <v>1</v>
      </c>
    </row>
    <row r="7732" customFormat="false" ht="15" hidden="false" customHeight="false" outlineLevel="0" collapsed="false">
      <c r="A7732" s="0" t="s">
        <v>8056</v>
      </c>
      <c r="B7732" s="0" t="s">
        <v>107</v>
      </c>
      <c r="C7732" s="0" t="str">
        <f aca="false">INDEX(Intent_Analysis!$B$5:$B$81,MATCH(B7732,Intent_Analysis!$A$5:$A$81,0))</f>
        <v>Top-ups</v>
      </c>
      <c r="D7732" s="0" t="n">
        <f aca="false">INDEX(Intent_Analysis!$E$5:$E$81,MATCH(B7732,Intent_Analysis!$A$5:$A$81,0))</f>
        <v>1</v>
      </c>
    </row>
    <row r="7733" customFormat="false" ht="15" hidden="false" customHeight="false" outlineLevel="0" collapsed="false">
      <c r="A7733" s="0" t="s">
        <v>8057</v>
      </c>
      <c r="B7733" s="0" t="s">
        <v>107</v>
      </c>
      <c r="C7733" s="0" t="str">
        <f aca="false">INDEX(Intent_Analysis!$B$5:$B$81,MATCH(B7733,Intent_Analysis!$A$5:$A$81,0))</f>
        <v>Top-ups</v>
      </c>
      <c r="D7733" s="0" t="n">
        <f aca="false">INDEX(Intent_Analysis!$E$5:$E$81,MATCH(B7733,Intent_Analysis!$A$5:$A$81,0))</f>
        <v>1</v>
      </c>
    </row>
    <row r="7734" customFormat="false" ht="15" hidden="false" customHeight="false" outlineLevel="0" collapsed="false">
      <c r="A7734" s="0" t="s">
        <v>8058</v>
      </c>
      <c r="B7734" s="0" t="s">
        <v>107</v>
      </c>
      <c r="C7734" s="0" t="str">
        <f aca="false">INDEX(Intent_Analysis!$B$5:$B$81,MATCH(B7734,Intent_Analysis!$A$5:$A$81,0))</f>
        <v>Top-ups</v>
      </c>
      <c r="D7734" s="0" t="n">
        <f aca="false">INDEX(Intent_Analysis!$E$5:$E$81,MATCH(B7734,Intent_Analysis!$A$5:$A$81,0))</f>
        <v>1</v>
      </c>
    </row>
    <row r="7735" customFormat="false" ht="15" hidden="false" customHeight="false" outlineLevel="0" collapsed="false">
      <c r="A7735" s="0" t="s">
        <v>8059</v>
      </c>
      <c r="B7735" s="0" t="s">
        <v>107</v>
      </c>
      <c r="C7735" s="0" t="str">
        <f aca="false">INDEX(Intent_Analysis!$B$5:$B$81,MATCH(B7735,Intent_Analysis!$A$5:$A$81,0))</f>
        <v>Top-ups</v>
      </c>
      <c r="D7735" s="0" t="n">
        <f aca="false">INDEX(Intent_Analysis!$E$5:$E$81,MATCH(B7735,Intent_Analysis!$A$5:$A$81,0))</f>
        <v>1</v>
      </c>
    </row>
    <row r="7736" customFormat="false" ht="15" hidden="false" customHeight="false" outlineLevel="0" collapsed="false">
      <c r="A7736" s="0" t="s">
        <v>8060</v>
      </c>
      <c r="B7736" s="0" t="s">
        <v>107</v>
      </c>
      <c r="C7736" s="0" t="str">
        <f aca="false">INDEX(Intent_Analysis!$B$5:$B$81,MATCH(B7736,Intent_Analysis!$A$5:$A$81,0))</f>
        <v>Top-ups</v>
      </c>
      <c r="D7736" s="0" t="n">
        <f aca="false">INDEX(Intent_Analysis!$E$5:$E$81,MATCH(B7736,Intent_Analysis!$A$5:$A$81,0))</f>
        <v>1</v>
      </c>
    </row>
    <row r="7737" customFormat="false" ht="15" hidden="false" customHeight="false" outlineLevel="0" collapsed="false">
      <c r="A7737" s="0" t="s">
        <v>8061</v>
      </c>
      <c r="B7737" s="0" t="s">
        <v>107</v>
      </c>
      <c r="C7737" s="0" t="str">
        <f aca="false">INDEX(Intent_Analysis!$B$5:$B$81,MATCH(B7737,Intent_Analysis!$A$5:$A$81,0))</f>
        <v>Top-ups</v>
      </c>
      <c r="D7737" s="0" t="n">
        <f aca="false">INDEX(Intent_Analysis!$E$5:$E$81,MATCH(B7737,Intent_Analysis!$A$5:$A$81,0))</f>
        <v>1</v>
      </c>
    </row>
    <row r="7738" customFormat="false" ht="15" hidden="false" customHeight="false" outlineLevel="0" collapsed="false">
      <c r="A7738" s="0" t="s">
        <v>8062</v>
      </c>
      <c r="B7738" s="0" t="s">
        <v>107</v>
      </c>
      <c r="C7738" s="0" t="str">
        <f aca="false">INDEX(Intent_Analysis!$B$5:$B$81,MATCH(B7738,Intent_Analysis!$A$5:$A$81,0))</f>
        <v>Top-ups</v>
      </c>
      <c r="D7738" s="0" t="n">
        <f aca="false">INDEX(Intent_Analysis!$E$5:$E$81,MATCH(B7738,Intent_Analysis!$A$5:$A$81,0))</f>
        <v>1</v>
      </c>
    </row>
    <row r="7739" customFormat="false" ht="15" hidden="false" customHeight="false" outlineLevel="0" collapsed="false">
      <c r="A7739" s="0" t="s">
        <v>8063</v>
      </c>
      <c r="B7739" s="0" t="s">
        <v>107</v>
      </c>
      <c r="C7739" s="0" t="str">
        <f aca="false">INDEX(Intent_Analysis!$B$5:$B$81,MATCH(B7739,Intent_Analysis!$A$5:$A$81,0))</f>
        <v>Top-ups</v>
      </c>
      <c r="D7739" s="0" t="n">
        <f aca="false">INDEX(Intent_Analysis!$E$5:$E$81,MATCH(B7739,Intent_Analysis!$A$5:$A$81,0))</f>
        <v>1</v>
      </c>
    </row>
    <row r="7740" customFormat="false" ht="15" hidden="false" customHeight="false" outlineLevel="0" collapsed="false">
      <c r="A7740" s="0" t="s">
        <v>8064</v>
      </c>
      <c r="B7740" s="0" t="s">
        <v>107</v>
      </c>
      <c r="C7740" s="0" t="str">
        <f aca="false">INDEX(Intent_Analysis!$B$5:$B$81,MATCH(B7740,Intent_Analysis!$A$5:$A$81,0))</f>
        <v>Top-ups</v>
      </c>
      <c r="D7740" s="0" t="n">
        <f aca="false">INDEX(Intent_Analysis!$E$5:$E$81,MATCH(B7740,Intent_Analysis!$A$5:$A$81,0))</f>
        <v>1</v>
      </c>
    </row>
    <row r="7741" customFormat="false" ht="15" hidden="false" customHeight="false" outlineLevel="0" collapsed="false">
      <c r="A7741" s="0" t="s">
        <v>8065</v>
      </c>
      <c r="B7741" s="0" t="s">
        <v>107</v>
      </c>
      <c r="C7741" s="0" t="str">
        <f aca="false">INDEX(Intent_Analysis!$B$5:$B$81,MATCH(B7741,Intent_Analysis!$A$5:$A$81,0))</f>
        <v>Top-ups</v>
      </c>
      <c r="D7741" s="0" t="n">
        <f aca="false">INDEX(Intent_Analysis!$E$5:$E$81,MATCH(B7741,Intent_Analysis!$A$5:$A$81,0))</f>
        <v>1</v>
      </c>
    </row>
    <row r="7742" customFormat="false" ht="15" hidden="false" customHeight="false" outlineLevel="0" collapsed="false">
      <c r="A7742" s="0" t="s">
        <v>8066</v>
      </c>
      <c r="B7742" s="0" t="s">
        <v>107</v>
      </c>
      <c r="C7742" s="0" t="str">
        <f aca="false">INDEX(Intent_Analysis!$B$5:$B$81,MATCH(B7742,Intent_Analysis!$A$5:$A$81,0))</f>
        <v>Top-ups</v>
      </c>
      <c r="D7742" s="0" t="n">
        <f aca="false">INDEX(Intent_Analysis!$E$5:$E$81,MATCH(B7742,Intent_Analysis!$A$5:$A$81,0))</f>
        <v>1</v>
      </c>
    </row>
    <row r="7743" customFormat="false" ht="15" hidden="false" customHeight="false" outlineLevel="0" collapsed="false">
      <c r="A7743" s="0" t="s">
        <v>8067</v>
      </c>
      <c r="B7743" s="0" t="s">
        <v>107</v>
      </c>
      <c r="C7743" s="0" t="str">
        <f aca="false">INDEX(Intent_Analysis!$B$5:$B$81,MATCH(B7743,Intent_Analysis!$A$5:$A$81,0))</f>
        <v>Top-ups</v>
      </c>
      <c r="D7743" s="0" t="n">
        <f aca="false">INDEX(Intent_Analysis!$E$5:$E$81,MATCH(B7743,Intent_Analysis!$A$5:$A$81,0))</f>
        <v>1</v>
      </c>
    </row>
    <row r="7744" customFormat="false" ht="15" hidden="false" customHeight="false" outlineLevel="0" collapsed="false">
      <c r="A7744" s="0" t="s">
        <v>8068</v>
      </c>
      <c r="B7744" s="0" t="s">
        <v>107</v>
      </c>
      <c r="C7744" s="0" t="str">
        <f aca="false">INDEX(Intent_Analysis!$B$5:$B$81,MATCH(B7744,Intent_Analysis!$A$5:$A$81,0))</f>
        <v>Top-ups</v>
      </c>
      <c r="D7744" s="0" t="n">
        <f aca="false">INDEX(Intent_Analysis!$E$5:$E$81,MATCH(B7744,Intent_Analysis!$A$5:$A$81,0))</f>
        <v>1</v>
      </c>
    </row>
    <row r="7745" customFormat="false" ht="15" hidden="false" customHeight="false" outlineLevel="0" collapsed="false">
      <c r="A7745" s="0" t="s">
        <v>8069</v>
      </c>
      <c r="B7745" s="0" t="s">
        <v>107</v>
      </c>
      <c r="C7745" s="0" t="str">
        <f aca="false">INDEX(Intent_Analysis!$B$5:$B$81,MATCH(B7745,Intent_Analysis!$A$5:$A$81,0))</f>
        <v>Top-ups</v>
      </c>
      <c r="D7745" s="0" t="n">
        <f aca="false">INDEX(Intent_Analysis!$E$5:$E$81,MATCH(B7745,Intent_Analysis!$A$5:$A$81,0))</f>
        <v>1</v>
      </c>
    </row>
    <row r="7746" customFormat="false" ht="15" hidden="false" customHeight="false" outlineLevel="0" collapsed="false">
      <c r="A7746" s="0" t="s">
        <v>8070</v>
      </c>
      <c r="B7746" s="0" t="s">
        <v>107</v>
      </c>
      <c r="C7746" s="0" t="str">
        <f aca="false">INDEX(Intent_Analysis!$B$5:$B$81,MATCH(B7746,Intent_Analysis!$A$5:$A$81,0))</f>
        <v>Top-ups</v>
      </c>
      <c r="D7746" s="0" t="n">
        <f aca="false">INDEX(Intent_Analysis!$E$5:$E$81,MATCH(B7746,Intent_Analysis!$A$5:$A$81,0))</f>
        <v>1</v>
      </c>
    </row>
    <row r="7747" customFormat="false" ht="15" hidden="false" customHeight="false" outlineLevel="0" collapsed="false">
      <c r="A7747" s="0" t="s">
        <v>8071</v>
      </c>
      <c r="B7747" s="0" t="s">
        <v>107</v>
      </c>
      <c r="C7747" s="0" t="str">
        <f aca="false">INDEX(Intent_Analysis!$B$5:$B$81,MATCH(B7747,Intent_Analysis!$A$5:$A$81,0))</f>
        <v>Top-ups</v>
      </c>
      <c r="D7747" s="0" t="n">
        <f aca="false">INDEX(Intent_Analysis!$E$5:$E$81,MATCH(B7747,Intent_Analysis!$A$5:$A$81,0))</f>
        <v>1</v>
      </c>
    </row>
    <row r="7748" customFormat="false" ht="15" hidden="false" customHeight="false" outlineLevel="0" collapsed="false">
      <c r="A7748" s="0" t="s">
        <v>8072</v>
      </c>
      <c r="B7748" s="0" t="s">
        <v>107</v>
      </c>
      <c r="C7748" s="0" t="str">
        <f aca="false">INDEX(Intent_Analysis!$B$5:$B$81,MATCH(B7748,Intent_Analysis!$A$5:$A$81,0))</f>
        <v>Top-ups</v>
      </c>
      <c r="D7748" s="0" t="n">
        <f aca="false">INDEX(Intent_Analysis!$E$5:$E$81,MATCH(B7748,Intent_Analysis!$A$5:$A$81,0))</f>
        <v>1</v>
      </c>
    </row>
    <row r="7749" customFormat="false" ht="15" hidden="false" customHeight="false" outlineLevel="0" collapsed="false">
      <c r="A7749" s="0" t="s">
        <v>8073</v>
      </c>
      <c r="B7749" s="0" t="s">
        <v>107</v>
      </c>
      <c r="C7749" s="0" t="str">
        <f aca="false">INDEX(Intent_Analysis!$B$5:$B$81,MATCH(B7749,Intent_Analysis!$A$5:$A$81,0))</f>
        <v>Top-ups</v>
      </c>
      <c r="D7749" s="0" t="n">
        <f aca="false">INDEX(Intent_Analysis!$E$5:$E$81,MATCH(B7749,Intent_Analysis!$A$5:$A$81,0))</f>
        <v>1</v>
      </c>
    </row>
    <row r="7750" customFormat="false" ht="15" hidden="false" customHeight="false" outlineLevel="0" collapsed="false">
      <c r="A7750" s="0" t="s">
        <v>8074</v>
      </c>
      <c r="B7750" s="0" t="s">
        <v>107</v>
      </c>
      <c r="C7750" s="0" t="str">
        <f aca="false">INDEX(Intent_Analysis!$B$5:$B$81,MATCH(B7750,Intent_Analysis!$A$5:$A$81,0))</f>
        <v>Top-ups</v>
      </c>
      <c r="D7750" s="0" t="n">
        <f aca="false">INDEX(Intent_Analysis!$E$5:$E$81,MATCH(B7750,Intent_Analysis!$A$5:$A$81,0))</f>
        <v>1</v>
      </c>
    </row>
    <row r="7751" customFormat="false" ht="15" hidden="false" customHeight="false" outlineLevel="0" collapsed="false">
      <c r="A7751" s="0" t="s">
        <v>8075</v>
      </c>
      <c r="B7751" s="0" t="s">
        <v>107</v>
      </c>
      <c r="C7751" s="0" t="str">
        <f aca="false">INDEX(Intent_Analysis!$B$5:$B$81,MATCH(B7751,Intent_Analysis!$A$5:$A$81,0))</f>
        <v>Top-ups</v>
      </c>
      <c r="D7751" s="0" t="n">
        <f aca="false">INDEX(Intent_Analysis!$E$5:$E$81,MATCH(B7751,Intent_Analysis!$A$5:$A$81,0))</f>
        <v>1</v>
      </c>
    </row>
    <row r="7752" customFormat="false" ht="15" hidden="false" customHeight="false" outlineLevel="0" collapsed="false">
      <c r="A7752" s="0" t="s">
        <v>8076</v>
      </c>
      <c r="B7752" s="0" t="s">
        <v>107</v>
      </c>
      <c r="C7752" s="0" t="str">
        <f aca="false">INDEX(Intent_Analysis!$B$5:$B$81,MATCH(B7752,Intent_Analysis!$A$5:$A$81,0))</f>
        <v>Top-ups</v>
      </c>
      <c r="D7752" s="0" t="n">
        <f aca="false">INDEX(Intent_Analysis!$E$5:$E$81,MATCH(B7752,Intent_Analysis!$A$5:$A$81,0))</f>
        <v>1</v>
      </c>
    </row>
    <row r="7753" customFormat="false" ht="15" hidden="false" customHeight="false" outlineLevel="0" collapsed="false">
      <c r="A7753" s="0" t="s">
        <v>8077</v>
      </c>
      <c r="B7753" s="0" t="s">
        <v>107</v>
      </c>
      <c r="C7753" s="0" t="str">
        <f aca="false">INDEX(Intent_Analysis!$B$5:$B$81,MATCH(B7753,Intent_Analysis!$A$5:$A$81,0))</f>
        <v>Top-ups</v>
      </c>
      <c r="D7753" s="0" t="n">
        <f aca="false">INDEX(Intent_Analysis!$E$5:$E$81,MATCH(B7753,Intent_Analysis!$A$5:$A$81,0))</f>
        <v>1</v>
      </c>
    </row>
    <row r="7754" customFormat="false" ht="15" hidden="false" customHeight="false" outlineLevel="0" collapsed="false">
      <c r="A7754" s="0" t="s">
        <v>8078</v>
      </c>
      <c r="B7754" s="0" t="s">
        <v>107</v>
      </c>
      <c r="C7754" s="0" t="str">
        <f aca="false">INDEX(Intent_Analysis!$B$5:$B$81,MATCH(B7754,Intent_Analysis!$A$5:$A$81,0))</f>
        <v>Top-ups</v>
      </c>
      <c r="D7754" s="0" t="n">
        <f aca="false">INDEX(Intent_Analysis!$E$5:$E$81,MATCH(B7754,Intent_Analysis!$A$5:$A$81,0))</f>
        <v>1</v>
      </c>
    </row>
    <row r="7755" customFormat="false" ht="15" hidden="false" customHeight="false" outlineLevel="0" collapsed="false">
      <c r="A7755" s="0" t="s">
        <v>8079</v>
      </c>
      <c r="B7755" s="0" t="s">
        <v>107</v>
      </c>
      <c r="C7755" s="0" t="str">
        <f aca="false">INDEX(Intent_Analysis!$B$5:$B$81,MATCH(B7755,Intent_Analysis!$A$5:$A$81,0))</f>
        <v>Top-ups</v>
      </c>
      <c r="D7755" s="0" t="n">
        <f aca="false">INDEX(Intent_Analysis!$E$5:$E$81,MATCH(B7755,Intent_Analysis!$A$5:$A$81,0))</f>
        <v>1</v>
      </c>
    </row>
    <row r="7756" customFormat="false" ht="15" hidden="false" customHeight="false" outlineLevel="0" collapsed="false">
      <c r="A7756" s="0" t="s">
        <v>8080</v>
      </c>
      <c r="B7756" s="0" t="s">
        <v>107</v>
      </c>
      <c r="C7756" s="0" t="str">
        <f aca="false">INDEX(Intent_Analysis!$B$5:$B$81,MATCH(B7756,Intent_Analysis!$A$5:$A$81,0))</f>
        <v>Top-ups</v>
      </c>
      <c r="D7756" s="0" t="n">
        <f aca="false">INDEX(Intent_Analysis!$E$5:$E$81,MATCH(B7756,Intent_Analysis!$A$5:$A$81,0))</f>
        <v>1</v>
      </c>
    </row>
    <row r="7757" customFormat="false" ht="15" hidden="false" customHeight="false" outlineLevel="0" collapsed="false">
      <c r="A7757" s="0" t="s">
        <v>8081</v>
      </c>
      <c r="B7757" s="0" t="s">
        <v>107</v>
      </c>
      <c r="C7757" s="0" t="str">
        <f aca="false">INDEX(Intent_Analysis!$B$5:$B$81,MATCH(B7757,Intent_Analysis!$A$5:$A$81,0))</f>
        <v>Top-ups</v>
      </c>
      <c r="D7757" s="0" t="n">
        <f aca="false">INDEX(Intent_Analysis!$E$5:$E$81,MATCH(B7757,Intent_Analysis!$A$5:$A$81,0))</f>
        <v>1</v>
      </c>
    </row>
    <row r="7758" customFormat="false" ht="15" hidden="false" customHeight="false" outlineLevel="0" collapsed="false">
      <c r="A7758" s="0" t="s">
        <v>8082</v>
      </c>
      <c r="B7758" s="0" t="s">
        <v>107</v>
      </c>
      <c r="C7758" s="0" t="str">
        <f aca="false">INDEX(Intent_Analysis!$B$5:$B$81,MATCH(B7758,Intent_Analysis!$A$5:$A$81,0))</f>
        <v>Top-ups</v>
      </c>
      <c r="D7758" s="0" t="n">
        <f aca="false">INDEX(Intent_Analysis!$E$5:$E$81,MATCH(B7758,Intent_Analysis!$A$5:$A$81,0))</f>
        <v>1</v>
      </c>
    </row>
    <row r="7759" customFormat="false" ht="15" hidden="false" customHeight="false" outlineLevel="0" collapsed="false">
      <c r="A7759" s="0" t="s">
        <v>8083</v>
      </c>
      <c r="B7759" s="0" t="s">
        <v>107</v>
      </c>
      <c r="C7759" s="0" t="str">
        <f aca="false">INDEX(Intent_Analysis!$B$5:$B$81,MATCH(B7759,Intent_Analysis!$A$5:$A$81,0))</f>
        <v>Top-ups</v>
      </c>
      <c r="D7759" s="0" t="n">
        <f aca="false">INDEX(Intent_Analysis!$E$5:$E$81,MATCH(B7759,Intent_Analysis!$A$5:$A$81,0))</f>
        <v>1</v>
      </c>
    </row>
    <row r="7760" customFormat="false" ht="15" hidden="false" customHeight="false" outlineLevel="0" collapsed="false">
      <c r="A7760" s="0" t="s">
        <v>8084</v>
      </c>
      <c r="B7760" s="0" t="s">
        <v>107</v>
      </c>
      <c r="C7760" s="0" t="str">
        <f aca="false">INDEX(Intent_Analysis!$B$5:$B$81,MATCH(B7760,Intent_Analysis!$A$5:$A$81,0))</f>
        <v>Top-ups</v>
      </c>
      <c r="D7760" s="0" t="n">
        <f aca="false">INDEX(Intent_Analysis!$E$5:$E$81,MATCH(B7760,Intent_Analysis!$A$5:$A$81,0))</f>
        <v>1</v>
      </c>
    </row>
    <row r="7761" customFormat="false" ht="15" hidden="false" customHeight="false" outlineLevel="0" collapsed="false">
      <c r="A7761" s="0" t="s">
        <v>8085</v>
      </c>
      <c r="B7761" s="0" t="s">
        <v>107</v>
      </c>
      <c r="C7761" s="0" t="str">
        <f aca="false">INDEX(Intent_Analysis!$B$5:$B$81,MATCH(B7761,Intent_Analysis!$A$5:$A$81,0))</f>
        <v>Top-ups</v>
      </c>
      <c r="D7761" s="0" t="n">
        <f aca="false">INDEX(Intent_Analysis!$E$5:$E$81,MATCH(B7761,Intent_Analysis!$A$5:$A$81,0))</f>
        <v>1</v>
      </c>
    </row>
    <row r="7762" customFormat="false" ht="15" hidden="false" customHeight="false" outlineLevel="0" collapsed="false">
      <c r="A7762" s="0" t="s">
        <v>8086</v>
      </c>
      <c r="B7762" s="0" t="s">
        <v>107</v>
      </c>
      <c r="C7762" s="0" t="str">
        <f aca="false">INDEX(Intent_Analysis!$B$5:$B$81,MATCH(B7762,Intent_Analysis!$A$5:$A$81,0))</f>
        <v>Top-ups</v>
      </c>
      <c r="D7762" s="0" t="n">
        <f aca="false">INDEX(Intent_Analysis!$E$5:$E$81,MATCH(B7762,Intent_Analysis!$A$5:$A$81,0))</f>
        <v>1</v>
      </c>
    </row>
    <row r="7763" customFormat="false" ht="15" hidden="false" customHeight="false" outlineLevel="0" collapsed="false">
      <c r="A7763" s="0" t="s">
        <v>8087</v>
      </c>
      <c r="B7763" s="0" t="s">
        <v>107</v>
      </c>
      <c r="C7763" s="0" t="str">
        <f aca="false">INDEX(Intent_Analysis!$B$5:$B$81,MATCH(B7763,Intent_Analysis!$A$5:$A$81,0))</f>
        <v>Top-ups</v>
      </c>
      <c r="D7763" s="0" t="n">
        <f aca="false">INDEX(Intent_Analysis!$E$5:$E$81,MATCH(B7763,Intent_Analysis!$A$5:$A$81,0))</f>
        <v>1</v>
      </c>
    </row>
    <row r="7764" customFormat="false" ht="15" hidden="false" customHeight="false" outlineLevel="0" collapsed="false">
      <c r="A7764" s="0" t="s">
        <v>8088</v>
      </c>
      <c r="B7764" s="0" t="s">
        <v>107</v>
      </c>
      <c r="C7764" s="0" t="str">
        <f aca="false">INDEX(Intent_Analysis!$B$5:$B$81,MATCH(B7764,Intent_Analysis!$A$5:$A$81,0))</f>
        <v>Top-ups</v>
      </c>
      <c r="D7764" s="0" t="n">
        <f aca="false">INDEX(Intent_Analysis!$E$5:$E$81,MATCH(B7764,Intent_Analysis!$A$5:$A$81,0))</f>
        <v>1</v>
      </c>
    </row>
    <row r="7765" customFormat="false" ht="15" hidden="false" customHeight="false" outlineLevel="0" collapsed="false">
      <c r="A7765" s="0" t="s">
        <v>8089</v>
      </c>
      <c r="B7765" s="0" t="s">
        <v>107</v>
      </c>
      <c r="C7765" s="0" t="str">
        <f aca="false">INDEX(Intent_Analysis!$B$5:$B$81,MATCH(B7765,Intent_Analysis!$A$5:$A$81,0))</f>
        <v>Top-ups</v>
      </c>
      <c r="D7765" s="0" t="n">
        <f aca="false">INDEX(Intent_Analysis!$E$5:$E$81,MATCH(B7765,Intent_Analysis!$A$5:$A$81,0))</f>
        <v>1</v>
      </c>
    </row>
    <row r="7766" customFormat="false" ht="15" hidden="false" customHeight="false" outlineLevel="0" collapsed="false">
      <c r="A7766" s="0" t="s">
        <v>8090</v>
      </c>
      <c r="B7766" s="0" t="s">
        <v>107</v>
      </c>
      <c r="C7766" s="0" t="str">
        <f aca="false">INDEX(Intent_Analysis!$B$5:$B$81,MATCH(B7766,Intent_Analysis!$A$5:$A$81,0))</f>
        <v>Top-ups</v>
      </c>
      <c r="D7766" s="0" t="n">
        <f aca="false">INDEX(Intent_Analysis!$E$5:$E$81,MATCH(B7766,Intent_Analysis!$A$5:$A$81,0))</f>
        <v>1</v>
      </c>
    </row>
    <row r="7767" customFormat="false" ht="15" hidden="false" customHeight="false" outlineLevel="0" collapsed="false">
      <c r="A7767" s="0" t="s">
        <v>8091</v>
      </c>
      <c r="B7767" s="0" t="s">
        <v>107</v>
      </c>
      <c r="C7767" s="0" t="str">
        <f aca="false">INDEX(Intent_Analysis!$B$5:$B$81,MATCH(B7767,Intent_Analysis!$A$5:$A$81,0))</f>
        <v>Top-ups</v>
      </c>
      <c r="D7767" s="0" t="n">
        <f aca="false">INDEX(Intent_Analysis!$E$5:$E$81,MATCH(B7767,Intent_Analysis!$A$5:$A$81,0))</f>
        <v>1</v>
      </c>
    </row>
    <row r="7768" customFormat="false" ht="15" hidden="false" customHeight="false" outlineLevel="0" collapsed="false">
      <c r="A7768" s="0" t="s">
        <v>8092</v>
      </c>
      <c r="B7768" s="0" t="s">
        <v>107</v>
      </c>
      <c r="C7768" s="0" t="str">
        <f aca="false">INDEX(Intent_Analysis!$B$5:$B$81,MATCH(B7768,Intent_Analysis!$A$5:$A$81,0))</f>
        <v>Top-ups</v>
      </c>
      <c r="D7768" s="0" t="n">
        <f aca="false">INDEX(Intent_Analysis!$E$5:$E$81,MATCH(B7768,Intent_Analysis!$A$5:$A$81,0))</f>
        <v>1</v>
      </c>
    </row>
    <row r="7769" customFormat="false" ht="15" hidden="false" customHeight="false" outlineLevel="0" collapsed="false">
      <c r="A7769" s="0" t="s">
        <v>8093</v>
      </c>
      <c r="B7769" s="0" t="s">
        <v>107</v>
      </c>
      <c r="C7769" s="0" t="str">
        <f aca="false">INDEX(Intent_Analysis!$B$5:$B$81,MATCH(B7769,Intent_Analysis!$A$5:$A$81,0))</f>
        <v>Top-ups</v>
      </c>
      <c r="D7769" s="0" t="n">
        <f aca="false">INDEX(Intent_Analysis!$E$5:$E$81,MATCH(B7769,Intent_Analysis!$A$5:$A$81,0))</f>
        <v>1</v>
      </c>
    </row>
    <row r="7770" customFormat="false" ht="15" hidden="false" customHeight="false" outlineLevel="0" collapsed="false">
      <c r="A7770" s="0" t="s">
        <v>8094</v>
      </c>
      <c r="B7770" s="0" t="s">
        <v>107</v>
      </c>
      <c r="C7770" s="0" t="str">
        <f aca="false">INDEX(Intent_Analysis!$B$5:$B$81,MATCH(B7770,Intent_Analysis!$A$5:$A$81,0))</f>
        <v>Top-ups</v>
      </c>
      <c r="D7770" s="0" t="n">
        <f aca="false">INDEX(Intent_Analysis!$E$5:$E$81,MATCH(B7770,Intent_Analysis!$A$5:$A$81,0))</f>
        <v>1</v>
      </c>
    </row>
    <row r="7771" customFormat="false" ht="15" hidden="false" customHeight="false" outlineLevel="0" collapsed="false">
      <c r="A7771" s="0" t="s">
        <v>8095</v>
      </c>
      <c r="B7771" s="0" t="s">
        <v>107</v>
      </c>
      <c r="C7771" s="0" t="str">
        <f aca="false">INDEX(Intent_Analysis!$B$5:$B$81,MATCH(B7771,Intent_Analysis!$A$5:$A$81,0))</f>
        <v>Top-ups</v>
      </c>
      <c r="D7771" s="0" t="n">
        <f aca="false">INDEX(Intent_Analysis!$E$5:$E$81,MATCH(B7771,Intent_Analysis!$A$5:$A$81,0))</f>
        <v>1</v>
      </c>
    </row>
    <row r="7772" customFormat="false" ht="15" hidden="false" customHeight="false" outlineLevel="0" collapsed="false">
      <c r="A7772" s="0" t="s">
        <v>8096</v>
      </c>
      <c r="B7772" s="0" t="s">
        <v>107</v>
      </c>
      <c r="C7772" s="0" t="str">
        <f aca="false">INDEX(Intent_Analysis!$B$5:$B$81,MATCH(B7772,Intent_Analysis!$A$5:$A$81,0))</f>
        <v>Top-ups</v>
      </c>
      <c r="D7772" s="0" t="n">
        <f aca="false">INDEX(Intent_Analysis!$E$5:$E$81,MATCH(B7772,Intent_Analysis!$A$5:$A$81,0))</f>
        <v>1</v>
      </c>
    </row>
    <row r="7773" customFormat="false" ht="15" hidden="false" customHeight="false" outlineLevel="0" collapsed="false">
      <c r="A7773" s="0" t="s">
        <v>8097</v>
      </c>
      <c r="B7773" s="0" t="s">
        <v>107</v>
      </c>
      <c r="C7773" s="0" t="str">
        <f aca="false">INDEX(Intent_Analysis!$B$5:$B$81,MATCH(B7773,Intent_Analysis!$A$5:$A$81,0))</f>
        <v>Top-ups</v>
      </c>
      <c r="D7773" s="0" t="n">
        <f aca="false">INDEX(Intent_Analysis!$E$5:$E$81,MATCH(B7773,Intent_Analysis!$A$5:$A$81,0))</f>
        <v>1</v>
      </c>
    </row>
    <row r="7774" customFormat="false" ht="15" hidden="false" customHeight="false" outlineLevel="0" collapsed="false">
      <c r="A7774" s="0" t="s">
        <v>8098</v>
      </c>
      <c r="B7774" s="0" t="s">
        <v>107</v>
      </c>
      <c r="C7774" s="0" t="str">
        <f aca="false">INDEX(Intent_Analysis!$B$5:$B$81,MATCH(B7774,Intent_Analysis!$A$5:$A$81,0))</f>
        <v>Top-ups</v>
      </c>
      <c r="D7774" s="0" t="n">
        <f aca="false">INDEX(Intent_Analysis!$E$5:$E$81,MATCH(B7774,Intent_Analysis!$A$5:$A$81,0))</f>
        <v>1</v>
      </c>
    </row>
    <row r="7775" customFormat="false" ht="15" hidden="false" customHeight="false" outlineLevel="0" collapsed="false">
      <c r="A7775" s="0" t="s">
        <v>8099</v>
      </c>
      <c r="B7775" s="0" t="s">
        <v>107</v>
      </c>
      <c r="C7775" s="0" t="str">
        <f aca="false">INDEX(Intent_Analysis!$B$5:$B$81,MATCH(B7775,Intent_Analysis!$A$5:$A$81,0))</f>
        <v>Top-ups</v>
      </c>
      <c r="D7775" s="0" t="n">
        <f aca="false">INDEX(Intent_Analysis!$E$5:$E$81,MATCH(B7775,Intent_Analysis!$A$5:$A$81,0))</f>
        <v>1</v>
      </c>
    </row>
    <row r="7776" customFormat="false" ht="15" hidden="false" customHeight="false" outlineLevel="0" collapsed="false">
      <c r="A7776" s="0" t="s">
        <v>8100</v>
      </c>
      <c r="B7776" s="0" t="s">
        <v>107</v>
      </c>
      <c r="C7776" s="0" t="str">
        <f aca="false">INDEX(Intent_Analysis!$B$5:$B$81,MATCH(B7776,Intent_Analysis!$A$5:$A$81,0))</f>
        <v>Top-ups</v>
      </c>
      <c r="D7776" s="0" t="n">
        <f aca="false">INDEX(Intent_Analysis!$E$5:$E$81,MATCH(B7776,Intent_Analysis!$A$5:$A$81,0))</f>
        <v>1</v>
      </c>
    </row>
    <row r="7777" customFormat="false" ht="15" hidden="false" customHeight="false" outlineLevel="0" collapsed="false">
      <c r="A7777" s="0" t="s">
        <v>8101</v>
      </c>
      <c r="B7777" s="0" t="s">
        <v>107</v>
      </c>
      <c r="C7777" s="0" t="str">
        <f aca="false">INDEX(Intent_Analysis!$B$5:$B$81,MATCH(B7777,Intent_Analysis!$A$5:$A$81,0))</f>
        <v>Top-ups</v>
      </c>
      <c r="D7777" s="0" t="n">
        <f aca="false">INDEX(Intent_Analysis!$E$5:$E$81,MATCH(B7777,Intent_Analysis!$A$5:$A$81,0))</f>
        <v>1</v>
      </c>
    </row>
    <row r="7778" customFormat="false" ht="15" hidden="false" customHeight="false" outlineLevel="0" collapsed="false">
      <c r="A7778" s="0" t="s">
        <v>8102</v>
      </c>
      <c r="B7778" s="0" t="s">
        <v>107</v>
      </c>
      <c r="C7778" s="0" t="str">
        <f aca="false">INDEX(Intent_Analysis!$B$5:$B$81,MATCH(B7778,Intent_Analysis!$A$5:$A$81,0))</f>
        <v>Top-ups</v>
      </c>
      <c r="D7778" s="0" t="n">
        <f aca="false">INDEX(Intent_Analysis!$E$5:$E$81,MATCH(B7778,Intent_Analysis!$A$5:$A$81,0))</f>
        <v>1</v>
      </c>
    </row>
    <row r="7779" customFormat="false" ht="15" hidden="false" customHeight="false" outlineLevel="0" collapsed="false">
      <c r="A7779" s="0" t="s">
        <v>8103</v>
      </c>
      <c r="B7779" s="0" t="s">
        <v>107</v>
      </c>
      <c r="C7779" s="0" t="str">
        <f aca="false">INDEX(Intent_Analysis!$B$5:$B$81,MATCH(B7779,Intent_Analysis!$A$5:$A$81,0))</f>
        <v>Top-ups</v>
      </c>
      <c r="D7779" s="0" t="n">
        <f aca="false">INDEX(Intent_Analysis!$E$5:$E$81,MATCH(B7779,Intent_Analysis!$A$5:$A$81,0))</f>
        <v>1</v>
      </c>
    </row>
    <row r="7780" customFormat="false" ht="15" hidden="false" customHeight="false" outlineLevel="0" collapsed="false">
      <c r="A7780" s="0" t="s">
        <v>8104</v>
      </c>
      <c r="B7780" s="0" t="s">
        <v>107</v>
      </c>
      <c r="C7780" s="0" t="str">
        <f aca="false">INDEX(Intent_Analysis!$B$5:$B$81,MATCH(B7780,Intent_Analysis!$A$5:$A$81,0))</f>
        <v>Top-ups</v>
      </c>
      <c r="D7780" s="0" t="n">
        <f aca="false">INDEX(Intent_Analysis!$E$5:$E$81,MATCH(B7780,Intent_Analysis!$A$5:$A$81,0))</f>
        <v>1</v>
      </c>
    </row>
    <row r="7781" customFormat="false" ht="15" hidden="false" customHeight="false" outlineLevel="0" collapsed="false">
      <c r="A7781" s="0" t="s">
        <v>8105</v>
      </c>
      <c r="B7781" s="0" t="s">
        <v>107</v>
      </c>
      <c r="C7781" s="0" t="str">
        <f aca="false">INDEX(Intent_Analysis!$B$5:$B$81,MATCH(B7781,Intent_Analysis!$A$5:$A$81,0))</f>
        <v>Top-ups</v>
      </c>
      <c r="D7781" s="0" t="n">
        <f aca="false">INDEX(Intent_Analysis!$E$5:$E$81,MATCH(B7781,Intent_Analysis!$A$5:$A$81,0))</f>
        <v>1</v>
      </c>
    </row>
    <row r="7782" customFormat="false" ht="15" hidden="false" customHeight="false" outlineLevel="0" collapsed="false">
      <c r="A7782" s="0" t="s">
        <v>8106</v>
      </c>
      <c r="B7782" s="0" t="s">
        <v>107</v>
      </c>
      <c r="C7782" s="0" t="str">
        <f aca="false">INDEX(Intent_Analysis!$B$5:$B$81,MATCH(B7782,Intent_Analysis!$A$5:$A$81,0))</f>
        <v>Top-ups</v>
      </c>
      <c r="D7782" s="0" t="n">
        <f aca="false">INDEX(Intent_Analysis!$E$5:$E$81,MATCH(B7782,Intent_Analysis!$A$5:$A$81,0))</f>
        <v>1</v>
      </c>
    </row>
    <row r="7783" customFormat="false" ht="15" hidden="false" customHeight="false" outlineLevel="0" collapsed="false">
      <c r="A7783" s="0" t="s">
        <v>8107</v>
      </c>
      <c r="B7783" s="0" t="s">
        <v>107</v>
      </c>
      <c r="C7783" s="0" t="str">
        <f aca="false">INDEX(Intent_Analysis!$B$5:$B$81,MATCH(B7783,Intent_Analysis!$A$5:$A$81,0))</f>
        <v>Top-ups</v>
      </c>
      <c r="D7783" s="0" t="n">
        <f aca="false">INDEX(Intent_Analysis!$E$5:$E$81,MATCH(B7783,Intent_Analysis!$A$5:$A$81,0))</f>
        <v>1</v>
      </c>
    </row>
    <row r="7784" customFormat="false" ht="15" hidden="false" customHeight="false" outlineLevel="0" collapsed="false">
      <c r="A7784" s="0" t="s">
        <v>8108</v>
      </c>
      <c r="B7784" s="0" t="s">
        <v>107</v>
      </c>
      <c r="C7784" s="0" t="str">
        <f aca="false">INDEX(Intent_Analysis!$B$5:$B$81,MATCH(B7784,Intent_Analysis!$A$5:$A$81,0))</f>
        <v>Top-ups</v>
      </c>
      <c r="D7784" s="0" t="n">
        <f aca="false">INDEX(Intent_Analysis!$E$5:$E$81,MATCH(B7784,Intent_Analysis!$A$5:$A$81,0))</f>
        <v>1</v>
      </c>
    </row>
    <row r="7785" customFormat="false" ht="15" hidden="false" customHeight="false" outlineLevel="0" collapsed="false">
      <c r="A7785" s="0" t="s">
        <v>8109</v>
      </c>
      <c r="B7785" s="0" t="s">
        <v>107</v>
      </c>
      <c r="C7785" s="0" t="str">
        <f aca="false">INDEX(Intent_Analysis!$B$5:$B$81,MATCH(B7785,Intent_Analysis!$A$5:$A$81,0))</f>
        <v>Top-ups</v>
      </c>
      <c r="D7785" s="0" t="n">
        <f aca="false">INDEX(Intent_Analysis!$E$5:$E$81,MATCH(B7785,Intent_Analysis!$A$5:$A$81,0))</f>
        <v>1</v>
      </c>
    </row>
    <row r="7786" customFormat="false" ht="15" hidden="false" customHeight="false" outlineLevel="0" collapsed="false">
      <c r="A7786" s="0" t="s">
        <v>8110</v>
      </c>
      <c r="B7786" s="0" t="s">
        <v>107</v>
      </c>
      <c r="C7786" s="0" t="str">
        <f aca="false">INDEX(Intent_Analysis!$B$5:$B$81,MATCH(B7786,Intent_Analysis!$A$5:$A$81,0))</f>
        <v>Top-ups</v>
      </c>
      <c r="D7786" s="0" t="n">
        <f aca="false">INDEX(Intent_Analysis!$E$5:$E$81,MATCH(B7786,Intent_Analysis!$A$5:$A$81,0))</f>
        <v>1</v>
      </c>
    </row>
    <row r="7787" customFormat="false" ht="15" hidden="false" customHeight="false" outlineLevel="0" collapsed="false">
      <c r="A7787" s="0" t="s">
        <v>8111</v>
      </c>
      <c r="B7787" s="0" t="s">
        <v>107</v>
      </c>
      <c r="C7787" s="0" t="str">
        <f aca="false">INDEX(Intent_Analysis!$B$5:$B$81,MATCH(B7787,Intent_Analysis!$A$5:$A$81,0))</f>
        <v>Top-ups</v>
      </c>
      <c r="D7787" s="0" t="n">
        <f aca="false">INDEX(Intent_Analysis!$E$5:$E$81,MATCH(B7787,Intent_Analysis!$A$5:$A$81,0))</f>
        <v>1</v>
      </c>
    </row>
    <row r="7788" customFormat="false" ht="15" hidden="false" customHeight="false" outlineLevel="0" collapsed="false">
      <c r="A7788" s="0" t="s">
        <v>8112</v>
      </c>
      <c r="B7788" s="0" t="s">
        <v>107</v>
      </c>
      <c r="C7788" s="0" t="str">
        <f aca="false">INDEX(Intent_Analysis!$B$5:$B$81,MATCH(B7788,Intent_Analysis!$A$5:$A$81,0))</f>
        <v>Top-ups</v>
      </c>
      <c r="D7788" s="0" t="n">
        <f aca="false">INDEX(Intent_Analysis!$E$5:$E$81,MATCH(B7788,Intent_Analysis!$A$5:$A$81,0))</f>
        <v>1</v>
      </c>
    </row>
    <row r="7789" customFormat="false" ht="15" hidden="false" customHeight="false" outlineLevel="0" collapsed="false">
      <c r="A7789" s="0" t="s">
        <v>8113</v>
      </c>
      <c r="B7789" s="0" t="s">
        <v>107</v>
      </c>
      <c r="C7789" s="0" t="str">
        <f aca="false">INDEX(Intent_Analysis!$B$5:$B$81,MATCH(B7789,Intent_Analysis!$A$5:$A$81,0))</f>
        <v>Top-ups</v>
      </c>
      <c r="D7789" s="0" t="n">
        <f aca="false">INDEX(Intent_Analysis!$E$5:$E$81,MATCH(B7789,Intent_Analysis!$A$5:$A$81,0))</f>
        <v>1</v>
      </c>
    </row>
    <row r="7790" customFormat="false" ht="15" hidden="false" customHeight="false" outlineLevel="0" collapsed="false">
      <c r="A7790" s="0" t="s">
        <v>8114</v>
      </c>
      <c r="B7790" s="0" t="s">
        <v>107</v>
      </c>
      <c r="C7790" s="0" t="str">
        <f aca="false">INDEX(Intent_Analysis!$B$5:$B$81,MATCH(B7790,Intent_Analysis!$A$5:$A$81,0))</f>
        <v>Top-ups</v>
      </c>
      <c r="D7790" s="0" t="n">
        <f aca="false">INDEX(Intent_Analysis!$E$5:$E$81,MATCH(B7790,Intent_Analysis!$A$5:$A$81,0))</f>
        <v>1</v>
      </c>
    </row>
    <row r="7791" customFormat="false" ht="15" hidden="false" customHeight="false" outlineLevel="0" collapsed="false">
      <c r="A7791" s="0" t="s">
        <v>8115</v>
      </c>
      <c r="B7791" s="0" t="s">
        <v>107</v>
      </c>
      <c r="C7791" s="0" t="str">
        <f aca="false">INDEX(Intent_Analysis!$B$5:$B$81,MATCH(B7791,Intent_Analysis!$A$5:$A$81,0))</f>
        <v>Top-ups</v>
      </c>
      <c r="D7791" s="0" t="n">
        <f aca="false">INDEX(Intent_Analysis!$E$5:$E$81,MATCH(B7791,Intent_Analysis!$A$5:$A$81,0))</f>
        <v>1</v>
      </c>
    </row>
    <row r="7792" customFormat="false" ht="15" hidden="false" customHeight="false" outlineLevel="0" collapsed="false">
      <c r="A7792" s="0" t="s">
        <v>8116</v>
      </c>
      <c r="B7792" s="0" t="s">
        <v>107</v>
      </c>
      <c r="C7792" s="0" t="str">
        <f aca="false">INDEX(Intent_Analysis!$B$5:$B$81,MATCH(B7792,Intent_Analysis!$A$5:$A$81,0))</f>
        <v>Top-ups</v>
      </c>
      <c r="D7792" s="0" t="n">
        <f aca="false">INDEX(Intent_Analysis!$E$5:$E$81,MATCH(B7792,Intent_Analysis!$A$5:$A$81,0))</f>
        <v>1</v>
      </c>
    </row>
    <row r="7793" customFormat="false" ht="15" hidden="false" customHeight="false" outlineLevel="0" collapsed="false">
      <c r="A7793" s="0" t="s">
        <v>8117</v>
      </c>
      <c r="B7793" s="0" t="s">
        <v>107</v>
      </c>
      <c r="C7793" s="0" t="str">
        <f aca="false">INDEX(Intent_Analysis!$B$5:$B$81,MATCH(B7793,Intent_Analysis!$A$5:$A$81,0))</f>
        <v>Top-ups</v>
      </c>
      <c r="D7793" s="0" t="n">
        <f aca="false">INDEX(Intent_Analysis!$E$5:$E$81,MATCH(B7793,Intent_Analysis!$A$5:$A$81,0))</f>
        <v>1</v>
      </c>
    </row>
    <row r="7794" customFormat="false" ht="15" hidden="false" customHeight="false" outlineLevel="0" collapsed="false">
      <c r="A7794" s="0" t="s">
        <v>8118</v>
      </c>
      <c r="B7794" s="0" t="s">
        <v>107</v>
      </c>
      <c r="C7794" s="0" t="str">
        <f aca="false">INDEX(Intent_Analysis!$B$5:$B$81,MATCH(B7794,Intent_Analysis!$A$5:$A$81,0))</f>
        <v>Top-ups</v>
      </c>
      <c r="D7794" s="0" t="n">
        <f aca="false">INDEX(Intent_Analysis!$E$5:$E$81,MATCH(B7794,Intent_Analysis!$A$5:$A$81,0))</f>
        <v>1</v>
      </c>
    </row>
    <row r="7795" customFormat="false" ht="15" hidden="false" customHeight="false" outlineLevel="0" collapsed="false">
      <c r="A7795" s="0" t="s">
        <v>8119</v>
      </c>
      <c r="B7795" s="0" t="s">
        <v>107</v>
      </c>
      <c r="C7795" s="0" t="str">
        <f aca="false">INDEX(Intent_Analysis!$B$5:$B$81,MATCH(B7795,Intent_Analysis!$A$5:$A$81,0))</f>
        <v>Top-ups</v>
      </c>
      <c r="D7795" s="0" t="n">
        <f aca="false">INDEX(Intent_Analysis!$E$5:$E$81,MATCH(B7795,Intent_Analysis!$A$5:$A$81,0))</f>
        <v>1</v>
      </c>
    </row>
    <row r="7796" customFormat="false" ht="15" hidden="false" customHeight="false" outlineLevel="0" collapsed="false">
      <c r="A7796" s="0" t="s">
        <v>8120</v>
      </c>
      <c r="B7796" s="0" t="s">
        <v>107</v>
      </c>
      <c r="C7796" s="0" t="str">
        <f aca="false">INDEX(Intent_Analysis!$B$5:$B$81,MATCH(B7796,Intent_Analysis!$A$5:$A$81,0))</f>
        <v>Top-ups</v>
      </c>
      <c r="D7796" s="0" t="n">
        <f aca="false">INDEX(Intent_Analysis!$E$5:$E$81,MATCH(B7796,Intent_Analysis!$A$5:$A$81,0))</f>
        <v>1</v>
      </c>
    </row>
    <row r="7797" customFormat="false" ht="15" hidden="false" customHeight="false" outlineLevel="0" collapsed="false">
      <c r="A7797" s="0" t="s">
        <v>8121</v>
      </c>
      <c r="B7797" s="0" t="s">
        <v>107</v>
      </c>
      <c r="C7797" s="0" t="str">
        <f aca="false">INDEX(Intent_Analysis!$B$5:$B$81,MATCH(B7797,Intent_Analysis!$A$5:$A$81,0))</f>
        <v>Top-ups</v>
      </c>
      <c r="D7797" s="0" t="n">
        <f aca="false">INDEX(Intent_Analysis!$E$5:$E$81,MATCH(B7797,Intent_Analysis!$A$5:$A$81,0))</f>
        <v>1</v>
      </c>
    </row>
    <row r="7798" customFormat="false" ht="15" hidden="false" customHeight="false" outlineLevel="0" collapsed="false">
      <c r="A7798" s="0" t="s">
        <v>8122</v>
      </c>
      <c r="B7798" s="0" t="s">
        <v>107</v>
      </c>
      <c r="C7798" s="0" t="str">
        <f aca="false">INDEX(Intent_Analysis!$B$5:$B$81,MATCH(B7798,Intent_Analysis!$A$5:$A$81,0))</f>
        <v>Top-ups</v>
      </c>
      <c r="D7798" s="0" t="n">
        <f aca="false">INDEX(Intent_Analysis!$E$5:$E$81,MATCH(B7798,Intent_Analysis!$A$5:$A$81,0))</f>
        <v>1</v>
      </c>
    </row>
    <row r="7799" customFormat="false" ht="15" hidden="false" customHeight="false" outlineLevel="0" collapsed="false">
      <c r="A7799" s="0" t="s">
        <v>8123</v>
      </c>
      <c r="B7799" s="0" t="s">
        <v>107</v>
      </c>
      <c r="C7799" s="0" t="str">
        <f aca="false">INDEX(Intent_Analysis!$B$5:$B$81,MATCH(B7799,Intent_Analysis!$A$5:$A$81,0))</f>
        <v>Top-ups</v>
      </c>
      <c r="D7799" s="0" t="n">
        <f aca="false">INDEX(Intent_Analysis!$E$5:$E$81,MATCH(B7799,Intent_Analysis!$A$5:$A$81,0))</f>
        <v>1</v>
      </c>
    </row>
    <row r="7800" customFormat="false" ht="15" hidden="false" customHeight="false" outlineLevel="0" collapsed="false">
      <c r="A7800" s="0" t="s">
        <v>8124</v>
      </c>
      <c r="B7800" s="0" t="s">
        <v>107</v>
      </c>
      <c r="C7800" s="0" t="str">
        <f aca="false">INDEX(Intent_Analysis!$B$5:$B$81,MATCH(B7800,Intent_Analysis!$A$5:$A$81,0))</f>
        <v>Top-ups</v>
      </c>
      <c r="D7800" s="0" t="n">
        <f aca="false">INDEX(Intent_Analysis!$E$5:$E$81,MATCH(B7800,Intent_Analysis!$A$5:$A$81,0))</f>
        <v>1</v>
      </c>
    </row>
    <row r="7801" customFormat="false" ht="15" hidden="false" customHeight="false" outlineLevel="0" collapsed="false">
      <c r="A7801" s="0" t="s">
        <v>8125</v>
      </c>
      <c r="B7801" s="0" t="s">
        <v>107</v>
      </c>
      <c r="C7801" s="0" t="str">
        <f aca="false">INDEX(Intent_Analysis!$B$5:$B$81,MATCH(B7801,Intent_Analysis!$A$5:$A$81,0))</f>
        <v>Top-ups</v>
      </c>
      <c r="D7801" s="0" t="n">
        <f aca="false">INDEX(Intent_Analysis!$E$5:$E$81,MATCH(B7801,Intent_Analysis!$A$5:$A$81,0))</f>
        <v>1</v>
      </c>
    </row>
    <row r="7802" customFormat="false" ht="15" hidden="false" customHeight="false" outlineLevel="0" collapsed="false">
      <c r="A7802" s="0" t="s">
        <v>8126</v>
      </c>
      <c r="B7802" s="0" t="s">
        <v>107</v>
      </c>
      <c r="C7802" s="0" t="str">
        <f aca="false">INDEX(Intent_Analysis!$B$5:$B$81,MATCH(B7802,Intent_Analysis!$A$5:$A$81,0))</f>
        <v>Top-ups</v>
      </c>
      <c r="D7802" s="0" t="n">
        <f aca="false">INDEX(Intent_Analysis!$E$5:$E$81,MATCH(B7802,Intent_Analysis!$A$5:$A$81,0))</f>
        <v>1</v>
      </c>
    </row>
    <row r="7803" customFormat="false" ht="15" hidden="false" customHeight="false" outlineLevel="0" collapsed="false">
      <c r="A7803" s="0" t="s">
        <v>8127</v>
      </c>
      <c r="B7803" s="0" t="s">
        <v>107</v>
      </c>
      <c r="C7803" s="0" t="str">
        <f aca="false">INDEX(Intent_Analysis!$B$5:$B$81,MATCH(B7803,Intent_Analysis!$A$5:$A$81,0))</f>
        <v>Top-ups</v>
      </c>
      <c r="D7803" s="0" t="n">
        <f aca="false">INDEX(Intent_Analysis!$E$5:$E$81,MATCH(B7803,Intent_Analysis!$A$5:$A$81,0))</f>
        <v>1</v>
      </c>
    </row>
    <row r="7804" customFormat="false" ht="15" hidden="false" customHeight="false" outlineLevel="0" collapsed="false">
      <c r="A7804" s="0" t="s">
        <v>8128</v>
      </c>
      <c r="B7804" s="0" t="s">
        <v>107</v>
      </c>
      <c r="C7804" s="0" t="str">
        <f aca="false">INDEX(Intent_Analysis!$B$5:$B$81,MATCH(B7804,Intent_Analysis!$A$5:$A$81,0))</f>
        <v>Top-ups</v>
      </c>
      <c r="D7804" s="0" t="n">
        <f aca="false">INDEX(Intent_Analysis!$E$5:$E$81,MATCH(B7804,Intent_Analysis!$A$5:$A$81,0))</f>
        <v>1</v>
      </c>
    </row>
    <row r="7805" customFormat="false" ht="15" hidden="false" customHeight="false" outlineLevel="0" collapsed="false">
      <c r="A7805" s="0" t="s">
        <v>8129</v>
      </c>
      <c r="B7805" s="0" t="s">
        <v>107</v>
      </c>
      <c r="C7805" s="0" t="str">
        <f aca="false">INDEX(Intent_Analysis!$B$5:$B$81,MATCH(B7805,Intent_Analysis!$A$5:$A$81,0))</f>
        <v>Top-ups</v>
      </c>
      <c r="D7805" s="0" t="n">
        <f aca="false">INDEX(Intent_Analysis!$E$5:$E$81,MATCH(B7805,Intent_Analysis!$A$5:$A$81,0))</f>
        <v>1</v>
      </c>
    </row>
    <row r="7806" customFormat="false" ht="15" hidden="false" customHeight="false" outlineLevel="0" collapsed="false">
      <c r="A7806" s="0" t="s">
        <v>8130</v>
      </c>
      <c r="B7806" s="0" t="s">
        <v>48</v>
      </c>
      <c r="C7806" s="0" t="str">
        <f aca="false">INDEX(Intent_Analysis!$B$5:$B$81,MATCH(B7806,Intent_Analysis!$A$5:$A$81,0))</f>
        <v>Card delivery &amp; activation</v>
      </c>
      <c r="D7806" s="0" t="n">
        <f aca="false">INDEX(Intent_Analysis!$E$5:$E$81,MATCH(B7806,Intent_Analysis!$A$5:$A$81,0))</f>
        <v>1</v>
      </c>
    </row>
    <row r="7807" customFormat="false" ht="15" hidden="false" customHeight="false" outlineLevel="0" collapsed="false">
      <c r="A7807" s="0" t="s">
        <v>8131</v>
      </c>
      <c r="B7807" s="0" t="s">
        <v>48</v>
      </c>
      <c r="C7807" s="0" t="str">
        <f aca="false">INDEX(Intent_Analysis!$B$5:$B$81,MATCH(B7807,Intent_Analysis!$A$5:$A$81,0))</f>
        <v>Card delivery &amp; activation</v>
      </c>
      <c r="D7807" s="0" t="n">
        <f aca="false">INDEX(Intent_Analysis!$E$5:$E$81,MATCH(B7807,Intent_Analysis!$A$5:$A$81,0))</f>
        <v>1</v>
      </c>
    </row>
    <row r="7808" customFormat="false" ht="15" hidden="false" customHeight="false" outlineLevel="0" collapsed="false">
      <c r="A7808" s="0" t="s">
        <v>8132</v>
      </c>
      <c r="B7808" s="0" t="s">
        <v>48</v>
      </c>
      <c r="C7808" s="0" t="str">
        <f aca="false">INDEX(Intent_Analysis!$B$5:$B$81,MATCH(B7808,Intent_Analysis!$A$5:$A$81,0))</f>
        <v>Card delivery &amp; activation</v>
      </c>
      <c r="D7808" s="0" t="n">
        <f aca="false">INDEX(Intent_Analysis!$E$5:$E$81,MATCH(B7808,Intent_Analysis!$A$5:$A$81,0))</f>
        <v>1</v>
      </c>
    </row>
    <row r="7809" customFormat="false" ht="15" hidden="false" customHeight="false" outlineLevel="0" collapsed="false">
      <c r="A7809" s="0" t="s">
        <v>8133</v>
      </c>
      <c r="B7809" s="0" t="s">
        <v>48</v>
      </c>
      <c r="C7809" s="0" t="str">
        <f aca="false">INDEX(Intent_Analysis!$B$5:$B$81,MATCH(B7809,Intent_Analysis!$A$5:$A$81,0))</f>
        <v>Card delivery &amp; activation</v>
      </c>
      <c r="D7809" s="0" t="n">
        <f aca="false">INDEX(Intent_Analysis!$E$5:$E$81,MATCH(B7809,Intent_Analysis!$A$5:$A$81,0))</f>
        <v>1</v>
      </c>
    </row>
    <row r="7810" customFormat="false" ht="15" hidden="false" customHeight="false" outlineLevel="0" collapsed="false">
      <c r="A7810" s="0" t="s">
        <v>8134</v>
      </c>
      <c r="B7810" s="0" t="s">
        <v>48</v>
      </c>
      <c r="C7810" s="0" t="str">
        <f aca="false">INDEX(Intent_Analysis!$B$5:$B$81,MATCH(B7810,Intent_Analysis!$A$5:$A$81,0))</f>
        <v>Card delivery &amp; activation</v>
      </c>
      <c r="D7810" s="0" t="n">
        <f aca="false">INDEX(Intent_Analysis!$E$5:$E$81,MATCH(B7810,Intent_Analysis!$A$5:$A$81,0))</f>
        <v>1</v>
      </c>
    </row>
    <row r="7811" customFormat="false" ht="15" hidden="false" customHeight="false" outlineLevel="0" collapsed="false">
      <c r="A7811" s="0" t="s">
        <v>8135</v>
      </c>
      <c r="B7811" s="0" t="s">
        <v>48</v>
      </c>
      <c r="C7811" s="0" t="str">
        <f aca="false">INDEX(Intent_Analysis!$B$5:$B$81,MATCH(B7811,Intent_Analysis!$A$5:$A$81,0))</f>
        <v>Card delivery &amp; activation</v>
      </c>
      <c r="D7811" s="0" t="n">
        <f aca="false">INDEX(Intent_Analysis!$E$5:$E$81,MATCH(B7811,Intent_Analysis!$A$5:$A$81,0))</f>
        <v>1</v>
      </c>
    </row>
    <row r="7812" customFormat="false" ht="15" hidden="false" customHeight="false" outlineLevel="0" collapsed="false">
      <c r="A7812" s="0" t="s">
        <v>8136</v>
      </c>
      <c r="B7812" s="0" t="s">
        <v>48</v>
      </c>
      <c r="C7812" s="0" t="str">
        <f aca="false">INDEX(Intent_Analysis!$B$5:$B$81,MATCH(B7812,Intent_Analysis!$A$5:$A$81,0))</f>
        <v>Card delivery &amp; activation</v>
      </c>
      <c r="D7812" s="0" t="n">
        <f aca="false">INDEX(Intent_Analysis!$E$5:$E$81,MATCH(B7812,Intent_Analysis!$A$5:$A$81,0))</f>
        <v>1</v>
      </c>
    </row>
    <row r="7813" customFormat="false" ht="15" hidden="false" customHeight="false" outlineLevel="0" collapsed="false">
      <c r="A7813" s="0" t="s">
        <v>8137</v>
      </c>
      <c r="B7813" s="0" t="s">
        <v>48</v>
      </c>
      <c r="C7813" s="0" t="str">
        <f aca="false">INDEX(Intent_Analysis!$B$5:$B$81,MATCH(B7813,Intent_Analysis!$A$5:$A$81,0))</f>
        <v>Card delivery &amp; activation</v>
      </c>
      <c r="D7813" s="0" t="n">
        <f aca="false">INDEX(Intent_Analysis!$E$5:$E$81,MATCH(B7813,Intent_Analysis!$A$5:$A$81,0))</f>
        <v>1</v>
      </c>
    </row>
    <row r="7814" customFormat="false" ht="15" hidden="false" customHeight="false" outlineLevel="0" collapsed="false">
      <c r="A7814" s="0" t="s">
        <v>8138</v>
      </c>
      <c r="B7814" s="0" t="s">
        <v>48</v>
      </c>
      <c r="C7814" s="0" t="str">
        <f aca="false">INDEX(Intent_Analysis!$B$5:$B$81,MATCH(B7814,Intent_Analysis!$A$5:$A$81,0))</f>
        <v>Card delivery &amp; activation</v>
      </c>
      <c r="D7814" s="0" t="n">
        <f aca="false">INDEX(Intent_Analysis!$E$5:$E$81,MATCH(B7814,Intent_Analysis!$A$5:$A$81,0))</f>
        <v>1</v>
      </c>
    </row>
    <row r="7815" customFormat="false" ht="15" hidden="false" customHeight="false" outlineLevel="0" collapsed="false">
      <c r="A7815" s="0" t="s">
        <v>8139</v>
      </c>
      <c r="B7815" s="0" t="s">
        <v>48</v>
      </c>
      <c r="C7815" s="0" t="str">
        <f aca="false">INDEX(Intent_Analysis!$B$5:$B$81,MATCH(B7815,Intent_Analysis!$A$5:$A$81,0))</f>
        <v>Card delivery &amp; activation</v>
      </c>
      <c r="D7815" s="0" t="n">
        <f aca="false">INDEX(Intent_Analysis!$E$5:$E$81,MATCH(B7815,Intent_Analysis!$A$5:$A$81,0))</f>
        <v>1</v>
      </c>
    </row>
    <row r="7816" customFormat="false" ht="15" hidden="false" customHeight="false" outlineLevel="0" collapsed="false">
      <c r="A7816" s="0" t="s">
        <v>8140</v>
      </c>
      <c r="B7816" s="0" t="s">
        <v>48</v>
      </c>
      <c r="C7816" s="0" t="str">
        <f aca="false">INDEX(Intent_Analysis!$B$5:$B$81,MATCH(B7816,Intent_Analysis!$A$5:$A$81,0))</f>
        <v>Card delivery &amp; activation</v>
      </c>
      <c r="D7816" s="0" t="n">
        <f aca="false">INDEX(Intent_Analysis!$E$5:$E$81,MATCH(B7816,Intent_Analysis!$A$5:$A$81,0))</f>
        <v>1</v>
      </c>
    </row>
    <row r="7817" customFormat="false" ht="15" hidden="false" customHeight="false" outlineLevel="0" collapsed="false">
      <c r="A7817" s="0" t="s">
        <v>8141</v>
      </c>
      <c r="B7817" s="0" t="s">
        <v>48</v>
      </c>
      <c r="C7817" s="0" t="str">
        <f aca="false">INDEX(Intent_Analysis!$B$5:$B$81,MATCH(B7817,Intent_Analysis!$A$5:$A$81,0))</f>
        <v>Card delivery &amp; activation</v>
      </c>
      <c r="D7817" s="0" t="n">
        <f aca="false">INDEX(Intent_Analysis!$E$5:$E$81,MATCH(B7817,Intent_Analysis!$A$5:$A$81,0))</f>
        <v>1</v>
      </c>
    </row>
    <row r="7818" customFormat="false" ht="15" hidden="false" customHeight="false" outlineLevel="0" collapsed="false">
      <c r="A7818" s="0" t="s">
        <v>8142</v>
      </c>
      <c r="B7818" s="0" t="s">
        <v>48</v>
      </c>
      <c r="C7818" s="0" t="str">
        <f aca="false">INDEX(Intent_Analysis!$B$5:$B$81,MATCH(B7818,Intent_Analysis!$A$5:$A$81,0))</f>
        <v>Card delivery &amp; activation</v>
      </c>
      <c r="D7818" s="0" t="n">
        <f aca="false">INDEX(Intent_Analysis!$E$5:$E$81,MATCH(B7818,Intent_Analysis!$A$5:$A$81,0))</f>
        <v>1</v>
      </c>
    </row>
    <row r="7819" customFormat="false" ht="15" hidden="false" customHeight="false" outlineLevel="0" collapsed="false">
      <c r="A7819" s="0" t="s">
        <v>8143</v>
      </c>
      <c r="B7819" s="0" t="s">
        <v>48</v>
      </c>
      <c r="C7819" s="0" t="str">
        <f aca="false">INDEX(Intent_Analysis!$B$5:$B$81,MATCH(B7819,Intent_Analysis!$A$5:$A$81,0))</f>
        <v>Card delivery &amp; activation</v>
      </c>
      <c r="D7819" s="0" t="n">
        <f aca="false">INDEX(Intent_Analysis!$E$5:$E$81,MATCH(B7819,Intent_Analysis!$A$5:$A$81,0))</f>
        <v>1</v>
      </c>
    </row>
    <row r="7820" customFormat="false" ht="15" hidden="false" customHeight="false" outlineLevel="0" collapsed="false">
      <c r="A7820" s="0" t="s">
        <v>8144</v>
      </c>
      <c r="B7820" s="0" t="s">
        <v>48</v>
      </c>
      <c r="C7820" s="0" t="str">
        <f aca="false">INDEX(Intent_Analysis!$B$5:$B$81,MATCH(B7820,Intent_Analysis!$A$5:$A$81,0))</f>
        <v>Card delivery &amp; activation</v>
      </c>
      <c r="D7820" s="0" t="n">
        <f aca="false">INDEX(Intent_Analysis!$E$5:$E$81,MATCH(B7820,Intent_Analysis!$A$5:$A$81,0))</f>
        <v>1</v>
      </c>
    </row>
    <row r="7821" customFormat="false" ht="15" hidden="false" customHeight="false" outlineLevel="0" collapsed="false">
      <c r="A7821" s="0" t="s">
        <v>8145</v>
      </c>
      <c r="B7821" s="0" t="s">
        <v>48</v>
      </c>
      <c r="C7821" s="0" t="str">
        <f aca="false">INDEX(Intent_Analysis!$B$5:$B$81,MATCH(B7821,Intent_Analysis!$A$5:$A$81,0))</f>
        <v>Card delivery &amp; activation</v>
      </c>
      <c r="D7821" s="0" t="n">
        <f aca="false">INDEX(Intent_Analysis!$E$5:$E$81,MATCH(B7821,Intent_Analysis!$A$5:$A$81,0))</f>
        <v>1</v>
      </c>
    </row>
    <row r="7822" customFormat="false" ht="15" hidden="false" customHeight="false" outlineLevel="0" collapsed="false">
      <c r="A7822" s="0" t="s">
        <v>8146</v>
      </c>
      <c r="B7822" s="0" t="s">
        <v>48</v>
      </c>
      <c r="C7822" s="0" t="str">
        <f aca="false">INDEX(Intent_Analysis!$B$5:$B$81,MATCH(B7822,Intent_Analysis!$A$5:$A$81,0))</f>
        <v>Card delivery &amp; activation</v>
      </c>
      <c r="D7822" s="0" t="n">
        <f aca="false">INDEX(Intent_Analysis!$E$5:$E$81,MATCH(B7822,Intent_Analysis!$A$5:$A$81,0))</f>
        <v>1</v>
      </c>
    </row>
    <row r="7823" customFormat="false" ht="15" hidden="false" customHeight="false" outlineLevel="0" collapsed="false">
      <c r="A7823" s="0" t="s">
        <v>8147</v>
      </c>
      <c r="B7823" s="0" t="s">
        <v>48</v>
      </c>
      <c r="C7823" s="0" t="str">
        <f aca="false">INDEX(Intent_Analysis!$B$5:$B$81,MATCH(B7823,Intent_Analysis!$A$5:$A$81,0))</f>
        <v>Card delivery &amp; activation</v>
      </c>
      <c r="D7823" s="0" t="n">
        <f aca="false">INDEX(Intent_Analysis!$E$5:$E$81,MATCH(B7823,Intent_Analysis!$A$5:$A$81,0))</f>
        <v>1</v>
      </c>
    </row>
    <row r="7824" customFormat="false" ht="15" hidden="false" customHeight="false" outlineLevel="0" collapsed="false">
      <c r="A7824" s="0" t="s">
        <v>8148</v>
      </c>
      <c r="B7824" s="0" t="s">
        <v>48</v>
      </c>
      <c r="C7824" s="0" t="str">
        <f aca="false">INDEX(Intent_Analysis!$B$5:$B$81,MATCH(B7824,Intent_Analysis!$A$5:$A$81,0))</f>
        <v>Card delivery &amp; activation</v>
      </c>
      <c r="D7824" s="0" t="n">
        <f aca="false">INDEX(Intent_Analysis!$E$5:$E$81,MATCH(B7824,Intent_Analysis!$A$5:$A$81,0))</f>
        <v>1</v>
      </c>
    </row>
    <row r="7825" customFormat="false" ht="15" hidden="false" customHeight="false" outlineLevel="0" collapsed="false">
      <c r="A7825" s="0" t="s">
        <v>8149</v>
      </c>
      <c r="B7825" s="0" t="s">
        <v>48</v>
      </c>
      <c r="C7825" s="0" t="str">
        <f aca="false">INDEX(Intent_Analysis!$B$5:$B$81,MATCH(B7825,Intent_Analysis!$A$5:$A$81,0))</f>
        <v>Card delivery &amp; activation</v>
      </c>
      <c r="D7825" s="0" t="n">
        <f aca="false">INDEX(Intent_Analysis!$E$5:$E$81,MATCH(B7825,Intent_Analysis!$A$5:$A$81,0))</f>
        <v>1</v>
      </c>
    </row>
    <row r="7826" customFormat="false" ht="15" hidden="false" customHeight="false" outlineLevel="0" collapsed="false">
      <c r="A7826" s="0" t="s">
        <v>8150</v>
      </c>
      <c r="B7826" s="0" t="s">
        <v>48</v>
      </c>
      <c r="C7826" s="0" t="str">
        <f aca="false">INDEX(Intent_Analysis!$B$5:$B$81,MATCH(B7826,Intent_Analysis!$A$5:$A$81,0))</f>
        <v>Card delivery &amp; activation</v>
      </c>
      <c r="D7826" s="0" t="n">
        <f aca="false">INDEX(Intent_Analysis!$E$5:$E$81,MATCH(B7826,Intent_Analysis!$A$5:$A$81,0))</f>
        <v>1</v>
      </c>
    </row>
    <row r="7827" customFormat="false" ht="15" hidden="false" customHeight="false" outlineLevel="0" collapsed="false">
      <c r="A7827" s="0" t="s">
        <v>8151</v>
      </c>
      <c r="B7827" s="0" t="s">
        <v>48</v>
      </c>
      <c r="C7827" s="0" t="str">
        <f aca="false">INDEX(Intent_Analysis!$B$5:$B$81,MATCH(B7827,Intent_Analysis!$A$5:$A$81,0))</f>
        <v>Card delivery &amp; activation</v>
      </c>
      <c r="D7827" s="0" t="n">
        <f aca="false">INDEX(Intent_Analysis!$E$5:$E$81,MATCH(B7827,Intent_Analysis!$A$5:$A$81,0))</f>
        <v>1</v>
      </c>
    </row>
    <row r="7828" customFormat="false" ht="15" hidden="false" customHeight="false" outlineLevel="0" collapsed="false">
      <c r="A7828" s="0" t="s">
        <v>8152</v>
      </c>
      <c r="B7828" s="0" t="s">
        <v>48</v>
      </c>
      <c r="C7828" s="0" t="str">
        <f aca="false">INDEX(Intent_Analysis!$B$5:$B$81,MATCH(B7828,Intent_Analysis!$A$5:$A$81,0))</f>
        <v>Card delivery &amp; activation</v>
      </c>
      <c r="D7828" s="0" t="n">
        <f aca="false">INDEX(Intent_Analysis!$E$5:$E$81,MATCH(B7828,Intent_Analysis!$A$5:$A$81,0))</f>
        <v>1</v>
      </c>
    </row>
    <row r="7829" customFormat="false" ht="15" hidden="false" customHeight="false" outlineLevel="0" collapsed="false">
      <c r="A7829" s="0" t="s">
        <v>8153</v>
      </c>
      <c r="B7829" s="0" t="s">
        <v>48</v>
      </c>
      <c r="C7829" s="0" t="str">
        <f aca="false">INDEX(Intent_Analysis!$B$5:$B$81,MATCH(B7829,Intent_Analysis!$A$5:$A$81,0))</f>
        <v>Card delivery &amp; activation</v>
      </c>
      <c r="D7829" s="0" t="n">
        <f aca="false">INDEX(Intent_Analysis!$E$5:$E$81,MATCH(B7829,Intent_Analysis!$A$5:$A$81,0))</f>
        <v>1</v>
      </c>
    </row>
    <row r="7830" customFormat="false" ht="15" hidden="false" customHeight="false" outlineLevel="0" collapsed="false">
      <c r="A7830" s="0" t="s">
        <v>8154</v>
      </c>
      <c r="B7830" s="0" t="s">
        <v>48</v>
      </c>
      <c r="C7830" s="0" t="str">
        <f aca="false">INDEX(Intent_Analysis!$B$5:$B$81,MATCH(B7830,Intent_Analysis!$A$5:$A$81,0))</f>
        <v>Card delivery &amp; activation</v>
      </c>
      <c r="D7830" s="0" t="n">
        <f aca="false">INDEX(Intent_Analysis!$E$5:$E$81,MATCH(B7830,Intent_Analysis!$A$5:$A$81,0))</f>
        <v>1</v>
      </c>
    </row>
    <row r="7831" customFormat="false" ht="15" hidden="false" customHeight="false" outlineLevel="0" collapsed="false">
      <c r="A7831" s="0" t="s">
        <v>8155</v>
      </c>
      <c r="B7831" s="0" t="s">
        <v>48</v>
      </c>
      <c r="C7831" s="0" t="str">
        <f aca="false">INDEX(Intent_Analysis!$B$5:$B$81,MATCH(B7831,Intent_Analysis!$A$5:$A$81,0))</f>
        <v>Card delivery &amp; activation</v>
      </c>
      <c r="D7831" s="0" t="n">
        <f aca="false">INDEX(Intent_Analysis!$E$5:$E$81,MATCH(B7831,Intent_Analysis!$A$5:$A$81,0))</f>
        <v>1</v>
      </c>
    </row>
    <row r="7832" customFormat="false" ht="15" hidden="false" customHeight="false" outlineLevel="0" collapsed="false">
      <c r="A7832" s="0" t="s">
        <v>8156</v>
      </c>
      <c r="B7832" s="0" t="s">
        <v>48</v>
      </c>
      <c r="C7832" s="0" t="str">
        <f aca="false">INDEX(Intent_Analysis!$B$5:$B$81,MATCH(B7832,Intent_Analysis!$A$5:$A$81,0))</f>
        <v>Card delivery &amp; activation</v>
      </c>
      <c r="D7832" s="0" t="n">
        <f aca="false">INDEX(Intent_Analysis!$E$5:$E$81,MATCH(B7832,Intent_Analysis!$A$5:$A$81,0))</f>
        <v>1</v>
      </c>
    </row>
    <row r="7833" customFormat="false" ht="15" hidden="false" customHeight="false" outlineLevel="0" collapsed="false">
      <c r="A7833" s="0" t="s">
        <v>8157</v>
      </c>
      <c r="B7833" s="0" t="s">
        <v>48</v>
      </c>
      <c r="C7833" s="0" t="str">
        <f aca="false">INDEX(Intent_Analysis!$B$5:$B$81,MATCH(B7833,Intent_Analysis!$A$5:$A$81,0))</f>
        <v>Card delivery &amp; activation</v>
      </c>
      <c r="D7833" s="0" t="n">
        <f aca="false">INDEX(Intent_Analysis!$E$5:$E$81,MATCH(B7833,Intent_Analysis!$A$5:$A$81,0))</f>
        <v>1</v>
      </c>
    </row>
    <row r="7834" customFormat="false" ht="15" hidden="false" customHeight="false" outlineLevel="0" collapsed="false">
      <c r="A7834" s="0" t="s">
        <v>8158</v>
      </c>
      <c r="B7834" s="0" t="s">
        <v>48</v>
      </c>
      <c r="C7834" s="0" t="str">
        <f aca="false">INDEX(Intent_Analysis!$B$5:$B$81,MATCH(B7834,Intent_Analysis!$A$5:$A$81,0))</f>
        <v>Card delivery &amp; activation</v>
      </c>
      <c r="D7834" s="0" t="n">
        <f aca="false">INDEX(Intent_Analysis!$E$5:$E$81,MATCH(B7834,Intent_Analysis!$A$5:$A$81,0))</f>
        <v>1</v>
      </c>
    </row>
    <row r="7835" customFormat="false" ht="15" hidden="false" customHeight="false" outlineLevel="0" collapsed="false">
      <c r="A7835" s="0" t="s">
        <v>8159</v>
      </c>
      <c r="B7835" s="0" t="s">
        <v>48</v>
      </c>
      <c r="C7835" s="0" t="str">
        <f aca="false">INDEX(Intent_Analysis!$B$5:$B$81,MATCH(B7835,Intent_Analysis!$A$5:$A$81,0))</f>
        <v>Card delivery &amp; activation</v>
      </c>
      <c r="D7835" s="0" t="n">
        <f aca="false">INDEX(Intent_Analysis!$E$5:$E$81,MATCH(B7835,Intent_Analysis!$A$5:$A$81,0))</f>
        <v>1</v>
      </c>
    </row>
    <row r="7836" customFormat="false" ht="15" hidden="false" customHeight="false" outlineLevel="0" collapsed="false">
      <c r="A7836" s="0" t="s">
        <v>8160</v>
      </c>
      <c r="B7836" s="0" t="s">
        <v>48</v>
      </c>
      <c r="C7836" s="0" t="str">
        <f aca="false">INDEX(Intent_Analysis!$B$5:$B$81,MATCH(B7836,Intent_Analysis!$A$5:$A$81,0))</f>
        <v>Card delivery &amp; activation</v>
      </c>
      <c r="D7836" s="0" t="n">
        <f aca="false">INDEX(Intent_Analysis!$E$5:$E$81,MATCH(B7836,Intent_Analysis!$A$5:$A$81,0))</f>
        <v>1</v>
      </c>
    </row>
    <row r="7837" customFormat="false" ht="15" hidden="false" customHeight="false" outlineLevel="0" collapsed="false">
      <c r="A7837" s="0" t="s">
        <v>8161</v>
      </c>
      <c r="B7837" s="0" t="s">
        <v>48</v>
      </c>
      <c r="C7837" s="0" t="str">
        <f aca="false">INDEX(Intent_Analysis!$B$5:$B$81,MATCH(B7837,Intent_Analysis!$A$5:$A$81,0))</f>
        <v>Card delivery &amp; activation</v>
      </c>
      <c r="D7837" s="0" t="n">
        <f aca="false">INDEX(Intent_Analysis!$E$5:$E$81,MATCH(B7837,Intent_Analysis!$A$5:$A$81,0))</f>
        <v>1</v>
      </c>
    </row>
    <row r="7838" customFormat="false" ht="15" hidden="false" customHeight="false" outlineLevel="0" collapsed="false">
      <c r="A7838" s="0" t="s">
        <v>8162</v>
      </c>
      <c r="B7838" s="0" t="s">
        <v>48</v>
      </c>
      <c r="C7838" s="0" t="str">
        <f aca="false">INDEX(Intent_Analysis!$B$5:$B$81,MATCH(B7838,Intent_Analysis!$A$5:$A$81,0))</f>
        <v>Card delivery &amp; activation</v>
      </c>
      <c r="D7838" s="0" t="n">
        <f aca="false">INDEX(Intent_Analysis!$E$5:$E$81,MATCH(B7838,Intent_Analysis!$A$5:$A$81,0))</f>
        <v>1</v>
      </c>
    </row>
    <row r="7839" customFormat="false" ht="15" hidden="false" customHeight="false" outlineLevel="0" collapsed="false">
      <c r="A7839" s="0" t="s">
        <v>8163</v>
      </c>
      <c r="B7839" s="0" t="s">
        <v>48</v>
      </c>
      <c r="C7839" s="0" t="str">
        <f aca="false">INDEX(Intent_Analysis!$B$5:$B$81,MATCH(B7839,Intent_Analysis!$A$5:$A$81,0))</f>
        <v>Card delivery &amp; activation</v>
      </c>
      <c r="D7839" s="0" t="n">
        <f aca="false">INDEX(Intent_Analysis!$E$5:$E$81,MATCH(B7839,Intent_Analysis!$A$5:$A$81,0))</f>
        <v>1</v>
      </c>
    </row>
    <row r="7840" customFormat="false" ht="15" hidden="false" customHeight="false" outlineLevel="0" collapsed="false">
      <c r="A7840" s="0" t="s">
        <v>8164</v>
      </c>
      <c r="B7840" s="0" t="s">
        <v>48</v>
      </c>
      <c r="C7840" s="0" t="str">
        <f aca="false">INDEX(Intent_Analysis!$B$5:$B$81,MATCH(B7840,Intent_Analysis!$A$5:$A$81,0))</f>
        <v>Card delivery &amp; activation</v>
      </c>
      <c r="D7840" s="0" t="n">
        <f aca="false">INDEX(Intent_Analysis!$E$5:$E$81,MATCH(B7840,Intent_Analysis!$A$5:$A$81,0))</f>
        <v>1</v>
      </c>
    </row>
    <row r="7841" customFormat="false" ht="15" hidden="false" customHeight="false" outlineLevel="0" collapsed="false">
      <c r="A7841" s="0" t="s">
        <v>8165</v>
      </c>
      <c r="B7841" s="0" t="s">
        <v>48</v>
      </c>
      <c r="C7841" s="0" t="str">
        <f aca="false">INDEX(Intent_Analysis!$B$5:$B$81,MATCH(B7841,Intent_Analysis!$A$5:$A$81,0))</f>
        <v>Card delivery &amp; activation</v>
      </c>
      <c r="D7841" s="0" t="n">
        <f aca="false">INDEX(Intent_Analysis!$E$5:$E$81,MATCH(B7841,Intent_Analysis!$A$5:$A$81,0))</f>
        <v>1</v>
      </c>
    </row>
    <row r="7842" customFormat="false" ht="15" hidden="false" customHeight="false" outlineLevel="0" collapsed="false">
      <c r="A7842" s="0" t="s">
        <v>8166</v>
      </c>
      <c r="B7842" s="0" t="s">
        <v>48</v>
      </c>
      <c r="C7842" s="0" t="str">
        <f aca="false">INDEX(Intent_Analysis!$B$5:$B$81,MATCH(B7842,Intent_Analysis!$A$5:$A$81,0))</f>
        <v>Card delivery &amp; activation</v>
      </c>
      <c r="D7842" s="0" t="n">
        <f aca="false">INDEX(Intent_Analysis!$E$5:$E$81,MATCH(B7842,Intent_Analysis!$A$5:$A$81,0))</f>
        <v>1</v>
      </c>
    </row>
    <row r="7843" customFormat="false" ht="15" hidden="false" customHeight="false" outlineLevel="0" collapsed="false">
      <c r="A7843" s="0" t="s">
        <v>8167</v>
      </c>
      <c r="B7843" s="0" t="s">
        <v>48</v>
      </c>
      <c r="C7843" s="0" t="str">
        <f aca="false">INDEX(Intent_Analysis!$B$5:$B$81,MATCH(B7843,Intent_Analysis!$A$5:$A$81,0))</f>
        <v>Card delivery &amp; activation</v>
      </c>
      <c r="D7843" s="0" t="n">
        <f aca="false">INDEX(Intent_Analysis!$E$5:$E$81,MATCH(B7843,Intent_Analysis!$A$5:$A$81,0))</f>
        <v>1</v>
      </c>
    </row>
    <row r="7844" customFormat="false" ht="15" hidden="false" customHeight="false" outlineLevel="0" collapsed="false">
      <c r="A7844" s="0" t="s">
        <v>8168</v>
      </c>
      <c r="B7844" s="0" t="s">
        <v>48</v>
      </c>
      <c r="C7844" s="0" t="str">
        <f aca="false">INDEX(Intent_Analysis!$B$5:$B$81,MATCH(B7844,Intent_Analysis!$A$5:$A$81,0))</f>
        <v>Card delivery &amp; activation</v>
      </c>
      <c r="D7844" s="0" t="n">
        <f aca="false">INDEX(Intent_Analysis!$E$5:$E$81,MATCH(B7844,Intent_Analysis!$A$5:$A$81,0))</f>
        <v>1</v>
      </c>
    </row>
    <row r="7845" customFormat="false" ht="15" hidden="false" customHeight="false" outlineLevel="0" collapsed="false">
      <c r="A7845" s="0" t="s">
        <v>8169</v>
      </c>
      <c r="B7845" s="0" t="s">
        <v>48</v>
      </c>
      <c r="C7845" s="0" t="str">
        <f aca="false">INDEX(Intent_Analysis!$B$5:$B$81,MATCH(B7845,Intent_Analysis!$A$5:$A$81,0))</f>
        <v>Card delivery &amp; activation</v>
      </c>
      <c r="D7845" s="0" t="n">
        <f aca="false">INDEX(Intent_Analysis!$E$5:$E$81,MATCH(B7845,Intent_Analysis!$A$5:$A$81,0))</f>
        <v>1</v>
      </c>
    </row>
    <row r="7846" customFormat="false" ht="15" hidden="false" customHeight="false" outlineLevel="0" collapsed="false">
      <c r="A7846" s="0" t="s">
        <v>8170</v>
      </c>
      <c r="B7846" s="0" t="s">
        <v>48</v>
      </c>
      <c r="C7846" s="0" t="str">
        <f aca="false">INDEX(Intent_Analysis!$B$5:$B$81,MATCH(B7846,Intent_Analysis!$A$5:$A$81,0))</f>
        <v>Card delivery &amp; activation</v>
      </c>
      <c r="D7846" s="0" t="n">
        <f aca="false">INDEX(Intent_Analysis!$E$5:$E$81,MATCH(B7846,Intent_Analysis!$A$5:$A$81,0))</f>
        <v>1</v>
      </c>
    </row>
    <row r="7847" customFormat="false" ht="15" hidden="false" customHeight="false" outlineLevel="0" collapsed="false">
      <c r="A7847" s="0" t="s">
        <v>8171</v>
      </c>
      <c r="B7847" s="0" t="s">
        <v>48</v>
      </c>
      <c r="C7847" s="0" t="str">
        <f aca="false">INDEX(Intent_Analysis!$B$5:$B$81,MATCH(B7847,Intent_Analysis!$A$5:$A$81,0))</f>
        <v>Card delivery &amp; activation</v>
      </c>
      <c r="D7847" s="0" t="n">
        <f aca="false">INDEX(Intent_Analysis!$E$5:$E$81,MATCH(B7847,Intent_Analysis!$A$5:$A$81,0))</f>
        <v>1</v>
      </c>
    </row>
    <row r="7848" customFormat="false" ht="15" hidden="false" customHeight="false" outlineLevel="0" collapsed="false">
      <c r="A7848" s="0" t="s">
        <v>8172</v>
      </c>
      <c r="B7848" s="0" t="s">
        <v>48</v>
      </c>
      <c r="C7848" s="0" t="str">
        <f aca="false">INDEX(Intent_Analysis!$B$5:$B$81,MATCH(B7848,Intent_Analysis!$A$5:$A$81,0))</f>
        <v>Card delivery &amp; activation</v>
      </c>
      <c r="D7848" s="0" t="n">
        <f aca="false">INDEX(Intent_Analysis!$E$5:$E$81,MATCH(B7848,Intent_Analysis!$A$5:$A$81,0))</f>
        <v>1</v>
      </c>
    </row>
    <row r="7849" customFormat="false" ht="15" hidden="false" customHeight="false" outlineLevel="0" collapsed="false">
      <c r="A7849" s="0" t="s">
        <v>8173</v>
      </c>
      <c r="B7849" s="0" t="s">
        <v>48</v>
      </c>
      <c r="C7849" s="0" t="str">
        <f aca="false">INDEX(Intent_Analysis!$B$5:$B$81,MATCH(B7849,Intent_Analysis!$A$5:$A$81,0))</f>
        <v>Card delivery &amp; activation</v>
      </c>
      <c r="D7849" s="0" t="n">
        <f aca="false">INDEX(Intent_Analysis!$E$5:$E$81,MATCH(B7849,Intent_Analysis!$A$5:$A$81,0))</f>
        <v>1</v>
      </c>
    </row>
    <row r="7850" customFormat="false" ht="15" hidden="false" customHeight="false" outlineLevel="0" collapsed="false">
      <c r="A7850" s="0" t="s">
        <v>8174</v>
      </c>
      <c r="B7850" s="0" t="s">
        <v>48</v>
      </c>
      <c r="C7850" s="0" t="str">
        <f aca="false">INDEX(Intent_Analysis!$B$5:$B$81,MATCH(B7850,Intent_Analysis!$A$5:$A$81,0))</f>
        <v>Card delivery &amp; activation</v>
      </c>
      <c r="D7850" s="0" t="n">
        <f aca="false">INDEX(Intent_Analysis!$E$5:$E$81,MATCH(B7850,Intent_Analysis!$A$5:$A$81,0))</f>
        <v>1</v>
      </c>
    </row>
    <row r="7851" customFormat="false" ht="15" hidden="false" customHeight="false" outlineLevel="0" collapsed="false">
      <c r="A7851" s="0" t="s">
        <v>8175</v>
      </c>
      <c r="B7851" s="0" t="s">
        <v>48</v>
      </c>
      <c r="C7851" s="0" t="str">
        <f aca="false">INDEX(Intent_Analysis!$B$5:$B$81,MATCH(B7851,Intent_Analysis!$A$5:$A$81,0))</f>
        <v>Card delivery &amp; activation</v>
      </c>
      <c r="D7851" s="0" t="n">
        <f aca="false">INDEX(Intent_Analysis!$E$5:$E$81,MATCH(B7851,Intent_Analysis!$A$5:$A$81,0))</f>
        <v>1</v>
      </c>
    </row>
    <row r="7852" customFormat="false" ht="15" hidden="false" customHeight="false" outlineLevel="0" collapsed="false">
      <c r="A7852" s="0" t="s">
        <v>8176</v>
      </c>
      <c r="B7852" s="0" t="s">
        <v>48</v>
      </c>
      <c r="C7852" s="0" t="str">
        <f aca="false">INDEX(Intent_Analysis!$B$5:$B$81,MATCH(B7852,Intent_Analysis!$A$5:$A$81,0))</f>
        <v>Card delivery &amp; activation</v>
      </c>
      <c r="D7852" s="0" t="n">
        <f aca="false">INDEX(Intent_Analysis!$E$5:$E$81,MATCH(B7852,Intent_Analysis!$A$5:$A$81,0))</f>
        <v>1</v>
      </c>
    </row>
    <row r="7853" customFormat="false" ht="15" hidden="false" customHeight="false" outlineLevel="0" collapsed="false">
      <c r="A7853" s="0" t="s">
        <v>8177</v>
      </c>
      <c r="B7853" s="0" t="s">
        <v>48</v>
      </c>
      <c r="C7853" s="0" t="str">
        <f aca="false">INDEX(Intent_Analysis!$B$5:$B$81,MATCH(B7853,Intent_Analysis!$A$5:$A$81,0))</f>
        <v>Card delivery &amp; activation</v>
      </c>
      <c r="D7853" s="0" t="n">
        <f aca="false">INDEX(Intent_Analysis!$E$5:$E$81,MATCH(B7853,Intent_Analysis!$A$5:$A$81,0))</f>
        <v>1</v>
      </c>
    </row>
    <row r="7854" customFormat="false" ht="15" hidden="false" customHeight="false" outlineLevel="0" collapsed="false">
      <c r="A7854" s="0" t="s">
        <v>8178</v>
      </c>
      <c r="B7854" s="0" t="s">
        <v>48</v>
      </c>
      <c r="C7854" s="0" t="str">
        <f aca="false">INDEX(Intent_Analysis!$B$5:$B$81,MATCH(B7854,Intent_Analysis!$A$5:$A$81,0))</f>
        <v>Card delivery &amp; activation</v>
      </c>
      <c r="D7854" s="0" t="n">
        <f aca="false">INDEX(Intent_Analysis!$E$5:$E$81,MATCH(B7854,Intent_Analysis!$A$5:$A$81,0))</f>
        <v>1</v>
      </c>
    </row>
    <row r="7855" customFormat="false" ht="15" hidden="false" customHeight="false" outlineLevel="0" collapsed="false">
      <c r="A7855" s="0" t="s">
        <v>8179</v>
      </c>
      <c r="B7855" s="0" t="s">
        <v>48</v>
      </c>
      <c r="C7855" s="0" t="str">
        <f aca="false">INDEX(Intent_Analysis!$B$5:$B$81,MATCH(B7855,Intent_Analysis!$A$5:$A$81,0))</f>
        <v>Card delivery &amp; activation</v>
      </c>
      <c r="D7855" s="0" t="n">
        <f aca="false">INDEX(Intent_Analysis!$E$5:$E$81,MATCH(B7855,Intent_Analysis!$A$5:$A$81,0))</f>
        <v>1</v>
      </c>
    </row>
    <row r="7856" customFormat="false" ht="15" hidden="false" customHeight="false" outlineLevel="0" collapsed="false">
      <c r="A7856" s="0" t="s">
        <v>8180</v>
      </c>
      <c r="B7856" s="0" t="s">
        <v>48</v>
      </c>
      <c r="C7856" s="0" t="str">
        <f aca="false">INDEX(Intent_Analysis!$B$5:$B$81,MATCH(B7856,Intent_Analysis!$A$5:$A$81,0))</f>
        <v>Card delivery &amp; activation</v>
      </c>
      <c r="D7856" s="0" t="n">
        <f aca="false">INDEX(Intent_Analysis!$E$5:$E$81,MATCH(B7856,Intent_Analysis!$A$5:$A$81,0))</f>
        <v>1</v>
      </c>
    </row>
    <row r="7857" customFormat="false" ht="15" hidden="false" customHeight="false" outlineLevel="0" collapsed="false">
      <c r="A7857" s="0" t="s">
        <v>8181</v>
      </c>
      <c r="B7857" s="0" t="s">
        <v>48</v>
      </c>
      <c r="C7857" s="0" t="str">
        <f aca="false">INDEX(Intent_Analysis!$B$5:$B$81,MATCH(B7857,Intent_Analysis!$A$5:$A$81,0))</f>
        <v>Card delivery &amp; activation</v>
      </c>
      <c r="D7857" s="0" t="n">
        <f aca="false">INDEX(Intent_Analysis!$E$5:$E$81,MATCH(B7857,Intent_Analysis!$A$5:$A$81,0))</f>
        <v>1</v>
      </c>
    </row>
    <row r="7858" customFormat="false" ht="15" hidden="false" customHeight="false" outlineLevel="0" collapsed="false">
      <c r="A7858" s="0" t="s">
        <v>8182</v>
      </c>
      <c r="B7858" s="0" t="s">
        <v>48</v>
      </c>
      <c r="C7858" s="0" t="str">
        <f aca="false">INDEX(Intent_Analysis!$B$5:$B$81,MATCH(B7858,Intent_Analysis!$A$5:$A$81,0))</f>
        <v>Card delivery &amp; activation</v>
      </c>
      <c r="D7858" s="0" t="n">
        <f aca="false">INDEX(Intent_Analysis!$E$5:$E$81,MATCH(B7858,Intent_Analysis!$A$5:$A$81,0))</f>
        <v>1</v>
      </c>
    </row>
    <row r="7859" customFormat="false" ht="15" hidden="false" customHeight="false" outlineLevel="0" collapsed="false">
      <c r="A7859" s="0" t="s">
        <v>8183</v>
      </c>
      <c r="B7859" s="0" t="s">
        <v>48</v>
      </c>
      <c r="C7859" s="0" t="str">
        <f aca="false">INDEX(Intent_Analysis!$B$5:$B$81,MATCH(B7859,Intent_Analysis!$A$5:$A$81,0))</f>
        <v>Card delivery &amp; activation</v>
      </c>
      <c r="D7859" s="0" t="n">
        <f aca="false">INDEX(Intent_Analysis!$E$5:$E$81,MATCH(B7859,Intent_Analysis!$A$5:$A$81,0))</f>
        <v>1</v>
      </c>
    </row>
    <row r="7860" customFormat="false" ht="15" hidden="false" customHeight="false" outlineLevel="0" collapsed="false">
      <c r="A7860" s="0" t="s">
        <v>8184</v>
      </c>
      <c r="B7860" s="0" t="s">
        <v>48</v>
      </c>
      <c r="C7860" s="0" t="str">
        <f aca="false">INDEX(Intent_Analysis!$B$5:$B$81,MATCH(B7860,Intent_Analysis!$A$5:$A$81,0))</f>
        <v>Card delivery &amp; activation</v>
      </c>
      <c r="D7860" s="0" t="n">
        <f aca="false">INDEX(Intent_Analysis!$E$5:$E$81,MATCH(B7860,Intent_Analysis!$A$5:$A$81,0))</f>
        <v>1</v>
      </c>
    </row>
    <row r="7861" customFormat="false" ht="15" hidden="false" customHeight="false" outlineLevel="0" collapsed="false">
      <c r="A7861" s="0" t="s">
        <v>8185</v>
      </c>
      <c r="B7861" s="0" t="s">
        <v>48</v>
      </c>
      <c r="C7861" s="0" t="str">
        <f aca="false">INDEX(Intent_Analysis!$B$5:$B$81,MATCH(B7861,Intent_Analysis!$A$5:$A$81,0))</f>
        <v>Card delivery &amp; activation</v>
      </c>
      <c r="D7861" s="0" t="n">
        <f aca="false">INDEX(Intent_Analysis!$E$5:$E$81,MATCH(B7861,Intent_Analysis!$A$5:$A$81,0))</f>
        <v>1</v>
      </c>
    </row>
    <row r="7862" customFormat="false" ht="15" hidden="false" customHeight="false" outlineLevel="0" collapsed="false">
      <c r="A7862" s="0" t="s">
        <v>8186</v>
      </c>
      <c r="B7862" s="0" t="s">
        <v>48</v>
      </c>
      <c r="C7862" s="0" t="str">
        <f aca="false">INDEX(Intent_Analysis!$B$5:$B$81,MATCH(B7862,Intent_Analysis!$A$5:$A$81,0))</f>
        <v>Card delivery &amp; activation</v>
      </c>
      <c r="D7862" s="0" t="n">
        <f aca="false">INDEX(Intent_Analysis!$E$5:$E$81,MATCH(B7862,Intent_Analysis!$A$5:$A$81,0))</f>
        <v>1</v>
      </c>
    </row>
    <row r="7863" customFormat="false" ht="15" hidden="false" customHeight="false" outlineLevel="0" collapsed="false">
      <c r="A7863" s="0" t="s">
        <v>8187</v>
      </c>
      <c r="B7863" s="0" t="s">
        <v>48</v>
      </c>
      <c r="C7863" s="0" t="str">
        <f aca="false">INDEX(Intent_Analysis!$B$5:$B$81,MATCH(B7863,Intent_Analysis!$A$5:$A$81,0))</f>
        <v>Card delivery &amp; activation</v>
      </c>
      <c r="D7863" s="0" t="n">
        <f aca="false">INDEX(Intent_Analysis!$E$5:$E$81,MATCH(B7863,Intent_Analysis!$A$5:$A$81,0))</f>
        <v>1</v>
      </c>
    </row>
    <row r="7864" customFormat="false" ht="15" hidden="false" customHeight="false" outlineLevel="0" collapsed="false">
      <c r="A7864" s="0" t="s">
        <v>8188</v>
      </c>
      <c r="B7864" s="0" t="s">
        <v>48</v>
      </c>
      <c r="C7864" s="0" t="str">
        <f aca="false">INDEX(Intent_Analysis!$B$5:$B$81,MATCH(B7864,Intent_Analysis!$A$5:$A$81,0))</f>
        <v>Card delivery &amp; activation</v>
      </c>
      <c r="D7864" s="0" t="n">
        <f aca="false">INDEX(Intent_Analysis!$E$5:$E$81,MATCH(B7864,Intent_Analysis!$A$5:$A$81,0))</f>
        <v>1</v>
      </c>
    </row>
    <row r="7865" customFormat="false" ht="15" hidden="false" customHeight="false" outlineLevel="0" collapsed="false">
      <c r="A7865" s="0" t="s">
        <v>8189</v>
      </c>
      <c r="B7865" s="0" t="s">
        <v>48</v>
      </c>
      <c r="C7865" s="0" t="str">
        <f aca="false">INDEX(Intent_Analysis!$B$5:$B$81,MATCH(B7865,Intent_Analysis!$A$5:$A$81,0))</f>
        <v>Card delivery &amp; activation</v>
      </c>
      <c r="D7865" s="0" t="n">
        <f aca="false">INDEX(Intent_Analysis!$E$5:$E$81,MATCH(B7865,Intent_Analysis!$A$5:$A$81,0))</f>
        <v>1</v>
      </c>
    </row>
    <row r="7866" customFormat="false" ht="15" hidden="false" customHeight="false" outlineLevel="0" collapsed="false">
      <c r="A7866" s="0" t="s">
        <v>8190</v>
      </c>
      <c r="B7866" s="0" t="s">
        <v>48</v>
      </c>
      <c r="C7866" s="0" t="str">
        <f aca="false">INDEX(Intent_Analysis!$B$5:$B$81,MATCH(B7866,Intent_Analysis!$A$5:$A$81,0))</f>
        <v>Card delivery &amp; activation</v>
      </c>
      <c r="D7866" s="0" t="n">
        <f aca="false">INDEX(Intent_Analysis!$E$5:$E$81,MATCH(B7866,Intent_Analysis!$A$5:$A$81,0))</f>
        <v>1</v>
      </c>
    </row>
    <row r="7867" customFormat="false" ht="15" hidden="false" customHeight="false" outlineLevel="0" collapsed="false">
      <c r="A7867" s="0" t="s">
        <v>8191</v>
      </c>
      <c r="B7867" s="0" t="s">
        <v>48</v>
      </c>
      <c r="C7867" s="0" t="str">
        <f aca="false">INDEX(Intent_Analysis!$B$5:$B$81,MATCH(B7867,Intent_Analysis!$A$5:$A$81,0))</f>
        <v>Card delivery &amp; activation</v>
      </c>
      <c r="D7867" s="0" t="n">
        <f aca="false">INDEX(Intent_Analysis!$E$5:$E$81,MATCH(B7867,Intent_Analysis!$A$5:$A$81,0))</f>
        <v>1</v>
      </c>
    </row>
    <row r="7868" customFormat="false" ht="15" hidden="false" customHeight="false" outlineLevel="0" collapsed="false">
      <c r="A7868" s="0" t="s">
        <v>8192</v>
      </c>
      <c r="B7868" s="0" t="s">
        <v>48</v>
      </c>
      <c r="C7868" s="0" t="str">
        <f aca="false">INDEX(Intent_Analysis!$B$5:$B$81,MATCH(B7868,Intent_Analysis!$A$5:$A$81,0))</f>
        <v>Card delivery &amp; activation</v>
      </c>
      <c r="D7868" s="0" t="n">
        <f aca="false">INDEX(Intent_Analysis!$E$5:$E$81,MATCH(B7868,Intent_Analysis!$A$5:$A$81,0))</f>
        <v>1</v>
      </c>
    </row>
    <row r="7869" customFormat="false" ht="15" hidden="false" customHeight="false" outlineLevel="0" collapsed="false">
      <c r="A7869" s="0" t="s">
        <v>8193</v>
      </c>
      <c r="B7869" s="0" t="s">
        <v>48</v>
      </c>
      <c r="C7869" s="0" t="str">
        <f aca="false">INDEX(Intent_Analysis!$B$5:$B$81,MATCH(B7869,Intent_Analysis!$A$5:$A$81,0))</f>
        <v>Card delivery &amp; activation</v>
      </c>
      <c r="D7869" s="0" t="n">
        <f aca="false">INDEX(Intent_Analysis!$E$5:$E$81,MATCH(B7869,Intent_Analysis!$A$5:$A$81,0))</f>
        <v>1</v>
      </c>
    </row>
    <row r="7870" customFormat="false" ht="15" hidden="false" customHeight="false" outlineLevel="0" collapsed="false">
      <c r="A7870" s="0" t="s">
        <v>8194</v>
      </c>
      <c r="B7870" s="0" t="s">
        <v>48</v>
      </c>
      <c r="C7870" s="0" t="str">
        <f aca="false">INDEX(Intent_Analysis!$B$5:$B$81,MATCH(B7870,Intent_Analysis!$A$5:$A$81,0))</f>
        <v>Card delivery &amp; activation</v>
      </c>
      <c r="D7870" s="0" t="n">
        <f aca="false">INDEX(Intent_Analysis!$E$5:$E$81,MATCH(B7870,Intent_Analysis!$A$5:$A$81,0))</f>
        <v>1</v>
      </c>
    </row>
    <row r="7871" customFormat="false" ht="15" hidden="false" customHeight="false" outlineLevel="0" collapsed="false">
      <c r="A7871" s="0" t="s">
        <v>8195</v>
      </c>
      <c r="B7871" s="0" t="s">
        <v>48</v>
      </c>
      <c r="C7871" s="0" t="str">
        <f aca="false">INDEX(Intent_Analysis!$B$5:$B$81,MATCH(B7871,Intent_Analysis!$A$5:$A$81,0))</f>
        <v>Card delivery &amp; activation</v>
      </c>
      <c r="D7871" s="0" t="n">
        <f aca="false">INDEX(Intent_Analysis!$E$5:$E$81,MATCH(B7871,Intent_Analysis!$A$5:$A$81,0))</f>
        <v>1</v>
      </c>
    </row>
    <row r="7872" customFormat="false" ht="15" hidden="false" customHeight="false" outlineLevel="0" collapsed="false">
      <c r="A7872" s="0" t="s">
        <v>8196</v>
      </c>
      <c r="B7872" s="0" t="s">
        <v>48</v>
      </c>
      <c r="C7872" s="0" t="str">
        <f aca="false">INDEX(Intent_Analysis!$B$5:$B$81,MATCH(B7872,Intent_Analysis!$A$5:$A$81,0))</f>
        <v>Card delivery &amp; activation</v>
      </c>
      <c r="D7872" s="0" t="n">
        <f aca="false">INDEX(Intent_Analysis!$E$5:$E$81,MATCH(B7872,Intent_Analysis!$A$5:$A$81,0))</f>
        <v>1</v>
      </c>
    </row>
    <row r="7873" customFormat="false" ht="15" hidden="false" customHeight="false" outlineLevel="0" collapsed="false">
      <c r="A7873" s="0" t="s">
        <v>8197</v>
      </c>
      <c r="B7873" s="0" t="s">
        <v>48</v>
      </c>
      <c r="C7873" s="0" t="str">
        <f aca="false">INDEX(Intent_Analysis!$B$5:$B$81,MATCH(B7873,Intent_Analysis!$A$5:$A$81,0))</f>
        <v>Card delivery &amp; activation</v>
      </c>
      <c r="D7873" s="0" t="n">
        <f aca="false">INDEX(Intent_Analysis!$E$5:$E$81,MATCH(B7873,Intent_Analysis!$A$5:$A$81,0))</f>
        <v>1</v>
      </c>
    </row>
    <row r="7874" customFormat="false" ht="15" hidden="false" customHeight="false" outlineLevel="0" collapsed="false">
      <c r="A7874" s="0" t="s">
        <v>8198</v>
      </c>
      <c r="B7874" s="0" t="s">
        <v>48</v>
      </c>
      <c r="C7874" s="0" t="str">
        <f aca="false">INDEX(Intent_Analysis!$B$5:$B$81,MATCH(B7874,Intent_Analysis!$A$5:$A$81,0))</f>
        <v>Card delivery &amp; activation</v>
      </c>
      <c r="D7874" s="0" t="n">
        <f aca="false">INDEX(Intent_Analysis!$E$5:$E$81,MATCH(B7874,Intent_Analysis!$A$5:$A$81,0))</f>
        <v>1</v>
      </c>
    </row>
    <row r="7875" customFormat="false" ht="15" hidden="false" customHeight="false" outlineLevel="0" collapsed="false">
      <c r="A7875" s="0" t="s">
        <v>8199</v>
      </c>
      <c r="B7875" s="0" t="s">
        <v>48</v>
      </c>
      <c r="C7875" s="0" t="str">
        <f aca="false">INDEX(Intent_Analysis!$B$5:$B$81,MATCH(B7875,Intent_Analysis!$A$5:$A$81,0))</f>
        <v>Card delivery &amp; activation</v>
      </c>
      <c r="D7875" s="0" t="n">
        <f aca="false">INDEX(Intent_Analysis!$E$5:$E$81,MATCH(B7875,Intent_Analysis!$A$5:$A$81,0))</f>
        <v>1</v>
      </c>
    </row>
    <row r="7876" customFormat="false" ht="15" hidden="false" customHeight="false" outlineLevel="0" collapsed="false">
      <c r="A7876" s="0" t="s">
        <v>8200</v>
      </c>
      <c r="B7876" s="0" t="s">
        <v>48</v>
      </c>
      <c r="C7876" s="0" t="str">
        <f aca="false">INDEX(Intent_Analysis!$B$5:$B$81,MATCH(B7876,Intent_Analysis!$A$5:$A$81,0))</f>
        <v>Card delivery &amp; activation</v>
      </c>
      <c r="D7876" s="0" t="n">
        <f aca="false">INDEX(Intent_Analysis!$E$5:$E$81,MATCH(B7876,Intent_Analysis!$A$5:$A$81,0))</f>
        <v>1</v>
      </c>
    </row>
    <row r="7877" customFormat="false" ht="15" hidden="false" customHeight="false" outlineLevel="0" collapsed="false">
      <c r="A7877" s="0" t="s">
        <v>8201</v>
      </c>
      <c r="B7877" s="0" t="s">
        <v>48</v>
      </c>
      <c r="C7877" s="0" t="str">
        <f aca="false">INDEX(Intent_Analysis!$B$5:$B$81,MATCH(B7877,Intent_Analysis!$A$5:$A$81,0))</f>
        <v>Card delivery &amp; activation</v>
      </c>
      <c r="D7877" s="0" t="n">
        <f aca="false">INDEX(Intent_Analysis!$E$5:$E$81,MATCH(B7877,Intent_Analysis!$A$5:$A$81,0))</f>
        <v>1</v>
      </c>
    </row>
    <row r="7878" customFormat="false" ht="15" hidden="false" customHeight="false" outlineLevel="0" collapsed="false">
      <c r="A7878" s="0" t="s">
        <v>8202</v>
      </c>
      <c r="B7878" s="0" t="s">
        <v>48</v>
      </c>
      <c r="C7878" s="0" t="str">
        <f aca="false">INDEX(Intent_Analysis!$B$5:$B$81,MATCH(B7878,Intent_Analysis!$A$5:$A$81,0))</f>
        <v>Card delivery &amp; activation</v>
      </c>
      <c r="D7878" s="0" t="n">
        <f aca="false">INDEX(Intent_Analysis!$E$5:$E$81,MATCH(B7878,Intent_Analysis!$A$5:$A$81,0))</f>
        <v>1</v>
      </c>
    </row>
    <row r="7879" customFormat="false" ht="15" hidden="false" customHeight="false" outlineLevel="0" collapsed="false">
      <c r="A7879" s="0" t="s">
        <v>8203</v>
      </c>
      <c r="B7879" s="0" t="s">
        <v>48</v>
      </c>
      <c r="C7879" s="0" t="str">
        <f aca="false">INDEX(Intent_Analysis!$B$5:$B$81,MATCH(B7879,Intent_Analysis!$A$5:$A$81,0))</f>
        <v>Card delivery &amp; activation</v>
      </c>
      <c r="D7879" s="0" t="n">
        <f aca="false">INDEX(Intent_Analysis!$E$5:$E$81,MATCH(B7879,Intent_Analysis!$A$5:$A$81,0))</f>
        <v>1</v>
      </c>
    </row>
    <row r="7880" customFormat="false" ht="15" hidden="false" customHeight="false" outlineLevel="0" collapsed="false">
      <c r="A7880" s="0" t="s">
        <v>8204</v>
      </c>
      <c r="B7880" s="0" t="s">
        <v>48</v>
      </c>
      <c r="C7880" s="0" t="str">
        <f aca="false">INDEX(Intent_Analysis!$B$5:$B$81,MATCH(B7880,Intent_Analysis!$A$5:$A$81,0))</f>
        <v>Card delivery &amp; activation</v>
      </c>
      <c r="D7880" s="0" t="n">
        <f aca="false">INDEX(Intent_Analysis!$E$5:$E$81,MATCH(B7880,Intent_Analysis!$A$5:$A$81,0))</f>
        <v>1</v>
      </c>
    </row>
    <row r="7881" customFormat="false" ht="15" hidden="false" customHeight="false" outlineLevel="0" collapsed="false">
      <c r="A7881" s="0" t="s">
        <v>8205</v>
      </c>
      <c r="B7881" s="0" t="s">
        <v>48</v>
      </c>
      <c r="C7881" s="0" t="str">
        <f aca="false">INDEX(Intent_Analysis!$B$5:$B$81,MATCH(B7881,Intent_Analysis!$A$5:$A$81,0))</f>
        <v>Card delivery &amp; activation</v>
      </c>
      <c r="D7881" s="0" t="n">
        <f aca="false">INDEX(Intent_Analysis!$E$5:$E$81,MATCH(B7881,Intent_Analysis!$A$5:$A$81,0))</f>
        <v>1</v>
      </c>
    </row>
    <row r="7882" customFormat="false" ht="15" hidden="false" customHeight="false" outlineLevel="0" collapsed="false">
      <c r="A7882" s="0" t="s">
        <v>8206</v>
      </c>
      <c r="B7882" s="0" t="s">
        <v>48</v>
      </c>
      <c r="C7882" s="0" t="str">
        <f aca="false">INDEX(Intent_Analysis!$B$5:$B$81,MATCH(B7882,Intent_Analysis!$A$5:$A$81,0))</f>
        <v>Card delivery &amp; activation</v>
      </c>
      <c r="D7882" s="0" t="n">
        <f aca="false">INDEX(Intent_Analysis!$E$5:$E$81,MATCH(B7882,Intent_Analysis!$A$5:$A$81,0))</f>
        <v>1</v>
      </c>
    </row>
    <row r="7883" customFormat="false" ht="15" hidden="false" customHeight="false" outlineLevel="0" collapsed="false">
      <c r="A7883" s="0" t="s">
        <v>8207</v>
      </c>
      <c r="B7883" s="0" t="s">
        <v>48</v>
      </c>
      <c r="C7883" s="0" t="str">
        <f aca="false">INDEX(Intent_Analysis!$B$5:$B$81,MATCH(B7883,Intent_Analysis!$A$5:$A$81,0))</f>
        <v>Card delivery &amp; activation</v>
      </c>
      <c r="D7883" s="0" t="n">
        <f aca="false">INDEX(Intent_Analysis!$E$5:$E$81,MATCH(B7883,Intent_Analysis!$A$5:$A$81,0))</f>
        <v>1</v>
      </c>
    </row>
    <row r="7884" customFormat="false" ht="15" hidden="false" customHeight="false" outlineLevel="0" collapsed="false">
      <c r="A7884" s="0" t="s">
        <v>8208</v>
      </c>
      <c r="B7884" s="0" t="s">
        <v>48</v>
      </c>
      <c r="C7884" s="0" t="str">
        <f aca="false">INDEX(Intent_Analysis!$B$5:$B$81,MATCH(B7884,Intent_Analysis!$A$5:$A$81,0))</f>
        <v>Card delivery &amp; activation</v>
      </c>
      <c r="D7884" s="0" t="n">
        <f aca="false">INDEX(Intent_Analysis!$E$5:$E$81,MATCH(B7884,Intent_Analysis!$A$5:$A$81,0))</f>
        <v>1</v>
      </c>
    </row>
    <row r="7885" customFormat="false" ht="15" hidden="false" customHeight="false" outlineLevel="0" collapsed="false">
      <c r="A7885" s="0" t="s">
        <v>8209</v>
      </c>
      <c r="B7885" s="0" t="s">
        <v>48</v>
      </c>
      <c r="C7885" s="0" t="str">
        <f aca="false">INDEX(Intent_Analysis!$B$5:$B$81,MATCH(B7885,Intent_Analysis!$A$5:$A$81,0))</f>
        <v>Card delivery &amp; activation</v>
      </c>
      <c r="D7885" s="0" t="n">
        <f aca="false">INDEX(Intent_Analysis!$E$5:$E$81,MATCH(B7885,Intent_Analysis!$A$5:$A$81,0))</f>
        <v>1</v>
      </c>
    </row>
    <row r="7886" customFormat="false" ht="15" hidden="false" customHeight="false" outlineLevel="0" collapsed="false">
      <c r="A7886" s="0" t="s">
        <v>8210</v>
      </c>
      <c r="B7886" s="0" t="s">
        <v>48</v>
      </c>
      <c r="C7886" s="0" t="str">
        <f aca="false">INDEX(Intent_Analysis!$B$5:$B$81,MATCH(B7886,Intent_Analysis!$A$5:$A$81,0))</f>
        <v>Card delivery &amp; activation</v>
      </c>
      <c r="D7886" s="0" t="n">
        <f aca="false">INDEX(Intent_Analysis!$E$5:$E$81,MATCH(B7886,Intent_Analysis!$A$5:$A$81,0))</f>
        <v>1</v>
      </c>
    </row>
    <row r="7887" customFormat="false" ht="15" hidden="false" customHeight="false" outlineLevel="0" collapsed="false">
      <c r="A7887" s="0" t="s">
        <v>8211</v>
      </c>
      <c r="B7887" s="0" t="s">
        <v>48</v>
      </c>
      <c r="C7887" s="0" t="str">
        <f aca="false">INDEX(Intent_Analysis!$B$5:$B$81,MATCH(B7887,Intent_Analysis!$A$5:$A$81,0))</f>
        <v>Card delivery &amp; activation</v>
      </c>
      <c r="D7887" s="0" t="n">
        <f aca="false">INDEX(Intent_Analysis!$E$5:$E$81,MATCH(B7887,Intent_Analysis!$A$5:$A$81,0))</f>
        <v>1</v>
      </c>
    </row>
    <row r="7888" customFormat="false" ht="15" hidden="false" customHeight="false" outlineLevel="0" collapsed="false">
      <c r="A7888" s="0" t="s">
        <v>8212</v>
      </c>
      <c r="B7888" s="0" t="s">
        <v>48</v>
      </c>
      <c r="C7888" s="0" t="str">
        <f aca="false">INDEX(Intent_Analysis!$B$5:$B$81,MATCH(B7888,Intent_Analysis!$A$5:$A$81,0))</f>
        <v>Card delivery &amp; activation</v>
      </c>
      <c r="D7888" s="0" t="n">
        <f aca="false">INDEX(Intent_Analysis!$E$5:$E$81,MATCH(B7888,Intent_Analysis!$A$5:$A$81,0))</f>
        <v>1</v>
      </c>
    </row>
    <row r="7889" customFormat="false" ht="15" hidden="false" customHeight="false" outlineLevel="0" collapsed="false">
      <c r="A7889" s="0" t="s">
        <v>8213</v>
      </c>
      <c r="B7889" s="0" t="s">
        <v>48</v>
      </c>
      <c r="C7889" s="0" t="str">
        <f aca="false">INDEX(Intent_Analysis!$B$5:$B$81,MATCH(B7889,Intent_Analysis!$A$5:$A$81,0))</f>
        <v>Card delivery &amp; activation</v>
      </c>
      <c r="D7889" s="0" t="n">
        <f aca="false">INDEX(Intent_Analysis!$E$5:$E$81,MATCH(B7889,Intent_Analysis!$A$5:$A$81,0))</f>
        <v>1</v>
      </c>
    </row>
    <row r="7890" customFormat="false" ht="15" hidden="false" customHeight="false" outlineLevel="0" collapsed="false">
      <c r="A7890" s="0" t="s">
        <v>8214</v>
      </c>
      <c r="B7890" s="0" t="s">
        <v>48</v>
      </c>
      <c r="C7890" s="0" t="str">
        <f aca="false">INDEX(Intent_Analysis!$B$5:$B$81,MATCH(B7890,Intent_Analysis!$A$5:$A$81,0))</f>
        <v>Card delivery &amp; activation</v>
      </c>
      <c r="D7890" s="0" t="n">
        <f aca="false">INDEX(Intent_Analysis!$E$5:$E$81,MATCH(B7890,Intent_Analysis!$A$5:$A$81,0))</f>
        <v>1</v>
      </c>
    </row>
    <row r="7891" customFormat="false" ht="15" hidden="false" customHeight="false" outlineLevel="0" collapsed="false">
      <c r="A7891" s="0" t="s">
        <v>8215</v>
      </c>
      <c r="B7891" s="0" t="s">
        <v>48</v>
      </c>
      <c r="C7891" s="0" t="str">
        <f aca="false">INDEX(Intent_Analysis!$B$5:$B$81,MATCH(B7891,Intent_Analysis!$A$5:$A$81,0))</f>
        <v>Card delivery &amp; activation</v>
      </c>
      <c r="D7891" s="0" t="n">
        <f aca="false">INDEX(Intent_Analysis!$E$5:$E$81,MATCH(B7891,Intent_Analysis!$A$5:$A$81,0))</f>
        <v>1</v>
      </c>
    </row>
    <row r="7892" customFormat="false" ht="15" hidden="false" customHeight="false" outlineLevel="0" collapsed="false">
      <c r="A7892" s="0" t="s">
        <v>8216</v>
      </c>
      <c r="B7892" s="0" t="s">
        <v>48</v>
      </c>
      <c r="C7892" s="0" t="str">
        <f aca="false">INDEX(Intent_Analysis!$B$5:$B$81,MATCH(B7892,Intent_Analysis!$A$5:$A$81,0))</f>
        <v>Card delivery &amp; activation</v>
      </c>
      <c r="D7892" s="0" t="n">
        <f aca="false">INDEX(Intent_Analysis!$E$5:$E$81,MATCH(B7892,Intent_Analysis!$A$5:$A$81,0))</f>
        <v>1</v>
      </c>
    </row>
    <row r="7893" customFormat="false" ht="15" hidden="false" customHeight="false" outlineLevel="0" collapsed="false">
      <c r="A7893" s="0" t="s">
        <v>8217</v>
      </c>
      <c r="B7893" s="0" t="s">
        <v>48</v>
      </c>
      <c r="C7893" s="0" t="str">
        <f aca="false">INDEX(Intent_Analysis!$B$5:$B$81,MATCH(B7893,Intent_Analysis!$A$5:$A$81,0))</f>
        <v>Card delivery &amp; activation</v>
      </c>
      <c r="D7893" s="0" t="n">
        <f aca="false">INDEX(Intent_Analysis!$E$5:$E$81,MATCH(B7893,Intent_Analysis!$A$5:$A$81,0))</f>
        <v>1</v>
      </c>
    </row>
    <row r="7894" customFormat="false" ht="15" hidden="false" customHeight="false" outlineLevel="0" collapsed="false">
      <c r="A7894" s="0" t="s">
        <v>8218</v>
      </c>
      <c r="B7894" s="0" t="s">
        <v>48</v>
      </c>
      <c r="C7894" s="0" t="str">
        <f aca="false">INDEX(Intent_Analysis!$B$5:$B$81,MATCH(B7894,Intent_Analysis!$A$5:$A$81,0))</f>
        <v>Card delivery &amp; activation</v>
      </c>
      <c r="D7894" s="0" t="n">
        <f aca="false">INDEX(Intent_Analysis!$E$5:$E$81,MATCH(B7894,Intent_Analysis!$A$5:$A$81,0))</f>
        <v>1</v>
      </c>
    </row>
    <row r="7895" customFormat="false" ht="15" hidden="false" customHeight="false" outlineLevel="0" collapsed="false">
      <c r="A7895" s="0" t="s">
        <v>8219</v>
      </c>
      <c r="B7895" s="0" t="s">
        <v>48</v>
      </c>
      <c r="C7895" s="0" t="str">
        <f aca="false">INDEX(Intent_Analysis!$B$5:$B$81,MATCH(B7895,Intent_Analysis!$A$5:$A$81,0))</f>
        <v>Card delivery &amp; activation</v>
      </c>
      <c r="D7895" s="0" t="n">
        <f aca="false">INDEX(Intent_Analysis!$E$5:$E$81,MATCH(B7895,Intent_Analysis!$A$5:$A$81,0))</f>
        <v>1</v>
      </c>
    </row>
    <row r="7896" customFormat="false" ht="15" hidden="false" customHeight="false" outlineLevel="0" collapsed="false">
      <c r="A7896" s="0" t="s">
        <v>8220</v>
      </c>
      <c r="B7896" s="0" t="s">
        <v>48</v>
      </c>
      <c r="C7896" s="0" t="str">
        <f aca="false">INDEX(Intent_Analysis!$B$5:$B$81,MATCH(B7896,Intent_Analysis!$A$5:$A$81,0))</f>
        <v>Card delivery &amp; activation</v>
      </c>
      <c r="D7896" s="0" t="n">
        <f aca="false">INDEX(Intent_Analysis!$E$5:$E$81,MATCH(B7896,Intent_Analysis!$A$5:$A$81,0))</f>
        <v>1</v>
      </c>
    </row>
    <row r="7897" customFormat="false" ht="15" hidden="false" customHeight="false" outlineLevel="0" collapsed="false">
      <c r="A7897" s="0" t="s">
        <v>8221</v>
      </c>
      <c r="B7897" s="0" t="s">
        <v>48</v>
      </c>
      <c r="C7897" s="0" t="str">
        <f aca="false">INDEX(Intent_Analysis!$B$5:$B$81,MATCH(B7897,Intent_Analysis!$A$5:$A$81,0))</f>
        <v>Card delivery &amp; activation</v>
      </c>
      <c r="D7897" s="0" t="n">
        <f aca="false">INDEX(Intent_Analysis!$E$5:$E$81,MATCH(B7897,Intent_Analysis!$A$5:$A$81,0))</f>
        <v>1</v>
      </c>
    </row>
    <row r="7898" customFormat="false" ht="15" hidden="false" customHeight="false" outlineLevel="0" collapsed="false">
      <c r="A7898" s="0" t="s">
        <v>8222</v>
      </c>
      <c r="B7898" s="0" t="s">
        <v>48</v>
      </c>
      <c r="C7898" s="0" t="str">
        <f aca="false">INDEX(Intent_Analysis!$B$5:$B$81,MATCH(B7898,Intent_Analysis!$A$5:$A$81,0))</f>
        <v>Card delivery &amp; activation</v>
      </c>
      <c r="D7898" s="0" t="n">
        <f aca="false">INDEX(Intent_Analysis!$E$5:$E$81,MATCH(B7898,Intent_Analysis!$A$5:$A$81,0))</f>
        <v>1</v>
      </c>
    </row>
    <row r="7899" customFormat="false" ht="15" hidden="false" customHeight="false" outlineLevel="0" collapsed="false">
      <c r="A7899" s="0" t="s">
        <v>8223</v>
      </c>
      <c r="B7899" s="0" t="s">
        <v>48</v>
      </c>
      <c r="C7899" s="0" t="str">
        <f aca="false">INDEX(Intent_Analysis!$B$5:$B$81,MATCH(B7899,Intent_Analysis!$A$5:$A$81,0))</f>
        <v>Card delivery &amp; activation</v>
      </c>
      <c r="D7899" s="0" t="n">
        <f aca="false">INDEX(Intent_Analysis!$E$5:$E$81,MATCH(B7899,Intent_Analysis!$A$5:$A$81,0))</f>
        <v>1</v>
      </c>
    </row>
    <row r="7900" customFormat="false" ht="15" hidden="false" customHeight="false" outlineLevel="0" collapsed="false">
      <c r="A7900" s="0" t="s">
        <v>8224</v>
      </c>
      <c r="B7900" s="0" t="s">
        <v>48</v>
      </c>
      <c r="C7900" s="0" t="str">
        <f aca="false">INDEX(Intent_Analysis!$B$5:$B$81,MATCH(B7900,Intent_Analysis!$A$5:$A$81,0))</f>
        <v>Card delivery &amp; activation</v>
      </c>
      <c r="D7900" s="0" t="n">
        <f aca="false">INDEX(Intent_Analysis!$E$5:$E$81,MATCH(B7900,Intent_Analysis!$A$5:$A$81,0))</f>
        <v>1</v>
      </c>
    </row>
    <row r="7901" customFormat="false" ht="15" hidden="false" customHeight="false" outlineLevel="0" collapsed="false">
      <c r="A7901" s="0" t="s">
        <v>8225</v>
      </c>
      <c r="B7901" s="0" t="s">
        <v>48</v>
      </c>
      <c r="C7901" s="0" t="str">
        <f aca="false">INDEX(Intent_Analysis!$B$5:$B$81,MATCH(B7901,Intent_Analysis!$A$5:$A$81,0))</f>
        <v>Card delivery &amp; activation</v>
      </c>
      <c r="D7901" s="0" t="n">
        <f aca="false">INDEX(Intent_Analysis!$E$5:$E$81,MATCH(B7901,Intent_Analysis!$A$5:$A$81,0))</f>
        <v>1</v>
      </c>
    </row>
    <row r="7902" customFormat="false" ht="15" hidden="false" customHeight="false" outlineLevel="0" collapsed="false">
      <c r="A7902" s="0" t="s">
        <v>8226</v>
      </c>
      <c r="B7902" s="0" t="s">
        <v>48</v>
      </c>
      <c r="C7902" s="0" t="str">
        <f aca="false">INDEX(Intent_Analysis!$B$5:$B$81,MATCH(B7902,Intent_Analysis!$A$5:$A$81,0))</f>
        <v>Card delivery &amp; activation</v>
      </c>
      <c r="D7902" s="0" t="n">
        <f aca="false">INDEX(Intent_Analysis!$E$5:$E$81,MATCH(B7902,Intent_Analysis!$A$5:$A$81,0))</f>
        <v>1</v>
      </c>
    </row>
    <row r="7903" customFormat="false" ht="15" hidden="false" customHeight="false" outlineLevel="0" collapsed="false">
      <c r="A7903" s="0" t="s">
        <v>8227</v>
      </c>
      <c r="B7903" s="0" t="s">
        <v>48</v>
      </c>
      <c r="C7903" s="0" t="str">
        <f aca="false">INDEX(Intent_Analysis!$B$5:$B$81,MATCH(B7903,Intent_Analysis!$A$5:$A$81,0))</f>
        <v>Card delivery &amp; activation</v>
      </c>
      <c r="D7903" s="0" t="n">
        <f aca="false">INDEX(Intent_Analysis!$E$5:$E$81,MATCH(B7903,Intent_Analysis!$A$5:$A$81,0))</f>
        <v>1</v>
      </c>
    </row>
    <row r="7904" customFormat="false" ht="15" hidden="false" customHeight="false" outlineLevel="0" collapsed="false">
      <c r="A7904" s="0" t="s">
        <v>8228</v>
      </c>
      <c r="B7904" s="0" t="s">
        <v>48</v>
      </c>
      <c r="C7904" s="0" t="str">
        <f aca="false">INDEX(Intent_Analysis!$B$5:$B$81,MATCH(B7904,Intent_Analysis!$A$5:$A$81,0))</f>
        <v>Card delivery &amp; activation</v>
      </c>
      <c r="D7904" s="0" t="n">
        <f aca="false">INDEX(Intent_Analysis!$E$5:$E$81,MATCH(B7904,Intent_Analysis!$A$5:$A$81,0))</f>
        <v>1</v>
      </c>
    </row>
    <row r="7905" customFormat="false" ht="15" hidden="false" customHeight="false" outlineLevel="0" collapsed="false">
      <c r="A7905" s="0" t="s">
        <v>8229</v>
      </c>
      <c r="B7905" s="0" t="s">
        <v>48</v>
      </c>
      <c r="C7905" s="0" t="str">
        <f aca="false">INDEX(Intent_Analysis!$B$5:$B$81,MATCH(B7905,Intent_Analysis!$A$5:$A$81,0))</f>
        <v>Card delivery &amp; activation</v>
      </c>
      <c r="D7905" s="0" t="n">
        <f aca="false">INDEX(Intent_Analysis!$E$5:$E$81,MATCH(B7905,Intent_Analysis!$A$5:$A$81,0))</f>
        <v>1</v>
      </c>
    </row>
    <row r="7906" customFormat="false" ht="15" hidden="false" customHeight="false" outlineLevel="0" collapsed="false">
      <c r="A7906" s="0" t="s">
        <v>8230</v>
      </c>
      <c r="B7906" s="0" t="s">
        <v>48</v>
      </c>
      <c r="C7906" s="0" t="str">
        <f aca="false">INDEX(Intent_Analysis!$B$5:$B$81,MATCH(B7906,Intent_Analysis!$A$5:$A$81,0))</f>
        <v>Card delivery &amp; activation</v>
      </c>
      <c r="D7906" s="0" t="n">
        <f aca="false">INDEX(Intent_Analysis!$E$5:$E$81,MATCH(B7906,Intent_Analysis!$A$5:$A$81,0))</f>
        <v>1</v>
      </c>
    </row>
    <row r="7907" customFormat="false" ht="15" hidden="false" customHeight="false" outlineLevel="0" collapsed="false">
      <c r="A7907" s="0" t="s">
        <v>8231</v>
      </c>
      <c r="B7907" s="0" t="s">
        <v>48</v>
      </c>
      <c r="C7907" s="0" t="str">
        <f aca="false">INDEX(Intent_Analysis!$B$5:$B$81,MATCH(B7907,Intent_Analysis!$A$5:$A$81,0))</f>
        <v>Card delivery &amp; activation</v>
      </c>
      <c r="D7907" s="0" t="n">
        <f aca="false">INDEX(Intent_Analysis!$E$5:$E$81,MATCH(B7907,Intent_Analysis!$A$5:$A$81,0))</f>
        <v>1</v>
      </c>
    </row>
    <row r="7908" customFormat="false" ht="15" hidden="false" customHeight="false" outlineLevel="0" collapsed="false">
      <c r="A7908" s="0" t="s">
        <v>8232</v>
      </c>
      <c r="B7908" s="0" t="s">
        <v>48</v>
      </c>
      <c r="C7908" s="0" t="str">
        <f aca="false">INDEX(Intent_Analysis!$B$5:$B$81,MATCH(B7908,Intent_Analysis!$A$5:$A$81,0))</f>
        <v>Card delivery &amp; activation</v>
      </c>
      <c r="D7908" s="0" t="n">
        <f aca="false">INDEX(Intent_Analysis!$E$5:$E$81,MATCH(B7908,Intent_Analysis!$A$5:$A$81,0))</f>
        <v>1</v>
      </c>
    </row>
    <row r="7909" customFormat="false" ht="15" hidden="false" customHeight="false" outlineLevel="0" collapsed="false">
      <c r="A7909" s="0" t="s">
        <v>8233</v>
      </c>
      <c r="B7909" s="0" t="s">
        <v>48</v>
      </c>
      <c r="C7909" s="0" t="str">
        <f aca="false">INDEX(Intent_Analysis!$B$5:$B$81,MATCH(B7909,Intent_Analysis!$A$5:$A$81,0))</f>
        <v>Card delivery &amp; activation</v>
      </c>
      <c r="D7909" s="0" t="n">
        <f aca="false">INDEX(Intent_Analysis!$E$5:$E$81,MATCH(B7909,Intent_Analysis!$A$5:$A$81,0))</f>
        <v>1</v>
      </c>
    </row>
    <row r="7910" customFormat="false" ht="15" hidden="false" customHeight="false" outlineLevel="0" collapsed="false">
      <c r="A7910" s="0" t="s">
        <v>8234</v>
      </c>
      <c r="B7910" s="0" t="s">
        <v>48</v>
      </c>
      <c r="C7910" s="0" t="str">
        <f aca="false">INDEX(Intent_Analysis!$B$5:$B$81,MATCH(B7910,Intent_Analysis!$A$5:$A$81,0))</f>
        <v>Card delivery &amp; activation</v>
      </c>
      <c r="D7910" s="0" t="n">
        <f aca="false">INDEX(Intent_Analysis!$E$5:$E$81,MATCH(B7910,Intent_Analysis!$A$5:$A$81,0))</f>
        <v>1</v>
      </c>
    </row>
    <row r="7911" customFormat="false" ht="15" hidden="false" customHeight="false" outlineLevel="0" collapsed="false">
      <c r="A7911" s="0" t="s">
        <v>8235</v>
      </c>
      <c r="B7911" s="0" t="s">
        <v>48</v>
      </c>
      <c r="C7911" s="0" t="str">
        <f aca="false">INDEX(Intent_Analysis!$B$5:$B$81,MATCH(B7911,Intent_Analysis!$A$5:$A$81,0))</f>
        <v>Card delivery &amp; activation</v>
      </c>
      <c r="D7911" s="0" t="n">
        <f aca="false">INDEX(Intent_Analysis!$E$5:$E$81,MATCH(B7911,Intent_Analysis!$A$5:$A$81,0))</f>
        <v>1</v>
      </c>
    </row>
    <row r="7912" customFormat="false" ht="15" hidden="false" customHeight="false" outlineLevel="0" collapsed="false">
      <c r="A7912" s="0" t="s">
        <v>8236</v>
      </c>
      <c r="B7912" s="0" t="s">
        <v>48</v>
      </c>
      <c r="C7912" s="0" t="str">
        <f aca="false">INDEX(Intent_Analysis!$B$5:$B$81,MATCH(B7912,Intent_Analysis!$A$5:$A$81,0))</f>
        <v>Card delivery &amp; activation</v>
      </c>
      <c r="D7912" s="0" t="n">
        <f aca="false">INDEX(Intent_Analysis!$E$5:$E$81,MATCH(B7912,Intent_Analysis!$A$5:$A$81,0))</f>
        <v>1</v>
      </c>
    </row>
    <row r="7913" customFormat="false" ht="15" hidden="false" customHeight="false" outlineLevel="0" collapsed="false">
      <c r="A7913" s="0" t="s">
        <v>8237</v>
      </c>
      <c r="B7913" s="0" t="s">
        <v>48</v>
      </c>
      <c r="C7913" s="0" t="str">
        <f aca="false">INDEX(Intent_Analysis!$B$5:$B$81,MATCH(B7913,Intent_Analysis!$A$5:$A$81,0))</f>
        <v>Card delivery &amp; activation</v>
      </c>
      <c r="D7913" s="0" t="n">
        <f aca="false">INDEX(Intent_Analysis!$E$5:$E$81,MATCH(B7913,Intent_Analysis!$A$5:$A$81,0))</f>
        <v>1</v>
      </c>
    </row>
    <row r="7914" customFormat="false" ht="15" hidden="false" customHeight="false" outlineLevel="0" collapsed="false">
      <c r="A7914" s="0" t="s">
        <v>8238</v>
      </c>
      <c r="B7914" s="0" t="s">
        <v>48</v>
      </c>
      <c r="C7914" s="0" t="str">
        <f aca="false">INDEX(Intent_Analysis!$B$5:$B$81,MATCH(B7914,Intent_Analysis!$A$5:$A$81,0))</f>
        <v>Card delivery &amp; activation</v>
      </c>
      <c r="D7914" s="0" t="n">
        <f aca="false">INDEX(Intent_Analysis!$E$5:$E$81,MATCH(B7914,Intent_Analysis!$A$5:$A$81,0))</f>
        <v>1</v>
      </c>
    </row>
    <row r="7915" customFormat="false" ht="15" hidden="false" customHeight="false" outlineLevel="0" collapsed="false">
      <c r="A7915" s="0" t="s">
        <v>8239</v>
      </c>
      <c r="B7915" s="0" t="s">
        <v>48</v>
      </c>
      <c r="C7915" s="0" t="str">
        <f aca="false">INDEX(Intent_Analysis!$B$5:$B$81,MATCH(B7915,Intent_Analysis!$A$5:$A$81,0))</f>
        <v>Card delivery &amp; activation</v>
      </c>
      <c r="D7915" s="0" t="n">
        <f aca="false">INDEX(Intent_Analysis!$E$5:$E$81,MATCH(B7915,Intent_Analysis!$A$5:$A$81,0))</f>
        <v>1</v>
      </c>
    </row>
    <row r="7916" customFormat="false" ht="15" hidden="false" customHeight="false" outlineLevel="0" collapsed="false">
      <c r="A7916" s="0" t="s">
        <v>8240</v>
      </c>
      <c r="B7916" s="0" t="s">
        <v>48</v>
      </c>
      <c r="C7916" s="0" t="str">
        <f aca="false">INDEX(Intent_Analysis!$B$5:$B$81,MATCH(B7916,Intent_Analysis!$A$5:$A$81,0))</f>
        <v>Card delivery &amp; activation</v>
      </c>
      <c r="D7916" s="0" t="n">
        <f aca="false">INDEX(Intent_Analysis!$E$5:$E$81,MATCH(B7916,Intent_Analysis!$A$5:$A$81,0))</f>
        <v>1</v>
      </c>
    </row>
    <row r="7917" customFormat="false" ht="15" hidden="false" customHeight="false" outlineLevel="0" collapsed="false">
      <c r="A7917" s="0" t="s">
        <v>8241</v>
      </c>
      <c r="B7917" s="0" t="s">
        <v>48</v>
      </c>
      <c r="C7917" s="0" t="str">
        <f aca="false">INDEX(Intent_Analysis!$B$5:$B$81,MATCH(B7917,Intent_Analysis!$A$5:$A$81,0))</f>
        <v>Card delivery &amp; activation</v>
      </c>
      <c r="D7917" s="0" t="n">
        <f aca="false">INDEX(Intent_Analysis!$E$5:$E$81,MATCH(B7917,Intent_Analysis!$A$5:$A$81,0))</f>
        <v>1</v>
      </c>
    </row>
    <row r="7918" customFormat="false" ht="15" hidden="false" customHeight="false" outlineLevel="0" collapsed="false">
      <c r="A7918" s="0" t="s">
        <v>8242</v>
      </c>
      <c r="B7918" s="0" t="s">
        <v>48</v>
      </c>
      <c r="C7918" s="0" t="str">
        <f aca="false">INDEX(Intent_Analysis!$B$5:$B$81,MATCH(B7918,Intent_Analysis!$A$5:$A$81,0))</f>
        <v>Card delivery &amp; activation</v>
      </c>
      <c r="D7918" s="0" t="n">
        <f aca="false">INDEX(Intent_Analysis!$E$5:$E$81,MATCH(B7918,Intent_Analysis!$A$5:$A$81,0))</f>
        <v>1</v>
      </c>
    </row>
    <row r="7919" customFormat="false" ht="15" hidden="false" customHeight="false" outlineLevel="0" collapsed="false">
      <c r="A7919" s="0" t="s">
        <v>8243</v>
      </c>
      <c r="B7919" s="0" t="s">
        <v>48</v>
      </c>
      <c r="C7919" s="0" t="str">
        <f aca="false">INDEX(Intent_Analysis!$B$5:$B$81,MATCH(B7919,Intent_Analysis!$A$5:$A$81,0))</f>
        <v>Card delivery &amp; activation</v>
      </c>
      <c r="D7919" s="0" t="n">
        <f aca="false">INDEX(Intent_Analysis!$E$5:$E$81,MATCH(B7919,Intent_Analysis!$A$5:$A$81,0))</f>
        <v>1</v>
      </c>
    </row>
    <row r="7920" customFormat="false" ht="15" hidden="false" customHeight="false" outlineLevel="0" collapsed="false">
      <c r="A7920" s="0" t="s">
        <v>8244</v>
      </c>
      <c r="B7920" s="0" t="s">
        <v>48</v>
      </c>
      <c r="C7920" s="0" t="str">
        <f aca="false">INDEX(Intent_Analysis!$B$5:$B$81,MATCH(B7920,Intent_Analysis!$A$5:$A$81,0))</f>
        <v>Card delivery &amp; activation</v>
      </c>
      <c r="D7920" s="0" t="n">
        <f aca="false">INDEX(Intent_Analysis!$E$5:$E$81,MATCH(B7920,Intent_Analysis!$A$5:$A$81,0))</f>
        <v>1</v>
      </c>
    </row>
    <row r="7921" customFormat="false" ht="15" hidden="false" customHeight="false" outlineLevel="0" collapsed="false">
      <c r="A7921" s="0" t="s">
        <v>8245</v>
      </c>
      <c r="B7921" s="0" t="s">
        <v>48</v>
      </c>
      <c r="C7921" s="0" t="str">
        <f aca="false">INDEX(Intent_Analysis!$B$5:$B$81,MATCH(B7921,Intent_Analysis!$A$5:$A$81,0))</f>
        <v>Card delivery &amp; activation</v>
      </c>
      <c r="D7921" s="0" t="n">
        <f aca="false">INDEX(Intent_Analysis!$E$5:$E$81,MATCH(B7921,Intent_Analysis!$A$5:$A$81,0))</f>
        <v>1</v>
      </c>
    </row>
    <row r="7922" customFormat="false" ht="15" hidden="false" customHeight="false" outlineLevel="0" collapsed="false">
      <c r="A7922" s="0" t="s">
        <v>8246</v>
      </c>
      <c r="B7922" s="0" t="s">
        <v>48</v>
      </c>
      <c r="C7922" s="0" t="str">
        <f aca="false">INDEX(Intent_Analysis!$B$5:$B$81,MATCH(B7922,Intent_Analysis!$A$5:$A$81,0))</f>
        <v>Card delivery &amp; activation</v>
      </c>
      <c r="D7922" s="0" t="n">
        <f aca="false">INDEX(Intent_Analysis!$E$5:$E$81,MATCH(B7922,Intent_Analysis!$A$5:$A$81,0))</f>
        <v>1</v>
      </c>
    </row>
    <row r="7923" customFormat="false" ht="15" hidden="false" customHeight="false" outlineLevel="0" collapsed="false">
      <c r="A7923" s="0" t="s">
        <v>8247</v>
      </c>
      <c r="B7923" s="0" t="s">
        <v>48</v>
      </c>
      <c r="C7923" s="0" t="str">
        <f aca="false">INDEX(Intent_Analysis!$B$5:$B$81,MATCH(B7923,Intent_Analysis!$A$5:$A$81,0))</f>
        <v>Card delivery &amp; activation</v>
      </c>
      <c r="D7923" s="0" t="n">
        <f aca="false">INDEX(Intent_Analysis!$E$5:$E$81,MATCH(B7923,Intent_Analysis!$A$5:$A$81,0))</f>
        <v>1</v>
      </c>
    </row>
    <row r="7924" customFormat="false" ht="15" hidden="false" customHeight="false" outlineLevel="0" collapsed="false">
      <c r="A7924" s="0" t="s">
        <v>8248</v>
      </c>
      <c r="B7924" s="0" t="s">
        <v>48</v>
      </c>
      <c r="C7924" s="0" t="str">
        <f aca="false">INDEX(Intent_Analysis!$B$5:$B$81,MATCH(B7924,Intent_Analysis!$A$5:$A$81,0))</f>
        <v>Card delivery &amp; activation</v>
      </c>
      <c r="D7924" s="0" t="n">
        <f aca="false">INDEX(Intent_Analysis!$E$5:$E$81,MATCH(B7924,Intent_Analysis!$A$5:$A$81,0))</f>
        <v>1</v>
      </c>
    </row>
    <row r="7925" customFormat="false" ht="15" hidden="false" customHeight="false" outlineLevel="0" collapsed="false">
      <c r="A7925" s="0" t="s">
        <v>8249</v>
      </c>
      <c r="B7925" s="0" t="s">
        <v>48</v>
      </c>
      <c r="C7925" s="0" t="str">
        <f aca="false">INDEX(Intent_Analysis!$B$5:$B$81,MATCH(B7925,Intent_Analysis!$A$5:$A$81,0))</f>
        <v>Card delivery &amp; activation</v>
      </c>
      <c r="D7925" s="0" t="n">
        <f aca="false">INDEX(Intent_Analysis!$E$5:$E$81,MATCH(B7925,Intent_Analysis!$A$5:$A$81,0))</f>
        <v>1</v>
      </c>
    </row>
    <row r="7926" customFormat="false" ht="15" hidden="false" customHeight="false" outlineLevel="0" collapsed="false">
      <c r="A7926" s="0" t="s">
        <v>8250</v>
      </c>
      <c r="B7926" s="0" t="s">
        <v>48</v>
      </c>
      <c r="C7926" s="0" t="str">
        <f aca="false">INDEX(Intent_Analysis!$B$5:$B$81,MATCH(B7926,Intent_Analysis!$A$5:$A$81,0))</f>
        <v>Card delivery &amp; activation</v>
      </c>
      <c r="D7926" s="0" t="n">
        <f aca="false">INDEX(Intent_Analysis!$E$5:$E$81,MATCH(B7926,Intent_Analysis!$A$5:$A$81,0))</f>
        <v>1</v>
      </c>
    </row>
    <row r="7927" customFormat="false" ht="15" hidden="false" customHeight="false" outlineLevel="0" collapsed="false">
      <c r="A7927" s="0" t="s">
        <v>8251</v>
      </c>
      <c r="B7927" s="0" t="s">
        <v>48</v>
      </c>
      <c r="C7927" s="0" t="str">
        <f aca="false">INDEX(Intent_Analysis!$B$5:$B$81,MATCH(B7927,Intent_Analysis!$A$5:$A$81,0))</f>
        <v>Card delivery &amp; activation</v>
      </c>
      <c r="D7927" s="0" t="n">
        <f aca="false">INDEX(Intent_Analysis!$E$5:$E$81,MATCH(B7927,Intent_Analysis!$A$5:$A$81,0))</f>
        <v>1</v>
      </c>
    </row>
    <row r="7928" customFormat="false" ht="15" hidden="false" customHeight="false" outlineLevel="0" collapsed="false">
      <c r="A7928" s="0" t="s">
        <v>8252</v>
      </c>
      <c r="B7928" s="0" t="s">
        <v>48</v>
      </c>
      <c r="C7928" s="0" t="str">
        <f aca="false">INDEX(Intent_Analysis!$B$5:$B$81,MATCH(B7928,Intent_Analysis!$A$5:$A$81,0))</f>
        <v>Card delivery &amp; activation</v>
      </c>
      <c r="D7928" s="0" t="n">
        <f aca="false">INDEX(Intent_Analysis!$E$5:$E$81,MATCH(B7928,Intent_Analysis!$A$5:$A$81,0))</f>
        <v>1</v>
      </c>
    </row>
    <row r="7929" customFormat="false" ht="15" hidden="false" customHeight="false" outlineLevel="0" collapsed="false">
      <c r="A7929" s="0" t="s">
        <v>8253</v>
      </c>
      <c r="B7929" s="0" t="s">
        <v>48</v>
      </c>
      <c r="C7929" s="0" t="str">
        <f aca="false">INDEX(Intent_Analysis!$B$5:$B$81,MATCH(B7929,Intent_Analysis!$A$5:$A$81,0))</f>
        <v>Card delivery &amp; activation</v>
      </c>
      <c r="D7929" s="0" t="n">
        <f aca="false">INDEX(Intent_Analysis!$E$5:$E$81,MATCH(B7929,Intent_Analysis!$A$5:$A$81,0))</f>
        <v>1</v>
      </c>
    </row>
    <row r="7930" customFormat="false" ht="15" hidden="false" customHeight="false" outlineLevel="0" collapsed="false">
      <c r="A7930" s="0" t="s">
        <v>8254</v>
      </c>
      <c r="B7930" s="0" t="s">
        <v>48</v>
      </c>
      <c r="C7930" s="0" t="str">
        <f aca="false">INDEX(Intent_Analysis!$B$5:$B$81,MATCH(B7930,Intent_Analysis!$A$5:$A$81,0))</f>
        <v>Card delivery &amp; activation</v>
      </c>
      <c r="D7930" s="0" t="n">
        <f aca="false">INDEX(Intent_Analysis!$E$5:$E$81,MATCH(B7930,Intent_Analysis!$A$5:$A$81,0))</f>
        <v>1</v>
      </c>
    </row>
    <row r="7931" customFormat="false" ht="15" hidden="false" customHeight="false" outlineLevel="0" collapsed="false">
      <c r="A7931" s="0" t="s">
        <v>8255</v>
      </c>
      <c r="B7931" s="0" t="s">
        <v>48</v>
      </c>
      <c r="C7931" s="0" t="str">
        <f aca="false">INDEX(Intent_Analysis!$B$5:$B$81,MATCH(B7931,Intent_Analysis!$A$5:$A$81,0))</f>
        <v>Card delivery &amp; activation</v>
      </c>
      <c r="D7931" s="0" t="n">
        <f aca="false">INDEX(Intent_Analysis!$E$5:$E$81,MATCH(B7931,Intent_Analysis!$A$5:$A$81,0))</f>
        <v>1</v>
      </c>
    </row>
    <row r="7932" customFormat="false" ht="15" hidden="false" customHeight="false" outlineLevel="0" collapsed="false">
      <c r="A7932" s="0" t="s">
        <v>8256</v>
      </c>
      <c r="B7932" s="0" t="s">
        <v>48</v>
      </c>
      <c r="C7932" s="0" t="str">
        <f aca="false">INDEX(Intent_Analysis!$B$5:$B$81,MATCH(B7932,Intent_Analysis!$A$5:$A$81,0))</f>
        <v>Card delivery &amp; activation</v>
      </c>
      <c r="D7932" s="0" t="n">
        <f aca="false">INDEX(Intent_Analysis!$E$5:$E$81,MATCH(B7932,Intent_Analysis!$A$5:$A$81,0))</f>
        <v>1</v>
      </c>
    </row>
    <row r="7933" customFormat="false" ht="15" hidden="false" customHeight="false" outlineLevel="0" collapsed="false">
      <c r="A7933" s="0" t="s">
        <v>8257</v>
      </c>
      <c r="B7933" s="0" t="s">
        <v>48</v>
      </c>
      <c r="C7933" s="0" t="str">
        <f aca="false">INDEX(Intent_Analysis!$B$5:$B$81,MATCH(B7933,Intent_Analysis!$A$5:$A$81,0))</f>
        <v>Card delivery &amp; activation</v>
      </c>
      <c r="D7933" s="0" t="n">
        <f aca="false">INDEX(Intent_Analysis!$E$5:$E$81,MATCH(B7933,Intent_Analysis!$A$5:$A$81,0))</f>
        <v>1</v>
      </c>
    </row>
    <row r="7934" customFormat="false" ht="15" hidden="false" customHeight="false" outlineLevel="0" collapsed="false">
      <c r="A7934" s="0" t="s">
        <v>8258</v>
      </c>
      <c r="B7934" s="0" t="s">
        <v>48</v>
      </c>
      <c r="C7934" s="0" t="str">
        <f aca="false">INDEX(Intent_Analysis!$B$5:$B$81,MATCH(B7934,Intent_Analysis!$A$5:$A$81,0))</f>
        <v>Card delivery &amp; activation</v>
      </c>
      <c r="D7934" s="0" t="n">
        <f aca="false">INDEX(Intent_Analysis!$E$5:$E$81,MATCH(B7934,Intent_Analysis!$A$5:$A$81,0))</f>
        <v>1</v>
      </c>
    </row>
    <row r="7935" customFormat="false" ht="15" hidden="false" customHeight="false" outlineLevel="0" collapsed="false">
      <c r="A7935" s="0" t="s">
        <v>8259</v>
      </c>
      <c r="B7935" s="0" t="s">
        <v>108</v>
      </c>
      <c r="C7935" s="0" t="str">
        <f aca="false">INDEX(Intent_Analysis!$B$5:$B$81,MATCH(B7935,Intent_Analysis!$A$5:$A$81,0))</f>
        <v>Top-ups</v>
      </c>
      <c r="D7935" s="0" t="n">
        <f aca="false">INDEX(Intent_Analysis!$E$5:$E$81,MATCH(B7935,Intent_Analysis!$A$5:$A$81,0))</f>
        <v>1</v>
      </c>
    </row>
    <row r="7936" customFormat="false" ht="15" hidden="false" customHeight="false" outlineLevel="0" collapsed="false">
      <c r="A7936" s="0" t="s">
        <v>8260</v>
      </c>
      <c r="B7936" s="0" t="s">
        <v>108</v>
      </c>
      <c r="C7936" s="0" t="str">
        <f aca="false">INDEX(Intent_Analysis!$B$5:$B$81,MATCH(B7936,Intent_Analysis!$A$5:$A$81,0))</f>
        <v>Top-ups</v>
      </c>
      <c r="D7936" s="0" t="n">
        <f aca="false">INDEX(Intent_Analysis!$E$5:$E$81,MATCH(B7936,Intent_Analysis!$A$5:$A$81,0))</f>
        <v>1</v>
      </c>
    </row>
    <row r="7937" customFormat="false" ht="15" hidden="false" customHeight="false" outlineLevel="0" collapsed="false">
      <c r="A7937" s="0" t="s">
        <v>8261</v>
      </c>
      <c r="B7937" s="0" t="s">
        <v>108</v>
      </c>
      <c r="C7937" s="0" t="str">
        <f aca="false">INDEX(Intent_Analysis!$B$5:$B$81,MATCH(B7937,Intent_Analysis!$A$5:$A$81,0))</f>
        <v>Top-ups</v>
      </c>
      <c r="D7937" s="0" t="n">
        <f aca="false">INDEX(Intent_Analysis!$E$5:$E$81,MATCH(B7937,Intent_Analysis!$A$5:$A$81,0))</f>
        <v>1</v>
      </c>
    </row>
    <row r="7938" customFormat="false" ht="15" hidden="false" customHeight="false" outlineLevel="0" collapsed="false">
      <c r="A7938" s="0" t="s">
        <v>8262</v>
      </c>
      <c r="B7938" s="0" t="s">
        <v>108</v>
      </c>
      <c r="C7938" s="0" t="str">
        <f aca="false">INDEX(Intent_Analysis!$B$5:$B$81,MATCH(B7938,Intent_Analysis!$A$5:$A$81,0))</f>
        <v>Top-ups</v>
      </c>
      <c r="D7938" s="0" t="n">
        <f aca="false">INDEX(Intent_Analysis!$E$5:$E$81,MATCH(B7938,Intent_Analysis!$A$5:$A$81,0))</f>
        <v>1</v>
      </c>
    </row>
    <row r="7939" customFormat="false" ht="15" hidden="false" customHeight="false" outlineLevel="0" collapsed="false">
      <c r="A7939" s="0" t="s">
        <v>8263</v>
      </c>
      <c r="B7939" s="0" t="s">
        <v>108</v>
      </c>
      <c r="C7939" s="0" t="str">
        <f aca="false">INDEX(Intent_Analysis!$B$5:$B$81,MATCH(B7939,Intent_Analysis!$A$5:$A$81,0))</f>
        <v>Top-ups</v>
      </c>
      <c r="D7939" s="0" t="n">
        <f aca="false">INDEX(Intent_Analysis!$E$5:$E$81,MATCH(B7939,Intent_Analysis!$A$5:$A$81,0))</f>
        <v>1</v>
      </c>
    </row>
    <row r="7940" customFormat="false" ht="15" hidden="false" customHeight="false" outlineLevel="0" collapsed="false">
      <c r="A7940" s="0" t="s">
        <v>8264</v>
      </c>
      <c r="B7940" s="0" t="s">
        <v>108</v>
      </c>
      <c r="C7940" s="0" t="str">
        <f aca="false">INDEX(Intent_Analysis!$B$5:$B$81,MATCH(B7940,Intent_Analysis!$A$5:$A$81,0))</f>
        <v>Top-ups</v>
      </c>
      <c r="D7940" s="0" t="n">
        <f aca="false">INDEX(Intent_Analysis!$E$5:$E$81,MATCH(B7940,Intent_Analysis!$A$5:$A$81,0))</f>
        <v>1</v>
      </c>
    </row>
    <row r="7941" customFormat="false" ht="15" hidden="false" customHeight="false" outlineLevel="0" collapsed="false">
      <c r="A7941" s="0" t="s">
        <v>8265</v>
      </c>
      <c r="B7941" s="0" t="s">
        <v>108</v>
      </c>
      <c r="C7941" s="0" t="str">
        <f aca="false">INDEX(Intent_Analysis!$B$5:$B$81,MATCH(B7941,Intent_Analysis!$A$5:$A$81,0))</f>
        <v>Top-ups</v>
      </c>
      <c r="D7941" s="0" t="n">
        <f aca="false">INDEX(Intent_Analysis!$E$5:$E$81,MATCH(B7941,Intent_Analysis!$A$5:$A$81,0))</f>
        <v>1</v>
      </c>
    </row>
    <row r="7942" customFormat="false" ht="15" hidden="false" customHeight="false" outlineLevel="0" collapsed="false">
      <c r="A7942" s="0" t="s">
        <v>8266</v>
      </c>
      <c r="B7942" s="0" t="s">
        <v>108</v>
      </c>
      <c r="C7942" s="0" t="str">
        <f aca="false">INDEX(Intent_Analysis!$B$5:$B$81,MATCH(B7942,Intent_Analysis!$A$5:$A$81,0))</f>
        <v>Top-ups</v>
      </c>
      <c r="D7942" s="0" t="n">
        <f aca="false">INDEX(Intent_Analysis!$E$5:$E$81,MATCH(B7942,Intent_Analysis!$A$5:$A$81,0))</f>
        <v>1</v>
      </c>
    </row>
    <row r="7943" customFormat="false" ht="15" hidden="false" customHeight="false" outlineLevel="0" collapsed="false">
      <c r="A7943" s="0" t="s">
        <v>8267</v>
      </c>
      <c r="B7943" s="0" t="s">
        <v>108</v>
      </c>
      <c r="C7943" s="0" t="str">
        <f aca="false">INDEX(Intent_Analysis!$B$5:$B$81,MATCH(B7943,Intent_Analysis!$A$5:$A$81,0))</f>
        <v>Top-ups</v>
      </c>
      <c r="D7943" s="0" t="n">
        <f aca="false">INDEX(Intent_Analysis!$E$5:$E$81,MATCH(B7943,Intent_Analysis!$A$5:$A$81,0))</f>
        <v>1</v>
      </c>
    </row>
    <row r="7944" customFormat="false" ht="15" hidden="false" customHeight="false" outlineLevel="0" collapsed="false">
      <c r="A7944" s="0" t="s">
        <v>8268</v>
      </c>
      <c r="B7944" s="0" t="s">
        <v>108</v>
      </c>
      <c r="C7944" s="0" t="str">
        <f aca="false">INDEX(Intent_Analysis!$B$5:$B$81,MATCH(B7944,Intent_Analysis!$A$5:$A$81,0))</f>
        <v>Top-ups</v>
      </c>
      <c r="D7944" s="0" t="n">
        <f aca="false">INDEX(Intent_Analysis!$E$5:$E$81,MATCH(B7944,Intent_Analysis!$A$5:$A$81,0))</f>
        <v>1</v>
      </c>
    </row>
    <row r="7945" customFormat="false" ht="15" hidden="false" customHeight="false" outlineLevel="0" collapsed="false">
      <c r="A7945" s="0" t="s">
        <v>8269</v>
      </c>
      <c r="B7945" s="0" t="s">
        <v>108</v>
      </c>
      <c r="C7945" s="0" t="str">
        <f aca="false">INDEX(Intent_Analysis!$B$5:$B$81,MATCH(B7945,Intent_Analysis!$A$5:$A$81,0))</f>
        <v>Top-ups</v>
      </c>
      <c r="D7945" s="0" t="n">
        <f aca="false">INDEX(Intent_Analysis!$E$5:$E$81,MATCH(B7945,Intent_Analysis!$A$5:$A$81,0))</f>
        <v>1</v>
      </c>
    </row>
    <row r="7946" customFormat="false" ht="15" hidden="false" customHeight="false" outlineLevel="0" collapsed="false">
      <c r="A7946" s="0" t="s">
        <v>8270</v>
      </c>
      <c r="B7946" s="0" t="s">
        <v>108</v>
      </c>
      <c r="C7946" s="0" t="str">
        <f aca="false">INDEX(Intent_Analysis!$B$5:$B$81,MATCH(B7946,Intent_Analysis!$A$5:$A$81,0))</f>
        <v>Top-ups</v>
      </c>
      <c r="D7946" s="0" t="n">
        <f aca="false">INDEX(Intent_Analysis!$E$5:$E$81,MATCH(B7946,Intent_Analysis!$A$5:$A$81,0))</f>
        <v>1</v>
      </c>
    </row>
    <row r="7947" customFormat="false" ht="15" hidden="false" customHeight="false" outlineLevel="0" collapsed="false">
      <c r="A7947" s="0" t="s">
        <v>8271</v>
      </c>
      <c r="B7947" s="0" t="s">
        <v>108</v>
      </c>
      <c r="C7947" s="0" t="str">
        <f aca="false">INDEX(Intent_Analysis!$B$5:$B$81,MATCH(B7947,Intent_Analysis!$A$5:$A$81,0))</f>
        <v>Top-ups</v>
      </c>
      <c r="D7947" s="0" t="n">
        <f aca="false">INDEX(Intent_Analysis!$E$5:$E$81,MATCH(B7947,Intent_Analysis!$A$5:$A$81,0))</f>
        <v>1</v>
      </c>
    </row>
    <row r="7948" customFormat="false" ht="15" hidden="false" customHeight="false" outlineLevel="0" collapsed="false">
      <c r="A7948" s="0" t="s">
        <v>8272</v>
      </c>
      <c r="B7948" s="0" t="s">
        <v>108</v>
      </c>
      <c r="C7948" s="0" t="str">
        <f aca="false">INDEX(Intent_Analysis!$B$5:$B$81,MATCH(B7948,Intent_Analysis!$A$5:$A$81,0))</f>
        <v>Top-ups</v>
      </c>
      <c r="D7948" s="0" t="n">
        <f aca="false">INDEX(Intent_Analysis!$E$5:$E$81,MATCH(B7948,Intent_Analysis!$A$5:$A$81,0))</f>
        <v>1</v>
      </c>
    </row>
    <row r="7949" customFormat="false" ht="15" hidden="false" customHeight="false" outlineLevel="0" collapsed="false">
      <c r="A7949" s="0" t="s">
        <v>8273</v>
      </c>
      <c r="B7949" s="0" t="s">
        <v>108</v>
      </c>
      <c r="C7949" s="0" t="str">
        <f aca="false">INDEX(Intent_Analysis!$B$5:$B$81,MATCH(B7949,Intent_Analysis!$A$5:$A$81,0))</f>
        <v>Top-ups</v>
      </c>
      <c r="D7949" s="0" t="n">
        <f aca="false">INDEX(Intent_Analysis!$E$5:$E$81,MATCH(B7949,Intent_Analysis!$A$5:$A$81,0))</f>
        <v>1</v>
      </c>
    </row>
    <row r="7950" customFormat="false" ht="15" hidden="false" customHeight="false" outlineLevel="0" collapsed="false">
      <c r="A7950" s="0" t="s">
        <v>8274</v>
      </c>
      <c r="B7950" s="0" t="s">
        <v>108</v>
      </c>
      <c r="C7950" s="0" t="str">
        <f aca="false">INDEX(Intent_Analysis!$B$5:$B$81,MATCH(B7950,Intent_Analysis!$A$5:$A$81,0))</f>
        <v>Top-ups</v>
      </c>
      <c r="D7950" s="0" t="n">
        <f aca="false">INDEX(Intent_Analysis!$E$5:$E$81,MATCH(B7950,Intent_Analysis!$A$5:$A$81,0))</f>
        <v>1</v>
      </c>
    </row>
    <row r="7951" customFormat="false" ht="15" hidden="false" customHeight="false" outlineLevel="0" collapsed="false">
      <c r="A7951" s="0" t="s">
        <v>8275</v>
      </c>
      <c r="B7951" s="0" t="s">
        <v>108</v>
      </c>
      <c r="C7951" s="0" t="str">
        <f aca="false">INDEX(Intent_Analysis!$B$5:$B$81,MATCH(B7951,Intent_Analysis!$A$5:$A$81,0))</f>
        <v>Top-ups</v>
      </c>
      <c r="D7951" s="0" t="n">
        <f aca="false">INDEX(Intent_Analysis!$E$5:$E$81,MATCH(B7951,Intent_Analysis!$A$5:$A$81,0))</f>
        <v>1</v>
      </c>
    </row>
    <row r="7952" customFormat="false" ht="15" hidden="false" customHeight="false" outlineLevel="0" collapsed="false">
      <c r="A7952" s="0" t="s">
        <v>8276</v>
      </c>
      <c r="B7952" s="0" t="s">
        <v>108</v>
      </c>
      <c r="C7952" s="0" t="str">
        <f aca="false">INDEX(Intent_Analysis!$B$5:$B$81,MATCH(B7952,Intent_Analysis!$A$5:$A$81,0))</f>
        <v>Top-ups</v>
      </c>
      <c r="D7952" s="0" t="n">
        <f aca="false">INDEX(Intent_Analysis!$E$5:$E$81,MATCH(B7952,Intent_Analysis!$A$5:$A$81,0))</f>
        <v>1</v>
      </c>
    </row>
    <row r="7953" customFormat="false" ht="15" hidden="false" customHeight="false" outlineLevel="0" collapsed="false">
      <c r="A7953" s="0" t="s">
        <v>8277</v>
      </c>
      <c r="B7953" s="0" t="s">
        <v>108</v>
      </c>
      <c r="C7953" s="0" t="str">
        <f aca="false">INDEX(Intent_Analysis!$B$5:$B$81,MATCH(B7953,Intent_Analysis!$A$5:$A$81,0))</f>
        <v>Top-ups</v>
      </c>
      <c r="D7953" s="0" t="n">
        <f aca="false">INDEX(Intent_Analysis!$E$5:$E$81,MATCH(B7953,Intent_Analysis!$A$5:$A$81,0))</f>
        <v>1</v>
      </c>
    </row>
    <row r="7954" customFormat="false" ht="15" hidden="false" customHeight="false" outlineLevel="0" collapsed="false">
      <c r="A7954" s="0" t="s">
        <v>8278</v>
      </c>
      <c r="B7954" s="0" t="s">
        <v>108</v>
      </c>
      <c r="C7954" s="0" t="str">
        <f aca="false">INDEX(Intent_Analysis!$B$5:$B$81,MATCH(B7954,Intent_Analysis!$A$5:$A$81,0))</f>
        <v>Top-ups</v>
      </c>
      <c r="D7954" s="0" t="n">
        <f aca="false">INDEX(Intent_Analysis!$E$5:$E$81,MATCH(B7954,Intent_Analysis!$A$5:$A$81,0))</f>
        <v>1</v>
      </c>
    </row>
    <row r="7955" customFormat="false" ht="15" hidden="false" customHeight="false" outlineLevel="0" collapsed="false">
      <c r="A7955" s="0" t="s">
        <v>8279</v>
      </c>
      <c r="B7955" s="0" t="s">
        <v>108</v>
      </c>
      <c r="C7955" s="0" t="str">
        <f aca="false">INDEX(Intent_Analysis!$B$5:$B$81,MATCH(B7955,Intent_Analysis!$A$5:$A$81,0))</f>
        <v>Top-ups</v>
      </c>
      <c r="D7955" s="0" t="n">
        <f aca="false">INDEX(Intent_Analysis!$E$5:$E$81,MATCH(B7955,Intent_Analysis!$A$5:$A$81,0))</f>
        <v>1</v>
      </c>
    </row>
    <row r="7956" customFormat="false" ht="15" hidden="false" customHeight="false" outlineLevel="0" collapsed="false">
      <c r="A7956" s="0" t="s">
        <v>8280</v>
      </c>
      <c r="B7956" s="0" t="s">
        <v>108</v>
      </c>
      <c r="C7956" s="0" t="str">
        <f aca="false">INDEX(Intent_Analysis!$B$5:$B$81,MATCH(B7956,Intent_Analysis!$A$5:$A$81,0))</f>
        <v>Top-ups</v>
      </c>
      <c r="D7956" s="0" t="n">
        <f aca="false">INDEX(Intent_Analysis!$E$5:$E$81,MATCH(B7956,Intent_Analysis!$A$5:$A$81,0))</f>
        <v>1</v>
      </c>
    </row>
    <row r="7957" customFormat="false" ht="15" hidden="false" customHeight="false" outlineLevel="0" collapsed="false">
      <c r="A7957" s="0" t="s">
        <v>8281</v>
      </c>
      <c r="B7957" s="0" t="s">
        <v>108</v>
      </c>
      <c r="C7957" s="0" t="str">
        <f aca="false">INDEX(Intent_Analysis!$B$5:$B$81,MATCH(B7957,Intent_Analysis!$A$5:$A$81,0))</f>
        <v>Top-ups</v>
      </c>
      <c r="D7957" s="0" t="n">
        <f aca="false">INDEX(Intent_Analysis!$E$5:$E$81,MATCH(B7957,Intent_Analysis!$A$5:$A$81,0))</f>
        <v>1</v>
      </c>
    </row>
    <row r="7958" customFormat="false" ht="15" hidden="false" customHeight="false" outlineLevel="0" collapsed="false">
      <c r="A7958" s="0" t="s">
        <v>8282</v>
      </c>
      <c r="B7958" s="0" t="s">
        <v>108</v>
      </c>
      <c r="C7958" s="0" t="str">
        <f aca="false">INDEX(Intent_Analysis!$B$5:$B$81,MATCH(B7958,Intent_Analysis!$A$5:$A$81,0))</f>
        <v>Top-ups</v>
      </c>
      <c r="D7958" s="0" t="n">
        <f aca="false">INDEX(Intent_Analysis!$E$5:$E$81,MATCH(B7958,Intent_Analysis!$A$5:$A$81,0))</f>
        <v>1</v>
      </c>
    </row>
    <row r="7959" customFormat="false" ht="15" hidden="false" customHeight="false" outlineLevel="0" collapsed="false">
      <c r="A7959" s="0" t="s">
        <v>8283</v>
      </c>
      <c r="B7959" s="0" t="s">
        <v>108</v>
      </c>
      <c r="C7959" s="0" t="str">
        <f aca="false">INDEX(Intent_Analysis!$B$5:$B$81,MATCH(B7959,Intent_Analysis!$A$5:$A$81,0))</f>
        <v>Top-ups</v>
      </c>
      <c r="D7959" s="0" t="n">
        <f aca="false">INDEX(Intent_Analysis!$E$5:$E$81,MATCH(B7959,Intent_Analysis!$A$5:$A$81,0))</f>
        <v>1</v>
      </c>
    </row>
    <row r="7960" customFormat="false" ht="15" hidden="false" customHeight="false" outlineLevel="0" collapsed="false">
      <c r="A7960" s="0" t="s">
        <v>8284</v>
      </c>
      <c r="B7960" s="0" t="s">
        <v>108</v>
      </c>
      <c r="C7960" s="0" t="str">
        <f aca="false">INDEX(Intent_Analysis!$B$5:$B$81,MATCH(B7960,Intent_Analysis!$A$5:$A$81,0))</f>
        <v>Top-ups</v>
      </c>
      <c r="D7960" s="0" t="n">
        <f aca="false">INDEX(Intent_Analysis!$E$5:$E$81,MATCH(B7960,Intent_Analysis!$A$5:$A$81,0))</f>
        <v>1</v>
      </c>
    </row>
    <row r="7961" customFormat="false" ht="15" hidden="false" customHeight="false" outlineLevel="0" collapsed="false">
      <c r="A7961" s="0" t="s">
        <v>8285</v>
      </c>
      <c r="B7961" s="0" t="s">
        <v>108</v>
      </c>
      <c r="C7961" s="0" t="str">
        <f aca="false">INDEX(Intent_Analysis!$B$5:$B$81,MATCH(B7961,Intent_Analysis!$A$5:$A$81,0))</f>
        <v>Top-ups</v>
      </c>
      <c r="D7961" s="0" t="n">
        <f aca="false">INDEX(Intent_Analysis!$E$5:$E$81,MATCH(B7961,Intent_Analysis!$A$5:$A$81,0))</f>
        <v>1</v>
      </c>
    </row>
    <row r="7962" customFormat="false" ht="15" hidden="false" customHeight="false" outlineLevel="0" collapsed="false">
      <c r="A7962" s="0" t="s">
        <v>8286</v>
      </c>
      <c r="B7962" s="0" t="s">
        <v>108</v>
      </c>
      <c r="C7962" s="0" t="str">
        <f aca="false">INDEX(Intent_Analysis!$B$5:$B$81,MATCH(B7962,Intent_Analysis!$A$5:$A$81,0))</f>
        <v>Top-ups</v>
      </c>
      <c r="D7962" s="0" t="n">
        <f aca="false">INDEX(Intent_Analysis!$E$5:$E$81,MATCH(B7962,Intent_Analysis!$A$5:$A$81,0))</f>
        <v>1</v>
      </c>
    </row>
    <row r="7963" customFormat="false" ht="15" hidden="false" customHeight="false" outlineLevel="0" collapsed="false">
      <c r="A7963" s="0" t="s">
        <v>8287</v>
      </c>
      <c r="B7963" s="0" t="s">
        <v>108</v>
      </c>
      <c r="C7963" s="0" t="str">
        <f aca="false">INDEX(Intent_Analysis!$B$5:$B$81,MATCH(B7963,Intent_Analysis!$A$5:$A$81,0))</f>
        <v>Top-ups</v>
      </c>
      <c r="D7963" s="0" t="n">
        <f aca="false">INDEX(Intent_Analysis!$E$5:$E$81,MATCH(B7963,Intent_Analysis!$A$5:$A$81,0))</f>
        <v>1</v>
      </c>
    </row>
    <row r="7964" customFormat="false" ht="15" hidden="false" customHeight="false" outlineLevel="0" collapsed="false">
      <c r="A7964" s="0" t="s">
        <v>8288</v>
      </c>
      <c r="B7964" s="0" t="s">
        <v>108</v>
      </c>
      <c r="C7964" s="0" t="str">
        <f aca="false">INDEX(Intent_Analysis!$B$5:$B$81,MATCH(B7964,Intent_Analysis!$A$5:$A$81,0))</f>
        <v>Top-ups</v>
      </c>
      <c r="D7964" s="0" t="n">
        <f aca="false">INDEX(Intent_Analysis!$E$5:$E$81,MATCH(B7964,Intent_Analysis!$A$5:$A$81,0))</f>
        <v>1</v>
      </c>
    </row>
    <row r="7965" customFormat="false" ht="15" hidden="false" customHeight="false" outlineLevel="0" collapsed="false">
      <c r="A7965" s="0" t="s">
        <v>8289</v>
      </c>
      <c r="B7965" s="0" t="s">
        <v>108</v>
      </c>
      <c r="C7965" s="0" t="str">
        <f aca="false">INDEX(Intent_Analysis!$B$5:$B$81,MATCH(B7965,Intent_Analysis!$A$5:$A$81,0))</f>
        <v>Top-ups</v>
      </c>
      <c r="D7965" s="0" t="n">
        <f aca="false">INDEX(Intent_Analysis!$E$5:$E$81,MATCH(B7965,Intent_Analysis!$A$5:$A$81,0))</f>
        <v>1</v>
      </c>
    </row>
    <row r="7966" customFormat="false" ht="15" hidden="false" customHeight="false" outlineLevel="0" collapsed="false">
      <c r="A7966" s="0" t="s">
        <v>8290</v>
      </c>
      <c r="B7966" s="0" t="s">
        <v>108</v>
      </c>
      <c r="C7966" s="0" t="str">
        <f aca="false">INDEX(Intent_Analysis!$B$5:$B$81,MATCH(B7966,Intent_Analysis!$A$5:$A$81,0))</f>
        <v>Top-ups</v>
      </c>
      <c r="D7966" s="0" t="n">
        <f aca="false">INDEX(Intent_Analysis!$E$5:$E$81,MATCH(B7966,Intent_Analysis!$A$5:$A$81,0))</f>
        <v>1</v>
      </c>
    </row>
    <row r="7967" customFormat="false" ht="15" hidden="false" customHeight="false" outlineLevel="0" collapsed="false">
      <c r="A7967" s="0" t="s">
        <v>8291</v>
      </c>
      <c r="B7967" s="0" t="s">
        <v>108</v>
      </c>
      <c r="C7967" s="0" t="str">
        <f aca="false">INDEX(Intent_Analysis!$B$5:$B$81,MATCH(B7967,Intent_Analysis!$A$5:$A$81,0))</f>
        <v>Top-ups</v>
      </c>
      <c r="D7967" s="0" t="n">
        <f aca="false">INDEX(Intent_Analysis!$E$5:$E$81,MATCH(B7967,Intent_Analysis!$A$5:$A$81,0))</f>
        <v>1</v>
      </c>
    </row>
    <row r="7968" customFormat="false" ht="15" hidden="false" customHeight="false" outlineLevel="0" collapsed="false">
      <c r="A7968" s="0" t="s">
        <v>8292</v>
      </c>
      <c r="B7968" s="0" t="s">
        <v>108</v>
      </c>
      <c r="C7968" s="0" t="str">
        <f aca="false">INDEX(Intent_Analysis!$B$5:$B$81,MATCH(B7968,Intent_Analysis!$A$5:$A$81,0))</f>
        <v>Top-ups</v>
      </c>
      <c r="D7968" s="0" t="n">
        <f aca="false">INDEX(Intent_Analysis!$E$5:$E$81,MATCH(B7968,Intent_Analysis!$A$5:$A$81,0))</f>
        <v>1</v>
      </c>
    </row>
    <row r="7969" customFormat="false" ht="15" hidden="false" customHeight="false" outlineLevel="0" collapsed="false">
      <c r="A7969" s="0" t="s">
        <v>8293</v>
      </c>
      <c r="B7969" s="0" t="s">
        <v>108</v>
      </c>
      <c r="C7969" s="0" t="str">
        <f aca="false">INDEX(Intent_Analysis!$B$5:$B$81,MATCH(B7969,Intent_Analysis!$A$5:$A$81,0))</f>
        <v>Top-ups</v>
      </c>
      <c r="D7969" s="0" t="n">
        <f aca="false">INDEX(Intent_Analysis!$E$5:$E$81,MATCH(B7969,Intent_Analysis!$A$5:$A$81,0))</f>
        <v>1</v>
      </c>
    </row>
    <row r="7970" customFormat="false" ht="15" hidden="false" customHeight="false" outlineLevel="0" collapsed="false">
      <c r="A7970" s="0" t="s">
        <v>8294</v>
      </c>
      <c r="B7970" s="0" t="s">
        <v>108</v>
      </c>
      <c r="C7970" s="0" t="str">
        <f aca="false">INDEX(Intent_Analysis!$B$5:$B$81,MATCH(B7970,Intent_Analysis!$A$5:$A$81,0))</f>
        <v>Top-ups</v>
      </c>
      <c r="D7970" s="0" t="n">
        <f aca="false">INDEX(Intent_Analysis!$E$5:$E$81,MATCH(B7970,Intent_Analysis!$A$5:$A$81,0))</f>
        <v>1</v>
      </c>
    </row>
    <row r="7971" customFormat="false" ht="15" hidden="false" customHeight="false" outlineLevel="0" collapsed="false">
      <c r="A7971" s="0" t="s">
        <v>8295</v>
      </c>
      <c r="B7971" s="0" t="s">
        <v>108</v>
      </c>
      <c r="C7971" s="0" t="str">
        <f aca="false">INDEX(Intent_Analysis!$B$5:$B$81,MATCH(B7971,Intent_Analysis!$A$5:$A$81,0))</f>
        <v>Top-ups</v>
      </c>
      <c r="D7971" s="0" t="n">
        <f aca="false">INDEX(Intent_Analysis!$E$5:$E$81,MATCH(B7971,Intent_Analysis!$A$5:$A$81,0))</f>
        <v>1</v>
      </c>
    </row>
    <row r="7972" customFormat="false" ht="15" hidden="false" customHeight="false" outlineLevel="0" collapsed="false">
      <c r="A7972" s="0" t="s">
        <v>8296</v>
      </c>
      <c r="B7972" s="0" t="s">
        <v>108</v>
      </c>
      <c r="C7972" s="0" t="str">
        <f aca="false">INDEX(Intent_Analysis!$B$5:$B$81,MATCH(B7972,Intent_Analysis!$A$5:$A$81,0))</f>
        <v>Top-ups</v>
      </c>
      <c r="D7972" s="0" t="n">
        <f aca="false">INDEX(Intent_Analysis!$E$5:$E$81,MATCH(B7972,Intent_Analysis!$A$5:$A$81,0))</f>
        <v>1</v>
      </c>
    </row>
    <row r="7973" customFormat="false" ht="15" hidden="false" customHeight="false" outlineLevel="0" collapsed="false">
      <c r="A7973" s="0" t="s">
        <v>8297</v>
      </c>
      <c r="B7973" s="0" t="s">
        <v>108</v>
      </c>
      <c r="C7973" s="0" t="str">
        <f aca="false">INDEX(Intent_Analysis!$B$5:$B$81,MATCH(B7973,Intent_Analysis!$A$5:$A$81,0))</f>
        <v>Top-ups</v>
      </c>
      <c r="D7973" s="0" t="n">
        <f aca="false">INDEX(Intent_Analysis!$E$5:$E$81,MATCH(B7973,Intent_Analysis!$A$5:$A$81,0))</f>
        <v>1</v>
      </c>
    </row>
    <row r="7974" customFormat="false" ht="15" hidden="false" customHeight="false" outlineLevel="0" collapsed="false">
      <c r="A7974" s="0" t="s">
        <v>8298</v>
      </c>
      <c r="B7974" s="0" t="s">
        <v>108</v>
      </c>
      <c r="C7974" s="0" t="str">
        <f aca="false">INDEX(Intent_Analysis!$B$5:$B$81,MATCH(B7974,Intent_Analysis!$A$5:$A$81,0))</f>
        <v>Top-ups</v>
      </c>
      <c r="D7974" s="0" t="n">
        <f aca="false">INDEX(Intent_Analysis!$E$5:$E$81,MATCH(B7974,Intent_Analysis!$A$5:$A$81,0))</f>
        <v>1</v>
      </c>
    </row>
    <row r="7975" customFormat="false" ht="15" hidden="false" customHeight="false" outlineLevel="0" collapsed="false">
      <c r="A7975" s="0" t="s">
        <v>8299</v>
      </c>
      <c r="B7975" s="0" t="s">
        <v>108</v>
      </c>
      <c r="C7975" s="0" t="str">
        <f aca="false">INDEX(Intent_Analysis!$B$5:$B$81,MATCH(B7975,Intent_Analysis!$A$5:$A$81,0))</f>
        <v>Top-ups</v>
      </c>
      <c r="D7975" s="0" t="n">
        <f aca="false">INDEX(Intent_Analysis!$E$5:$E$81,MATCH(B7975,Intent_Analysis!$A$5:$A$81,0))</f>
        <v>1</v>
      </c>
    </row>
    <row r="7976" customFormat="false" ht="15" hidden="false" customHeight="false" outlineLevel="0" collapsed="false">
      <c r="A7976" s="0" t="s">
        <v>8300</v>
      </c>
      <c r="B7976" s="0" t="s">
        <v>108</v>
      </c>
      <c r="C7976" s="0" t="str">
        <f aca="false">INDEX(Intent_Analysis!$B$5:$B$81,MATCH(B7976,Intent_Analysis!$A$5:$A$81,0))</f>
        <v>Top-ups</v>
      </c>
      <c r="D7976" s="0" t="n">
        <f aca="false">INDEX(Intent_Analysis!$E$5:$E$81,MATCH(B7976,Intent_Analysis!$A$5:$A$81,0))</f>
        <v>1</v>
      </c>
    </row>
    <row r="7977" customFormat="false" ht="15" hidden="false" customHeight="false" outlineLevel="0" collapsed="false">
      <c r="A7977" s="0" t="s">
        <v>8301</v>
      </c>
      <c r="B7977" s="0" t="s">
        <v>108</v>
      </c>
      <c r="C7977" s="0" t="str">
        <f aca="false">INDEX(Intent_Analysis!$B$5:$B$81,MATCH(B7977,Intent_Analysis!$A$5:$A$81,0))</f>
        <v>Top-ups</v>
      </c>
      <c r="D7977" s="0" t="n">
        <f aca="false">INDEX(Intent_Analysis!$E$5:$E$81,MATCH(B7977,Intent_Analysis!$A$5:$A$81,0))</f>
        <v>1</v>
      </c>
    </row>
    <row r="7978" customFormat="false" ht="15" hidden="false" customHeight="false" outlineLevel="0" collapsed="false">
      <c r="A7978" s="0" t="s">
        <v>8302</v>
      </c>
      <c r="B7978" s="0" t="s">
        <v>108</v>
      </c>
      <c r="C7978" s="0" t="str">
        <f aca="false">INDEX(Intent_Analysis!$B$5:$B$81,MATCH(B7978,Intent_Analysis!$A$5:$A$81,0))</f>
        <v>Top-ups</v>
      </c>
      <c r="D7978" s="0" t="n">
        <f aca="false">INDEX(Intent_Analysis!$E$5:$E$81,MATCH(B7978,Intent_Analysis!$A$5:$A$81,0))</f>
        <v>1</v>
      </c>
    </row>
    <row r="7979" customFormat="false" ht="15" hidden="false" customHeight="false" outlineLevel="0" collapsed="false">
      <c r="A7979" s="0" t="s">
        <v>8303</v>
      </c>
      <c r="B7979" s="0" t="s">
        <v>108</v>
      </c>
      <c r="C7979" s="0" t="str">
        <f aca="false">INDEX(Intent_Analysis!$B$5:$B$81,MATCH(B7979,Intent_Analysis!$A$5:$A$81,0))</f>
        <v>Top-ups</v>
      </c>
      <c r="D7979" s="0" t="n">
        <f aca="false">INDEX(Intent_Analysis!$E$5:$E$81,MATCH(B7979,Intent_Analysis!$A$5:$A$81,0))</f>
        <v>1</v>
      </c>
    </row>
    <row r="7980" customFormat="false" ht="15" hidden="false" customHeight="false" outlineLevel="0" collapsed="false">
      <c r="A7980" s="0" t="s">
        <v>8304</v>
      </c>
      <c r="B7980" s="0" t="s">
        <v>108</v>
      </c>
      <c r="C7980" s="0" t="str">
        <f aca="false">INDEX(Intent_Analysis!$B$5:$B$81,MATCH(B7980,Intent_Analysis!$A$5:$A$81,0))</f>
        <v>Top-ups</v>
      </c>
      <c r="D7980" s="0" t="n">
        <f aca="false">INDEX(Intent_Analysis!$E$5:$E$81,MATCH(B7980,Intent_Analysis!$A$5:$A$81,0))</f>
        <v>1</v>
      </c>
    </row>
    <row r="7981" customFormat="false" ht="15" hidden="false" customHeight="false" outlineLevel="0" collapsed="false">
      <c r="A7981" s="0" t="s">
        <v>8305</v>
      </c>
      <c r="B7981" s="0" t="s">
        <v>108</v>
      </c>
      <c r="C7981" s="0" t="str">
        <f aca="false">INDEX(Intent_Analysis!$B$5:$B$81,MATCH(B7981,Intent_Analysis!$A$5:$A$81,0))</f>
        <v>Top-ups</v>
      </c>
      <c r="D7981" s="0" t="n">
        <f aca="false">INDEX(Intent_Analysis!$E$5:$E$81,MATCH(B7981,Intent_Analysis!$A$5:$A$81,0))</f>
        <v>1</v>
      </c>
    </row>
    <row r="7982" customFormat="false" ht="15" hidden="false" customHeight="false" outlineLevel="0" collapsed="false">
      <c r="A7982" s="0" t="s">
        <v>8306</v>
      </c>
      <c r="B7982" s="0" t="s">
        <v>108</v>
      </c>
      <c r="C7982" s="0" t="str">
        <f aca="false">INDEX(Intent_Analysis!$B$5:$B$81,MATCH(B7982,Intent_Analysis!$A$5:$A$81,0))</f>
        <v>Top-ups</v>
      </c>
      <c r="D7982" s="0" t="n">
        <f aca="false">INDEX(Intent_Analysis!$E$5:$E$81,MATCH(B7982,Intent_Analysis!$A$5:$A$81,0))</f>
        <v>1</v>
      </c>
    </row>
    <row r="7983" customFormat="false" ht="15" hidden="false" customHeight="false" outlineLevel="0" collapsed="false">
      <c r="A7983" s="0" t="s">
        <v>8307</v>
      </c>
      <c r="B7983" s="0" t="s">
        <v>108</v>
      </c>
      <c r="C7983" s="0" t="str">
        <f aca="false">INDEX(Intent_Analysis!$B$5:$B$81,MATCH(B7983,Intent_Analysis!$A$5:$A$81,0))</f>
        <v>Top-ups</v>
      </c>
      <c r="D7983" s="0" t="n">
        <f aca="false">INDEX(Intent_Analysis!$E$5:$E$81,MATCH(B7983,Intent_Analysis!$A$5:$A$81,0))</f>
        <v>1</v>
      </c>
    </row>
    <row r="7984" customFormat="false" ht="15" hidden="false" customHeight="false" outlineLevel="0" collapsed="false">
      <c r="A7984" s="0" t="s">
        <v>8308</v>
      </c>
      <c r="B7984" s="0" t="s">
        <v>108</v>
      </c>
      <c r="C7984" s="0" t="str">
        <f aca="false">INDEX(Intent_Analysis!$B$5:$B$81,MATCH(B7984,Intent_Analysis!$A$5:$A$81,0))</f>
        <v>Top-ups</v>
      </c>
      <c r="D7984" s="0" t="n">
        <f aca="false">INDEX(Intent_Analysis!$E$5:$E$81,MATCH(B7984,Intent_Analysis!$A$5:$A$81,0))</f>
        <v>1</v>
      </c>
    </row>
    <row r="7985" customFormat="false" ht="15" hidden="false" customHeight="false" outlineLevel="0" collapsed="false">
      <c r="A7985" s="0" t="s">
        <v>8309</v>
      </c>
      <c r="B7985" s="0" t="s">
        <v>108</v>
      </c>
      <c r="C7985" s="0" t="str">
        <f aca="false">INDEX(Intent_Analysis!$B$5:$B$81,MATCH(B7985,Intent_Analysis!$A$5:$A$81,0))</f>
        <v>Top-ups</v>
      </c>
      <c r="D7985" s="0" t="n">
        <f aca="false">INDEX(Intent_Analysis!$E$5:$E$81,MATCH(B7985,Intent_Analysis!$A$5:$A$81,0))</f>
        <v>1</v>
      </c>
    </row>
    <row r="7986" customFormat="false" ht="15" hidden="false" customHeight="false" outlineLevel="0" collapsed="false">
      <c r="A7986" s="0" t="s">
        <v>8310</v>
      </c>
      <c r="B7986" s="0" t="s">
        <v>108</v>
      </c>
      <c r="C7986" s="0" t="str">
        <f aca="false">INDEX(Intent_Analysis!$B$5:$B$81,MATCH(B7986,Intent_Analysis!$A$5:$A$81,0))</f>
        <v>Top-ups</v>
      </c>
      <c r="D7986" s="0" t="n">
        <f aca="false">INDEX(Intent_Analysis!$E$5:$E$81,MATCH(B7986,Intent_Analysis!$A$5:$A$81,0))</f>
        <v>1</v>
      </c>
    </row>
    <row r="7987" customFormat="false" ht="15" hidden="false" customHeight="false" outlineLevel="0" collapsed="false">
      <c r="A7987" s="0" t="s">
        <v>8311</v>
      </c>
      <c r="B7987" s="0" t="s">
        <v>108</v>
      </c>
      <c r="C7987" s="0" t="str">
        <f aca="false">INDEX(Intent_Analysis!$B$5:$B$81,MATCH(B7987,Intent_Analysis!$A$5:$A$81,0))</f>
        <v>Top-ups</v>
      </c>
      <c r="D7987" s="0" t="n">
        <f aca="false">INDEX(Intent_Analysis!$E$5:$E$81,MATCH(B7987,Intent_Analysis!$A$5:$A$81,0))</f>
        <v>1</v>
      </c>
    </row>
    <row r="7988" customFormat="false" ht="15" hidden="false" customHeight="false" outlineLevel="0" collapsed="false">
      <c r="A7988" s="0" t="s">
        <v>8312</v>
      </c>
      <c r="B7988" s="0" t="s">
        <v>108</v>
      </c>
      <c r="C7988" s="0" t="str">
        <f aca="false">INDEX(Intent_Analysis!$B$5:$B$81,MATCH(B7988,Intent_Analysis!$A$5:$A$81,0))</f>
        <v>Top-ups</v>
      </c>
      <c r="D7988" s="0" t="n">
        <f aca="false">INDEX(Intent_Analysis!$E$5:$E$81,MATCH(B7988,Intent_Analysis!$A$5:$A$81,0))</f>
        <v>1</v>
      </c>
    </row>
    <row r="7989" customFormat="false" ht="15" hidden="false" customHeight="false" outlineLevel="0" collapsed="false">
      <c r="A7989" s="0" t="s">
        <v>8313</v>
      </c>
      <c r="B7989" s="0" t="s">
        <v>108</v>
      </c>
      <c r="C7989" s="0" t="str">
        <f aca="false">INDEX(Intent_Analysis!$B$5:$B$81,MATCH(B7989,Intent_Analysis!$A$5:$A$81,0))</f>
        <v>Top-ups</v>
      </c>
      <c r="D7989" s="0" t="n">
        <f aca="false">INDEX(Intent_Analysis!$E$5:$E$81,MATCH(B7989,Intent_Analysis!$A$5:$A$81,0))</f>
        <v>1</v>
      </c>
    </row>
    <row r="7990" customFormat="false" ht="15" hidden="false" customHeight="false" outlineLevel="0" collapsed="false">
      <c r="A7990" s="0" t="s">
        <v>8314</v>
      </c>
      <c r="B7990" s="0" t="s">
        <v>108</v>
      </c>
      <c r="C7990" s="0" t="str">
        <f aca="false">INDEX(Intent_Analysis!$B$5:$B$81,MATCH(B7990,Intent_Analysis!$A$5:$A$81,0))</f>
        <v>Top-ups</v>
      </c>
      <c r="D7990" s="0" t="n">
        <f aca="false">INDEX(Intent_Analysis!$E$5:$E$81,MATCH(B7990,Intent_Analysis!$A$5:$A$81,0))</f>
        <v>1</v>
      </c>
    </row>
    <row r="7991" customFormat="false" ht="15" hidden="false" customHeight="false" outlineLevel="0" collapsed="false">
      <c r="A7991" s="0" t="s">
        <v>8315</v>
      </c>
      <c r="B7991" s="0" t="s">
        <v>108</v>
      </c>
      <c r="C7991" s="0" t="str">
        <f aca="false">INDEX(Intent_Analysis!$B$5:$B$81,MATCH(B7991,Intent_Analysis!$A$5:$A$81,0))</f>
        <v>Top-ups</v>
      </c>
      <c r="D7991" s="0" t="n">
        <f aca="false">INDEX(Intent_Analysis!$E$5:$E$81,MATCH(B7991,Intent_Analysis!$A$5:$A$81,0))</f>
        <v>1</v>
      </c>
    </row>
    <row r="7992" customFormat="false" ht="15" hidden="false" customHeight="false" outlineLevel="0" collapsed="false">
      <c r="A7992" s="0" t="s">
        <v>8316</v>
      </c>
      <c r="B7992" s="0" t="s">
        <v>108</v>
      </c>
      <c r="C7992" s="0" t="str">
        <f aca="false">INDEX(Intent_Analysis!$B$5:$B$81,MATCH(B7992,Intent_Analysis!$A$5:$A$81,0))</f>
        <v>Top-ups</v>
      </c>
      <c r="D7992" s="0" t="n">
        <f aca="false">INDEX(Intent_Analysis!$E$5:$E$81,MATCH(B7992,Intent_Analysis!$A$5:$A$81,0))</f>
        <v>1</v>
      </c>
    </row>
    <row r="7993" customFormat="false" ht="15" hidden="false" customHeight="false" outlineLevel="0" collapsed="false">
      <c r="A7993" s="0" t="s">
        <v>8317</v>
      </c>
      <c r="B7993" s="0" t="s">
        <v>108</v>
      </c>
      <c r="C7993" s="0" t="str">
        <f aca="false">INDEX(Intent_Analysis!$B$5:$B$81,MATCH(B7993,Intent_Analysis!$A$5:$A$81,0))</f>
        <v>Top-ups</v>
      </c>
      <c r="D7993" s="0" t="n">
        <f aca="false">INDEX(Intent_Analysis!$E$5:$E$81,MATCH(B7993,Intent_Analysis!$A$5:$A$81,0))</f>
        <v>1</v>
      </c>
    </row>
    <row r="7994" customFormat="false" ht="15" hidden="false" customHeight="false" outlineLevel="0" collapsed="false">
      <c r="A7994" s="0" t="s">
        <v>8318</v>
      </c>
      <c r="B7994" s="0" t="s">
        <v>108</v>
      </c>
      <c r="C7994" s="0" t="str">
        <f aca="false">INDEX(Intent_Analysis!$B$5:$B$81,MATCH(B7994,Intent_Analysis!$A$5:$A$81,0))</f>
        <v>Top-ups</v>
      </c>
      <c r="D7994" s="0" t="n">
        <f aca="false">INDEX(Intent_Analysis!$E$5:$E$81,MATCH(B7994,Intent_Analysis!$A$5:$A$81,0))</f>
        <v>1</v>
      </c>
    </row>
    <row r="7995" customFormat="false" ht="15" hidden="false" customHeight="false" outlineLevel="0" collapsed="false">
      <c r="A7995" s="0" t="s">
        <v>8319</v>
      </c>
      <c r="B7995" s="0" t="s">
        <v>108</v>
      </c>
      <c r="C7995" s="0" t="str">
        <f aca="false">INDEX(Intent_Analysis!$B$5:$B$81,MATCH(B7995,Intent_Analysis!$A$5:$A$81,0))</f>
        <v>Top-ups</v>
      </c>
      <c r="D7995" s="0" t="n">
        <f aca="false">INDEX(Intent_Analysis!$E$5:$E$81,MATCH(B7995,Intent_Analysis!$A$5:$A$81,0))</f>
        <v>1</v>
      </c>
    </row>
    <row r="7996" customFormat="false" ht="15" hidden="false" customHeight="false" outlineLevel="0" collapsed="false">
      <c r="A7996" s="0" t="s">
        <v>8320</v>
      </c>
      <c r="B7996" s="0" t="s">
        <v>108</v>
      </c>
      <c r="C7996" s="0" t="str">
        <f aca="false">INDEX(Intent_Analysis!$B$5:$B$81,MATCH(B7996,Intent_Analysis!$A$5:$A$81,0))</f>
        <v>Top-ups</v>
      </c>
      <c r="D7996" s="0" t="n">
        <f aca="false">INDEX(Intent_Analysis!$E$5:$E$81,MATCH(B7996,Intent_Analysis!$A$5:$A$81,0))</f>
        <v>1</v>
      </c>
    </row>
    <row r="7997" customFormat="false" ht="15" hidden="false" customHeight="false" outlineLevel="0" collapsed="false">
      <c r="A7997" s="0" t="s">
        <v>8321</v>
      </c>
      <c r="B7997" s="0" t="s">
        <v>108</v>
      </c>
      <c r="C7997" s="0" t="str">
        <f aca="false">INDEX(Intent_Analysis!$B$5:$B$81,MATCH(B7997,Intent_Analysis!$A$5:$A$81,0))</f>
        <v>Top-ups</v>
      </c>
      <c r="D7997" s="0" t="n">
        <f aca="false">INDEX(Intent_Analysis!$E$5:$E$81,MATCH(B7997,Intent_Analysis!$A$5:$A$81,0))</f>
        <v>1</v>
      </c>
    </row>
    <row r="7998" customFormat="false" ht="15" hidden="false" customHeight="false" outlineLevel="0" collapsed="false">
      <c r="A7998" s="0" t="s">
        <v>8322</v>
      </c>
      <c r="B7998" s="0" t="s">
        <v>108</v>
      </c>
      <c r="C7998" s="0" t="str">
        <f aca="false">INDEX(Intent_Analysis!$B$5:$B$81,MATCH(B7998,Intent_Analysis!$A$5:$A$81,0))</f>
        <v>Top-ups</v>
      </c>
      <c r="D7998" s="0" t="n">
        <f aca="false">INDEX(Intent_Analysis!$E$5:$E$81,MATCH(B7998,Intent_Analysis!$A$5:$A$81,0))</f>
        <v>1</v>
      </c>
    </row>
    <row r="7999" customFormat="false" ht="15" hidden="false" customHeight="false" outlineLevel="0" collapsed="false">
      <c r="A7999" s="0" t="s">
        <v>8323</v>
      </c>
      <c r="B7999" s="0" t="s">
        <v>108</v>
      </c>
      <c r="C7999" s="0" t="str">
        <f aca="false">INDEX(Intent_Analysis!$B$5:$B$81,MATCH(B7999,Intent_Analysis!$A$5:$A$81,0))</f>
        <v>Top-ups</v>
      </c>
      <c r="D7999" s="0" t="n">
        <f aca="false">INDEX(Intent_Analysis!$E$5:$E$81,MATCH(B7999,Intent_Analysis!$A$5:$A$81,0))</f>
        <v>1</v>
      </c>
    </row>
    <row r="8000" customFormat="false" ht="15" hidden="false" customHeight="false" outlineLevel="0" collapsed="false">
      <c r="A8000" s="0" t="s">
        <v>8324</v>
      </c>
      <c r="B8000" s="0" t="s">
        <v>108</v>
      </c>
      <c r="C8000" s="0" t="str">
        <f aca="false">INDEX(Intent_Analysis!$B$5:$B$81,MATCH(B8000,Intent_Analysis!$A$5:$A$81,0))</f>
        <v>Top-ups</v>
      </c>
      <c r="D8000" s="0" t="n">
        <f aca="false">INDEX(Intent_Analysis!$E$5:$E$81,MATCH(B8000,Intent_Analysis!$A$5:$A$81,0))</f>
        <v>1</v>
      </c>
    </row>
    <row r="8001" customFormat="false" ht="15" hidden="false" customHeight="false" outlineLevel="0" collapsed="false">
      <c r="A8001" s="0" t="s">
        <v>8325</v>
      </c>
      <c r="B8001" s="0" t="s">
        <v>108</v>
      </c>
      <c r="C8001" s="0" t="str">
        <f aca="false">INDEX(Intent_Analysis!$B$5:$B$81,MATCH(B8001,Intent_Analysis!$A$5:$A$81,0))</f>
        <v>Top-ups</v>
      </c>
      <c r="D8001" s="0" t="n">
        <f aca="false">INDEX(Intent_Analysis!$E$5:$E$81,MATCH(B8001,Intent_Analysis!$A$5:$A$81,0))</f>
        <v>1</v>
      </c>
    </row>
    <row r="8002" customFormat="false" ht="15" hidden="false" customHeight="false" outlineLevel="0" collapsed="false">
      <c r="A8002" s="0" t="s">
        <v>8326</v>
      </c>
      <c r="B8002" s="0" t="s">
        <v>108</v>
      </c>
      <c r="C8002" s="0" t="str">
        <f aca="false">INDEX(Intent_Analysis!$B$5:$B$81,MATCH(B8002,Intent_Analysis!$A$5:$A$81,0))</f>
        <v>Top-ups</v>
      </c>
      <c r="D8002" s="0" t="n">
        <f aca="false">INDEX(Intent_Analysis!$E$5:$E$81,MATCH(B8002,Intent_Analysis!$A$5:$A$81,0))</f>
        <v>1</v>
      </c>
    </row>
    <row r="8003" customFormat="false" ht="15" hidden="false" customHeight="false" outlineLevel="0" collapsed="false">
      <c r="A8003" s="0" t="s">
        <v>8327</v>
      </c>
      <c r="B8003" s="0" t="s">
        <v>108</v>
      </c>
      <c r="C8003" s="0" t="str">
        <f aca="false">INDEX(Intent_Analysis!$B$5:$B$81,MATCH(B8003,Intent_Analysis!$A$5:$A$81,0))</f>
        <v>Top-ups</v>
      </c>
      <c r="D8003" s="0" t="n">
        <f aca="false">INDEX(Intent_Analysis!$E$5:$E$81,MATCH(B8003,Intent_Analysis!$A$5:$A$81,0))</f>
        <v>1</v>
      </c>
    </row>
    <row r="8004" customFormat="false" ht="15" hidden="false" customHeight="false" outlineLevel="0" collapsed="false">
      <c r="A8004" s="0" t="s">
        <v>8328</v>
      </c>
      <c r="B8004" s="0" t="s">
        <v>108</v>
      </c>
      <c r="C8004" s="0" t="str">
        <f aca="false">INDEX(Intent_Analysis!$B$5:$B$81,MATCH(B8004,Intent_Analysis!$A$5:$A$81,0))</f>
        <v>Top-ups</v>
      </c>
      <c r="D8004" s="0" t="n">
        <f aca="false">INDEX(Intent_Analysis!$E$5:$E$81,MATCH(B8004,Intent_Analysis!$A$5:$A$81,0))</f>
        <v>1</v>
      </c>
    </row>
    <row r="8005" customFormat="false" ht="15" hidden="false" customHeight="false" outlineLevel="0" collapsed="false">
      <c r="A8005" s="0" t="s">
        <v>8329</v>
      </c>
      <c r="B8005" s="0" t="s">
        <v>108</v>
      </c>
      <c r="C8005" s="0" t="str">
        <f aca="false">INDEX(Intent_Analysis!$B$5:$B$81,MATCH(B8005,Intent_Analysis!$A$5:$A$81,0))</f>
        <v>Top-ups</v>
      </c>
      <c r="D8005" s="0" t="n">
        <f aca="false">INDEX(Intent_Analysis!$E$5:$E$81,MATCH(B8005,Intent_Analysis!$A$5:$A$81,0))</f>
        <v>1</v>
      </c>
    </row>
    <row r="8006" customFormat="false" ht="15" hidden="false" customHeight="false" outlineLevel="0" collapsed="false">
      <c r="A8006" s="0" t="s">
        <v>8330</v>
      </c>
      <c r="B8006" s="0" t="s">
        <v>108</v>
      </c>
      <c r="C8006" s="0" t="str">
        <f aca="false">INDEX(Intent_Analysis!$B$5:$B$81,MATCH(B8006,Intent_Analysis!$A$5:$A$81,0))</f>
        <v>Top-ups</v>
      </c>
      <c r="D8006" s="0" t="n">
        <f aca="false">INDEX(Intent_Analysis!$E$5:$E$81,MATCH(B8006,Intent_Analysis!$A$5:$A$81,0))</f>
        <v>1</v>
      </c>
    </row>
    <row r="8007" customFormat="false" ht="15" hidden="false" customHeight="false" outlineLevel="0" collapsed="false">
      <c r="A8007" s="0" t="s">
        <v>8331</v>
      </c>
      <c r="B8007" s="0" t="s">
        <v>108</v>
      </c>
      <c r="C8007" s="0" t="str">
        <f aca="false">INDEX(Intent_Analysis!$B$5:$B$81,MATCH(B8007,Intent_Analysis!$A$5:$A$81,0))</f>
        <v>Top-ups</v>
      </c>
      <c r="D8007" s="0" t="n">
        <f aca="false">INDEX(Intent_Analysis!$E$5:$E$81,MATCH(B8007,Intent_Analysis!$A$5:$A$81,0))</f>
        <v>1</v>
      </c>
    </row>
    <row r="8008" customFormat="false" ht="15" hidden="false" customHeight="false" outlineLevel="0" collapsed="false">
      <c r="A8008" s="0" t="s">
        <v>8332</v>
      </c>
      <c r="B8008" s="0" t="s">
        <v>108</v>
      </c>
      <c r="C8008" s="0" t="str">
        <f aca="false">INDEX(Intent_Analysis!$B$5:$B$81,MATCH(B8008,Intent_Analysis!$A$5:$A$81,0))</f>
        <v>Top-ups</v>
      </c>
      <c r="D8008" s="0" t="n">
        <f aca="false">INDEX(Intent_Analysis!$E$5:$E$81,MATCH(B8008,Intent_Analysis!$A$5:$A$81,0))</f>
        <v>1</v>
      </c>
    </row>
    <row r="8009" customFormat="false" ht="15" hidden="false" customHeight="false" outlineLevel="0" collapsed="false">
      <c r="A8009" s="0" t="s">
        <v>8333</v>
      </c>
      <c r="B8009" s="0" t="s">
        <v>108</v>
      </c>
      <c r="C8009" s="0" t="str">
        <f aca="false">INDEX(Intent_Analysis!$B$5:$B$81,MATCH(B8009,Intent_Analysis!$A$5:$A$81,0))</f>
        <v>Top-ups</v>
      </c>
      <c r="D8009" s="0" t="n">
        <f aca="false">INDEX(Intent_Analysis!$E$5:$E$81,MATCH(B8009,Intent_Analysis!$A$5:$A$81,0))</f>
        <v>1</v>
      </c>
    </row>
    <row r="8010" customFormat="false" ht="15" hidden="false" customHeight="false" outlineLevel="0" collapsed="false">
      <c r="A8010" s="0" t="s">
        <v>8334</v>
      </c>
      <c r="B8010" s="0" t="s">
        <v>108</v>
      </c>
      <c r="C8010" s="0" t="str">
        <f aca="false">INDEX(Intent_Analysis!$B$5:$B$81,MATCH(B8010,Intent_Analysis!$A$5:$A$81,0))</f>
        <v>Top-ups</v>
      </c>
      <c r="D8010" s="0" t="n">
        <f aca="false">INDEX(Intent_Analysis!$E$5:$E$81,MATCH(B8010,Intent_Analysis!$A$5:$A$81,0))</f>
        <v>1</v>
      </c>
    </row>
    <row r="8011" customFormat="false" ht="15" hidden="false" customHeight="false" outlineLevel="0" collapsed="false">
      <c r="A8011" s="0" t="s">
        <v>8335</v>
      </c>
      <c r="B8011" s="0" t="s">
        <v>108</v>
      </c>
      <c r="C8011" s="0" t="str">
        <f aca="false">INDEX(Intent_Analysis!$B$5:$B$81,MATCH(B8011,Intent_Analysis!$A$5:$A$81,0))</f>
        <v>Top-ups</v>
      </c>
      <c r="D8011" s="0" t="n">
        <f aca="false">INDEX(Intent_Analysis!$E$5:$E$81,MATCH(B8011,Intent_Analysis!$A$5:$A$81,0))</f>
        <v>1</v>
      </c>
    </row>
    <row r="8012" customFormat="false" ht="15" hidden="false" customHeight="false" outlineLevel="0" collapsed="false">
      <c r="A8012" s="0" t="s">
        <v>8336</v>
      </c>
      <c r="B8012" s="0" t="s">
        <v>108</v>
      </c>
      <c r="C8012" s="0" t="str">
        <f aca="false">INDEX(Intent_Analysis!$B$5:$B$81,MATCH(B8012,Intent_Analysis!$A$5:$A$81,0))</f>
        <v>Top-ups</v>
      </c>
      <c r="D8012" s="0" t="n">
        <f aca="false">INDEX(Intent_Analysis!$E$5:$E$81,MATCH(B8012,Intent_Analysis!$A$5:$A$81,0))</f>
        <v>1</v>
      </c>
    </row>
    <row r="8013" customFormat="false" ht="15" hidden="false" customHeight="false" outlineLevel="0" collapsed="false">
      <c r="A8013" s="0" t="s">
        <v>8337</v>
      </c>
      <c r="B8013" s="0" t="s">
        <v>108</v>
      </c>
      <c r="C8013" s="0" t="str">
        <f aca="false">INDEX(Intent_Analysis!$B$5:$B$81,MATCH(B8013,Intent_Analysis!$A$5:$A$81,0))</f>
        <v>Top-ups</v>
      </c>
      <c r="D8013" s="0" t="n">
        <f aca="false">INDEX(Intent_Analysis!$E$5:$E$81,MATCH(B8013,Intent_Analysis!$A$5:$A$81,0))</f>
        <v>1</v>
      </c>
    </row>
    <row r="8014" customFormat="false" ht="15" hidden="false" customHeight="false" outlineLevel="0" collapsed="false">
      <c r="A8014" s="0" t="s">
        <v>8338</v>
      </c>
      <c r="B8014" s="0" t="s">
        <v>108</v>
      </c>
      <c r="C8014" s="0" t="str">
        <f aca="false">INDEX(Intent_Analysis!$B$5:$B$81,MATCH(B8014,Intent_Analysis!$A$5:$A$81,0))</f>
        <v>Top-ups</v>
      </c>
      <c r="D8014" s="0" t="n">
        <f aca="false">INDEX(Intent_Analysis!$E$5:$E$81,MATCH(B8014,Intent_Analysis!$A$5:$A$81,0))</f>
        <v>1</v>
      </c>
    </row>
    <row r="8015" customFormat="false" ht="15" hidden="false" customHeight="false" outlineLevel="0" collapsed="false">
      <c r="A8015" s="0" t="s">
        <v>8339</v>
      </c>
      <c r="B8015" s="0" t="s">
        <v>108</v>
      </c>
      <c r="C8015" s="0" t="str">
        <f aca="false">INDEX(Intent_Analysis!$B$5:$B$81,MATCH(B8015,Intent_Analysis!$A$5:$A$81,0))</f>
        <v>Top-ups</v>
      </c>
      <c r="D8015" s="0" t="n">
        <f aca="false">INDEX(Intent_Analysis!$E$5:$E$81,MATCH(B8015,Intent_Analysis!$A$5:$A$81,0))</f>
        <v>1</v>
      </c>
    </row>
    <row r="8016" customFormat="false" ht="15" hidden="false" customHeight="false" outlineLevel="0" collapsed="false">
      <c r="A8016" s="0" t="s">
        <v>8340</v>
      </c>
      <c r="B8016" s="0" t="s">
        <v>108</v>
      </c>
      <c r="C8016" s="0" t="str">
        <f aca="false">INDEX(Intent_Analysis!$B$5:$B$81,MATCH(B8016,Intent_Analysis!$A$5:$A$81,0))</f>
        <v>Top-ups</v>
      </c>
      <c r="D8016" s="0" t="n">
        <f aca="false">INDEX(Intent_Analysis!$E$5:$E$81,MATCH(B8016,Intent_Analysis!$A$5:$A$81,0))</f>
        <v>1</v>
      </c>
    </row>
    <row r="8017" customFormat="false" ht="15" hidden="false" customHeight="false" outlineLevel="0" collapsed="false">
      <c r="A8017" s="0" t="s">
        <v>8341</v>
      </c>
      <c r="B8017" s="0" t="s">
        <v>108</v>
      </c>
      <c r="C8017" s="0" t="str">
        <f aca="false">INDEX(Intent_Analysis!$B$5:$B$81,MATCH(B8017,Intent_Analysis!$A$5:$A$81,0))</f>
        <v>Top-ups</v>
      </c>
      <c r="D8017" s="0" t="n">
        <f aca="false">INDEX(Intent_Analysis!$E$5:$E$81,MATCH(B8017,Intent_Analysis!$A$5:$A$81,0))</f>
        <v>1</v>
      </c>
    </row>
    <row r="8018" customFormat="false" ht="15" hidden="false" customHeight="false" outlineLevel="0" collapsed="false">
      <c r="A8018" s="0" t="s">
        <v>8342</v>
      </c>
      <c r="B8018" s="0" t="s">
        <v>108</v>
      </c>
      <c r="C8018" s="0" t="str">
        <f aca="false">INDEX(Intent_Analysis!$B$5:$B$81,MATCH(B8018,Intent_Analysis!$A$5:$A$81,0))</f>
        <v>Top-ups</v>
      </c>
      <c r="D8018" s="0" t="n">
        <f aca="false">INDEX(Intent_Analysis!$E$5:$E$81,MATCH(B8018,Intent_Analysis!$A$5:$A$81,0))</f>
        <v>1</v>
      </c>
    </row>
    <row r="8019" customFormat="false" ht="15" hidden="false" customHeight="false" outlineLevel="0" collapsed="false">
      <c r="A8019" s="0" t="s">
        <v>8343</v>
      </c>
      <c r="B8019" s="0" t="s">
        <v>108</v>
      </c>
      <c r="C8019" s="0" t="str">
        <f aca="false">INDEX(Intent_Analysis!$B$5:$B$81,MATCH(B8019,Intent_Analysis!$A$5:$A$81,0))</f>
        <v>Top-ups</v>
      </c>
      <c r="D8019" s="0" t="n">
        <f aca="false">INDEX(Intent_Analysis!$E$5:$E$81,MATCH(B8019,Intent_Analysis!$A$5:$A$81,0))</f>
        <v>1</v>
      </c>
    </row>
    <row r="8020" customFormat="false" ht="15" hidden="false" customHeight="false" outlineLevel="0" collapsed="false">
      <c r="A8020" s="0" t="s">
        <v>8344</v>
      </c>
      <c r="B8020" s="0" t="s">
        <v>108</v>
      </c>
      <c r="C8020" s="0" t="str">
        <f aca="false">INDEX(Intent_Analysis!$B$5:$B$81,MATCH(B8020,Intent_Analysis!$A$5:$A$81,0))</f>
        <v>Top-ups</v>
      </c>
      <c r="D8020" s="0" t="n">
        <f aca="false">INDEX(Intent_Analysis!$E$5:$E$81,MATCH(B8020,Intent_Analysis!$A$5:$A$81,0))</f>
        <v>1</v>
      </c>
    </row>
    <row r="8021" customFormat="false" ht="15" hidden="false" customHeight="false" outlineLevel="0" collapsed="false">
      <c r="A8021" s="0" t="s">
        <v>8345</v>
      </c>
      <c r="B8021" s="0" t="s">
        <v>108</v>
      </c>
      <c r="C8021" s="0" t="str">
        <f aca="false">INDEX(Intent_Analysis!$B$5:$B$81,MATCH(B8021,Intent_Analysis!$A$5:$A$81,0))</f>
        <v>Top-ups</v>
      </c>
      <c r="D8021" s="0" t="n">
        <f aca="false">INDEX(Intent_Analysis!$E$5:$E$81,MATCH(B8021,Intent_Analysis!$A$5:$A$81,0))</f>
        <v>1</v>
      </c>
    </row>
    <row r="8022" customFormat="false" ht="15" hidden="false" customHeight="false" outlineLevel="0" collapsed="false">
      <c r="A8022" s="0" t="s">
        <v>8346</v>
      </c>
      <c r="B8022" s="0" t="s">
        <v>108</v>
      </c>
      <c r="C8022" s="0" t="str">
        <f aca="false">INDEX(Intent_Analysis!$B$5:$B$81,MATCH(B8022,Intent_Analysis!$A$5:$A$81,0))</f>
        <v>Top-ups</v>
      </c>
      <c r="D8022" s="0" t="n">
        <f aca="false">INDEX(Intent_Analysis!$E$5:$E$81,MATCH(B8022,Intent_Analysis!$A$5:$A$81,0))</f>
        <v>1</v>
      </c>
    </row>
    <row r="8023" customFormat="false" ht="15" hidden="false" customHeight="false" outlineLevel="0" collapsed="false">
      <c r="A8023" s="0" t="s">
        <v>8347</v>
      </c>
      <c r="B8023" s="0" t="s">
        <v>108</v>
      </c>
      <c r="C8023" s="0" t="str">
        <f aca="false">INDEX(Intent_Analysis!$B$5:$B$81,MATCH(B8023,Intent_Analysis!$A$5:$A$81,0))</f>
        <v>Top-ups</v>
      </c>
      <c r="D8023" s="0" t="n">
        <f aca="false">INDEX(Intent_Analysis!$E$5:$E$81,MATCH(B8023,Intent_Analysis!$A$5:$A$81,0))</f>
        <v>1</v>
      </c>
    </row>
    <row r="8024" customFormat="false" ht="15" hidden="false" customHeight="false" outlineLevel="0" collapsed="false">
      <c r="A8024" s="0" t="s">
        <v>8348</v>
      </c>
      <c r="B8024" s="0" t="s">
        <v>108</v>
      </c>
      <c r="C8024" s="0" t="str">
        <f aca="false">INDEX(Intent_Analysis!$B$5:$B$81,MATCH(B8024,Intent_Analysis!$A$5:$A$81,0))</f>
        <v>Top-ups</v>
      </c>
      <c r="D8024" s="0" t="n">
        <f aca="false">INDEX(Intent_Analysis!$E$5:$E$81,MATCH(B8024,Intent_Analysis!$A$5:$A$81,0))</f>
        <v>1</v>
      </c>
    </row>
    <row r="8025" customFormat="false" ht="15" hidden="false" customHeight="false" outlineLevel="0" collapsed="false">
      <c r="A8025" s="0" t="s">
        <v>8349</v>
      </c>
      <c r="B8025" s="0" t="s">
        <v>108</v>
      </c>
      <c r="C8025" s="0" t="str">
        <f aca="false">INDEX(Intent_Analysis!$B$5:$B$81,MATCH(B8025,Intent_Analysis!$A$5:$A$81,0))</f>
        <v>Top-ups</v>
      </c>
      <c r="D8025" s="0" t="n">
        <f aca="false">INDEX(Intent_Analysis!$E$5:$E$81,MATCH(B8025,Intent_Analysis!$A$5:$A$81,0))</f>
        <v>1</v>
      </c>
    </row>
    <row r="8026" customFormat="false" ht="15" hidden="false" customHeight="false" outlineLevel="0" collapsed="false">
      <c r="A8026" s="0" t="s">
        <v>8350</v>
      </c>
      <c r="B8026" s="0" t="s">
        <v>108</v>
      </c>
      <c r="C8026" s="0" t="str">
        <f aca="false">INDEX(Intent_Analysis!$B$5:$B$81,MATCH(B8026,Intent_Analysis!$A$5:$A$81,0))</f>
        <v>Top-ups</v>
      </c>
      <c r="D8026" s="0" t="n">
        <f aca="false">INDEX(Intent_Analysis!$E$5:$E$81,MATCH(B8026,Intent_Analysis!$A$5:$A$81,0))</f>
        <v>1</v>
      </c>
    </row>
    <row r="8027" customFormat="false" ht="15" hidden="false" customHeight="false" outlineLevel="0" collapsed="false">
      <c r="A8027" s="0" t="s">
        <v>8351</v>
      </c>
      <c r="B8027" s="0" t="s">
        <v>108</v>
      </c>
      <c r="C8027" s="0" t="str">
        <f aca="false">INDEX(Intent_Analysis!$B$5:$B$81,MATCH(B8027,Intent_Analysis!$A$5:$A$81,0))</f>
        <v>Top-ups</v>
      </c>
      <c r="D8027" s="0" t="n">
        <f aca="false">INDEX(Intent_Analysis!$E$5:$E$81,MATCH(B8027,Intent_Analysis!$A$5:$A$81,0))</f>
        <v>1</v>
      </c>
    </row>
    <row r="8028" customFormat="false" ht="15" hidden="false" customHeight="false" outlineLevel="0" collapsed="false">
      <c r="A8028" s="0" t="s">
        <v>8352</v>
      </c>
      <c r="B8028" s="0" t="s">
        <v>108</v>
      </c>
      <c r="C8028" s="0" t="str">
        <f aca="false">INDEX(Intent_Analysis!$B$5:$B$81,MATCH(B8028,Intent_Analysis!$A$5:$A$81,0))</f>
        <v>Top-ups</v>
      </c>
      <c r="D8028" s="0" t="n">
        <f aca="false">INDEX(Intent_Analysis!$E$5:$E$81,MATCH(B8028,Intent_Analysis!$A$5:$A$81,0))</f>
        <v>1</v>
      </c>
    </row>
    <row r="8029" customFormat="false" ht="15" hidden="false" customHeight="false" outlineLevel="0" collapsed="false">
      <c r="A8029" s="0" t="s">
        <v>8353</v>
      </c>
      <c r="B8029" s="0" t="s">
        <v>108</v>
      </c>
      <c r="C8029" s="0" t="str">
        <f aca="false">INDEX(Intent_Analysis!$B$5:$B$81,MATCH(B8029,Intent_Analysis!$A$5:$A$81,0))</f>
        <v>Top-ups</v>
      </c>
      <c r="D8029" s="0" t="n">
        <f aca="false">INDEX(Intent_Analysis!$E$5:$E$81,MATCH(B8029,Intent_Analysis!$A$5:$A$81,0))</f>
        <v>1</v>
      </c>
    </row>
    <row r="8030" customFormat="false" ht="15" hidden="false" customHeight="false" outlineLevel="0" collapsed="false">
      <c r="A8030" s="0" t="s">
        <v>8354</v>
      </c>
      <c r="B8030" s="0" t="s">
        <v>108</v>
      </c>
      <c r="C8030" s="0" t="str">
        <f aca="false">INDEX(Intent_Analysis!$B$5:$B$81,MATCH(B8030,Intent_Analysis!$A$5:$A$81,0))</f>
        <v>Top-ups</v>
      </c>
      <c r="D8030" s="0" t="n">
        <f aca="false">INDEX(Intent_Analysis!$E$5:$E$81,MATCH(B8030,Intent_Analysis!$A$5:$A$81,0))</f>
        <v>1</v>
      </c>
    </row>
    <row r="8031" customFormat="false" ht="15" hidden="false" customHeight="false" outlineLevel="0" collapsed="false">
      <c r="A8031" s="0" t="s">
        <v>8355</v>
      </c>
      <c r="B8031" s="0" t="s">
        <v>108</v>
      </c>
      <c r="C8031" s="0" t="str">
        <f aca="false">INDEX(Intent_Analysis!$B$5:$B$81,MATCH(B8031,Intent_Analysis!$A$5:$A$81,0))</f>
        <v>Top-ups</v>
      </c>
      <c r="D8031" s="0" t="n">
        <f aca="false">INDEX(Intent_Analysis!$E$5:$E$81,MATCH(B8031,Intent_Analysis!$A$5:$A$81,0))</f>
        <v>1</v>
      </c>
    </row>
    <row r="8032" customFormat="false" ht="15" hidden="false" customHeight="false" outlineLevel="0" collapsed="false">
      <c r="A8032" s="0" t="s">
        <v>8356</v>
      </c>
      <c r="B8032" s="0" t="s">
        <v>108</v>
      </c>
      <c r="C8032" s="0" t="str">
        <f aca="false">INDEX(Intent_Analysis!$B$5:$B$81,MATCH(B8032,Intent_Analysis!$A$5:$A$81,0))</f>
        <v>Top-ups</v>
      </c>
      <c r="D8032" s="0" t="n">
        <f aca="false">INDEX(Intent_Analysis!$E$5:$E$81,MATCH(B8032,Intent_Analysis!$A$5:$A$81,0))</f>
        <v>1</v>
      </c>
    </row>
    <row r="8033" customFormat="false" ht="15" hidden="false" customHeight="false" outlineLevel="0" collapsed="false">
      <c r="A8033" s="0" t="s">
        <v>8357</v>
      </c>
      <c r="B8033" s="0" t="s">
        <v>108</v>
      </c>
      <c r="C8033" s="0" t="str">
        <f aca="false">INDEX(Intent_Analysis!$B$5:$B$81,MATCH(B8033,Intent_Analysis!$A$5:$A$81,0))</f>
        <v>Top-ups</v>
      </c>
      <c r="D8033" s="0" t="n">
        <f aca="false">INDEX(Intent_Analysis!$E$5:$E$81,MATCH(B8033,Intent_Analysis!$A$5:$A$81,0))</f>
        <v>1</v>
      </c>
    </row>
    <row r="8034" customFormat="false" ht="15" hidden="false" customHeight="false" outlineLevel="0" collapsed="false">
      <c r="A8034" s="0" t="s">
        <v>8358</v>
      </c>
      <c r="B8034" s="0" t="s">
        <v>108</v>
      </c>
      <c r="C8034" s="0" t="str">
        <f aca="false">INDEX(Intent_Analysis!$B$5:$B$81,MATCH(B8034,Intent_Analysis!$A$5:$A$81,0))</f>
        <v>Top-ups</v>
      </c>
      <c r="D8034" s="0" t="n">
        <f aca="false">INDEX(Intent_Analysis!$E$5:$E$81,MATCH(B8034,Intent_Analysis!$A$5:$A$81,0))</f>
        <v>1</v>
      </c>
    </row>
    <row r="8035" customFormat="false" ht="15" hidden="false" customHeight="false" outlineLevel="0" collapsed="false">
      <c r="A8035" s="0" t="s">
        <v>8359</v>
      </c>
      <c r="B8035" s="0" t="s">
        <v>108</v>
      </c>
      <c r="C8035" s="0" t="str">
        <f aca="false">INDEX(Intent_Analysis!$B$5:$B$81,MATCH(B8035,Intent_Analysis!$A$5:$A$81,0))</f>
        <v>Top-ups</v>
      </c>
      <c r="D8035" s="0" t="n">
        <f aca="false">INDEX(Intent_Analysis!$E$5:$E$81,MATCH(B8035,Intent_Analysis!$A$5:$A$81,0))</f>
        <v>1</v>
      </c>
    </row>
    <row r="8036" customFormat="false" ht="15" hidden="false" customHeight="false" outlineLevel="0" collapsed="false">
      <c r="A8036" s="0" t="s">
        <v>8360</v>
      </c>
      <c r="B8036" s="0" t="s">
        <v>108</v>
      </c>
      <c r="C8036" s="0" t="str">
        <f aca="false">INDEX(Intent_Analysis!$B$5:$B$81,MATCH(B8036,Intent_Analysis!$A$5:$A$81,0))</f>
        <v>Top-ups</v>
      </c>
      <c r="D8036" s="0" t="n">
        <f aca="false">INDEX(Intent_Analysis!$E$5:$E$81,MATCH(B8036,Intent_Analysis!$A$5:$A$81,0))</f>
        <v>1</v>
      </c>
    </row>
    <row r="8037" customFormat="false" ht="15" hidden="false" customHeight="false" outlineLevel="0" collapsed="false">
      <c r="A8037" s="0" t="s">
        <v>8361</v>
      </c>
      <c r="B8037" s="0" t="s">
        <v>108</v>
      </c>
      <c r="C8037" s="0" t="str">
        <f aca="false">INDEX(Intent_Analysis!$B$5:$B$81,MATCH(B8037,Intent_Analysis!$A$5:$A$81,0))</f>
        <v>Top-ups</v>
      </c>
      <c r="D8037" s="0" t="n">
        <f aca="false">INDEX(Intent_Analysis!$E$5:$E$81,MATCH(B8037,Intent_Analysis!$A$5:$A$81,0))</f>
        <v>1</v>
      </c>
    </row>
    <row r="8038" customFormat="false" ht="15" hidden="false" customHeight="false" outlineLevel="0" collapsed="false">
      <c r="A8038" s="0" t="s">
        <v>8362</v>
      </c>
      <c r="B8038" s="0" t="s">
        <v>108</v>
      </c>
      <c r="C8038" s="0" t="str">
        <f aca="false">INDEX(Intent_Analysis!$B$5:$B$81,MATCH(B8038,Intent_Analysis!$A$5:$A$81,0))</f>
        <v>Top-ups</v>
      </c>
      <c r="D8038" s="0" t="n">
        <f aca="false">INDEX(Intent_Analysis!$E$5:$E$81,MATCH(B8038,Intent_Analysis!$A$5:$A$81,0))</f>
        <v>1</v>
      </c>
    </row>
    <row r="8039" customFormat="false" ht="15" hidden="false" customHeight="false" outlineLevel="0" collapsed="false">
      <c r="A8039" s="0" t="s">
        <v>8363</v>
      </c>
      <c r="B8039" s="0" t="s">
        <v>108</v>
      </c>
      <c r="C8039" s="0" t="str">
        <f aca="false">INDEX(Intent_Analysis!$B$5:$B$81,MATCH(B8039,Intent_Analysis!$A$5:$A$81,0))</f>
        <v>Top-ups</v>
      </c>
      <c r="D8039" s="0" t="n">
        <f aca="false">INDEX(Intent_Analysis!$E$5:$E$81,MATCH(B8039,Intent_Analysis!$A$5:$A$81,0))</f>
        <v>1</v>
      </c>
    </row>
    <row r="8040" customFormat="false" ht="15" hidden="false" customHeight="false" outlineLevel="0" collapsed="false">
      <c r="A8040" s="0" t="s">
        <v>8364</v>
      </c>
      <c r="B8040" s="0" t="s">
        <v>108</v>
      </c>
      <c r="C8040" s="0" t="str">
        <f aca="false">INDEX(Intent_Analysis!$B$5:$B$81,MATCH(B8040,Intent_Analysis!$A$5:$A$81,0))</f>
        <v>Top-ups</v>
      </c>
      <c r="D8040" s="0" t="n">
        <f aca="false">INDEX(Intent_Analysis!$E$5:$E$81,MATCH(B8040,Intent_Analysis!$A$5:$A$81,0))</f>
        <v>1</v>
      </c>
    </row>
    <row r="8041" customFormat="false" ht="15" hidden="false" customHeight="false" outlineLevel="0" collapsed="false">
      <c r="A8041" s="0" t="s">
        <v>8365</v>
      </c>
      <c r="B8041" s="0" t="s">
        <v>108</v>
      </c>
      <c r="C8041" s="0" t="str">
        <f aca="false">INDEX(Intent_Analysis!$B$5:$B$81,MATCH(B8041,Intent_Analysis!$A$5:$A$81,0))</f>
        <v>Top-ups</v>
      </c>
      <c r="D8041" s="0" t="n">
        <f aca="false">INDEX(Intent_Analysis!$E$5:$E$81,MATCH(B8041,Intent_Analysis!$A$5:$A$81,0))</f>
        <v>1</v>
      </c>
    </row>
    <row r="8042" customFormat="false" ht="15" hidden="false" customHeight="false" outlineLevel="0" collapsed="false">
      <c r="A8042" s="0" t="s">
        <v>8366</v>
      </c>
      <c r="B8042" s="0" t="s">
        <v>108</v>
      </c>
      <c r="C8042" s="0" t="str">
        <f aca="false">INDEX(Intent_Analysis!$B$5:$B$81,MATCH(B8042,Intent_Analysis!$A$5:$A$81,0))</f>
        <v>Top-ups</v>
      </c>
      <c r="D8042" s="0" t="n">
        <f aca="false">INDEX(Intent_Analysis!$E$5:$E$81,MATCH(B8042,Intent_Analysis!$A$5:$A$81,0))</f>
        <v>1</v>
      </c>
    </row>
    <row r="8043" customFormat="false" ht="15" hidden="false" customHeight="false" outlineLevel="0" collapsed="false">
      <c r="A8043" s="0" t="s">
        <v>8367</v>
      </c>
      <c r="B8043" s="0" t="s">
        <v>108</v>
      </c>
      <c r="C8043" s="0" t="str">
        <f aca="false">INDEX(Intent_Analysis!$B$5:$B$81,MATCH(B8043,Intent_Analysis!$A$5:$A$81,0))</f>
        <v>Top-ups</v>
      </c>
      <c r="D8043" s="0" t="n">
        <f aca="false">INDEX(Intent_Analysis!$E$5:$E$81,MATCH(B8043,Intent_Analysis!$A$5:$A$81,0))</f>
        <v>1</v>
      </c>
    </row>
    <row r="8044" customFormat="false" ht="15" hidden="false" customHeight="false" outlineLevel="0" collapsed="false">
      <c r="A8044" s="0" t="s">
        <v>8368</v>
      </c>
      <c r="B8044" s="0" t="s">
        <v>108</v>
      </c>
      <c r="C8044" s="0" t="str">
        <f aca="false">INDEX(Intent_Analysis!$B$5:$B$81,MATCH(B8044,Intent_Analysis!$A$5:$A$81,0))</f>
        <v>Top-ups</v>
      </c>
      <c r="D8044" s="0" t="n">
        <f aca="false">INDEX(Intent_Analysis!$E$5:$E$81,MATCH(B8044,Intent_Analysis!$A$5:$A$81,0))</f>
        <v>1</v>
      </c>
    </row>
    <row r="8045" customFormat="false" ht="15" hidden="false" customHeight="false" outlineLevel="0" collapsed="false">
      <c r="A8045" s="0" t="s">
        <v>8369</v>
      </c>
      <c r="B8045" s="0" t="s">
        <v>108</v>
      </c>
      <c r="C8045" s="0" t="str">
        <f aca="false">INDEX(Intent_Analysis!$B$5:$B$81,MATCH(B8045,Intent_Analysis!$A$5:$A$81,0))</f>
        <v>Top-ups</v>
      </c>
      <c r="D8045" s="0" t="n">
        <f aca="false">INDEX(Intent_Analysis!$E$5:$E$81,MATCH(B8045,Intent_Analysis!$A$5:$A$81,0))</f>
        <v>1</v>
      </c>
    </row>
    <row r="8046" customFormat="false" ht="15" hidden="false" customHeight="false" outlineLevel="0" collapsed="false">
      <c r="A8046" s="0" t="s">
        <v>8370</v>
      </c>
      <c r="B8046" s="0" t="s">
        <v>108</v>
      </c>
      <c r="C8046" s="0" t="str">
        <f aca="false">INDEX(Intent_Analysis!$B$5:$B$81,MATCH(B8046,Intent_Analysis!$A$5:$A$81,0))</f>
        <v>Top-ups</v>
      </c>
      <c r="D8046" s="0" t="n">
        <f aca="false">INDEX(Intent_Analysis!$E$5:$E$81,MATCH(B8046,Intent_Analysis!$A$5:$A$81,0))</f>
        <v>1</v>
      </c>
    </row>
    <row r="8047" customFormat="false" ht="15" hidden="false" customHeight="false" outlineLevel="0" collapsed="false">
      <c r="A8047" s="0" t="s">
        <v>8371</v>
      </c>
      <c r="B8047" s="0" t="s">
        <v>108</v>
      </c>
      <c r="C8047" s="0" t="str">
        <f aca="false">INDEX(Intent_Analysis!$B$5:$B$81,MATCH(B8047,Intent_Analysis!$A$5:$A$81,0))</f>
        <v>Top-ups</v>
      </c>
      <c r="D8047" s="0" t="n">
        <f aca="false">INDEX(Intent_Analysis!$E$5:$E$81,MATCH(B8047,Intent_Analysis!$A$5:$A$81,0))</f>
        <v>1</v>
      </c>
    </row>
    <row r="8048" customFormat="false" ht="15" hidden="false" customHeight="false" outlineLevel="0" collapsed="false">
      <c r="A8048" s="0" t="s">
        <v>8372</v>
      </c>
      <c r="B8048" s="0" t="s">
        <v>108</v>
      </c>
      <c r="C8048" s="0" t="str">
        <f aca="false">INDEX(Intent_Analysis!$B$5:$B$81,MATCH(B8048,Intent_Analysis!$A$5:$A$81,0))</f>
        <v>Top-ups</v>
      </c>
      <c r="D8048" s="0" t="n">
        <f aca="false">INDEX(Intent_Analysis!$E$5:$E$81,MATCH(B8048,Intent_Analysis!$A$5:$A$81,0))</f>
        <v>1</v>
      </c>
    </row>
    <row r="8049" customFormat="false" ht="15" hidden="false" customHeight="false" outlineLevel="0" collapsed="false">
      <c r="A8049" s="0" t="s">
        <v>8373</v>
      </c>
      <c r="B8049" s="0" t="s">
        <v>50</v>
      </c>
      <c r="C8049" s="0" t="str">
        <f aca="false">INDEX(Intent_Analysis!$B$5:$B$81,MATCH(B8049,Intent_Analysis!$A$5:$A$81,0))</f>
        <v>Card delivery &amp; activation</v>
      </c>
      <c r="D8049" s="0" t="n">
        <f aca="false">INDEX(Intent_Analysis!$E$5:$E$81,MATCH(B8049,Intent_Analysis!$A$5:$A$81,0))</f>
        <v>1</v>
      </c>
    </row>
    <row r="8050" customFormat="false" ht="15" hidden="false" customHeight="false" outlineLevel="0" collapsed="false">
      <c r="A8050" s="0" t="s">
        <v>8374</v>
      </c>
      <c r="B8050" s="0" t="s">
        <v>50</v>
      </c>
      <c r="C8050" s="0" t="str">
        <f aca="false">INDEX(Intent_Analysis!$B$5:$B$81,MATCH(B8050,Intent_Analysis!$A$5:$A$81,0))</f>
        <v>Card delivery &amp; activation</v>
      </c>
      <c r="D8050" s="0" t="n">
        <f aca="false">INDEX(Intent_Analysis!$E$5:$E$81,MATCH(B8050,Intent_Analysis!$A$5:$A$81,0))</f>
        <v>1</v>
      </c>
    </row>
    <row r="8051" customFormat="false" ht="15" hidden="false" customHeight="false" outlineLevel="0" collapsed="false">
      <c r="A8051" s="0" t="s">
        <v>8375</v>
      </c>
      <c r="B8051" s="0" t="s">
        <v>50</v>
      </c>
      <c r="C8051" s="0" t="str">
        <f aca="false">INDEX(Intent_Analysis!$B$5:$B$81,MATCH(B8051,Intent_Analysis!$A$5:$A$81,0))</f>
        <v>Card delivery &amp; activation</v>
      </c>
      <c r="D8051" s="0" t="n">
        <f aca="false">INDEX(Intent_Analysis!$E$5:$E$81,MATCH(B8051,Intent_Analysis!$A$5:$A$81,0))</f>
        <v>1</v>
      </c>
    </row>
    <row r="8052" customFormat="false" ht="15" hidden="false" customHeight="false" outlineLevel="0" collapsed="false">
      <c r="A8052" s="0" t="s">
        <v>8376</v>
      </c>
      <c r="B8052" s="0" t="s">
        <v>50</v>
      </c>
      <c r="C8052" s="0" t="str">
        <f aca="false">INDEX(Intent_Analysis!$B$5:$B$81,MATCH(B8052,Intent_Analysis!$A$5:$A$81,0))</f>
        <v>Card delivery &amp; activation</v>
      </c>
      <c r="D8052" s="0" t="n">
        <f aca="false">INDEX(Intent_Analysis!$E$5:$E$81,MATCH(B8052,Intent_Analysis!$A$5:$A$81,0))</f>
        <v>1</v>
      </c>
    </row>
    <row r="8053" customFormat="false" ht="15" hidden="false" customHeight="false" outlineLevel="0" collapsed="false">
      <c r="A8053" s="0" t="s">
        <v>8377</v>
      </c>
      <c r="B8053" s="0" t="s">
        <v>50</v>
      </c>
      <c r="C8053" s="0" t="str">
        <f aca="false">INDEX(Intent_Analysis!$B$5:$B$81,MATCH(B8053,Intent_Analysis!$A$5:$A$81,0))</f>
        <v>Card delivery &amp; activation</v>
      </c>
      <c r="D8053" s="0" t="n">
        <f aca="false">INDEX(Intent_Analysis!$E$5:$E$81,MATCH(B8053,Intent_Analysis!$A$5:$A$81,0))</f>
        <v>1</v>
      </c>
    </row>
    <row r="8054" customFormat="false" ht="15" hidden="false" customHeight="false" outlineLevel="0" collapsed="false">
      <c r="A8054" s="0" t="s">
        <v>8378</v>
      </c>
      <c r="B8054" s="0" t="s">
        <v>50</v>
      </c>
      <c r="C8054" s="0" t="str">
        <f aca="false">INDEX(Intent_Analysis!$B$5:$B$81,MATCH(B8054,Intent_Analysis!$A$5:$A$81,0))</f>
        <v>Card delivery &amp; activation</v>
      </c>
      <c r="D8054" s="0" t="n">
        <f aca="false">INDEX(Intent_Analysis!$E$5:$E$81,MATCH(B8054,Intent_Analysis!$A$5:$A$81,0))</f>
        <v>1</v>
      </c>
    </row>
    <row r="8055" customFormat="false" ht="15" hidden="false" customHeight="false" outlineLevel="0" collapsed="false">
      <c r="A8055" s="0" t="s">
        <v>8379</v>
      </c>
      <c r="B8055" s="0" t="s">
        <v>50</v>
      </c>
      <c r="C8055" s="0" t="str">
        <f aca="false">INDEX(Intent_Analysis!$B$5:$B$81,MATCH(B8055,Intent_Analysis!$A$5:$A$81,0))</f>
        <v>Card delivery &amp; activation</v>
      </c>
      <c r="D8055" s="0" t="n">
        <f aca="false">INDEX(Intent_Analysis!$E$5:$E$81,MATCH(B8055,Intent_Analysis!$A$5:$A$81,0))</f>
        <v>1</v>
      </c>
    </row>
    <row r="8056" customFormat="false" ht="15" hidden="false" customHeight="false" outlineLevel="0" collapsed="false">
      <c r="A8056" s="0" t="s">
        <v>8380</v>
      </c>
      <c r="B8056" s="0" t="s">
        <v>50</v>
      </c>
      <c r="C8056" s="0" t="str">
        <f aca="false">INDEX(Intent_Analysis!$B$5:$B$81,MATCH(B8056,Intent_Analysis!$A$5:$A$81,0))</f>
        <v>Card delivery &amp; activation</v>
      </c>
      <c r="D8056" s="0" t="n">
        <f aca="false">INDEX(Intent_Analysis!$E$5:$E$81,MATCH(B8056,Intent_Analysis!$A$5:$A$81,0))</f>
        <v>1</v>
      </c>
    </row>
    <row r="8057" customFormat="false" ht="15" hidden="false" customHeight="false" outlineLevel="0" collapsed="false">
      <c r="A8057" s="0" t="s">
        <v>8381</v>
      </c>
      <c r="B8057" s="0" t="s">
        <v>50</v>
      </c>
      <c r="C8057" s="0" t="str">
        <f aca="false">INDEX(Intent_Analysis!$B$5:$B$81,MATCH(B8057,Intent_Analysis!$A$5:$A$81,0))</f>
        <v>Card delivery &amp; activation</v>
      </c>
      <c r="D8057" s="0" t="n">
        <f aca="false">INDEX(Intent_Analysis!$E$5:$E$81,MATCH(B8057,Intent_Analysis!$A$5:$A$81,0))</f>
        <v>1</v>
      </c>
    </row>
    <row r="8058" customFormat="false" ht="15" hidden="false" customHeight="false" outlineLevel="0" collapsed="false">
      <c r="A8058" s="0" t="s">
        <v>8382</v>
      </c>
      <c r="B8058" s="0" t="s">
        <v>50</v>
      </c>
      <c r="C8058" s="0" t="str">
        <f aca="false">INDEX(Intent_Analysis!$B$5:$B$81,MATCH(B8058,Intent_Analysis!$A$5:$A$81,0))</f>
        <v>Card delivery &amp; activation</v>
      </c>
      <c r="D8058" s="0" t="n">
        <f aca="false">INDEX(Intent_Analysis!$E$5:$E$81,MATCH(B8058,Intent_Analysis!$A$5:$A$81,0))</f>
        <v>1</v>
      </c>
    </row>
    <row r="8059" customFormat="false" ht="15" hidden="false" customHeight="false" outlineLevel="0" collapsed="false">
      <c r="A8059" s="0" t="s">
        <v>8383</v>
      </c>
      <c r="B8059" s="0" t="s">
        <v>50</v>
      </c>
      <c r="C8059" s="0" t="str">
        <f aca="false">INDEX(Intent_Analysis!$B$5:$B$81,MATCH(B8059,Intent_Analysis!$A$5:$A$81,0))</f>
        <v>Card delivery &amp; activation</v>
      </c>
      <c r="D8059" s="0" t="n">
        <f aca="false">INDEX(Intent_Analysis!$E$5:$E$81,MATCH(B8059,Intent_Analysis!$A$5:$A$81,0))</f>
        <v>1</v>
      </c>
    </row>
    <row r="8060" customFormat="false" ht="15" hidden="false" customHeight="false" outlineLevel="0" collapsed="false">
      <c r="A8060" s="0" t="s">
        <v>8384</v>
      </c>
      <c r="B8060" s="0" t="s">
        <v>50</v>
      </c>
      <c r="C8060" s="0" t="str">
        <f aca="false">INDEX(Intent_Analysis!$B$5:$B$81,MATCH(B8060,Intent_Analysis!$A$5:$A$81,0))</f>
        <v>Card delivery &amp; activation</v>
      </c>
      <c r="D8060" s="0" t="n">
        <f aca="false">INDEX(Intent_Analysis!$E$5:$E$81,MATCH(B8060,Intent_Analysis!$A$5:$A$81,0))</f>
        <v>1</v>
      </c>
    </row>
    <row r="8061" customFormat="false" ht="15" hidden="false" customHeight="false" outlineLevel="0" collapsed="false">
      <c r="A8061" s="0" t="s">
        <v>8385</v>
      </c>
      <c r="B8061" s="0" t="s">
        <v>50</v>
      </c>
      <c r="C8061" s="0" t="str">
        <f aca="false">INDEX(Intent_Analysis!$B$5:$B$81,MATCH(B8061,Intent_Analysis!$A$5:$A$81,0))</f>
        <v>Card delivery &amp; activation</v>
      </c>
      <c r="D8061" s="0" t="n">
        <f aca="false">INDEX(Intent_Analysis!$E$5:$E$81,MATCH(B8061,Intent_Analysis!$A$5:$A$81,0))</f>
        <v>1</v>
      </c>
    </row>
    <row r="8062" customFormat="false" ht="15" hidden="false" customHeight="false" outlineLevel="0" collapsed="false">
      <c r="A8062" s="0" t="s">
        <v>8386</v>
      </c>
      <c r="B8062" s="0" t="s">
        <v>50</v>
      </c>
      <c r="C8062" s="0" t="str">
        <f aca="false">INDEX(Intent_Analysis!$B$5:$B$81,MATCH(B8062,Intent_Analysis!$A$5:$A$81,0))</f>
        <v>Card delivery &amp; activation</v>
      </c>
      <c r="D8062" s="0" t="n">
        <f aca="false">INDEX(Intent_Analysis!$E$5:$E$81,MATCH(B8062,Intent_Analysis!$A$5:$A$81,0))</f>
        <v>1</v>
      </c>
    </row>
    <row r="8063" customFormat="false" ht="15" hidden="false" customHeight="false" outlineLevel="0" collapsed="false">
      <c r="A8063" s="0" t="s">
        <v>8387</v>
      </c>
      <c r="B8063" s="0" t="s">
        <v>50</v>
      </c>
      <c r="C8063" s="0" t="str">
        <f aca="false">INDEX(Intent_Analysis!$B$5:$B$81,MATCH(B8063,Intent_Analysis!$A$5:$A$81,0))</f>
        <v>Card delivery &amp; activation</v>
      </c>
      <c r="D8063" s="0" t="n">
        <f aca="false">INDEX(Intent_Analysis!$E$5:$E$81,MATCH(B8063,Intent_Analysis!$A$5:$A$81,0))</f>
        <v>1</v>
      </c>
    </row>
    <row r="8064" customFormat="false" ht="15" hidden="false" customHeight="false" outlineLevel="0" collapsed="false">
      <c r="A8064" s="0" t="s">
        <v>8388</v>
      </c>
      <c r="B8064" s="0" t="s">
        <v>50</v>
      </c>
      <c r="C8064" s="0" t="str">
        <f aca="false">INDEX(Intent_Analysis!$B$5:$B$81,MATCH(B8064,Intent_Analysis!$A$5:$A$81,0))</f>
        <v>Card delivery &amp; activation</v>
      </c>
      <c r="D8064" s="0" t="n">
        <f aca="false">INDEX(Intent_Analysis!$E$5:$E$81,MATCH(B8064,Intent_Analysis!$A$5:$A$81,0))</f>
        <v>1</v>
      </c>
    </row>
    <row r="8065" customFormat="false" ht="15" hidden="false" customHeight="false" outlineLevel="0" collapsed="false">
      <c r="A8065" s="0" t="s">
        <v>8389</v>
      </c>
      <c r="B8065" s="0" t="s">
        <v>50</v>
      </c>
      <c r="C8065" s="0" t="str">
        <f aca="false">INDEX(Intent_Analysis!$B$5:$B$81,MATCH(B8065,Intent_Analysis!$A$5:$A$81,0))</f>
        <v>Card delivery &amp; activation</v>
      </c>
      <c r="D8065" s="0" t="n">
        <f aca="false">INDEX(Intent_Analysis!$E$5:$E$81,MATCH(B8065,Intent_Analysis!$A$5:$A$81,0))</f>
        <v>1</v>
      </c>
    </row>
    <row r="8066" customFormat="false" ht="15" hidden="false" customHeight="false" outlineLevel="0" collapsed="false">
      <c r="A8066" s="0" t="s">
        <v>8390</v>
      </c>
      <c r="B8066" s="0" t="s">
        <v>50</v>
      </c>
      <c r="C8066" s="0" t="str">
        <f aca="false">INDEX(Intent_Analysis!$B$5:$B$81,MATCH(B8066,Intent_Analysis!$A$5:$A$81,0))</f>
        <v>Card delivery &amp; activation</v>
      </c>
      <c r="D8066" s="0" t="n">
        <f aca="false">INDEX(Intent_Analysis!$E$5:$E$81,MATCH(B8066,Intent_Analysis!$A$5:$A$81,0))</f>
        <v>1</v>
      </c>
    </row>
    <row r="8067" customFormat="false" ht="15" hidden="false" customHeight="false" outlineLevel="0" collapsed="false">
      <c r="A8067" s="0" t="s">
        <v>8391</v>
      </c>
      <c r="B8067" s="0" t="s">
        <v>50</v>
      </c>
      <c r="C8067" s="0" t="str">
        <f aca="false">INDEX(Intent_Analysis!$B$5:$B$81,MATCH(B8067,Intent_Analysis!$A$5:$A$81,0))</f>
        <v>Card delivery &amp; activation</v>
      </c>
      <c r="D8067" s="0" t="n">
        <f aca="false">INDEX(Intent_Analysis!$E$5:$E$81,MATCH(B8067,Intent_Analysis!$A$5:$A$81,0))</f>
        <v>1</v>
      </c>
    </row>
    <row r="8068" customFormat="false" ht="15" hidden="false" customHeight="false" outlineLevel="0" collapsed="false">
      <c r="A8068" s="0" t="s">
        <v>8392</v>
      </c>
      <c r="B8068" s="0" t="s">
        <v>50</v>
      </c>
      <c r="C8068" s="0" t="str">
        <f aca="false">INDEX(Intent_Analysis!$B$5:$B$81,MATCH(B8068,Intent_Analysis!$A$5:$A$81,0))</f>
        <v>Card delivery &amp; activation</v>
      </c>
      <c r="D8068" s="0" t="n">
        <f aca="false">INDEX(Intent_Analysis!$E$5:$E$81,MATCH(B8068,Intent_Analysis!$A$5:$A$81,0))</f>
        <v>1</v>
      </c>
    </row>
    <row r="8069" customFormat="false" ht="15" hidden="false" customHeight="false" outlineLevel="0" collapsed="false">
      <c r="A8069" s="0" t="s">
        <v>8393</v>
      </c>
      <c r="B8069" s="0" t="s">
        <v>50</v>
      </c>
      <c r="C8069" s="0" t="str">
        <f aca="false">INDEX(Intent_Analysis!$B$5:$B$81,MATCH(B8069,Intent_Analysis!$A$5:$A$81,0))</f>
        <v>Card delivery &amp; activation</v>
      </c>
      <c r="D8069" s="0" t="n">
        <f aca="false">INDEX(Intent_Analysis!$E$5:$E$81,MATCH(B8069,Intent_Analysis!$A$5:$A$81,0))</f>
        <v>1</v>
      </c>
    </row>
    <row r="8070" customFormat="false" ht="15" hidden="false" customHeight="false" outlineLevel="0" collapsed="false">
      <c r="A8070" s="0" t="s">
        <v>8394</v>
      </c>
      <c r="B8070" s="0" t="s">
        <v>50</v>
      </c>
      <c r="C8070" s="0" t="str">
        <f aca="false">INDEX(Intent_Analysis!$B$5:$B$81,MATCH(B8070,Intent_Analysis!$A$5:$A$81,0))</f>
        <v>Card delivery &amp; activation</v>
      </c>
      <c r="D8070" s="0" t="n">
        <f aca="false">INDEX(Intent_Analysis!$E$5:$E$81,MATCH(B8070,Intent_Analysis!$A$5:$A$81,0))</f>
        <v>1</v>
      </c>
    </row>
    <row r="8071" customFormat="false" ht="15" hidden="false" customHeight="false" outlineLevel="0" collapsed="false">
      <c r="A8071" s="0" t="s">
        <v>8395</v>
      </c>
      <c r="B8071" s="0" t="s">
        <v>50</v>
      </c>
      <c r="C8071" s="0" t="str">
        <f aca="false">INDEX(Intent_Analysis!$B$5:$B$81,MATCH(B8071,Intent_Analysis!$A$5:$A$81,0))</f>
        <v>Card delivery &amp; activation</v>
      </c>
      <c r="D8071" s="0" t="n">
        <f aca="false">INDEX(Intent_Analysis!$E$5:$E$81,MATCH(B8071,Intent_Analysis!$A$5:$A$81,0))</f>
        <v>1</v>
      </c>
    </row>
    <row r="8072" customFormat="false" ht="15" hidden="false" customHeight="false" outlineLevel="0" collapsed="false">
      <c r="A8072" s="0" t="s">
        <v>8396</v>
      </c>
      <c r="B8072" s="0" t="s">
        <v>50</v>
      </c>
      <c r="C8072" s="0" t="str">
        <f aca="false">INDEX(Intent_Analysis!$B$5:$B$81,MATCH(B8072,Intent_Analysis!$A$5:$A$81,0))</f>
        <v>Card delivery &amp; activation</v>
      </c>
      <c r="D8072" s="0" t="n">
        <f aca="false">INDEX(Intent_Analysis!$E$5:$E$81,MATCH(B8072,Intent_Analysis!$A$5:$A$81,0))</f>
        <v>1</v>
      </c>
    </row>
    <row r="8073" customFormat="false" ht="15" hidden="false" customHeight="false" outlineLevel="0" collapsed="false">
      <c r="A8073" s="0" t="s">
        <v>8397</v>
      </c>
      <c r="B8073" s="0" t="s">
        <v>50</v>
      </c>
      <c r="C8073" s="0" t="str">
        <f aca="false">INDEX(Intent_Analysis!$B$5:$B$81,MATCH(B8073,Intent_Analysis!$A$5:$A$81,0))</f>
        <v>Card delivery &amp; activation</v>
      </c>
      <c r="D8073" s="0" t="n">
        <f aca="false">INDEX(Intent_Analysis!$E$5:$E$81,MATCH(B8073,Intent_Analysis!$A$5:$A$81,0))</f>
        <v>1</v>
      </c>
    </row>
    <row r="8074" customFormat="false" ht="15" hidden="false" customHeight="false" outlineLevel="0" collapsed="false">
      <c r="A8074" s="0" t="s">
        <v>8398</v>
      </c>
      <c r="B8074" s="0" t="s">
        <v>50</v>
      </c>
      <c r="C8074" s="0" t="str">
        <f aca="false">INDEX(Intent_Analysis!$B$5:$B$81,MATCH(B8074,Intent_Analysis!$A$5:$A$81,0))</f>
        <v>Card delivery &amp; activation</v>
      </c>
      <c r="D8074" s="0" t="n">
        <f aca="false">INDEX(Intent_Analysis!$E$5:$E$81,MATCH(B8074,Intent_Analysis!$A$5:$A$81,0))</f>
        <v>1</v>
      </c>
    </row>
    <row r="8075" customFormat="false" ht="15" hidden="false" customHeight="false" outlineLevel="0" collapsed="false">
      <c r="A8075" s="0" t="s">
        <v>8399</v>
      </c>
      <c r="B8075" s="0" t="s">
        <v>50</v>
      </c>
      <c r="C8075" s="0" t="str">
        <f aca="false">INDEX(Intent_Analysis!$B$5:$B$81,MATCH(B8075,Intent_Analysis!$A$5:$A$81,0))</f>
        <v>Card delivery &amp; activation</v>
      </c>
      <c r="D8075" s="0" t="n">
        <f aca="false">INDEX(Intent_Analysis!$E$5:$E$81,MATCH(B8075,Intent_Analysis!$A$5:$A$81,0))</f>
        <v>1</v>
      </c>
    </row>
    <row r="8076" customFormat="false" ht="15" hidden="false" customHeight="false" outlineLevel="0" collapsed="false">
      <c r="A8076" s="0" t="s">
        <v>8400</v>
      </c>
      <c r="B8076" s="0" t="s">
        <v>50</v>
      </c>
      <c r="C8076" s="0" t="str">
        <f aca="false">INDEX(Intent_Analysis!$B$5:$B$81,MATCH(B8076,Intent_Analysis!$A$5:$A$81,0))</f>
        <v>Card delivery &amp; activation</v>
      </c>
      <c r="D8076" s="0" t="n">
        <f aca="false">INDEX(Intent_Analysis!$E$5:$E$81,MATCH(B8076,Intent_Analysis!$A$5:$A$81,0))</f>
        <v>1</v>
      </c>
    </row>
    <row r="8077" customFormat="false" ht="15" hidden="false" customHeight="false" outlineLevel="0" collapsed="false">
      <c r="A8077" s="0" t="s">
        <v>8401</v>
      </c>
      <c r="B8077" s="0" t="s">
        <v>50</v>
      </c>
      <c r="C8077" s="0" t="str">
        <f aca="false">INDEX(Intent_Analysis!$B$5:$B$81,MATCH(B8077,Intent_Analysis!$A$5:$A$81,0))</f>
        <v>Card delivery &amp; activation</v>
      </c>
      <c r="D8077" s="0" t="n">
        <f aca="false">INDEX(Intent_Analysis!$E$5:$E$81,MATCH(B8077,Intent_Analysis!$A$5:$A$81,0))</f>
        <v>1</v>
      </c>
    </row>
    <row r="8078" customFormat="false" ht="15" hidden="false" customHeight="false" outlineLevel="0" collapsed="false">
      <c r="A8078" s="0" t="s">
        <v>8402</v>
      </c>
      <c r="B8078" s="0" t="s">
        <v>50</v>
      </c>
      <c r="C8078" s="0" t="str">
        <f aca="false">INDEX(Intent_Analysis!$B$5:$B$81,MATCH(B8078,Intent_Analysis!$A$5:$A$81,0))</f>
        <v>Card delivery &amp; activation</v>
      </c>
      <c r="D8078" s="0" t="n">
        <f aca="false">INDEX(Intent_Analysis!$E$5:$E$81,MATCH(B8078,Intent_Analysis!$A$5:$A$81,0))</f>
        <v>1</v>
      </c>
    </row>
    <row r="8079" customFormat="false" ht="15" hidden="false" customHeight="false" outlineLevel="0" collapsed="false">
      <c r="A8079" s="0" t="s">
        <v>8403</v>
      </c>
      <c r="B8079" s="0" t="s">
        <v>50</v>
      </c>
      <c r="C8079" s="0" t="str">
        <f aca="false">INDEX(Intent_Analysis!$B$5:$B$81,MATCH(B8079,Intent_Analysis!$A$5:$A$81,0))</f>
        <v>Card delivery &amp; activation</v>
      </c>
      <c r="D8079" s="0" t="n">
        <f aca="false">INDEX(Intent_Analysis!$E$5:$E$81,MATCH(B8079,Intent_Analysis!$A$5:$A$81,0))</f>
        <v>1</v>
      </c>
    </row>
    <row r="8080" customFormat="false" ht="15" hidden="false" customHeight="false" outlineLevel="0" collapsed="false">
      <c r="A8080" s="0" t="s">
        <v>8404</v>
      </c>
      <c r="B8080" s="0" t="s">
        <v>50</v>
      </c>
      <c r="C8080" s="0" t="str">
        <f aca="false">INDEX(Intent_Analysis!$B$5:$B$81,MATCH(B8080,Intent_Analysis!$A$5:$A$81,0))</f>
        <v>Card delivery &amp; activation</v>
      </c>
      <c r="D8080" s="0" t="n">
        <f aca="false">INDEX(Intent_Analysis!$E$5:$E$81,MATCH(B8080,Intent_Analysis!$A$5:$A$81,0))</f>
        <v>1</v>
      </c>
    </row>
    <row r="8081" customFormat="false" ht="15" hidden="false" customHeight="false" outlineLevel="0" collapsed="false">
      <c r="A8081" s="0" t="s">
        <v>8405</v>
      </c>
      <c r="B8081" s="0" t="s">
        <v>50</v>
      </c>
      <c r="C8081" s="0" t="str">
        <f aca="false">INDEX(Intent_Analysis!$B$5:$B$81,MATCH(B8081,Intent_Analysis!$A$5:$A$81,0))</f>
        <v>Card delivery &amp; activation</v>
      </c>
      <c r="D8081" s="0" t="n">
        <f aca="false">INDEX(Intent_Analysis!$E$5:$E$81,MATCH(B8081,Intent_Analysis!$A$5:$A$81,0))</f>
        <v>1</v>
      </c>
    </row>
    <row r="8082" customFormat="false" ht="15" hidden="false" customHeight="false" outlineLevel="0" collapsed="false">
      <c r="A8082" s="0" t="s">
        <v>8406</v>
      </c>
      <c r="B8082" s="0" t="s">
        <v>50</v>
      </c>
      <c r="C8082" s="0" t="str">
        <f aca="false">INDEX(Intent_Analysis!$B$5:$B$81,MATCH(B8082,Intent_Analysis!$A$5:$A$81,0))</f>
        <v>Card delivery &amp; activation</v>
      </c>
      <c r="D8082" s="0" t="n">
        <f aca="false">INDEX(Intent_Analysis!$E$5:$E$81,MATCH(B8082,Intent_Analysis!$A$5:$A$81,0))</f>
        <v>1</v>
      </c>
    </row>
    <row r="8083" customFormat="false" ht="15" hidden="false" customHeight="false" outlineLevel="0" collapsed="false">
      <c r="A8083" s="0" t="s">
        <v>8407</v>
      </c>
      <c r="B8083" s="0" t="s">
        <v>50</v>
      </c>
      <c r="C8083" s="0" t="str">
        <f aca="false">INDEX(Intent_Analysis!$B$5:$B$81,MATCH(B8083,Intent_Analysis!$A$5:$A$81,0))</f>
        <v>Card delivery &amp; activation</v>
      </c>
      <c r="D8083" s="0" t="n">
        <f aca="false">INDEX(Intent_Analysis!$E$5:$E$81,MATCH(B8083,Intent_Analysis!$A$5:$A$81,0))</f>
        <v>1</v>
      </c>
    </row>
    <row r="8084" customFormat="false" ht="15" hidden="false" customHeight="false" outlineLevel="0" collapsed="false">
      <c r="A8084" s="0" t="s">
        <v>8408</v>
      </c>
      <c r="B8084" s="0" t="s">
        <v>50</v>
      </c>
      <c r="C8084" s="0" t="str">
        <f aca="false">INDEX(Intent_Analysis!$B$5:$B$81,MATCH(B8084,Intent_Analysis!$A$5:$A$81,0))</f>
        <v>Card delivery &amp; activation</v>
      </c>
      <c r="D8084" s="0" t="n">
        <f aca="false">INDEX(Intent_Analysis!$E$5:$E$81,MATCH(B8084,Intent_Analysis!$A$5:$A$81,0))</f>
        <v>1</v>
      </c>
    </row>
    <row r="8085" customFormat="false" ht="15" hidden="false" customHeight="false" outlineLevel="0" collapsed="false">
      <c r="A8085" s="0" t="s">
        <v>8409</v>
      </c>
      <c r="B8085" s="0" t="s">
        <v>50</v>
      </c>
      <c r="C8085" s="0" t="str">
        <f aca="false">INDEX(Intent_Analysis!$B$5:$B$81,MATCH(B8085,Intent_Analysis!$A$5:$A$81,0))</f>
        <v>Card delivery &amp; activation</v>
      </c>
      <c r="D8085" s="0" t="n">
        <f aca="false">INDEX(Intent_Analysis!$E$5:$E$81,MATCH(B8085,Intent_Analysis!$A$5:$A$81,0))</f>
        <v>1</v>
      </c>
    </row>
    <row r="8086" customFormat="false" ht="15" hidden="false" customHeight="false" outlineLevel="0" collapsed="false">
      <c r="A8086" s="0" t="s">
        <v>8410</v>
      </c>
      <c r="B8086" s="0" t="s">
        <v>50</v>
      </c>
      <c r="C8086" s="0" t="str">
        <f aca="false">INDEX(Intent_Analysis!$B$5:$B$81,MATCH(B8086,Intent_Analysis!$A$5:$A$81,0))</f>
        <v>Card delivery &amp; activation</v>
      </c>
      <c r="D8086" s="0" t="n">
        <f aca="false">INDEX(Intent_Analysis!$E$5:$E$81,MATCH(B8086,Intent_Analysis!$A$5:$A$81,0))</f>
        <v>1</v>
      </c>
    </row>
    <row r="8087" customFormat="false" ht="15" hidden="false" customHeight="false" outlineLevel="0" collapsed="false">
      <c r="A8087" s="0" t="s">
        <v>8411</v>
      </c>
      <c r="B8087" s="0" t="s">
        <v>50</v>
      </c>
      <c r="C8087" s="0" t="str">
        <f aca="false">INDEX(Intent_Analysis!$B$5:$B$81,MATCH(B8087,Intent_Analysis!$A$5:$A$81,0))</f>
        <v>Card delivery &amp; activation</v>
      </c>
      <c r="D8087" s="0" t="n">
        <f aca="false">INDEX(Intent_Analysis!$E$5:$E$81,MATCH(B8087,Intent_Analysis!$A$5:$A$81,0))</f>
        <v>1</v>
      </c>
    </row>
    <row r="8088" customFormat="false" ht="15" hidden="false" customHeight="false" outlineLevel="0" collapsed="false">
      <c r="A8088" s="0" t="s">
        <v>8412</v>
      </c>
      <c r="B8088" s="0" t="s">
        <v>50</v>
      </c>
      <c r="C8088" s="0" t="str">
        <f aca="false">INDEX(Intent_Analysis!$B$5:$B$81,MATCH(B8088,Intent_Analysis!$A$5:$A$81,0))</f>
        <v>Card delivery &amp; activation</v>
      </c>
      <c r="D8088" s="0" t="n">
        <f aca="false">INDEX(Intent_Analysis!$E$5:$E$81,MATCH(B8088,Intent_Analysis!$A$5:$A$81,0))</f>
        <v>1</v>
      </c>
    </row>
    <row r="8089" customFormat="false" ht="15" hidden="false" customHeight="false" outlineLevel="0" collapsed="false">
      <c r="A8089" s="0" t="s">
        <v>8413</v>
      </c>
      <c r="B8089" s="0" t="s">
        <v>50</v>
      </c>
      <c r="C8089" s="0" t="str">
        <f aca="false">INDEX(Intent_Analysis!$B$5:$B$81,MATCH(B8089,Intent_Analysis!$A$5:$A$81,0))</f>
        <v>Card delivery &amp; activation</v>
      </c>
      <c r="D8089" s="0" t="n">
        <f aca="false">INDEX(Intent_Analysis!$E$5:$E$81,MATCH(B8089,Intent_Analysis!$A$5:$A$81,0))</f>
        <v>1</v>
      </c>
    </row>
    <row r="8090" customFormat="false" ht="15" hidden="false" customHeight="false" outlineLevel="0" collapsed="false">
      <c r="A8090" s="0" t="s">
        <v>8414</v>
      </c>
      <c r="B8090" s="0" t="s">
        <v>50</v>
      </c>
      <c r="C8090" s="0" t="str">
        <f aca="false">INDEX(Intent_Analysis!$B$5:$B$81,MATCH(B8090,Intent_Analysis!$A$5:$A$81,0))</f>
        <v>Card delivery &amp; activation</v>
      </c>
      <c r="D8090" s="0" t="n">
        <f aca="false">INDEX(Intent_Analysis!$E$5:$E$81,MATCH(B8090,Intent_Analysis!$A$5:$A$81,0))</f>
        <v>1</v>
      </c>
    </row>
    <row r="8091" customFormat="false" ht="15" hidden="false" customHeight="false" outlineLevel="0" collapsed="false">
      <c r="A8091" s="0" t="s">
        <v>8415</v>
      </c>
      <c r="B8091" s="0" t="s">
        <v>50</v>
      </c>
      <c r="C8091" s="0" t="str">
        <f aca="false">INDEX(Intent_Analysis!$B$5:$B$81,MATCH(B8091,Intent_Analysis!$A$5:$A$81,0))</f>
        <v>Card delivery &amp; activation</v>
      </c>
      <c r="D8091" s="0" t="n">
        <f aca="false">INDEX(Intent_Analysis!$E$5:$E$81,MATCH(B8091,Intent_Analysis!$A$5:$A$81,0))</f>
        <v>1</v>
      </c>
    </row>
    <row r="8092" customFormat="false" ht="15" hidden="false" customHeight="false" outlineLevel="0" collapsed="false">
      <c r="A8092" s="0" t="s">
        <v>8416</v>
      </c>
      <c r="B8092" s="0" t="s">
        <v>50</v>
      </c>
      <c r="C8092" s="0" t="str">
        <f aca="false">INDEX(Intent_Analysis!$B$5:$B$81,MATCH(B8092,Intent_Analysis!$A$5:$A$81,0))</f>
        <v>Card delivery &amp; activation</v>
      </c>
      <c r="D8092" s="0" t="n">
        <f aca="false">INDEX(Intent_Analysis!$E$5:$E$81,MATCH(B8092,Intent_Analysis!$A$5:$A$81,0))</f>
        <v>1</v>
      </c>
    </row>
    <row r="8093" customFormat="false" ht="15" hidden="false" customHeight="false" outlineLevel="0" collapsed="false">
      <c r="A8093" s="0" t="s">
        <v>8417</v>
      </c>
      <c r="B8093" s="0" t="s">
        <v>50</v>
      </c>
      <c r="C8093" s="0" t="str">
        <f aca="false">INDEX(Intent_Analysis!$B$5:$B$81,MATCH(B8093,Intent_Analysis!$A$5:$A$81,0))</f>
        <v>Card delivery &amp; activation</v>
      </c>
      <c r="D8093" s="0" t="n">
        <f aca="false">INDEX(Intent_Analysis!$E$5:$E$81,MATCH(B8093,Intent_Analysis!$A$5:$A$81,0))</f>
        <v>1</v>
      </c>
    </row>
    <row r="8094" customFormat="false" ht="15" hidden="false" customHeight="false" outlineLevel="0" collapsed="false">
      <c r="A8094" s="0" t="s">
        <v>8418</v>
      </c>
      <c r="B8094" s="0" t="s">
        <v>50</v>
      </c>
      <c r="C8094" s="0" t="str">
        <f aca="false">INDEX(Intent_Analysis!$B$5:$B$81,MATCH(B8094,Intent_Analysis!$A$5:$A$81,0))</f>
        <v>Card delivery &amp; activation</v>
      </c>
      <c r="D8094" s="0" t="n">
        <f aca="false">INDEX(Intent_Analysis!$E$5:$E$81,MATCH(B8094,Intent_Analysis!$A$5:$A$81,0))</f>
        <v>1</v>
      </c>
    </row>
    <row r="8095" customFormat="false" ht="15" hidden="false" customHeight="false" outlineLevel="0" collapsed="false">
      <c r="A8095" s="0" t="s">
        <v>8419</v>
      </c>
      <c r="B8095" s="0" t="s">
        <v>50</v>
      </c>
      <c r="C8095" s="0" t="str">
        <f aca="false">INDEX(Intent_Analysis!$B$5:$B$81,MATCH(B8095,Intent_Analysis!$A$5:$A$81,0))</f>
        <v>Card delivery &amp; activation</v>
      </c>
      <c r="D8095" s="0" t="n">
        <f aca="false">INDEX(Intent_Analysis!$E$5:$E$81,MATCH(B8095,Intent_Analysis!$A$5:$A$81,0))</f>
        <v>1</v>
      </c>
    </row>
    <row r="8096" customFormat="false" ht="15" hidden="false" customHeight="false" outlineLevel="0" collapsed="false">
      <c r="A8096" s="0" t="s">
        <v>8420</v>
      </c>
      <c r="B8096" s="0" t="s">
        <v>50</v>
      </c>
      <c r="C8096" s="0" t="str">
        <f aca="false">INDEX(Intent_Analysis!$B$5:$B$81,MATCH(B8096,Intent_Analysis!$A$5:$A$81,0))</f>
        <v>Card delivery &amp; activation</v>
      </c>
      <c r="D8096" s="0" t="n">
        <f aca="false">INDEX(Intent_Analysis!$E$5:$E$81,MATCH(B8096,Intent_Analysis!$A$5:$A$81,0))</f>
        <v>1</v>
      </c>
    </row>
    <row r="8097" customFormat="false" ht="15" hidden="false" customHeight="false" outlineLevel="0" collapsed="false">
      <c r="A8097" s="0" t="s">
        <v>8421</v>
      </c>
      <c r="B8097" s="0" t="s">
        <v>50</v>
      </c>
      <c r="C8097" s="0" t="str">
        <f aca="false">INDEX(Intent_Analysis!$B$5:$B$81,MATCH(B8097,Intent_Analysis!$A$5:$A$81,0))</f>
        <v>Card delivery &amp; activation</v>
      </c>
      <c r="D8097" s="0" t="n">
        <f aca="false">INDEX(Intent_Analysis!$E$5:$E$81,MATCH(B8097,Intent_Analysis!$A$5:$A$81,0))</f>
        <v>1</v>
      </c>
    </row>
    <row r="8098" customFormat="false" ht="15" hidden="false" customHeight="false" outlineLevel="0" collapsed="false">
      <c r="A8098" s="0" t="s">
        <v>8422</v>
      </c>
      <c r="B8098" s="0" t="s">
        <v>50</v>
      </c>
      <c r="C8098" s="0" t="str">
        <f aca="false">INDEX(Intent_Analysis!$B$5:$B$81,MATCH(B8098,Intent_Analysis!$A$5:$A$81,0))</f>
        <v>Card delivery &amp; activation</v>
      </c>
      <c r="D8098" s="0" t="n">
        <f aca="false">INDEX(Intent_Analysis!$E$5:$E$81,MATCH(B8098,Intent_Analysis!$A$5:$A$81,0))</f>
        <v>1</v>
      </c>
    </row>
    <row r="8099" customFormat="false" ht="15" hidden="false" customHeight="false" outlineLevel="0" collapsed="false">
      <c r="A8099" s="0" t="s">
        <v>8423</v>
      </c>
      <c r="B8099" s="0" t="s">
        <v>50</v>
      </c>
      <c r="C8099" s="0" t="str">
        <f aca="false">INDEX(Intent_Analysis!$B$5:$B$81,MATCH(B8099,Intent_Analysis!$A$5:$A$81,0))</f>
        <v>Card delivery &amp; activation</v>
      </c>
      <c r="D8099" s="0" t="n">
        <f aca="false">INDEX(Intent_Analysis!$E$5:$E$81,MATCH(B8099,Intent_Analysis!$A$5:$A$81,0))</f>
        <v>1</v>
      </c>
    </row>
    <row r="8100" customFormat="false" ht="15" hidden="false" customHeight="false" outlineLevel="0" collapsed="false">
      <c r="A8100" s="0" t="s">
        <v>8424</v>
      </c>
      <c r="B8100" s="0" t="s">
        <v>50</v>
      </c>
      <c r="C8100" s="0" t="str">
        <f aca="false">INDEX(Intent_Analysis!$B$5:$B$81,MATCH(B8100,Intent_Analysis!$A$5:$A$81,0))</f>
        <v>Card delivery &amp; activation</v>
      </c>
      <c r="D8100" s="0" t="n">
        <f aca="false">INDEX(Intent_Analysis!$E$5:$E$81,MATCH(B8100,Intent_Analysis!$A$5:$A$81,0))</f>
        <v>1</v>
      </c>
    </row>
    <row r="8101" customFormat="false" ht="15" hidden="false" customHeight="false" outlineLevel="0" collapsed="false">
      <c r="A8101" s="0" t="s">
        <v>8425</v>
      </c>
      <c r="B8101" s="0" t="s">
        <v>50</v>
      </c>
      <c r="C8101" s="0" t="str">
        <f aca="false">INDEX(Intent_Analysis!$B$5:$B$81,MATCH(B8101,Intent_Analysis!$A$5:$A$81,0))</f>
        <v>Card delivery &amp; activation</v>
      </c>
      <c r="D8101" s="0" t="n">
        <f aca="false">INDEX(Intent_Analysis!$E$5:$E$81,MATCH(B8101,Intent_Analysis!$A$5:$A$81,0))</f>
        <v>1</v>
      </c>
    </row>
    <row r="8102" customFormat="false" ht="15" hidden="false" customHeight="false" outlineLevel="0" collapsed="false">
      <c r="A8102" s="0" t="s">
        <v>8426</v>
      </c>
      <c r="B8102" s="0" t="s">
        <v>50</v>
      </c>
      <c r="C8102" s="0" t="str">
        <f aca="false">INDEX(Intent_Analysis!$B$5:$B$81,MATCH(B8102,Intent_Analysis!$A$5:$A$81,0))</f>
        <v>Card delivery &amp; activation</v>
      </c>
      <c r="D8102" s="0" t="n">
        <f aca="false">INDEX(Intent_Analysis!$E$5:$E$81,MATCH(B8102,Intent_Analysis!$A$5:$A$81,0))</f>
        <v>1</v>
      </c>
    </row>
    <row r="8103" customFormat="false" ht="15" hidden="false" customHeight="false" outlineLevel="0" collapsed="false">
      <c r="A8103" s="0" t="s">
        <v>8427</v>
      </c>
      <c r="B8103" s="0" t="s">
        <v>50</v>
      </c>
      <c r="C8103" s="0" t="str">
        <f aca="false">INDEX(Intent_Analysis!$B$5:$B$81,MATCH(B8103,Intent_Analysis!$A$5:$A$81,0))</f>
        <v>Card delivery &amp; activation</v>
      </c>
      <c r="D8103" s="0" t="n">
        <f aca="false">INDEX(Intent_Analysis!$E$5:$E$81,MATCH(B8103,Intent_Analysis!$A$5:$A$81,0))</f>
        <v>1</v>
      </c>
    </row>
    <row r="8104" customFormat="false" ht="15" hidden="false" customHeight="false" outlineLevel="0" collapsed="false">
      <c r="A8104" s="0" t="s">
        <v>8428</v>
      </c>
      <c r="B8104" s="0" t="s">
        <v>50</v>
      </c>
      <c r="C8104" s="0" t="str">
        <f aca="false">INDEX(Intent_Analysis!$B$5:$B$81,MATCH(B8104,Intent_Analysis!$A$5:$A$81,0))</f>
        <v>Card delivery &amp; activation</v>
      </c>
      <c r="D8104" s="0" t="n">
        <f aca="false">INDEX(Intent_Analysis!$E$5:$E$81,MATCH(B8104,Intent_Analysis!$A$5:$A$81,0))</f>
        <v>1</v>
      </c>
    </row>
    <row r="8105" customFormat="false" ht="15" hidden="false" customHeight="false" outlineLevel="0" collapsed="false">
      <c r="A8105" s="0" t="s">
        <v>8429</v>
      </c>
      <c r="B8105" s="0" t="s">
        <v>50</v>
      </c>
      <c r="C8105" s="0" t="str">
        <f aca="false">INDEX(Intent_Analysis!$B$5:$B$81,MATCH(B8105,Intent_Analysis!$A$5:$A$81,0))</f>
        <v>Card delivery &amp; activation</v>
      </c>
      <c r="D8105" s="0" t="n">
        <f aca="false">INDEX(Intent_Analysis!$E$5:$E$81,MATCH(B8105,Intent_Analysis!$A$5:$A$81,0))</f>
        <v>1</v>
      </c>
    </row>
    <row r="8106" customFormat="false" ht="15" hidden="false" customHeight="false" outlineLevel="0" collapsed="false">
      <c r="A8106" s="0" t="s">
        <v>8430</v>
      </c>
      <c r="B8106" s="0" t="s">
        <v>50</v>
      </c>
      <c r="C8106" s="0" t="str">
        <f aca="false">INDEX(Intent_Analysis!$B$5:$B$81,MATCH(B8106,Intent_Analysis!$A$5:$A$81,0))</f>
        <v>Card delivery &amp; activation</v>
      </c>
      <c r="D8106" s="0" t="n">
        <f aca="false">INDEX(Intent_Analysis!$E$5:$E$81,MATCH(B8106,Intent_Analysis!$A$5:$A$81,0))</f>
        <v>1</v>
      </c>
    </row>
    <row r="8107" customFormat="false" ht="15" hidden="false" customHeight="false" outlineLevel="0" collapsed="false">
      <c r="A8107" s="0" t="s">
        <v>8431</v>
      </c>
      <c r="B8107" s="0" t="s">
        <v>50</v>
      </c>
      <c r="C8107" s="0" t="str">
        <f aca="false">INDEX(Intent_Analysis!$B$5:$B$81,MATCH(B8107,Intent_Analysis!$A$5:$A$81,0))</f>
        <v>Card delivery &amp; activation</v>
      </c>
      <c r="D8107" s="0" t="n">
        <f aca="false">INDEX(Intent_Analysis!$E$5:$E$81,MATCH(B8107,Intent_Analysis!$A$5:$A$81,0))</f>
        <v>1</v>
      </c>
    </row>
    <row r="8108" customFormat="false" ht="15" hidden="false" customHeight="false" outlineLevel="0" collapsed="false">
      <c r="A8108" s="0" t="s">
        <v>8432</v>
      </c>
      <c r="B8108" s="0" t="s">
        <v>50</v>
      </c>
      <c r="C8108" s="0" t="str">
        <f aca="false">INDEX(Intent_Analysis!$B$5:$B$81,MATCH(B8108,Intent_Analysis!$A$5:$A$81,0))</f>
        <v>Card delivery &amp; activation</v>
      </c>
      <c r="D8108" s="0" t="n">
        <f aca="false">INDEX(Intent_Analysis!$E$5:$E$81,MATCH(B8108,Intent_Analysis!$A$5:$A$81,0))</f>
        <v>1</v>
      </c>
    </row>
    <row r="8109" customFormat="false" ht="15" hidden="false" customHeight="false" outlineLevel="0" collapsed="false">
      <c r="A8109" s="0" t="s">
        <v>8433</v>
      </c>
      <c r="B8109" s="0" t="s">
        <v>50</v>
      </c>
      <c r="C8109" s="0" t="str">
        <f aca="false">INDEX(Intent_Analysis!$B$5:$B$81,MATCH(B8109,Intent_Analysis!$A$5:$A$81,0))</f>
        <v>Card delivery &amp; activation</v>
      </c>
      <c r="D8109" s="0" t="n">
        <f aca="false">INDEX(Intent_Analysis!$E$5:$E$81,MATCH(B8109,Intent_Analysis!$A$5:$A$81,0))</f>
        <v>1</v>
      </c>
    </row>
    <row r="8110" customFormat="false" ht="15" hidden="false" customHeight="false" outlineLevel="0" collapsed="false">
      <c r="A8110" s="0" t="s">
        <v>8434</v>
      </c>
      <c r="B8110" s="0" t="s">
        <v>50</v>
      </c>
      <c r="C8110" s="0" t="str">
        <f aca="false">INDEX(Intent_Analysis!$B$5:$B$81,MATCH(B8110,Intent_Analysis!$A$5:$A$81,0))</f>
        <v>Card delivery &amp; activation</v>
      </c>
      <c r="D8110" s="0" t="n">
        <f aca="false">INDEX(Intent_Analysis!$E$5:$E$81,MATCH(B8110,Intent_Analysis!$A$5:$A$81,0))</f>
        <v>1</v>
      </c>
    </row>
    <row r="8111" customFormat="false" ht="15" hidden="false" customHeight="false" outlineLevel="0" collapsed="false">
      <c r="A8111" s="0" t="s">
        <v>8435</v>
      </c>
      <c r="B8111" s="0" t="s">
        <v>50</v>
      </c>
      <c r="C8111" s="0" t="str">
        <f aca="false">INDEX(Intent_Analysis!$B$5:$B$81,MATCH(B8111,Intent_Analysis!$A$5:$A$81,0))</f>
        <v>Card delivery &amp; activation</v>
      </c>
      <c r="D8111" s="0" t="n">
        <f aca="false">INDEX(Intent_Analysis!$E$5:$E$81,MATCH(B8111,Intent_Analysis!$A$5:$A$81,0))</f>
        <v>1</v>
      </c>
    </row>
    <row r="8112" customFormat="false" ht="15" hidden="false" customHeight="false" outlineLevel="0" collapsed="false">
      <c r="A8112" s="0" t="s">
        <v>8436</v>
      </c>
      <c r="B8112" s="0" t="s">
        <v>50</v>
      </c>
      <c r="C8112" s="0" t="str">
        <f aca="false">INDEX(Intent_Analysis!$B$5:$B$81,MATCH(B8112,Intent_Analysis!$A$5:$A$81,0))</f>
        <v>Card delivery &amp; activation</v>
      </c>
      <c r="D8112" s="0" t="n">
        <f aca="false">INDEX(Intent_Analysis!$E$5:$E$81,MATCH(B8112,Intent_Analysis!$A$5:$A$81,0))</f>
        <v>1</v>
      </c>
    </row>
    <row r="8113" customFormat="false" ht="15" hidden="false" customHeight="false" outlineLevel="0" collapsed="false">
      <c r="A8113" s="0" t="s">
        <v>8437</v>
      </c>
      <c r="B8113" s="0" t="s">
        <v>50</v>
      </c>
      <c r="C8113" s="0" t="str">
        <f aca="false">INDEX(Intent_Analysis!$B$5:$B$81,MATCH(B8113,Intent_Analysis!$A$5:$A$81,0))</f>
        <v>Card delivery &amp; activation</v>
      </c>
      <c r="D8113" s="0" t="n">
        <f aca="false">INDEX(Intent_Analysis!$E$5:$E$81,MATCH(B8113,Intent_Analysis!$A$5:$A$81,0))</f>
        <v>1</v>
      </c>
    </row>
    <row r="8114" customFormat="false" ht="15" hidden="false" customHeight="false" outlineLevel="0" collapsed="false">
      <c r="A8114" s="0" t="s">
        <v>8438</v>
      </c>
      <c r="B8114" s="0" t="s">
        <v>50</v>
      </c>
      <c r="C8114" s="0" t="str">
        <f aca="false">INDEX(Intent_Analysis!$B$5:$B$81,MATCH(B8114,Intent_Analysis!$A$5:$A$81,0))</f>
        <v>Card delivery &amp; activation</v>
      </c>
      <c r="D8114" s="0" t="n">
        <f aca="false">INDEX(Intent_Analysis!$E$5:$E$81,MATCH(B8114,Intent_Analysis!$A$5:$A$81,0))</f>
        <v>1</v>
      </c>
    </row>
    <row r="8115" customFormat="false" ht="15" hidden="false" customHeight="false" outlineLevel="0" collapsed="false">
      <c r="A8115" s="0" t="s">
        <v>8439</v>
      </c>
      <c r="B8115" s="0" t="s">
        <v>50</v>
      </c>
      <c r="C8115" s="0" t="str">
        <f aca="false">INDEX(Intent_Analysis!$B$5:$B$81,MATCH(B8115,Intent_Analysis!$A$5:$A$81,0))</f>
        <v>Card delivery &amp; activation</v>
      </c>
      <c r="D8115" s="0" t="n">
        <f aca="false">INDEX(Intent_Analysis!$E$5:$E$81,MATCH(B8115,Intent_Analysis!$A$5:$A$81,0))</f>
        <v>1</v>
      </c>
    </row>
    <row r="8116" customFormat="false" ht="15" hidden="false" customHeight="false" outlineLevel="0" collapsed="false">
      <c r="A8116" s="0" t="s">
        <v>8440</v>
      </c>
      <c r="B8116" s="0" t="s">
        <v>50</v>
      </c>
      <c r="C8116" s="0" t="str">
        <f aca="false">INDEX(Intent_Analysis!$B$5:$B$81,MATCH(B8116,Intent_Analysis!$A$5:$A$81,0))</f>
        <v>Card delivery &amp; activation</v>
      </c>
      <c r="D8116" s="0" t="n">
        <f aca="false">INDEX(Intent_Analysis!$E$5:$E$81,MATCH(B8116,Intent_Analysis!$A$5:$A$81,0))</f>
        <v>1</v>
      </c>
    </row>
    <row r="8117" customFormat="false" ht="15" hidden="false" customHeight="false" outlineLevel="0" collapsed="false">
      <c r="A8117" s="0" t="s">
        <v>8441</v>
      </c>
      <c r="B8117" s="0" t="s">
        <v>50</v>
      </c>
      <c r="C8117" s="0" t="str">
        <f aca="false">INDEX(Intent_Analysis!$B$5:$B$81,MATCH(B8117,Intent_Analysis!$A$5:$A$81,0))</f>
        <v>Card delivery &amp; activation</v>
      </c>
      <c r="D8117" s="0" t="n">
        <f aca="false">INDEX(Intent_Analysis!$E$5:$E$81,MATCH(B8117,Intent_Analysis!$A$5:$A$81,0))</f>
        <v>1</v>
      </c>
    </row>
    <row r="8118" customFormat="false" ht="15" hidden="false" customHeight="false" outlineLevel="0" collapsed="false">
      <c r="A8118" s="0" t="s">
        <v>8442</v>
      </c>
      <c r="B8118" s="0" t="s">
        <v>50</v>
      </c>
      <c r="C8118" s="0" t="str">
        <f aca="false">INDEX(Intent_Analysis!$B$5:$B$81,MATCH(B8118,Intent_Analysis!$A$5:$A$81,0))</f>
        <v>Card delivery &amp; activation</v>
      </c>
      <c r="D8118" s="0" t="n">
        <f aca="false">INDEX(Intent_Analysis!$E$5:$E$81,MATCH(B8118,Intent_Analysis!$A$5:$A$81,0))</f>
        <v>1</v>
      </c>
    </row>
    <row r="8119" customFormat="false" ht="15" hidden="false" customHeight="false" outlineLevel="0" collapsed="false">
      <c r="A8119" s="0" t="s">
        <v>8443</v>
      </c>
      <c r="B8119" s="0" t="s">
        <v>50</v>
      </c>
      <c r="C8119" s="0" t="str">
        <f aca="false">INDEX(Intent_Analysis!$B$5:$B$81,MATCH(B8119,Intent_Analysis!$A$5:$A$81,0))</f>
        <v>Card delivery &amp; activation</v>
      </c>
      <c r="D8119" s="0" t="n">
        <f aca="false">INDEX(Intent_Analysis!$E$5:$E$81,MATCH(B8119,Intent_Analysis!$A$5:$A$81,0))</f>
        <v>1</v>
      </c>
    </row>
    <row r="8120" customFormat="false" ht="15" hidden="false" customHeight="false" outlineLevel="0" collapsed="false">
      <c r="A8120" s="0" t="s">
        <v>8444</v>
      </c>
      <c r="B8120" s="0" t="s">
        <v>50</v>
      </c>
      <c r="C8120" s="0" t="str">
        <f aca="false">INDEX(Intent_Analysis!$B$5:$B$81,MATCH(B8120,Intent_Analysis!$A$5:$A$81,0))</f>
        <v>Card delivery &amp; activation</v>
      </c>
      <c r="D8120" s="0" t="n">
        <f aca="false">INDEX(Intent_Analysis!$E$5:$E$81,MATCH(B8120,Intent_Analysis!$A$5:$A$81,0))</f>
        <v>1</v>
      </c>
    </row>
    <row r="8121" customFormat="false" ht="15" hidden="false" customHeight="false" outlineLevel="0" collapsed="false">
      <c r="A8121" s="0" t="s">
        <v>8445</v>
      </c>
      <c r="B8121" s="0" t="s">
        <v>50</v>
      </c>
      <c r="C8121" s="0" t="str">
        <f aca="false">INDEX(Intent_Analysis!$B$5:$B$81,MATCH(B8121,Intent_Analysis!$A$5:$A$81,0))</f>
        <v>Card delivery &amp; activation</v>
      </c>
      <c r="D8121" s="0" t="n">
        <f aca="false">INDEX(Intent_Analysis!$E$5:$E$81,MATCH(B8121,Intent_Analysis!$A$5:$A$81,0))</f>
        <v>1</v>
      </c>
    </row>
    <row r="8122" customFormat="false" ht="15" hidden="false" customHeight="false" outlineLevel="0" collapsed="false">
      <c r="A8122" s="0" t="s">
        <v>8446</v>
      </c>
      <c r="B8122" s="0" t="s">
        <v>50</v>
      </c>
      <c r="C8122" s="0" t="str">
        <f aca="false">INDEX(Intent_Analysis!$B$5:$B$81,MATCH(B8122,Intent_Analysis!$A$5:$A$81,0))</f>
        <v>Card delivery &amp; activation</v>
      </c>
      <c r="D8122" s="0" t="n">
        <f aca="false">INDEX(Intent_Analysis!$E$5:$E$81,MATCH(B8122,Intent_Analysis!$A$5:$A$81,0))</f>
        <v>1</v>
      </c>
    </row>
    <row r="8123" customFormat="false" ht="15" hidden="false" customHeight="false" outlineLevel="0" collapsed="false">
      <c r="A8123" s="0" t="s">
        <v>8447</v>
      </c>
      <c r="B8123" s="0" t="s">
        <v>50</v>
      </c>
      <c r="C8123" s="0" t="str">
        <f aca="false">INDEX(Intent_Analysis!$B$5:$B$81,MATCH(B8123,Intent_Analysis!$A$5:$A$81,0))</f>
        <v>Card delivery &amp; activation</v>
      </c>
      <c r="D8123" s="0" t="n">
        <f aca="false">INDEX(Intent_Analysis!$E$5:$E$81,MATCH(B8123,Intent_Analysis!$A$5:$A$81,0))</f>
        <v>1</v>
      </c>
    </row>
    <row r="8124" customFormat="false" ht="15" hidden="false" customHeight="false" outlineLevel="0" collapsed="false">
      <c r="A8124" s="0" t="s">
        <v>8448</v>
      </c>
      <c r="B8124" s="0" t="s">
        <v>50</v>
      </c>
      <c r="C8124" s="0" t="str">
        <f aca="false">INDEX(Intent_Analysis!$B$5:$B$81,MATCH(B8124,Intent_Analysis!$A$5:$A$81,0))</f>
        <v>Card delivery &amp; activation</v>
      </c>
      <c r="D8124" s="0" t="n">
        <f aca="false">INDEX(Intent_Analysis!$E$5:$E$81,MATCH(B8124,Intent_Analysis!$A$5:$A$81,0))</f>
        <v>1</v>
      </c>
    </row>
    <row r="8125" customFormat="false" ht="15" hidden="false" customHeight="false" outlineLevel="0" collapsed="false">
      <c r="A8125" s="0" t="s">
        <v>8449</v>
      </c>
      <c r="B8125" s="0" t="s">
        <v>50</v>
      </c>
      <c r="C8125" s="0" t="str">
        <f aca="false">INDEX(Intent_Analysis!$B$5:$B$81,MATCH(B8125,Intent_Analysis!$A$5:$A$81,0))</f>
        <v>Card delivery &amp; activation</v>
      </c>
      <c r="D8125" s="0" t="n">
        <f aca="false">INDEX(Intent_Analysis!$E$5:$E$81,MATCH(B8125,Intent_Analysis!$A$5:$A$81,0))</f>
        <v>1</v>
      </c>
    </row>
    <row r="8126" customFormat="false" ht="15" hidden="false" customHeight="false" outlineLevel="0" collapsed="false">
      <c r="A8126" s="0" t="s">
        <v>8450</v>
      </c>
      <c r="B8126" s="0" t="s">
        <v>50</v>
      </c>
      <c r="C8126" s="0" t="str">
        <f aca="false">INDEX(Intent_Analysis!$B$5:$B$81,MATCH(B8126,Intent_Analysis!$A$5:$A$81,0))</f>
        <v>Card delivery &amp; activation</v>
      </c>
      <c r="D8126" s="0" t="n">
        <f aca="false">INDEX(Intent_Analysis!$E$5:$E$81,MATCH(B8126,Intent_Analysis!$A$5:$A$81,0))</f>
        <v>1</v>
      </c>
    </row>
    <row r="8127" customFormat="false" ht="15" hidden="false" customHeight="false" outlineLevel="0" collapsed="false">
      <c r="A8127" s="0" t="s">
        <v>8451</v>
      </c>
      <c r="B8127" s="0" t="s">
        <v>50</v>
      </c>
      <c r="C8127" s="0" t="str">
        <f aca="false">INDEX(Intent_Analysis!$B$5:$B$81,MATCH(B8127,Intent_Analysis!$A$5:$A$81,0))</f>
        <v>Card delivery &amp; activation</v>
      </c>
      <c r="D8127" s="0" t="n">
        <f aca="false">INDEX(Intent_Analysis!$E$5:$E$81,MATCH(B8127,Intent_Analysis!$A$5:$A$81,0))</f>
        <v>1</v>
      </c>
    </row>
    <row r="8128" customFormat="false" ht="15" hidden="false" customHeight="false" outlineLevel="0" collapsed="false">
      <c r="A8128" s="0" t="s">
        <v>8452</v>
      </c>
      <c r="B8128" s="0" t="s">
        <v>50</v>
      </c>
      <c r="C8128" s="0" t="str">
        <f aca="false">INDEX(Intent_Analysis!$B$5:$B$81,MATCH(B8128,Intent_Analysis!$A$5:$A$81,0))</f>
        <v>Card delivery &amp; activation</v>
      </c>
      <c r="D8128" s="0" t="n">
        <f aca="false">INDEX(Intent_Analysis!$E$5:$E$81,MATCH(B8128,Intent_Analysis!$A$5:$A$81,0))</f>
        <v>1</v>
      </c>
    </row>
    <row r="8129" customFormat="false" ht="15" hidden="false" customHeight="false" outlineLevel="0" collapsed="false">
      <c r="A8129" s="0" t="s">
        <v>8453</v>
      </c>
      <c r="B8129" s="0" t="s">
        <v>50</v>
      </c>
      <c r="C8129" s="0" t="str">
        <f aca="false">INDEX(Intent_Analysis!$B$5:$B$81,MATCH(B8129,Intent_Analysis!$A$5:$A$81,0))</f>
        <v>Card delivery &amp; activation</v>
      </c>
      <c r="D8129" s="0" t="n">
        <f aca="false">INDEX(Intent_Analysis!$E$5:$E$81,MATCH(B8129,Intent_Analysis!$A$5:$A$81,0))</f>
        <v>1</v>
      </c>
    </row>
    <row r="8130" customFormat="false" ht="15" hidden="false" customHeight="false" outlineLevel="0" collapsed="false">
      <c r="A8130" s="0" t="s">
        <v>8454</v>
      </c>
      <c r="B8130" s="0" t="s">
        <v>50</v>
      </c>
      <c r="C8130" s="0" t="str">
        <f aca="false">INDEX(Intent_Analysis!$B$5:$B$81,MATCH(B8130,Intent_Analysis!$A$5:$A$81,0))</f>
        <v>Card delivery &amp; activation</v>
      </c>
      <c r="D8130" s="0" t="n">
        <f aca="false">INDEX(Intent_Analysis!$E$5:$E$81,MATCH(B8130,Intent_Analysis!$A$5:$A$81,0))</f>
        <v>1</v>
      </c>
    </row>
    <row r="8131" customFormat="false" ht="15" hidden="false" customHeight="false" outlineLevel="0" collapsed="false">
      <c r="A8131" s="0" t="s">
        <v>8455</v>
      </c>
      <c r="B8131" s="0" t="s">
        <v>50</v>
      </c>
      <c r="C8131" s="0" t="str">
        <f aca="false">INDEX(Intent_Analysis!$B$5:$B$81,MATCH(B8131,Intent_Analysis!$A$5:$A$81,0))</f>
        <v>Card delivery &amp; activation</v>
      </c>
      <c r="D8131" s="0" t="n">
        <f aca="false">INDEX(Intent_Analysis!$E$5:$E$81,MATCH(B8131,Intent_Analysis!$A$5:$A$81,0))</f>
        <v>1</v>
      </c>
    </row>
    <row r="8132" customFormat="false" ht="15" hidden="false" customHeight="false" outlineLevel="0" collapsed="false">
      <c r="A8132" s="0" t="s">
        <v>8456</v>
      </c>
      <c r="B8132" s="0" t="s">
        <v>50</v>
      </c>
      <c r="C8132" s="0" t="str">
        <f aca="false">INDEX(Intent_Analysis!$B$5:$B$81,MATCH(B8132,Intent_Analysis!$A$5:$A$81,0))</f>
        <v>Card delivery &amp; activation</v>
      </c>
      <c r="D8132" s="0" t="n">
        <f aca="false">INDEX(Intent_Analysis!$E$5:$E$81,MATCH(B8132,Intent_Analysis!$A$5:$A$81,0))</f>
        <v>1</v>
      </c>
    </row>
    <row r="8133" customFormat="false" ht="15" hidden="false" customHeight="false" outlineLevel="0" collapsed="false">
      <c r="A8133" s="0" t="s">
        <v>8457</v>
      </c>
      <c r="B8133" s="0" t="s">
        <v>50</v>
      </c>
      <c r="C8133" s="0" t="str">
        <f aca="false">INDEX(Intent_Analysis!$B$5:$B$81,MATCH(B8133,Intent_Analysis!$A$5:$A$81,0))</f>
        <v>Card delivery &amp; activation</v>
      </c>
      <c r="D8133" s="0" t="n">
        <f aca="false">INDEX(Intent_Analysis!$E$5:$E$81,MATCH(B8133,Intent_Analysis!$A$5:$A$81,0))</f>
        <v>1</v>
      </c>
    </row>
    <row r="8134" customFormat="false" ht="15" hidden="false" customHeight="false" outlineLevel="0" collapsed="false">
      <c r="A8134" s="0" t="s">
        <v>8458</v>
      </c>
      <c r="B8134" s="0" t="s">
        <v>50</v>
      </c>
      <c r="C8134" s="0" t="str">
        <f aca="false">INDEX(Intent_Analysis!$B$5:$B$81,MATCH(B8134,Intent_Analysis!$A$5:$A$81,0))</f>
        <v>Card delivery &amp; activation</v>
      </c>
      <c r="D8134" s="0" t="n">
        <f aca="false">INDEX(Intent_Analysis!$E$5:$E$81,MATCH(B8134,Intent_Analysis!$A$5:$A$81,0))</f>
        <v>1</v>
      </c>
    </row>
    <row r="8135" customFormat="false" ht="15" hidden="false" customHeight="false" outlineLevel="0" collapsed="false">
      <c r="A8135" s="0" t="s">
        <v>8459</v>
      </c>
      <c r="B8135" s="0" t="s">
        <v>50</v>
      </c>
      <c r="C8135" s="0" t="str">
        <f aca="false">INDEX(Intent_Analysis!$B$5:$B$81,MATCH(B8135,Intent_Analysis!$A$5:$A$81,0))</f>
        <v>Card delivery &amp; activation</v>
      </c>
      <c r="D8135" s="0" t="n">
        <f aca="false">INDEX(Intent_Analysis!$E$5:$E$81,MATCH(B8135,Intent_Analysis!$A$5:$A$81,0))</f>
        <v>1</v>
      </c>
    </row>
    <row r="8136" customFormat="false" ht="15" hidden="false" customHeight="false" outlineLevel="0" collapsed="false">
      <c r="A8136" s="0" t="s">
        <v>8460</v>
      </c>
      <c r="B8136" s="0" t="s">
        <v>50</v>
      </c>
      <c r="C8136" s="0" t="str">
        <f aca="false">INDEX(Intent_Analysis!$B$5:$B$81,MATCH(B8136,Intent_Analysis!$A$5:$A$81,0))</f>
        <v>Card delivery &amp; activation</v>
      </c>
      <c r="D8136" s="0" t="n">
        <f aca="false">INDEX(Intent_Analysis!$E$5:$E$81,MATCH(B8136,Intent_Analysis!$A$5:$A$81,0))</f>
        <v>1</v>
      </c>
    </row>
    <row r="8137" customFormat="false" ht="15" hidden="false" customHeight="false" outlineLevel="0" collapsed="false">
      <c r="A8137" s="0" t="s">
        <v>8461</v>
      </c>
      <c r="B8137" s="0" t="s">
        <v>50</v>
      </c>
      <c r="C8137" s="0" t="str">
        <f aca="false">INDEX(Intent_Analysis!$B$5:$B$81,MATCH(B8137,Intent_Analysis!$A$5:$A$81,0))</f>
        <v>Card delivery &amp; activation</v>
      </c>
      <c r="D8137" s="0" t="n">
        <f aca="false">INDEX(Intent_Analysis!$E$5:$E$81,MATCH(B8137,Intent_Analysis!$A$5:$A$81,0))</f>
        <v>1</v>
      </c>
    </row>
    <row r="8138" customFormat="false" ht="15" hidden="false" customHeight="false" outlineLevel="0" collapsed="false">
      <c r="A8138" s="0" t="s">
        <v>8462</v>
      </c>
      <c r="B8138" s="0" t="s">
        <v>50</v>
      </c>
      <c r="C8138" s="0" t="str">
        <f aca="false">INDEX(Intent_Analysis!$B$5:$B$81,MATCH(B8138,Intent_Analysis!$A$5:$A$81,0))</f>
        <v>Card delivery &amp; activation</v>
      </c>
      <c r="D8138" s="0" t="n">
        <f aca="false">INDEX(Intent_Analysis!$E$5:$E$81,MATCH(B8138,Intent_Analysis!$A$5:$A$81,0))</f>
        <v>1</v>
      </c>
    </row>
    <row r="8139" customFormat="false" ht="15" hidden="false" customHeight="false" outlineLevel="0" collapsed="false">
      <c r="A8139" s="0" t="s">
        <v>8463</v>
      </c>
      <c r="B8139" s="0" t="s">
        <v>50</v>
      </c>
      <c r="C8139" s="0" t="str">
        <f aca="false">INDEX(Intent_Analysis!$B$5:$B$81,MATCH(B8139,Intent_Analysis!$A$5:$A$81,0))</f>
        <v>Card delivery &amp; activation</v>
      </c>
      <c r="D8139" s="0" t="n">
        <f aca="false">INDEX(Intent_Analysis!$E$5:$E$81,MATCH(B8139,Intent_Analysis!$A$5:$A$81,0))</f>
        <v>1</v>
      </c>
    </row>
    <row r="8140" customFormat="false" ht="15" hidden="false" customHeight="false" outlineLevel="0" collapsed="false">
      <c r="A8140" s="0" t="s">
        <v>8464</v>
      </c>
      <c r="B8140" s="0" t="s">
        <v>50</v>
      </c>
      <c r="C8140" s="0" t="str">
        <f aca="false">INDEX(Intent_Analysis!$B$5:$B$81,MATCH(B8140,Intent_Analysis!$A$5:$A$81,0))</f>
        <v>Card delivery &amp; activation</v>
      </c>
      <c r="D8140" s="0" t="n">
        <f aca="false">INDEX(Intent_Analysis!$E$5:$E$81,MATCH(B8140,Intent_Analysis!$A$5:$A$81,0))</f>
        <v>1</v>
      </c>
    </row>
    <row r="8141" customFormat="false" ht="15" hidden="false" customHeight="false" outlineLevel="0" collapsed="false">
      <c r="A8141" s="0" t="s">
        <v>8465</v>
      </c>
      <c r="B8141" s="0" t="s">
        <v>50</v>
      </c>
      <c r="C8141" s="0" t="str">
        <f aca="false">INDEX(Intent_Analysis!$B$5:$B$81,MATCH(B8141,Intent_Analysis!$A$5:$A$81,0))</f>
        <v>Card delivery &amp; activation</v>
      </c>
      <c r="D8141" s="0" t="n">
        <f aca="false">INDEX(Intent_Analysis!$E$5:$E$81,MATCH(B8141,Intent_Analysis!$A$5:$A$81,0))</f>
        <v>1</v>
      </c>
    </row>
    <row r="8142" customFormat="false" ht="15" hidden="false" customHeight="false" outlineLevel="0" collapsed="false">
      <c r="A8142" s="0" t="s">
        <v>8466</v>
      </c>
      <c r="B8142" s="0" t="s">
        <v>50</v>
      </c>
      <c r="C8142" s="0" t="str">
        <f aca="false">INDEX(Intent_Analysis!$B$5:$B$81,MATCH(B8142,Intent_Analysis!$A$5:$A$81,0))</f>
        <v>Card delivery &amp; activation</v>
      </c>
      <c r="D8142" s="0" t="n">
        <f aca="false">INDEX(Intent_Analysis!$E$5:$E$81,MATCH(B8142,Intent_Analysis!$A$5:$A$81,0))</f>
        <v>1</v>
      </c>
    </row>
    <row r="8143" customFormat="false" ht="15" hidden="false" customHeight="false" outlineLevel="0" collapsed="false">
      <c r="A8143" s="0" t="s">
        <v>8467</v>
      </c>
      <c r="B8143" s="0" t="s">
        <v>50</v>
      </c>
      <c r="C8143" s="0" t="str">
        <f aca="false">INDEX(Intent_Analysis!$B$5:$B$81,MATCH(B8143,Intent_Analysis!$A$5:$A$81,0))</f>
        <v>Card delivery &amp; activation</v>
      </c>
      <c r="D8143" s="0" t="n">
        <f aca="false">INDEX(Intent_Analysis!$E$5:$E$81,MATCH(B8143,Intent_Analysis!$A$5:$A$81,0))</f>
        <v>1</v>
      </c>
    </row>
    <row r="8144" customFormat="false" ht="15" hidden="false" customHeight="false" outlineLevel="0" collapsed="false">
      <c r="A8144" s="0" t="s">
        <v>8468</v>
      </c>
      <c r="B8144" s="0" t="s">
        <v>50</v>
      </c>
      <c r="C8144" s="0" t="str">
        <f aca="false">INDEX(Intent_Analysis!$B$5:$B$81,MATCH(B8144,Intent_Analysis!$A$5:$A$81,0))</f>
        <v>Card delivery &amp; activation</v>
      </c>
      <c r="D8144" s="0" t="n">
        <f aca="false">INDEX(Intent_Analysis!$E$5:$E$81,MATCH(B8144,Intent_Analysis!$A$5:$A$81,0))</f>
        <v>1</v>
      </c>
    </row>
    <row r="8145" customFormat="false" ht="15" hidden="false" customHeight="false" outlineLevel="0" collapsed="false">
      <c r="A8145" s="0" t="s">
        <v>8469</v>
      </c>
      <c r="B8145" s="0" t="s">
        <v>50</v>
      </c>
      <c r="C8145" s="0" t="str">
        <f aca="false">INDEX(Intent_Analysis!$B$5:$B$81,MATCH(B8145,Intent_Analysis!$A$5:$A$81,0))</f>
        <v>Card delivery &amp; activation</v>
      </c>
      <c r="D8145" s="0" t="n">
        <f aca="false">INDEX(Intent_Analysis!$E$5:$E$81,MATCH(B8145,Intent_Analysis!$A$5:$A$81,0))</f>
        <v>1</v>
      </c>
    </row>
    <row r="8146" customFormat="false" ht="15" hidden="false" customHeight="false" outlineLevel="0" collapsed="false">
      <c r="A8146" s="0" t="s">
        <v>8470</v>
      </c>
      <c r="B8146" s="0" t="s">
        <v>50</v>
      </c>
      <c r="C8146" s="0" t="str">
        <f aca="false">INDEX(Intent_Analysis!$B$5:$B$81,MATCH(B8146,Intent_Analysis!$A$5:$A$81,0))</f>
        <v>Card delivery &amp; activation</v>
      </c>
      <c r="D8146" s="0" t="n">
        <f aca="false">INDEX(Intent_Analysis!$E$5:$E$81,MATCH(B8146,Intent_Analysis!$A$5:$A$81,0))</f>
        <v>1</v>
      </c>
    </row>
    <row r="8147" customFormat="false" ht="15" hidden="false" customHeight="false" outlineLevel="0" collapsed="false">
      <c r="A8147" s="0" t="s">
        <v>8471</v>
      </c>
      <c r="B8147" s="0" t="s">
        <v>50</v>
      </c>
      <c r="C8147" s="0" t="str">
        <f aca="false">INDEX(Intent_Analysis!$B$5:$B$81,MATCH(B8147,Intent_Analysis!$A$5:$A$81,0))</f>
        <v>Card delivery &amp; activation</v>
      </c>
      <c r="D8147" s="0" t="n">
        <f aca="false">INDEX(Intent_Analysis!$E$5:$E$81,MATCH(B8147,Intent_Analysis!$A$5:$A$81,0))</f>
        <v>1</v>
      </c>
    </row>
    <row r="8148" customFormat="false" ht="15" hidden="false" customHeight="false" outlineLevel="0" collapsed="false">
      <c r="A8148" s="0" t="s">
        <v>8472</v>
      </c>
      <c r="B8148" s="0" t="s">
        <v>50</v>
      </c>
      <c r="C8148" s="0" t="str">
        <f aca="false">INDEX(Intent_Analysis!$B$5:$B$81,MATCH(B8148,Intent_Analysis!$A$5:$A$81,0))</f>
        <v>Card delivery &amp; activation</v>
      </c>
      <c r="D8148" s="0" t="n">
        <f aca="false">INDEX(Intent_Analysis!$E$5:$E$81,MATCH(B8148,Intent_Analysis!$A$5:$A$81,0))</f>
        <v>1</v>
      </c>
    </row>
    <row r="8149" customFormat="false" ht="15" hidden="false" customHeight="false" outlineLevel="0" collapsed="false">
      <c r="A8149" s="0" t="s">
        <v>8473</v>
      </c>
      <c r="B8149" s="0" t="s">
        <v>50</v>
      </c>
      <c r="C8149" s="0" t="str">
        <f aca="false">INDEX(Intent_Analysis!$B$5:$B$81,MATCH(B8149,Intent_Analysis!$A$5:$A$81,0))</f>
        <v>Card delivery &amp; activation</v>
      </c>
      <c r="D8149" s="0" t="n">
        <f aca="false">INDEX(Intent_Analysis!$E$5:$E$81,MATCH(B8149,Intent_Analysis!$A$5:$A$81,0))</f>
        <v>1</v>
      </c>
    </row>
    <row r="8150" customFormat="false" ht="15" hidden="false" customHeight="false" outlineLevel="0" collapsed="false">
      <c r="A8150" s="0" t="s">
        <v>8474</v>
      </c>
      <c r="B8150" s="0" t="s">
        <v>50</v>
      </c>
      <c r="C8150" s="0" t="str">
        <f aca="false">INDEX(Intent_Analysis!$B$5:$B$81,MATCH(B8150,Intent_Analysis!$A$5:$A$81,0))</f>
        <v>Card delivery &amp; activation</v>
      </c>
      <c r="D8150" s="0" t="n">
        <f aca="false">INDEX(Intent_Analysis!$E$5:$E$81,MATCH(B8150,Intent_Analysis!$A$5:$A$81,0))</f>
        <v>1</v>
      </c>
    </row>
    <row r="8151" customFormat="false" ht="15" hidden="false" customHeight="false" outlineLevel="0" collapsed="false">
      <c r="A8151" s="0" t="s">
        <v>8475</v>
      </c>
      <c r="B8151" s="0" t="s">
        <v>50</v>
      </c>
      <c r="C8151" s="0" t="str">
        <f aca="false">INDEX(Intent_Analysis!$B$5:$B$81,MATCH(B8151,Intent_Analysis!$A$5:$A$81,0))</f>
        <v>Card delivery &amp; activation</v>
      </c>
      <c r="D8151" s="0" t="n">
        <f aca="false">INDEX(Intent_Analysis!$E$5:$E$81,MATCH(B8151,Intent_Analysis!$A$5:$A$81,0))</f>
        <v>1</v>
      </c>
    </row>
    <row r="8152" customFormat="false" ht="15" hidden="false" customHeight="false" outlineLevel="0" collapsed="false">
      <c r="A8152" s="0" t="s">
        <v>8476</v>
      </c>
      <c r="B8152" s="0" t="s">
        <v>50</v>
      </c>
      <c r="C8152" s="0" t="str">
        <f aca="false">INDEX(Intent_Analysis!$B$5:$B$81,MATCH(B8152,Intent_Analysis!$A$5:$A$81,0))</f>
        <v>Card delivery &amp; activation</v>
      </c>
      <c r="D8152" s="0" t="n">
        <f aca="false">INDEX(Intent_Analysis!$E$5:$E$81,MATCH(B8152,Intent_Analysis!$A$5:$A$81,0))</f>
        <v>1</v>
      </c>
    </row>
    <row r="8153" customFormat="false" ht="15" hidden="false" customHeight="false" outlineLevel="0" collapsed="false">
      <c r="A8153" s="0" t="s">
        <v>8477</v>
      </c>
      <c r="B8153" s="0" t="s">
        <v>50</v>
      </c>
      <c r="C8153" s="0" t="str">
        <f aca="false">INDEX(Intent_Analysis!$B$5:$B$81,MATCH(B8153,Intent_Analysis!$A$5:$A$81,0))</f>
        <v>Card delivery &amp; activation</v>
      </c>
      <c r="D8153" s="0" t="n">
        <f aca="false">INDEX(Intent_Analysis!$E$5:$E$81,MATCH(B8153,Intent_Analysis!$A$5:$A$81,0))</f>
        <v>1</v>
      </c>
    </row>
    <row r="8154" customFormat="false" ht="15" hidden="false" customHeight="false" outlineLevel="0" collapsed="false">
      <c r="A8154" s="0" t="s">
        <v>8478</v>
      </c>
      <c r="B8154" s="0" t="s">
        <v>50</v>
      </c>
      <c r="C8154" s="0" t="str">
        <f aca="false">INDEX(Intent_Analysis!$B$5:$B$81,MATCH(B8154,Intent_Analysis!$A$5:$A$81,0))</f>
        <v>Card delivery &amp; activation</v>
      </c>
      <c r="D8154" s="0" t="n">
        <f aca="false">INDEX(Intent_Analysis!$E$5:$E$81,MATCH(B8154,Intent_Analysis!$A$5:$A$81,0))</f>
        <v>1</v>
      </c>
    </row>
    <row r="8155" customFormat="false" ht="15" hidden="false" customHeight="false" outlineLevel="0" collapsed="false">
      <c r="A8155" s="0" t="s">
        <v>8479</v>
      </c>
      <c r="B8155" s="0" t="s">
        <v>50</v>
      </c>
      <c r="C8155" s="0" t="str">
        <f aca="false">INDEX(Intent_Analysis!$B$5:$B$81,MATCH(B8155,Intent_Analysis!$A$5:$A$81,0))</f>
        <v>Card delivery &amp; activation</v>
      </c>
      <c r="D8155" s="0" t="n">
        <f aca="false">INDEX(Intent_Analysis!$E$5:$E$81,MATCH(B8155,Intent_Analysis!$A$5:$A$81,0))</f>
        <v>1</v>
      </c>
    </row>
    <row r="8156" customFormat="false" ht="15" hidden="false" customHeight="false" outlineLevel="0" collapsed="false">
      <c r="A8156" s="0" t="s">
        <v>8480</v>
      </c>
      <c r="B8156" s="0" t="s">
        <v>50</v>
      </c>
      <c r="C8156" s="0" t="str">
        <f aca="false">INDEX(Intent_Analysis!$B$5:$B$81,MATCH(B8156,Intent_Analysis!$A$5:$A$81,0))</f>
        <v>Card delivery &amp; activation</v>
      </c>
      <c r="D8156" s="0" t="n">
        <f aca="false">INDEX(Intent_Analysis!$E$5:$E$81,MATCH(B8156,Intent_Analysis!$A$5:$A$81,0))</f>
        <v>1</v>
      </c>
    </row>
    <row r="8157" customFormat="false" ht="15" hidden="false" customHeight="false" outlineLevel="0" collapsed="false">
      <c r="A8157" s="0" t="s">
        <v>8481</v>
      </c>
      <c r="B8157" s="0" t="s">
        <v>50</v>
      </c>
      <c r="C8157" s="0" t="str">
        <f aca="false">INDEX(Intent_Analysis!$B$5:$B$81,MATCH(B8157,Intent_Analysis!$A$5:$A$81,0))</f>
        <v>Card delivery &amp; activation</v>
      </c>
      <c r="D8157" s="0" t="n">
        <f aca="false">INDEX(Intent_Analysis!$E$5:$E$81,MATCH(B8157,Intent_Analysis!$A$5:$A$81,0))</f>
        <v>1</v>
      </c>
    </row>
    <row r="8158" customFormat="false" ht="15" hidden="false" customHeight="false" outlineLevel="0" collapsed="false">
      <c r="A8158" s="0" t="s">
        <v>8482</v>
      </c>
      <c r="B8158" s="0" t="s">
        <v>50</v>
      </c>
      <c r="C8158" s="0" t="str">
        <f aca="false">INDEX(Intent_Analysis!$B$5:$B$81,MATCH(B8158,Intent_Analysis!$A$5:$A$81,0))</f>
        <v>Card delivery &amp; activation</v>
      </c>
      <c r="D8158" s="0" t="n">
        <f aca="false">INDEX(Intent_Analysis!$E$5:$E$81,MATCH(B8158,Intent_Analysis!$A$5:$A$81,0))</f>
        <v>1</v>
      </c>
    </row>
    <row r="8159" customFormat="false" ht="15" hidden="false" customHeight="false" outlineLevel="0" collapsed="false">
      <c r="A8159" s="0" t="s">
        <v>8483</v>
      </c>
      <c r="B8159" s="0" t="s">
        <v>50</v>
      </c>
      <c r="C8159" s="0" t="str">
        <f aca="false">INDEX(Intent_Analysis!$B$5:$B$81,MATCH(B8159,Intent_Analysis!$A$5:$A$81,0))</f>
        <v>Card delivery &amp; activation</v>
      </c>
      <c r="D8159" s="0" t="n">
        <f aca="false">INDEX(Intent_Analysis!$E$5:$E$81,MATCH(B8159,Intent_Analysis!$A$5:$A$81,0))</f>
        <v>1</v>
      </c>
    </row>
    <row r="8160" customFormat="false" ht="15" hidden="false" customHeight="false" outlineLevel="0" collapsed="false">
      <c r="A8160" s="0" t="s">
        <v>8484</v>
      </c>
      <c r="B8160" s="0" t="s">
        <v>50</v>
      </c>
      <c r="C8160" s="0" t="str">
        <f aca="false">INDEX(Intent_Analysis!$B$5:$B$81,MATCH(B8160,Intent_Analysis!$A$5:$A$81,0))</f>
        <v>Card delivery &amp; activation</v>
      </c>
      <c r="D8160" s="0" t="n">
        <f aca="false">INDEX(Intent_Analysis!$E$5:$E$81,MATCH(B8160,Intent_Analysis!$A$5:$A$81,0))</f>
        <v>1</v>
      </c>
    </row>
    <row r="8161" customFormat="false" ht="15" hidden="false" customHeight="false" outlineLevel="0" collapsed="false">
      <c r="A8161" s="0" t="s">
        <v>8485</v>
      </c>
      <c r="B8161" s="0" t="s">
        <v>50</v>
      </c>
      <c r="C8161" s="0" t="str">
        <f aca="false">INDEX(Intent_Analysis!$B$5:$B$81,MATCH(B8161,Intent_Analysis!$A$5:$A$81,0))</f>
        <v>Card delivery &amp; activation</v>
      </c>
      <c r="D8161" s="0" t="n">
        <f aca="false">INDEX(Intent_Analysis!$E$5:$E$81,MATCH(B8161,Intent_Analysis!$A$5:$A$81,0))</f>
        <v>1</v>
      </c>
    </row>
    <row r="8162" customFormat="false" ht="15" hidden="false" customHeight="false" outlineLevel="0" collapsed="false">
      <c r="A8162" s="0" t="s">
        <v>8486</v>
      </c>
      <c r="B8162" s="0" t="s">
        <v>50</v>
      </c>
      <c r="C8162" s="0" t="str">
        <f aca="false">INDEX(Intent_Analysis!$B$5:$B$81,MATCH(B8162,Intent_Analysis!$A$5:$A$81,0))</f>
        <v>Card delivery &amp; activation</v>
      </c>
      <c r="D8162" s="0" t="n">
        <f aca="false">INDEX(Intent_Analysis!$E$5:$E$81,MATCH(B8162,Intent_Analysis!$A$5:$A$81,0))</f>
        <v>1</v>
      </c>
    </row>
    <row r="8163" customFormat="false" ht="15" hidden="false" customHeight="false" outlineLevel="0" collapsed="false">
      <c r="A8163" s="0" t="s">
        <v>8487</v>
      </c>
      <c r="B8163" s="0" t="s">
        <v>50</v>
      </c>
      <c r="C8163" s="0" t="str">
        <f aca="false">INDEX(Intent_Analysis!$B$5:$B$81,MATCH(B8163,Intent_Analysis!$A$5:$A$81,0))</f>
        <v>Card delivery &amp; activation</v>
      </c>
      <c r="D8163" s="0" t="n">
        <f aca="false">INDEX(Intent_Analysis!$E$5:$E$81,MATCH(B8163,Intent_Analysis!$A$5:$A$81,0))</f>
        <v>1</v>
      </c>
    </row>
    <row r="8164" customFormat="false" ht="15" hidden="false" customHeight="false" outlineLevel="0" collapsed="false">
      <c r="A8164" s="0" t="s">
        <v>8488</v>
      </c>
      <c r="B8164" s="0" t="s">
        <v>50</v>
      </c>
      <c r="C8164" s="0" t="str">
        <f aca="false">INDEX(Intent_Analysis!$B$5:$B$81,MATCH(B8164,Intent_Analysis!$A$5:$A$81,0))</f>
        <v>Card delivery &amp; activation</v>
      </c>
      <c r="D8164" s="0" t="n">
        <f aca="false">INDEX(Intent_Analysis!$E$5:$E$81,MATCH(B8164,Intent_Analysis!$A$5:$A$81,0))</f>
        <v>1</v>
      </c>
    </row>
    <row r="8165" customFormat="false" ht="15" hidden="false" customHeight="false" outlineLevel="0" collapsed="false">
      <c r="A8165" s="0" t="s">
        <v>8489</v>
      </c>
      <c r="B8165" s="0" t="s">
        <v>50</v>
      </c>
      <c r="C8165" s="0" t="str">
        <f aca="false">INDEX(Intent_Analysis!$B$5:$B$81,MATCH(B8165,Intent_Analysis!$A$5:$A$81,0))</f>
        <v>Card delivery &amp; activation</v>
      </c>
      <c r="D8165" s="0" t="n">
        <f aca="false">INDEX(Intent_Analysis!$E$5:$E$81,MATCH(B8165,Intent_Analysis!$A$5:$A$81,0))</f>
        <v>1</v>
      </c>
    </row>
    <row r="8166" customFormat="false" ht="15" hidden="false" customHeight="false" outlineLevel="0" collapsed="false">
      <c r="A8166" s="0" t="s">
        <v>8490</v>
      </c>
      <c r="B8166" s="0" t="s">
        <v>50</v>
      </c>
      <c r="C8166" s="0" t="str">
        <f aca="false">INDEX(Intent_Analysis!$B$5:$B$81,MATCH(B8166,Intent_Analysis!$A$5:$A$81,0))</f>
        <v>Card delivery &amp; activation</v>
      </c>
      <c r="D8166" s="0" t="n">
        <f aca="false">INDEX(Intent_Analysis!$E$5:$E$81,MATCH(B8166,Intent_Analysis!$A$5:$A$81,0))</f>
        <v>1</v>
      </c>
    </row>
    <row r="8167" customFormat="false" ht="15" hidden="false" customHeight="false" outlineLevel="0" collapsed="false">
      <c r="A8167" s="0" t="s">
        <v>8491</v>
      </c>
      <c r="B8167" s="0" t="s">
        <v>50</v>
      </c>
      <c r="C8167" s="0" t="str">
        <f aca="false">INDEX(Intent_Analysis!$B$5:$B$81,MATCH(B8167,Intent_Analysis!$A$5:$A$81,0))</f>
        <v>Card delivery &amp; activation</v>
      </c>
      <c r="D8167" s="0" t="n">
        <f aca="false">INDEX(Intent_Analysis!$E$5:$E$81,MATCH(B8167,Intent_Analysis!$A$5:$A$81,0))</f>
        <v>1</v>
      </c>
    </row>
    <row r="8168" customFormat="false" ht="15" hidden="false" customHeight="false" outlineLevel="0" collapsed="false">
      <c r="A8168" s="0" t="s">
        <v>8492</v>
      </c>
      <c r="B8168" s="0" t="s">
        <v>50</v>
      </c>
      <c r="C8168" s="0" t="str">
        <f aca="false">INDEX(Intent_Analysis!$B$5:$B$81,MATCH(B8168,Intent_Analysis!$A$5:$A$81,0))</f>
        <v>Card delivery &amp; activation</v>
      </c>
      <c r="D8168" s="0" t="n">
        <f aca="false">INDEX(Intent_Analysis!$E$5:$E$81,MATCH(B8168,Intent_Analysis!$A$5:$A$81,0))</f>
        <v>1</v>
      </c>
    </row>
    <row r="8169" customFormat="false" ht="15" hidden="false" customHeight="false" outlineLevel="0" collapsed="false">
      <c r="A8169" s="0" t="s">
        <v>8493</v>
      </c>
      <c r="B8169" s="0" t="s">
        <v>73</v>
      </c>
      <c r="C8169" s="0" t="str">
        <f aca="false">INDEX(Intent_Analysis!$B$5:$B$81,MATCH(B8169,Intent_Analysis!$A$5:$A$81,0))</f>
        <v>Card usage &amp; features</v>
      </c>
      <c r="D8169" s="0" t="n">
        <f aca="false">INDEX(Intent_Analysis!$E$5:$E$81,MATCH(B8169,Intent_Analysis!$A$5:$A$81,0))</f>
        <v>2</v>
      </c>
    </row>
    <row r="8170" customFormat="false" ht="15" hidden="false" customHeight="false" outlineLevel="0" collapsed="false">
      <c r="A8170" s="0" t="s">
        <v>8494</v>
      </c>
      <c r="B8170" s="0" t="s">
        <v>73</v>
      </c>
      <c r="C8170" s="0" t="str">
        <f aca="false">INDEX(Intent_Analysis!$B$5:$B$81,MATCH(B8170,Intent_Analysis!$A$5:$A$81,0))</f>
        <v>Card usage &amp; features</v>
      </c>
      <c r="D8170" s="0" t="n">
        <f aca="false">INDEX(Intent_Analysis!$E$5:$E$81,MATCH(B8170,Intent_Analysis!$A$5:$A$81,0))</f>
        <v>2</v>
      </c>
    </row>
    <row r="8171" customFormat="false" ht="15" hidden="false" customHeight="false" outlineLevel="0" collapsed="false">
      <c r="A8171" s="0" t="s">
        <v>8495</v>
      </c>
      <c r="B8171" s="0" t="s">
        <v>73</v>
      </c>
      <c r="C8171" s="0" t="str">
        <f aca="false">INDEX(Intent_Analysis!$B$5:$B$81,MATCH(B8171,Intent_Analysis!$A$5:$A$81,0))</f>
        <v>Card usage &amp; features</v>
      </c>
      <c r="D8171" s="0" t="n">
        <f aca="false">INDEX(Intent_Analysis!$E$5:$E$81,MATCH(B8171,Intent_Analysis!$A$5:$A$81,0))</f>
        <v>2</v>
      </c>
    </row>
    <row r="8172" customFormat="false" ht="15" hidden="false" customHeight="false" outlineLevel="0" collapsed="false">
      <c r="A8172" s="0" t="s">
        <v>8496</v>
      </c>
      <c r="B8172" s="0" t="s">
        <v>73</v>
      </c>
      <c r="C8172" s="0" t="str">
        <f aca="false">INDEX(Intent_Analysis!$B$5:$B$81,MATCH(B8172,Intent_Analysis!$A$5:$A$81,0))</f>
        <v>Card usage &amp; features</v>
      </c>
      <c r="D8172" s="0" t="n">
        <f aca="false">INDEX(Intent_Analysis!$E$5:$E$81,MATCH(B8172,Intent_Analysis!$A$5:$A$81,0))</f>
        <v>2</v>
      </c>
    </row>
    <row r="8173" customFormat="false" ht="15" hidden="false" customHeight="false" outlineLevel="0" collapsed="false">
      <c r="A8173" s="0" t="s">
        <v>8497</v>
      </c>
      <c r="B8173" s="0" t="s">
        <v>73</v>
      </c>
      <c r="C8173" s="0" t="str">
        <f aca="false">INDEX(Intent_Analysis!$B$5:$B$81,MATCH(B8173,Intent_Analysis!$A$5:$A$81,0))</f>
        <v>Card usage &amp; features</v>
      </c>
      <c r="D8173" s="0" t="n">
        <f aca="false">INDEX(Intent_Analysis!$E$5:$E$81,MATCH(B8173,Intent_Analysis!$A$5:$A$81,0))</f>
        <v>2</v>
      </c>
    </row>
    <row r="8174" customFormat="false" ht="15" hidden="false" customHeight="false" outlineLevel="0" collapsed="false">
      <c r="A8174" s="0" t="s">
        <v>8498</v>
      </c>
      <c r="B8174" s="0" t="s">
        <v>73</v>
      </c>
      <c r="C8174" s="0" t="str">
        <f aca="false">INDEX(Intent_Analysis!$B$5:$B$81,MATCH(B8174,Intent_Analysis!$A$5:$A$81,0))</f>
        <v>Card usage &amp; features</v>
      </c>
      <c r="D8174" s="0" t="n">
        <f aca="false">INDEX(Intent_Analysis!$E$5:$E$81,MATCH(B8174,Intent_Analysis!$A$5:$A$81,0))</f>
        <v>2</v>
      </c>
    </row>
    <row r="8175" customFormat="false" ht="15" hidden="false" customHeight="false" outlineLevel="0" collapsed="false">
      <c r="A8175" s="0" t="s">
        <v>8499</v>
      </c>
      <c r="B8175" s="0" t="s">
        <v>73</v>
      </c>
      <c r="C8175" s="0" t="str">
        <f aca="false">INDEX(Intent_Analysis!$B$5:$B$81,MATCH(B8175,Intent_Analysis!$A$5:$A$81,0))</f>
        <v>Card usage &amp; features</v>
      </c>
      <c r="D8175" s="0" t="n">
        <f aca="false">INDEX(Intent_Analysis!$E$5:$E$81,MATCH(B8175,Intent_Analysis!$A$5:$A$81,0))</f>
        <v>2</v>
      </c>
    </row>
    <row r="8176" customFormat="false" ht="15" hidden="false" customHeight="false" outlineLevel="0" collapsed="false">
      <c r="A8176" s="0" t="s">
        <v>8500</v>
      </c>
      <c r="B8176" s="0" t="s">
        <v>73</v>
      </c>
      <c r="C8176" s="0" t="str">
        <f aca="false">INDEX(Intent_Analysis!$B$5:$B$81,MATCH(B8176,Intent_Analysis!$A$5:$A$81,0))</f>
        <v>Card usage &amp; features</v>
      </c>
      <c r="D8176" s="0" t="n">
        <f aca="false">INDEX(Intent_Analysis!$E$5:$E$81,MATCH(B8176,Intent_Analysis!$A$5:$A$81,0))</f>
        <v>2</v>
      </c>
    </row>
    <row r="8177" customFormat="false" ht="15" hidden="false" customHeight="false" outlineLevel="0" collapsed="false">
      <c r="A8177" s="0" t="s">
        <v>8501</v>
      </c>
      <c r="B8177" s="0" t="s">
        <v>73</v>
      </c>
      <c r="C8177" s="0" t="str">
        <f aca="false">INDEX(Intent_Analysis!$B$5:$B$81,MATCH(B8177,Intent_Analysis!$A$5:$A$81,0))</f>
        <v>Card usage &amp; features</v>
      </c>
      <c r="D8177" s="0" t="n">
        <f aca="false">INDEX(Intent_Analysis!$E$5:$E$81,MATCH(B8177,Intent_Analysis!$A$5:$A$81,0))</f>
        <v>2</v>
      </c>
    </row>
    <row r="8178" customFormat="false" ht="15" hidden="false" customHeight="false" outlineLevel="0" collapsed="false">
      <c r="A8178" s="0" t="s">
        <v>8502</v>
      </c>
      <c r="B8178" s="0" t="s">
        <v>73</v>
      </c>
      <c r="C8178" s="0" t="str">
        <f aca="false">INDEX(Intent_Analysis!$B$5:$B$81,MATCH(B8178,Intent_Analysis!$A$5:$A$81,0))</f>
        <v>Card usage &amp; features</v>
      </c>
      <c r="D8178" s="0" t="n">
        <f aca="false">INDEX(Intent_Analysis!$E$5:$E$81,MATCH(B8178,Intent_Analysis!$A$5:$A$81,0))</f>
        <v>2</v>
      </c>
    </row>
    <row r="8179" customFormat="false" ht="15" hidden="false" customHeight="false" outlineLevel="0" collapsed="false">
      <c r="A8179" s="0" t="s">
        <v>8503</v>
      </c>
      <c r="B8179" s="0" t="s">
        <v>73</v>
      </c>
      <c r="C8179" s="0" t="str">
        <f aca="false">INDEX(Intent_Analysis!$B$5:$B$81,MATCH(B8179,Intent_Analysis!$A$5:$A$81,0))</f>
        <v>Card usage &amp; features</v>
      </c>
      <c r="D8179" s="0" t="n">
        <f aca="false">INDEX(Intent_Analysis!$E$5:$E$81,MATCH(B8179,Intent_Analysis!$A$5:$A$81,0))</f>
        <v>2</v>
      </c>
    </row>
    <row r="8180" customFormat="false" ht="15" hidden="false" customHeight="false" outlineLevel="0" collapsed="false">
      <c r="A8180" s="0" t="s">
        <v>8504</v>
      </c>
      <c r="B8180" s="0" t="s">
        <v>73</v>
      </c>
      <c r="C8180" s="0" t="str">
        <f aca="false">INDEX(Intent_Analysis!$B$5:$B$81,MATCH(B8180,Intent_Analysis!$A$5:$A$81,0))</f>
        <v>Card usage &amp; features</v>
      </c>
      <c r="D8180" s="0" t="n">
        <f aca="false">INDEX(Intent_Analysis!$E$5:$E$81,MATCH(B8180,Intent_Analysis!$A$5:$A$81,0))</f>
        <v>2</v>
      </c>
    </row>
    <row r="8181" customFormat="false" ht="15" hidden="false" customHeight="false" outlineLevel="0" collapsed="false">
      <c r="A8181" s="0" t="s">
        <v>8505</v>
      </c>
      <c r="B8181" s="0" t="s">
        <v>73</v>
      </c>
      <c r="C8181" s="0" t="str">
        <f aca="false">INDEX(Intent_Analysis!$B$5:$B$81,MATCH(B8181,Intent_Analysis!$A$5:$A$81,0))</f>
        <v>Card usage &amp; features</v>
      </c>
      <c r="D8181" s="0" t="n">
        <f aca="false">INDEX(Intent_Analysis!$E$5:$E$81,MATCH(B8181,Intent_Analysis!$A$5:$A$81,0))</f>
        <v>2</v>
      </c>
    </row>
    <row r="8182" customFormat="false" ht="15" hidden="false" customHeight="false" outlineLevel="0" collapsed="false">
      <c r="A8182" s="0" t="s">
        <v>8506</v>
      </c>
      <c r="B8182" s="0" t="s">
        <v>73</v>
      </c>
      <c r="C8182" s="0" t="str">
        <f aca="false">INDEX(Intent_Analysis!$B$5:$B$81,MATCH(B8182,Intent_Analysis!$A$5:$A$81,0))</f>
        <v>Card usage &amp; features</v>
      </c>
      <c r="D8182" s="0" t="n">
        <f aca="false">INDEX(Intent_Analysis!$E$5:$E$81,MATCH(B8182,Intent_Analysis!$A$5:$A$81,0))</f>
        <v>2</v>
      </c>
    </row>
    <row r="8183" customFormat="false" ht="15" hidden="false" customHeight="false" outlineLevel="0" collapsed="false">
      <c r="A8183" s="0" t="s">
        <v>8507</v>
      </c>
      <c r="B8183" s="0" t="s">
        <v>73</v>
      </c>
      <c r="C8183" s="0" t="str">
        <f aca="false">INDEX(Intent_Analysis!$B$5:$B$81,MATCH(B8183,Intent_Analysis!$A$5:$A$81,0))</f>
        <v>Card usage &amp; features</v>
      </c>
      <c r="D8183" s="0" t="n">
        <f aca="false">INDEX(Intent_Analysis!$E$5:$E$81,MATCH(B8183,Intent_Analysis!$A$5:$A$81,0))</f>
        <v>2</v>
      </c>
    </row>
    <row r="8184" customFormat="false" ht="15" hidden="false" customHeight="false" outlineLevel="0" collapsed="false">
      <c r="A8184" s="0" t="s">
        <v>8508</v>
      </c>
      <c r="B8184" s="0" t="s">
        <v>73</v>
      </c>
      <c r="C8184" s="0" t="str">
        <f aca="false">INDEX(Intent_Analysis!$B$5:$B$81,MATCH(B8184,Intent_Analysis!$A$5:$A$81,0))</f>
        <v>Card usage &amp; features</v>
      </c>
      <c r="D8184" s="0" t="n">
        <f aca="false">INDEX(Intent_Analysis!$E$5:$E$81,MATCH(B8184,Intent_Analysis!$A$5:$A$81,0))</f>
        <v>2</v>
      </c>
    </row>
    <row r="8185" customFormat="false" ht="15" hidden="false" customHeight="false" outlineLevel="0" collapsed="false">
      <c r="A8185" s="0" t="s">
        <v>8509</v>
      </c>
      <c r="B8185" s="0" t="s">
        <v>73</v>
      </c>
      <c r="C8185" s="0" t="str">
        <f aca="false">INDEX(Intent_Analysis!$B$5:$B$81,MATCH(B8185,Intent_Analysis!$A$5:$A$81,0))</f>
        <v>Card usage &amp; features</v>
      </c>
      <c r="D8185" s="0" t="n">
        <f aca="false">INDEX(Intent_Analysis!$E$5:$E$81,MATCH(B8185,Intent_Analysis!$A$5:$A$81,0))</f>
        <v>2</v>
      </c>
    </row>
    <row r="8186" customFormat="false" ht="15" hidden="false" customHeight="false" outlineLevel="0" collapsed="false">
      <c r="A8186" s="0" t="s">
        <v>8510</v>
      </c>
      <c r="B8186" s="0" t="s">
        <v>73</v>
      </c>
      <c r="C8186" s="0" t="str">
        <f aca="false">INDEX(Intent_Analysis!$B$5:$B$81,MATCH(B8186,Intent_Analysis!$A$5:$A$81,0))</f>
        <v>Card usage &amp; features</v>
      </c>
      <c r="D8186" s="0" t="n">
        <f aca="false">INDEX(Intent_Analysis!$E$5:$E$81,MATCH(B8186,Intent_Analysis!$A$5:$A$81,0))</f>
        <v>2</v>
      </c>
    </row>
    <row r="8187" customFormat="false" ht="15" hidden="false" customHeight="false" outlineLevel="0" collapsed="false">
      <c r="A8187" s="0" t="s">
        <v>8511</v>
      </c>
      <c r="B8187" s="0" t="s">
        <v>73</v>
      </c>
      <c r="C8187" s="0" t="str">
        <f aca="false">INDEX(Intent_Analysis!$B$5:$B$81,MATCH(B8187,Intent_Analysis!$A$5:$A$81,0))</f>
        <v>Card usage &amp; features</v>
      </c>
      <c r="D8187" s="0" t="n">
        <f aca="false">INDEX(Intent_Analysis!$E$5:$E$81,MATCH(B8187,Intent_Analysis!$A$5:$A$81,0))</f>
        <v>2</v>
      </c>
    </row>
    <row r="8188" customFormat="false" ht="15" hidden="false" customHeight="false" outlineLevel="0" collapsed="false">
      <c r="A8188" s="0" t="s">
        <v>8512</v>
      </c>
      <c r="B8188" s="0" t="s">
        <v>73</v>
      </c>
      <c r="C8188" s="0" t="str">
        <f aca="false">INDEX(Intent_Analysis!$B$5:$B$81,MATCH(B8188,Intent_Analysis!$A$5:$A$81,0))</f>
        <v>Card usage &amp; features</v>
      </c>
      <c r="D8188" s="0" t="n">
        <f aca="false">INDEX(Intent_Analysis!$E$5:$E$81,MATCH(B8188,Intent_Analysis!$A$5:$A$81,0))</f>
        <v>2</v>
      </c>
    </row>
    <row r="8189" customFormat="false" ht="15" hidden="false" customHeight="false" outlineLevel="0" collapsed="false">
      <c r="A8189" s="0" t="s">
        <v>8513</v>
      </c>
      <c r="B8189" s="0" t="s">
        <v>73</v>
      </c>
      <c r="C8189" s="0" t="str">
        <f aca="false">INDEX(Intent_Analysis!$B$5:$B$81,MATCH(B8189,Intent_Analysis!$A$5:$A$81,0))</f>
        <v>Card usage &amp; features</v>
      </c>
      <c r="D8189" s="0" t="n">
        <f aca="false">INDEX(Intent_Analysis!$E$5:$E$81,MATCH(B8189,Intent_Analysis!$A$5:$A$81,0))</f>
        <v>2</v>
      </c>
    </row>
    <row r="8190" customFormat="false" ht="15" hidden="false" customHeight="false" outlineLevel="0" collapsed="false">
      <c r="A8190" s="0" t="s">
        <v>8514</v>
      </c>
      <c r="B8190" s="0" t="s">
        <v>73</v>
      </c>
      <c r="C8190" s="0" t="str">
        <f aca="false">INDEX(Intent_Analysis!$B$5:$B$81,MATCH(B8190,Intent_Analysis!$A$5:$A$81,0))</f>
        <v>Card usage &amp; features</v>
      </c>
      <c r="D8190" s="0" t="n">
        <f aca="false">INDEX(Intent_Analysis!$E$5:$E$81,MATCH(B8190,Intent_Analysis!$A$5:$A$81,0))</f>
        <v>2</v>
      </c>
    </row>
    <row r="8191" customFormat="false" ht="15" hidden="false" customHeight="false" outlineLevel="0" collapsed="false">
      <c r="A8191" s="0" t="s">
        <v>8515</v>
      </c>
      <c r="B8191" s="0" t="s">
        <v>73</v>
      </c>
      <c r="C8191" s="0" t="str">
        <f aca="false">INDEX(Intent_Analysis!$B$5:$B$81,MATCH(B8191,Intent_Analysis!$A$5:$A$81,0))</f>
        <v>Card usage &amp; features</v>
      </c>
      <c r="D8191" s="0" t="n">
        <f aca="false">INDEX(Intent_Analysis!$E$5:$E$81,MATCH(B8191,Intent_Analysis!$A$5:$A$81,0))</f>
        <v>2</v>
      </c>
    </row>
    <row r="8192" customFormat="false" ht="15" hidden="false" customHeight="false" outlineLevel="0" collapsed="false">
      <c r="A8192" s="0" t="s">
        <v>8516</v>
      </c>
      <c r="B8192" s="0" t="s">
        <v>73</v>
      </c>
      <c r="C8192" s="0" t="str">
        <f aca="false">INDEX(Intent_Analysis!$B$5:$B$81,MATCH(B8192,Intent_Analysis!$A$5:$A$81,0))</f>
        <v>Card usage &amp; features</v>
      </c>
      <c r="D8192" s="0" t="n">
        <f aca="false">INDEX(Intent_Analysis!$E$5:$E$81,MATCH(B8192,Intent_Analysis!$A$5:$A$81,0))</f>
        <v>2</v>
      </c>
    </row>
    <row r="8193" customFormat="false" ht="15" hidden="false" customHeight="false" outlineLevel="0" collapsed="false">
      <c r="A8193" s="0" t="s">
        <v>8517</v>
      </c>
      <c r="B8193" s="0" t="s">
        <v>73</v>
      </c>
      <c r="C8193" s="0" t="str">
        <f aca="false">INDEX(Intent_Analysis!$B$5:$B$81,MATCH(B8193,Intent_Analysis!$A$5:$A$81,0))</f>
        <v>Card usage &amp; features</v>
      </c>
      <c r="D8193" s="0" t="n">
        <f aca="false">INDEX(Intent_Analysis!$E$5:$E$81,MATCH(B8193,Intent_Analysis!$A$5:$A$81,0))</f>
        <v>2</v>
      </c>
    </row>
    <row r="8194" customFormat="false" ht="15" hidden="false" customHeight="false" outlineLevel="0" collapsed="false">
      <c r="A8194" s="0" t="s">
        <v>8518</v>
      </c>
      <c r="B8194" s="0" t="s">
        <v>73</v>
      </c>
      <c r="C8194" s="0" t="str">
        <f aca="false">INDEX(Intent_Analysis!$B$5:$B$81,MATCH(B8194,Intent_Analysis!$A$5:$A$81,0))</f>
        <v>Card usage &amp; features</v>
      </c>
      <c r="D8194" s="0" t="n">
        <f aca="false">INDEX(Intent_Analysis!$E$5:$E$81,MATCH(B8194,Intent_Analysis!$A$5:$A$81,0))</f>
        <v>2</v>
      </c>
    </row>
    <row r="8195" customFormat="false" ht="15" hidden="false" customHeight="false" outlineLevel="0" collapsed="false">
      <c r="A8195" s="0" t="s">
        <v>8519</v>
      </c>
      <c r="B8195" s="0" t="s">
        <v>73</v>
      </c>
      <c r="C8195" s="0" t="str">
        <f aca="false">INDEX(Intent_Analysis!$B$5:$B$81,MATCH(B8195,Intent_Analysis!$A$5:$A$81,0))</f>
        <v>Card usage &amp; features</v>
      </c>
      <c r="D8195" s="0" t="n">
        <f aca="false">INDEX(Intent_Analysis!$E$5:$E$81,MATCH(B8195,Intent_Analysis!$A$5:$A$81,0))</f>
        <v>2</v>
      </c>
    </row>
    <row r="8196" customFormat="false" ht="15" hidden="false" customHeight="false" outlineLevel="0" collapsed="false">
      <c r="A8196" s="0" t="s">
        <v>8520</v>
      </c>
      <c r="B8196" s="0" t="s">
        <v>73</v>
      </c>
      <c r="C8196" s="0" t="str">
        <f aca="false">INDEX(Intent_Analysis!$B$5:$B$81,MATCH(B8196,Intent_Analysis!$A$5:$A$81,0))</f>
        <v>Card usage &amp; features</v>
      </c>
      <c r="D8196" s="0" t="n">
        <f aca="false">INDEX(Intent_Analysis!$E$5:$E$81,MATCH(B8196,Intent_Analysis!$A$5:$A$81,0))</f>
        <v>2</v>
      </c>
    </row>
    <row r="8197" customFormat="false" ht="15" hidden="false" customHeight="false" outlineLevel="0" collapsed="false">
      <c r="A8197" s="0" t="s">
        <v>8521</v>
      </c>
      <c r="B8197" s="0" t="s">
        <v>73</v>
      </c>
      <c r="C8197" s="0" t="str">
        <f aca="false">INDEX(Intent_Analysis!$B$5:$B$81,MATCH(B8197,Intent_Analysis!$A$5:$A$81,0))</f>
        <v>Card usage &amp; features</v>
      </c>
      <c r="D8197" s="0" t="n">
        <f aca="false">INDEX(Intent_Analysis!$E$5:$E$81,MATCH(B8197,Intent_Analysis!$A$5:$A$81,0))</f>
        <v>2</v>
      </c>
    </row>
    <row r="8198" customFormat="false" ht="15" hidden="false" customHeight="false" outlineLevel="0" collapsed="false">
      <c r="A8198" s="0" t="s">
        <v>8522</v>
      </c>
      <c r="B8198" s="0" t="s">
        <v>73</v>
      </c>
      <c r="C8198" s="0" t="str">
        <f aca="false">INDEX(Intent_Analysis!$B$5:$B$81,MATCH(B8198,Intent_Analysis!$A$5:$A$81,0))</f>
        <v>Card usage &amp; features</v>
      </c>
      <c r="D8198" s="0" t="n">
        <f aca="false">INDEX(Intent_Analysis!$E$5:$E$81,MATCH(B8198,Intent_Analysis!$A$5:$A$81,0))</f>
        <v>2</v>
      </c>
    </row>
    <row r="8199" customFormat="false" ht="15" hidden="false" customHeight="false" outlineLevel="0" collapsed="false">
      <c r="A8199" s="0" t="s">
        <v>8523</v>
      </c>
      <c r="B8199" s="0" t="s">
        <v>73</v>
      </c>
      <c r="C8199" s="0" t="str">
        <f aca="false">INDEX(Intent_Analysis!$B$5:$B$81,MATCH(B8199,Intent_Analysis!$A$5:$A$81,0))</f>
        <v>Card usage &amp; features</v>
      </c>
      <c r="D8199" s="0" t="n">
        <f aca="false">INDEX(Intent_Analysis!$E$5:$E$81,MATCH(B8199,Intent_Analysis!$A$5:$A$81,0))</f>
        <v>2</v>
      </c>
    </row>
    <row r="8200" customFormat="false" ht="15" hidden="false" customHeight="false" outlineLevel="0" collapsed="false">
      <c r="A8200" s="0" t="s">
        <v>8524</v>
      </c>
      <c r="B8200" s="0" t="s">
        <v>73</v>
      </c>
      <c r="C8200" s="0" t="str">
        <f aca="false">INDEX(Intent_Analysis!$B$5:$B$81,MATCH(B8200,Intent_Analysis!$A$5:$A$81,0))</f>
        <v>Card usage &amp; features</v>
      </c>
      <c r="D8200" s="0" t="n">
        <f aca="false">INDEX(Intent_Analysis!$E$5:$E$81,MATCH(B8200,Intent_Analysis!$A$5:$A$81,0))</f>
        <v>2</v>
      </c>
    </row>
    <row r="8201" customFormat="false" ht="15" hidden="false" customHeight="false" outlineLevel="0" collapsed="false">
      <c r="A8201" s="0" t="s">
        <v>8525</v>
      </c>
      <c r="B8201" s="0" t="s">
        <v>73</v>
      </c>
      <c r="C8201" s="0" t="str">
        <f aca="false">INDEX(Intent_Analysis!$B$5:$B$81,MATCH(B8201,Intent_Analysis!$A$5:$A$81,0))</f>
        <v>Card usage &amp; features</v>
      </c>
      <c r="D8201" s="0" t="n">
        <f aca="false">INDEX(Intent_Analysis!$E$5:$E$81,MATCH(B8201,Intent_Analysis!$A$5:$A$81,0))</f>
        <v>2</v>
      </c>
    </row>
    <row r="8202" customFormat="false" ht="15" hidden="false" customHeight="false" outlineLevel="0" collapsed="false">
      <c r="A8202" s="0" t="s">
        <v>8526</v>
      </c>
      <c r="B8202" s="0" t="s">
        <v>73</v>
      </c>
      <c r="C8202" s="0" t="str">
        <f aca="false">INDEX(Intent_Analysis!$B$5:$B$81,MATCH(B8202,Intent_Analysis!$A$5:$A$81,0))</f>
        <v>Card usage &amp; features</v>
      </c>
      <c r="D8202" s="0" t="n">
        <f aca="false">INDEX(Intent_Analysis!$E$5:$E$81,MATCH(B8202,Intent_Analysis!$A$5:$A$81,0))</f>
        <v>2</v>
      </c>
    </row>
    <row r="8203" customFormat="false" ht="15" hidden="false" customHeight="false" outlineLevel="0" collapsed="false">
      <c r="A8203" s="0" t="s">
        <v>8527</v>
      </c>
      <c r="B8203" s="0" t="s">
        <v>73</v>
      </c>
      <c r="C8203" s="0" t="str">
        <f aca="false">INDEX(Intent_Analysis!$B$5:$B$81,MATCH(B8203,Intent_Analysis!$A$5:$A$81,0))</f>
        <v>Card usage &amp; features</v>
      </c>
      <c r="D8203" s="0" t="n">
        <f aca="false">INDEX(Intent_Analysis!$E$5:$E$81,MATCH(B8203,Intent_Analysis!$A$5:$A$81,0))</f>
        <v>2</v>
      </c>
    </row>
    <row r="8204" customFormat="false" ht="15" hidden="false" customHeight="false" outlineLevel="0" collapsed="false">
      <c r="A8204" s="0" t="s">
        <v>8528</v>
      </c>
      <c r="B8204" s="0" t="s">
        <v>73</v>
      </c>
      <c r="C8204" s="0" t="str">
        <f aca="false">INDEX(Intent_Analysis!$B$5:$B$81,MATCH(B8204,Intent_Analysis!$A$5:$A$81,0))</f>
        <v>Card usage &amp; features</v>
      </c>
      <c r="D8204" s="0" t="n">
        <f aca="false">INDEX(Intent_Analysis!$E$5:$E$81,MATCH(B8204,Intent_Analysis!$A$5:$A$81,0))</f>
        <v>2</v>
      </c>
    </row>
    <row r="8205" customFormat="false" ht="15" hidden="false" customHeight="false" outlineLevel="0" collapsed="false">
      <c r="A8205" s="0" t="s">
        <v>8529</v>
      </c>
      <c r="B8205" s="0" t="s">
        <v>73</v>
      </c>
      <c r="C8205" s="0" t="str">
        <f aca="false">INDEX(Intent_Analysis!$B$5:$B$81,MATCH(B8205,Intent_Analysis!$A$5:$A$81,0))</f>
        <v>Card usage &amp; features</v>
      </c>
      <c r="D8205" s="0" t="n">
        <f aca="false">INDEX(Intent_Analysis!$E$5:$E$81,MATCH(B8205,Intent_Analysis!$A$5:$A$81,0))</f>
        <v>2</v>
      </c>
    </row>
    <row r="8206" customFormat="false" ht="15" hidden="false" customHeight="false" outlineLevel="0" collapsed="false">
      <c r="A8206" s="0" t="s">
        <v>8530</v>
      </c>
      <c r="B8206" s="0" t="s">
        <v>73</v>
      </c>
      <c r="C8206" s="0" t="str">
        <f aca="false">INDEX(Intent_Analysis!$B$5:$B$81,MATCH(B8206,Intent_Analysis!$A$5:$A$81,0))</f>
        <v>Card usage &amp; features</v>
      </c>
      <c r="D8206" s="0" t="n">
        <f aca="false">INDEX(Intent_Analysis!$E$5:$E$81,MATCH(B8206,Intent_Analysis!$A$5:$A$81,0))</f>
        <v>2</v>
      </c>
    </row>
    <row r="8207" customFormat="false" ht="15" hidden="false" customHeight="false" outlineLevel="0" collapsed="false">
      <c r="A8207" s="0" t="s">
        <v>8531</v>
      </c>
      <c r="B8207" s="0" t="s">
        <v>73</v>
      </c>
      <c r="C8207" s="0" t="str">
        <f aca="false">INDEX(Intent_Analysis!$B$5:$B$81,MATCH(B8207,Intent_Analysis!$A$5:$A$81,0))</f>
        <v>Card usage &amp; features</v>
      </c>
      <c r="D8207" s="0" t="n">
        <f aca="false">INDEX(Intent_Analysis!$E$5:$E$81,MATCH(B8207,Intent_Analysis!$A$5:$A$81,0))</f>
        <v>2</v>
      </c>
    </row>
    <row r="8208" customFormat="false" ht="15" hidden="false" customHeight="false" outlineLevel="0" collapsed="false">
      <c r="A8208" s="0" t="s">
        <v>8532</v>
      </c>
      <c r="B8208" s="0" t="s">
        <v>73</v>
      </c>
      <c r="C8208" s="0" t="str">
        <f aca="false">INDEX(Intent_Analysis!$B$5:$B$81,MATCH(B8208,Intent_Analysis!$A$5:$A$81,0))</f>
        <v>Card usage &amp; features</v>
      </c>
      <c r="D8208" s="0" t="n">
        <f aca="false">INDEX(Intent_Analysis!$E$5:$E$81,MATCH(B8208,Intent_Analysis!$A$5:$A$81,0))</f>
        <v>2</v>
      </c>
    </row>
    <row r="8209" customFormat="false" ht="15" hidden="false" customHeight="false" outlineLevel="0" collapsed="false">
      <c r="A8209" s="0" t="s">
        <v>8533</v>
      </c>
      <c r="B8209" s="0" t="s">
        <v>73</v>
      </c>
      <c r="C8209" s="0" t="str">
        <f aca="false">INDEX(Intent_Analysis!$B$5:$B$81,MATCH(B8209,Intent_Analysis!$A$5:$A$81,0))</f>
        <v>Card usage &amp; features</v>
      </c>
      <c r="D8209" s="0" t="n">
        <f aca="false">INDEX(Intent_Analysis!$E$5:$E$81,MATCH(B8209,Intent_Analysis!$A$5:$A$81,0))</f>
        <v>2</v>
      </c>
    </row>
    <row r="8210" customFormat="false" ht="15" hidden="false" customHeight="false" outlineLevel="0" collapsed="false">
      <c r="A8210" s="0" t="s">
        <v>8534</v>
      </c>
      <c r="B8210" s="0" t="s">
        <v>82</v>
      </c>
      <c r="C8210" s="0" t="str">
        <f aca="false">INDEX(Intent_Analysis!$B$5:$B$81,MATCH(B8210,Intent_Analysis!$A$5:$A$81,0))</f>
        <v>Exchange rates &amp; currencies</v>
      </c>
      <c r="D8210" s="0" t="n">
        <f aca="false">INDEX(Intent_Analysis!$E$5:$E$81,MATCH(B8210,Intent_Analysis!$A$5:$A$81,0))</f>
        <v>2</v>
      </c>
    </row>
    <row r="8211" customFormat="false" ht="15" hidden="false" customHeight="false" outlineLevel="0" collapsed="false">
      <c r="A8211" s="0" t="s">
        <v>8535</v>
      </c>
      <c r="B8211" s="0" t="s">
        <v>82</v>
      </c>
      <c r="C8211" s="0" t="str">
        <f aca="false">INDEX(Intent_Analysis!$B$5:$B$81,MATCH(B8211,Intent_Analysis!$A$5:$A$81,0))</f>
        <v>Exchange rates &amp; currencies</v>
      </c>
      <c r="D8211" s="0" t="n">
        <f aca="false">INDEX(Intent_Analysis!$E$5:$E$81,MATCH(B8211,Intent_Analysis!$A$5:$A$81,0))</f>
        <v>2</v>
      </c>
    </row>
    <row r="8212" customFormat="false" ht="15" hidden="false" customHeight="false" outlineLevel="0" collapsed="false">
      <c r="A8212" s="0" t="s">
        <v>8536</v>
      </c>
      <c r="B8212" s="0" t="s">
        <v>82</v>
      </c>
      <c r="C8212" s="0" t="str">
        <f aca="false">INDEX(Intent_Analysis!$B$5:$B$81,MATCH(B8212,Intent_Analysis!$A$5:$A$81,0))</f>
        <v>Exchange rates &amp; currencies</v>
      </c>
      <c r="D8212" s="0" t="n">
        <f aca="false">INDEX(Intent_Analysis!$E$5:$E$81,MATCH(B8212,Intent_Analysis!$A$5:$A$81,0))</f>
        <v>2</v>
      </c>
    </row>
    <row r="8213" customFormat="false" ht="15" hidden="false" customHeight="false" outlineLevel="0" collapsed="false">
      <c r="A8213" s="0" t="s">
        <v>8537</v>
      </c>
      <c r="B8213" s="0" t="s">
        <v>82</v>
      </c>
      <c r="C8213" s="0" t="str">
        <f aca="false">INDEX(Intent_Analysis!$B$5:$B$81,MATCH(B8213,Intent_Analysis!$A$5:$A$81,0))</f>
        <v>Exchange rates &amp; currencies</v>
      </c>
      <c r="D8213" s="0" t="n">
        <f aca="false">INDEX(Intent_Analysis!$E$5:$E$81,MATCH(B8213,Intent_Analysis!$A$5:$A$81,0))</f>
        <v>2</v>
      </c>
    </row>
    <row r="8214" customFormat="false" ht="15" hidden="false" customHeight="false" outlineLevel="0" collapsed="false">
      <c r="A8214" s="0" t="s">
        <v>8538</v>
      </c>
      <c r="B8214" s="0" t="s">
        <v>82</v>
      </c>
      <c r="C8214" s="0" t="str">
        <f aca="false">INDEX(Intent_Analysis!$B$5:$B$81,MATCH(B8214,Intent_Analysis!$A$5:$A$81,0))</f>
        <v>Exchange rates &amp; currencies</v>
      </c>
      <c r="D8214" s="0" t="n">
        <f aca="false">INDEX(Intent_Analysis!$E$5:$E$81,MATCH(B8214,Intent_Analysis!$A$5:$A$81,0))</f>
        <v>2</v>
      </c>
    </row>
    <row r="8215" customFormat="false" ht="15" hidden="false" customHeight="false" outlineLevel="0" collapsed="false">
      <c r="A8215" s="0" t="s">
        <v>8539</v>
      </c>
      <c r="B8215" s="0" t="s">
        <v>82</v>
      </c>
      <c r="C8215" s="0" t="str">
        <f aca="false">INDEX(Intent_Analysis!$B$5:$B$81,MATCH(B8215,Intent_Analysis!$A$5:$A$81,0))</f>
        <v>Exchange rates &amp; currencies</v>
      </c>
      <c r="D8215" s="0" t="n">
        <f aca="false">INDEX(Intent_Analysis!$E$5:$E$81,MATCH(B8215,Intent_Analysis!$A$5:$A$81,0))</f>
        <v>2</v>
      </c>
    </row>
    <row r="8216" customFormat="false" ht="15" hidden="false" customHeight="false" outlineLevel="0" collapsed="false">
      <c r="A8216" s="0" t="s">
        <v>8540</v>
      </c>
      <c r="B8216" s="0" t="s">
        <v>82</v>
      </c>
      <c r="C8216" s="0" t="str">
        <f aca="false">INDEX(Intent_Analysis!$B$5:$B$81,MATCH(B8216,Intent_Analysis!$A$5:$A$81,0))</f>
        <v>Exchange rates &amp; currencies</v>
      </c>
      <c r="D8216" s="0" t="n">
        <f aca="false">INDEX(Intent_Analysis!$E$5:$E$81,MATCH(B8216,Intent_Analysis!$A$5:$A$81,0))</f>
        <v>2</v>
      </c>
    </row>
    <row r="8217" customFormat="false" ht="15" hidden="false" customHeight="false" outlineLevel="0" collapsed="false">
      <c r="A8217" s="0" t="s">
        <v>8541</v>
      </c>
      <c r="B8217" s="0" t="s">
        <v>82</v>
      </c>
      <c r="C8217" s="0" t="str">
        <f aca="false">INDEX(Intent_Analysis!$B$5:$B$81,MATCH(B8217,Intent_Analysis!$A$5:$A$81,0))</f>
        <v>Exchange rates &amp; currencies</v>
      </c>
      <c r="D8217" s="0" t="n">
        <f aca="false">INDEX(Intent_Analysis!$E$5:$E$81,MATCH(B8217,Intent_Analysis!$A$5:$A$81,0))</f>
        <v>2</v>
      </c>
    </row>
    <row r="8218" customFormat="false" ht="15" hidden="false" customHeight="false" outlineLevel="0" collapsed="false">
      <c r="A8218" s="0" t="s">
        <v>8542</v>
      </c>
      <c r="B8218" s="0" t="s">
        <v>82</v>
      </c>
      <c r="C8218" s="0" t="str">
        <f aca="false">INDEX(Intent_Analysis!$B$5:$B$81,MATCH(B8218,Intent_Analysis!$A$5:$A$81,0))</f>
        <v>Exchange rates &amp; currencies</v>
      </c>
      <c r="D8218" s="0" t="n">
        <f aca="false">INDEX(Intent_Analysis!$E$5:$E$81,MATCH(B8218,Intent_Analysis!$A$5:$A$81,0))</f>
        <v>2</v>
      </c>
    </row>
    <row r="8219" customFormat="false" ht="15" hidden="false" customHeight="false" outlineLevel="0" collapsed="false">
      <c r="A8219" s="0" t="s">
        <v>8543</v>
      </c>
      <c r="B8219" s="0" t="s">
        <v>82</v>
      </c>
      <c r="C8219" s="0" t="str">
        <f aca="false">INDEX(Intent_Analysis!$B$5:$B$81,MATCH(B8219,Intent_Analysis!$A$5:$A$81,0))</f>
        <v>Exchange rates &amp; currencies</v>
      </c>
      <c r="D8219" s="0" t="n">
        <f aca="false">INDEX(Intent_Analysis!$E$5:$E$81,MATCH(B8219,Intent_Analysis!$A$5:$A$81,0))</f>
        <v>2</v>
      </c>
    </row>
    <row r="8220" customFormat="false" ht="15" hidden="false" customHeight="false" outlineLevel="0" collapsed="false">
      <c r="A8220" s="0" t="s">
        <v>8544</v>
      </c>
      <c r="B8220" s="0" t="s">
        <v>82</v>
      </c>
      <c r="C8220" s="0" t="str">
        <f aca="false">INDEX(Intent_Analysis!$B$5:$B$81,MATCH(B8220,Intent_Analysis!$A$5:$A$81,0))</f>
        <v>Exchange rates &amp; currencies</v>
      </c>
      <c r="D8220" s="0" t="n">
        <f aca="false">INDEX(Intent_Analysis!$E$5:$E$81,MATCH(B8220,Intent_Analysis!$A$5:$A$81,0))</f>
        <v>2</v>
      </c>
    </row>
    <row r="8221" customFormat="false" ht="15" hidden="false" customHeight="false" outlineLevel="0" collapsed="false">
      <c r="A8221" s="0" t="s">
        <v>8545</v>
      </c>
      <c r="B8221" s="0" t="s">
        <v>82</v>
      </c>
      <c r="C8221" s="0" t="str">
        <f aca="false">INDEX(Intent_Analysis!$B$5:$B$81,MATCH(B8221,Intent_Analysis!$A$5:$A$81,0))</f>
        <v>Exchange rates &amp; currencies</v>
      </c>
      <c r="D8221" s="0" t="n">
        <f aca="false">INDEX(Intent_Analysis!$E$5:$E$81,MATCH(B8221,Intent_Analysis!$A$5:$A$81,0))</f>
        <v>2</v>
      </c>
    </row>
    <row r="8222" customFormat="false" ht="15" hidden="false" customHeight="false" outlineLevel="0" collapsed="false">
      <c r="A8222" s="0" t="s">
        <v>8546</v>
      </c>
      <c r="B8222" s="0" t="s">
        <v>82</v>
      </c>
      <c r="C8222" s="0" t="str">
        <f aca="false">INDEX(Intent_Analysis!$B$5:$B$81,MATCH(B8222,Intent_Analysis!$A$5:$A$81,0))</f>
        <v>Exchange rates &amp; currencies</v>
      </c>
      <c r="D8222" s="0" t="n">
        <f aca="false">INDEX(Intent_Analysis!$E$5:$E$81,MATCH(B8222,Intent_Analysis!$A$5:$A$81,0))</f>
        <v>2</v>
      </c>
    </row>
    <row r="8223" customFormat="false" ht="15" hidden="false" customHeight="false" outlineLevel="0" collapsed="false">
      <c r="A8223" s="0" t="s">
        <v>8547</v>
      </c>
      <c r="B8223" s="0" t="s">
        <v>82</v>
      </c>
      <c r="C8223" s="0" t="str">
        <f aca="false">INDEX(Intent_Analysis!$B$5:$B$81,MATCH(B8223,Intent_Analysis!$A$5:$A$81,0))</f>
        <v>Exchange rates &amp; currencies</v>
      </c>
      <c r="D8223" s="0" t="n">
        <f aca="false">INDEX(Intent_Analysis!$E$5:$E$81,MATCH(B8223,Intent_Analysis!$A$5:$A$81,0))</f>
        <v>2</v>
      </c>
    </row>
    <row r="8224" customFormat="false" ht="15" hidden="false" customHeight="false" outlineLevel="0" collapsed="false">
      <c r="A8224" s="0" t="s">
        <v>8548</v>
      </c>
      <c r="B8224" s="0" t="s">
        <v>82</v>
      </c>
      <c r="C8224" s="0" t="str">
        <f aca="false">INDEX(Intent_Analysis!$B$5:$B$81,MATCH(B8224,Intent_Analysis!$A$5:$A$81,0))</f>
        <v>Exchange rates &amp; currencies</v>
      </c>
      <c r="D8224" s="0" t="n">
        <f aca="false">INDEX(Intent_Analysis!$E$5:$E$81,MATCH(B8224,Intent_Analysis!$A$5:$A$81,0))</f>
        <v>2</v>
      </c>
    </row>
    <row r="8225" customFormat="false" ht="15" hidden="false" customHeight="false" outlineLevel="0" collapsed="false">
      <c r="A8225" s="0" t="s">
        <v>8549</v>
      </c>
      <c r="B8225" s="0" t="s">
        <v>82</v>
      </c>
      <c r="C8225" s="0" t="str">
        <f aca="false">INDEX(Intent_Analysis!$B$5:$B$81,MATCH(B8225,Intent_Analysis!$A$5:$A$81,0))</f>
        <v>Exchange rates &amp; currencies</v>
      </c>
      <c r="D8225" s="0" t="n">
        <f aca="false">INDEX(Intent_Analysis!$E$5:$E$81,MATCH(B8225,Intent_Analysis!$A$5:$A$81,0))</f>
        <v>2</v>
      </c>
    </row>
    <row r="8226" customFormat="false" ht="15" hidden="false" customHeight="false" outlineLevel="0" collapsed="false">
      <c r="A8226" s="0" t="s">
        <v>8550</v>
      </c>
      <c r="B8226" s="0" t="s">
        <v>82</v>
      </c>
      <c r="C8226" s="0" t="str">
        <f aca="false">INDEX(Intent_Analysis!$B$5:$B$81,MATCH(B8226,Intent_Analysis!$A$5:$A$81,0))</f>
        <v>Exchange rates &amp; currencies</v>
      </c>
      <c r="D8226" s="0" t="n">
        <f aca="false">INDEX(Intent_Analysis!$E$5:$E$81,MATCH(B8226,Intent_Analysis!$A$5:$A$81,0))</f>
        <v>2</v>
      </c>
    </row>
    <row r="8227" customFormat="false" ht="15" hidden="false" customHeight="false" outlineLevel="0" collapsed="false">
      <c r="A8227" s="0" t="s">
        <v>8551</v>
      </c>
      <c r="B8227" s="0" t="s">
        <v>82</v>
      </c>
      <c r="C8227" s="0" t="str">
        <f aca="false">INDEX(Intent_Analysis!$B$5:$B$81,MATCH(B8227,Intent_Analysis!$A$5:$A$81,0))</f>
        <v>Exchange rates &amp; currencies</v>
      </c>
      <c r="D8227" s="0" t="n">
        <f aca="false">INDEX(Intent_Analysis!$E$5:$E$81,MATCH(B8227,Intent_Analysis!$A$5:$A$81,0))</f>
        <v>2</v>
      </c>
    </row>
    <row r="8228" customFormat="false" ht="15" hidden="false" customHeight="false" outlineLevel="0" collapsed="false">
      <c r="A8228" s="0" t="s">
        <v>8552</v>
      </c>
      <c r="B8228" s="0" t="s">
        <v>82</v>
      </c>
      <c r="C8228" s="0" t="str">
        <f aca="false">INDEX(Intent_Analysis!$B$5:$B$81,MATCH(B8228,Intent_Analysis!$A$5:$A$81,0))</f>
        <v>Exchange rates &amp; currencies</v>
      </c>
      <c r="D8228" s="0" t="n">
        <f aca="false">INDEX(Intent_Analysis!$E$5:$E$81,MATCH(B8228,Intent_Analysis!$A$5:$A$81,0))</f>
        <v>2</v>
      </c>
    </row>
    <row r="8229" customFormat="false" ht="15" hidden="false" customHeight="false" outlineLevel="0" collapsed="false">
      <c r="A8229" s="0" t="s">
        <v>8553</v>
      </c>
      <c r="B8229" s="0" t="s">
        <v>82</v>
      </c>
      <c r="C8229" s="0" t="str">
        <f aca="false">INDEX(Intent_Analysis!$B$5:$B$81,MATCH(B8229,Intent_Analysis!$A$5:$A$81,0))</f>
        <v>Exchange rates &amp; currencies</v>
      </c>
      <c r="D8229" s="0" t="n">
        <f aca="false">INDEX(Intent_Analysis!$E$5:$E$81,MATCH(B8229,Intent_Analysis!$A$5:$A$81,0))</f>
        <v>2</v>
      </c>
    </row>
    <row r="8230" customFormat="false" ht="15" hidden="false" customHeight="false" outlineLevel="0" collapsed="false">
      <c r="A8230" s="0" t="s">
        <v>8554</v>
      </c>
      <c r="B8230" s="0" t="s">
        <v>82</v>
      </c>
      <c r="C8230" s="0" t="str">
        <f aca="false">INDEX(Intent_Analysis!$B$5:$B$81,MATCH(B8230,Intent_Analysis!$A$5:$A$81,0))</f>
        <v>Exchange rates &amp; currencies</v>
      </c>
      <c r="D8230" s="0" t="n">
        <f aca="false">INDEX(Intent_Analysis!$E$5:$E$81,MATCH(B8230,Intent_Analysis!$A$5:$A$81,0))</f>
        <v>2</v>
      </c>
    </row>
    <row r="8231" customFormat="false" ht="15" hidden="false" customHeight="false" outlineLevel="0" collapsed="false">
      <c r="A8231" s="0" t="s">
        <v>8555</v>
      </c>
      <c r="B8231" s="0" t="s">
        <v>82</v>
      </c>
      <c r="C8231" s="0" t="str">
        <f aca="false">INDEX(Intent_Analysis!$B$5:$B$81,MATCH(B8231,Intent_Analysis!$A$5:$A$81,0))</f>
        <v>Exchange rates &amp; currencies</v>
      </c>
      <c r="D8231" s="0" t="n">
        <f aca="false">INDEX(Intent_Analysis!$E$5:$E$81,MATCH(B8231,Intent_Analysis!$A$5:$A$81,0))</f>
        <v>2</v>
      </c>
    </row>
    <row r="8232" customFormat="false" ht="15" hidden="false" customHeight="false" outlineLevel="0" collapsed="false">
      <c r="A8232" s="0" t="s">
        <v>8556</v>
      </c>
      <c r="B8232" s="0" t="s">
        <v>82</v>
      </c>
      <c r="C8232" s="0" t="str">
        <f aca="false">INDEX(Intent_Analysis!$B$5:$B$81,MATCH(B8232,Intent_Analysis!$A$5:$A$81,0))</f>
        <v>Exchange rates &amp; currencies</v>
      </c>
      <c r="D8232" s="0" t="n">
        <f aca="false">INDEX(Intent_Analysis!$E$5:$E$81,MATCH(B8232,Intent_Analysis!$A$5:$A$81,0))</f>
        <v>2</v>
      </c>
    </row>
    <row r="8233" customFormat="false" ht="15" hidden="false" customHeight="false" outlineLevel="0" collapsed="false">
      <c r="A8233" s="0" t="s">
        <v>8557</v>
      </c>
      <c r="B8233" s="0" t="s">
        <v>82</v>
      </c>
      <c r="C8233" s="0" t="str">
        <f aca="false">INDEX(Intent_Analysis!$B$5:$B$81,MATCH(B8233,Intent_Analysis!$A$5:$A$81,0))</f>
        <v>Exchange rates &amp; currencies</v>
      </c>
      <c r="D8233" s="0" t="n">
        <f aca="false">INDEX(Intent_Analysis!$E$5:$E$81,MATCH(B8233,Intent_Analysis!$A$5:$A$81,0))</f>
        <v>2</v>
      </c>
    </row>
    <row r="8234" customFormat="false" ht="15" hidden="false" customHeight="false" outlineLevel="0" collapsed="false">
      <c r="A8234" s="0" t="s">
        <v>8558</v>
      </c>
      <c r="B8234" s="0" t="s">
        <v>82</v>
      </c>
      <c r="C8234" s="0" t="str">
        <f aca="false">INDEX(Intent_Analysis!$B$5:$B$81,MATCH(B8234,Intent_Analysis!$A$5:$A$81,0))</f>
        <v>Exchange rates &amp; currencies</v>
      </c>
      <c r="D8234" s="0" t="n">
        <f aca="false">INDEX(Intent_Analysis!$E$5:$E$81,MATCH(B8234,Intent_Analysis!$A$5:$A$81,0))</f>
        <v>2</v>
      </c>
    </row>
    <row r="8235" customFormat="false" ht="15" hidden="false" customHeight="false" outlineLevel="0" collapsed="false">
      <c r="A8235" s="0" t="s">
        <v>8559</v>
      </c>
      <c r="B8235" s="0" t="s">
        <v>82</v>
      </c>
      <c r="C8235" s="0" t="str">
        <f aca="false">INDEX(Intent_Analysis!$B$5:$B$81,MATCH(B8235,Intent_Analysis!$A$5:$A$81,0))</f>
        <v>Exchange rates &amp; currencies</v>
      </c>
      <c r="D8235" s="0" t="n">
        <f aca="false">INDEX(Intent_Analysis!$E$5:$E$81,MATCH(B8235,Intent_Analysis!$A$5:$A$81,0))</f>
        <v>2</v>
      </c>
    </row>
    <row r="8236" customFormat="false" ht="15" hidden="false" customHeight="false" outlineLevel="0" collapsed="false">
      <c r="A8236" s="0" t="s">
        <v>8560</v>
      </c>
      <c r="B8236" s="0" t="s">
        <v>82</v>
      </c>
      <c r="C8236" s="0" t="str">
        <f aca="false">INDEX(Intent_Analysis!$B$5:$B$81,MATCH(B8236,Intent_Analysis!$A$5:$A$81,0))</f>
        <v>Exchange rates &amp; currencies</v>
      </c>
      <c r="D8236" s="0" t="n">
        <f aca="false">INDEX(Intent_Analysis!$E$5:$E$81,MATCH(B8236,Intent_Analysis!$A$5:$A$81,0))</f>
        <v>2</v>
      </c>
    </row>
    <row r="8237" customFormat="false" ht="15" hidden="false" customHeight="false" outlineLevel="0" collapsed="false">
      <c r="A8237" s="0" t="s">
        <v>8561</v>
      </c>
      <c r="B8237" s="0" t="s">
        <v>82</v>
      </c>
      <c r="C8237" s="0" t="str">
        <f aca="false">INDEX(Intent_Analysis!$B$5:$B$81,MATCH(B8237,Intent_Analysis!$A$5:$A$81,0))</f>
        <v>Exchange rates &amp; currencies</v>
      </c>
      <c r="D8237" s="0" t="n">
        <f aca="false">INDEX(Intent_Analysis!$E$5:$E$81,MATCH(B8237,Intent_Analysis!$A$5:$A$81,0))</f>
        <v>2</v>
      </c>
    </row>
    <row r="8238" customFormat="false" ht="15" hidden="false" customHeight="false" outlineLevel="0" collapsed="false">
      <c r="A8238" s="0" t="s">
        <v>8562</v>
      </c>
      <c r="B8238" s="0" t="s">
        <v>82</v>
      </c>
      <c r="C8238" s="0" t="str">
        <f aca="false">INDEX(Intent_Analysis!$B$5:$B$81,MATCH(B8238,Intent_Analysis!$A$5:$A$81,0))</f>
        <v>Exchange rates &amp; currencies</v>
      </c>
      <c r="D8238" s="0" t="n">
        <f aca="false">INDEX(Intent_Analysis!$E$5:$E$81,MATCH(B8238,Intent_Analysis!$A$5:$A$81,0))</f>
        <v>2</v>
      </c>
    </row>
    <row r="8239" customFormat="false" ht="15" hidden="false" customHeight="false" outlineLevel="0" collapsed="false">
      <c r="A8239" s="0" t="s">
        <v>8563</v>
      </c>
      <c r="B8239" s="0" t="s">
        <v>82</v>
      </c>
      <c r="C8239" s="0" t="str">
        <f aca="false">INDEX(Intent_Analysis!$B$5:$B$81,MATCH(B8239,Intent_Analysis!$A$5:$A$81,0))</f>
        <v>Exchange rates &amp; currencies</v>
      </c>
      <c r="D8239" s="0" t="n">
        <f aca="false">INDEX(Intent_Analysis!$E$5:$E$81,MATCH(B8239,Intent_Analysis!$A$5:$A$81,0))</f>
        <v>2</v>
      </c>
    </row>
    <row r="8240" customFormat="false" ht="15" hidden="false" customHeight="false" outlineLevel="0" collapsed="false">
      <c r="A8240" s="0" t="s">
        <v>8564</v>
      </c>
      <c r="B8240" s="0" t="s">
        <v>82</v>
      </c>
      <c r="C8240" s="0" t="str">
        <f aca="false">INDEX(Intent_Analysis!$B$5:$B$81,MATCH(B8240,Intent_Analysis!$A$5:$A$81,0))</f>
        <v>Exchange rates &amp; currencies</v>
      </c>
      <c r="D8240" s="0" t="n">
        <f aca="false">INDEX(Intent_Analysis!$E$5:$E$81,MATCH(B8240,Intent_Analysis!$A$5:$A$81,0))</f>
        <v>2</v>
      </c>
    </row>
    <row r="8241" customFormat="false" ht="15" hidden="false" customHeight="false" outlineLevel="0" collapsed="false">
      <c r="A8241" s="0" t="s">
        <v>8565</v>
      </c>
      <c r="B8241" s="0" t="s">
        <v>82</v>
      </c>
      <c r="C8241" s="0" t="str">
        <f aca="false">INDEX(Intent_Analysis!$B$5:$B$81,MATCH(B8241,Intent_Analysis!$A$5:$A$81,0))</f>
        <v>Exchange rates &amp; currencies</v>
      </c>
      <c r="D8241" s="0" t="n">
        <f aca="false">INDEX(Intent_Analysis!$E$5:$E$81,MATCH(B8241,Intent_Analysis!$A$5:$A$81,0))</f>
        <v>2</v>
      </c>
    </row>
    <row r="8242" customFormat="false" ht="15" hidden="false" customHeight="false" outlineLevel="0" collapsed="false">
      <c r="A8242" s="0" t="s">
        <v>8566</v>
      </c>
      <c r="B8242" s="0" t="s">
        <v>82</v>
      </c>
      <c r="C8242" s="0" t="str">
        <f aca="false">INDEX(Intent_Analysis!$B$5:$B$81,MATCH(B8242,Intent_Analysis!$A$5:$A$81,0))</f>
        <v>Exchange rates &amp; currencies</v>
      </c>
      <c r="D8242" s="0" t="n">
        <f aca="false">INDEX(Intent_Analysis!$E$5:$E$81,MATCH(B8242,Intent_Analysis!$A$5:$A$81,0))</f>
        <v>2</v>
      </c>
    </row>
    <row r="8243" customFormat="false" ht="15" hidden="false" customHeight="false" outlineLevel="0" collapsed="false">
      <c r="A8243" s="0" t="s">
        <v>8567</v>
      </c>
      <c r="B8243" s="0" t="s">
        <v>82</v>
      </c>
      <c r="C8243" s="0" t="str">
        <f aca="false">INDEX(Intent_Analysis!$B$5:$B$81,MATCH(B8243,Intent_Analysis!$A$5:$A$81,0))</f>
        <v>Exchange rates &amp; currencies</v>
      </c>
      <c r="D8243" s="0" t="n">
        <f aca="false">INDEX(Intent_Analysis!$E$5:$E$81,MATCH(B8243,Intent_Analysis!$A$5:$A$81,0))</f>
        <v>2</v>
      </c>
    </row>
    <row r="8244" customFormat="false" ht="15" hidden="false" customHeight="false" outlineLevel="0" collapsed="false">
      <c r="A8244" s="0" t="s">
        <v>8568</v>
      </c>
      <c r="B8244" s="0" t="s">
        <v>82</v>
      </c>
      <c r="C8244" s="0" t="str">
        <f aca="false">INDEX(Intent_Analysis!$B$5:$B$81,MATCH(B8244,Intent_Analysis!$A$5:$A$81,0))</f>
        <v>Exchange rates &amp; currencies</v>
      </c>
      <c r="D8244" s="0" t="n">
        <f aca="false">INDEX(Intent_Analysis!$E$5:$E$81,MATCH(B8244,Intent_Analysis!$A$5:$A$81,0))</f>
        <v>2</v>
      </c>
    </row>
    <row r="8245" customFormat="false" ht="15" hidden="false" customHeight="false" outlineLevel="0" collapsed="false">
      <c r="A8245" s="0" t="s">
        <v>8569</v>
      </c>
      <c r="B8245" s="0" t="s">
        <v>82</v>
      </c>
      <c r="C8245" s="0" t="str">
        <f aca="false">INDEX(Intent_Analysis!$B$5:$B$81,MATCH(B8245,Intent_Analysis!$A$5:$A$81,0))</f>
        <v>Exchange rates &amp; currencies</v>
      </c>
      <c r="D8245" s="0" t="n">
        <f aca="false">INDEX(Intent_Analysis!$E$5:$E$81,MATCH(B8245,Intent_Analysis!$A$5:$A$81,0))</f>
        <v>2</v>
      </c>
    </row>
    <row r="8246" customFormat="false" ht="15" hidden="false" customHeight="false" outlineLevel="0" collapsed="false">
      <c r="A8246" s="0" t="s">
        <v>8570</v>
      </c>
      <c r="B8246" s="0" t="s">
        <v>82</v>
      </c>
      <c r="C8246" s="0" t="str">
        <f aca="false">INDEX(Intent_Analysis!$B$5:$B$81,MATCH(B8246,Intent_Analysis!$A$5:$A$81,0))</f>
        <v>Exchange rates &amp; currencies</v>
      </c>
      <c r="D8246" s="0" t="n">
        <f aca="false">INDEX(Intent_Analysis!$E$5:$E$81,MATCH(B8246,Intent_Analysis!$A$5:$A$81,0))</f>
        <v>2</v>
      </c>
    </row>
    <row r="8247" customFormat="false" ht="15" hidden="false" customHeight="false" outlineLevel="0" collapsed="false">
      <c r="A8247" s="0" t="s">
        <v>8571</v>
      </c>
      <c r="B8247" s="0" t="s">
        <v>82</v>
      </c>
      <c r="C8247" s="0" t="str">
        <f aca="false">INDEX(Intent_Analysis!$B$5:$B$81,MATCH(B8247,Intent_Analysis!$A$5:$A$81,0))</f>
        <v>Exchange rates &amp; currencies</v>
      </c>
      <c r="D8247" s="0" t="n">
        <f aca="false">INDEX(Intent_Analysis!$E$5:$E$81,MATCH(B8247,Intent_Analysis!$A$5:$A$81,0))</f>
        <v>2</v>
      </c>
    </row>
    <row r="8248" customFormat="false" ht="15" hidden="false" customHeight="false" outlineLevel="0" collapsed="false">
      <c r="A8248" s="0" t="s">
        <v>8572</v>
      </c>
      <c r="B8248" s="0" t="s">
        <v>82</v>
      </c>
      <c r="C8248" s="0" t="str">
        <f aca="false">INDEX(Intent_Analysis!$B$5:$B$81,MATCH(B8248,Intent_Analysis!$A$5:$A$81,0))</f>
        <v>Exchange rates &amp; currencies</v>
      </c>
      <c r="D8248" s="0" t="n">
        <f aca="false">INDEX(Intent_Analysis!$E$5:$E$81,MATCH(B8248,Intent_Analysis!$A$5:$A$81,0))</f>
        <v>2</v>
      </c>
    </row>
    <row r="8249" customFormat="false" ht="15" hidden="false" customHeight="false" outlineLevel="0" collapsed="false">
      <c r="A8249" s="0" t="s">
        <v>8573</v>
      </c>
      <c r="B8249" s="0" t="s">
        <v>82</v>
      </c>
      <c r="C8249" s="0" t="str">
        <f aca="false">INDEX(Intent_Analysis!$B$5:$B$81,MATCH(B8249,Intent_Analysis!$A$5:$A$81,0))</f>
        <v>Exchange rates &amp; currencies</v>
      </c>
      <c r="D8249" s="0" t="n">
        <f aca="false">INDEX(Intent_Analysis!$E$5:$E$81,MATCH(B8249,Intent_Analysis!$A$5:$A$81,0))</f>
        <v>2</v>
      </c>
    </row>
    <row r="8250" customFormat="false" ht="15" hidden="false" customHeight="false" outlineLevel="0" collapsed="false">
      <c r="A8250" s="0" t="s">
        <v>8574</v>
      </c>
      <c r="B8250" s="0" t="s">
        <v>82</v>
      </c>
      <c r="C8250" s="0" t="str">
        <f aca="false">INDEX(Intent_Analysis!$B$5:$B$81,MATCH(B8250,Intent_Analysis!$A$5:$A$81,0))</f>
        <v>Exchange rates &amp; currencies</v>
      </c>
      <c r="D8250" s="0" t="n">
        <f aca="false">INDEX(Intent_Analysis!$E$5:$E$81,MATCH(B8250,Intent_Analysis!$A$5:$A$81,0))</f>
        <v>2</v>
      </c>
    </row>
    <row r="8251" customFormat="false" ht="15" hidden="false" customHeight="false" outlineLevel="0" collapsed="false">
      <c r="A8251" s="0" t="s">
        <v>8575</v>
      </c>
      <c r="B8251" s="0" t="s">
        <v>82</v>
      </c>
      <c r="C8251" s="0" t="str">
        <f aca="false">INDEX(Intent_Analysis!$B$5:$B$81,MATCH(B8251,Intent_Analysis!$A$5:$A$81,0))</f>
        <v>Exchange rates &amp; currencies</v>
      </c>
      <c r="D8251" s="0" t="n">
        <f aca="false">INDEX(Intent_Analysis!$E$5:$E$81,MATCH(B8251,Intent_Analysis!$A$5:$A$81,0))</f>
        <v>2</v>
      </c>
    </row>
    <row r="8252" customFormat="false" ht="15" hidden="false" customHeight="false" outlineLevel="0" collapsed="false">
      <c r="A8252" s="0" t="s">
        <v>8576</v>
      </c>
      <c r="B8252" s="0" t="s">
        <v>82</v>
      </c>
      <c r="C8252" s="0" t="str">
        <f aca="false">INDEX(Intent_Analysis!$B$5:$B$81,MATCH(B8252,Intent_Analysis!$A$5:$A$81,0))</f>
        <v>Exchange rates &amp; currencies</v>
      </c>
      <c r="D8252" s="0" t="n">
        <f aca="false">INDEX(Intent_Analysis!$E$5:$E$81,MATCH(B8252,Intent_Analysis!$A$5:$A$81,0))</f>
        <v>2</v>
      </c>
    </row>
    <row r="8253" customFormat="false" ht="15" hidden="false" customHeight="false" outlineLevel="0" collapsed="false">
      <c r="A8253" s="0" t="s">
        <v>8577</v>
      </c>
      <c r="B8253" s="0" t="s">
        <v>82</v>
      </c>
      <c r="C8253" s="0" t="str">
        <f aca="false">INDEX(Intent_Analysis!$B$5:$B$81,MATCH(B8253,Intent_Analysis!$A$5:$A$81,0))</f>
        <v>Exchange rates &amp; currencies</v>
      </c>
      <c r="D8253" s="0" t="n">
        <f aca="false">INDEX(Intent_Analysis!$E$5:$E$81,MATCH(B8253,Intent_Analysis!$A$5:$A$81,0))</f>
        <v>2</v>
      </c>
    </row>
    <row r="8254" customFormat="false" ht="15" hidden="false" customHeight="false" outlineLevel="0" collapsed="false">
      <c r="A8254" s="0" t="s">
        <v>8578</v>
      </c>
      <c r="B8254" s="0" t="s">
        <v>82</v>
      </c>
      <c r="C8254" s="0" t="str">
        <f aca="false">INDEX(Intent_Analysis!$B$5:$B$81,MATCH(B8254,Intent_Analysis!$A$5:$A$81,0))</f>
        <v>Exchange rates &amp; currencies</v>
      </c>
      <c r="D8254" s="0" t="n">
        <f aca="false">INDEX(Intent_Analysis!$E$5:$E$81,MATCH(B8254,Intent_Analysis!$A$5:$A$81,0))</f>
        <v>2</v>
      </c>
    </row>
    <row r="8255" customFormat="false" ht="15" hidden="false" customHeight="false" outlineLevel="0" collapsed="false">
      <c r="A8255" s="0" t="s">
        <v>8579</v>
      </c>
      <c r="B8255" s="0" t="s">
        <v>82</v>
      </c>
      <c r="C8255" s="0" t="str">
        <f aca="false">INDEX(Intent_Analysis!$B$5:$B$81,MATCH(B8255,Intent_Analysis!$A$5:$A$81,0))</f>
        <v>Exchange rates &amp; currencies</v>
      </c>
      <c r="D8255" s="0" t="n">
        <f aca="false">INDEX(Intent_Analysis!$E$5:$E$81,MATCH(B8255,Intent_Analysis!$A$5:$A$81,0))</f>
        <v>2</v>
      </c>
    </row>
    <row r="8256" customFormat="false" ht="15" hidden="false" customHeight="false" outlineLevel="0" collapsed="false">
      <c r="A8256" s="0" t="s">
        <v>8580</v>
      </c>
      <c r="B8256" s="0" t="s">
        <v>82</v>
      </c>
      <c r="C8256" s="0" t="str">
        <f aca="false">INDEX(Intent_Analysis!$B$5:$B$81,MATCH(B8256,Intent_Analysis!$A$5:$A$81,0))</f>
        <v>Exchange rates &amp; currencies</v>
      </c>
      <c r="D8256" s="0" t="n">
        <f aca="false">INDEX(Intent_Analysis!$E$5:$E$81,MATCH(B8256,Intent_Analysis!$A$5:$A$81,0))</f>
        <v>2</v>
      </c>
    </row>
    <row r="8257" customFormat="false" ht="15" hidden="false" customHeight="false" outlineLevel="0" collapsed="false">
      <c r="A8257" s="0" t="s">
        <v>8581</v>
      </c>
      <c r="B8257" s="0" t="s">
        <v>82</v>
      </c>
      <c r="C8257" s="0" t="str">
        <f aca="false">INDEX(Intent_Analysis!$B$5:$B$81,MATCH(B8257,Intent_Analysis!$A$5:$A$81,0))</f>
        <v>Exchange rates &amp; currencies</v>
      </c>
      <c r="D8257" s="0" t="n">
        <f aca="false">INDEX(Intent_Analysis!$E$5:$E$81,MATCH(B8257,Intent_Analysis!$A$5:$A$81,0))</f>
        <v>2</v>
      </c>
    </row>
    <row r="8258" customFormat="false" ht="15" hidden="false" customHeight="false" outlineLevel="0" collapsed="false">
      <c r="A8258" s="0" t="s">
        <v>8582</v>
      </c>
      <c r="B8258" s="0" t="s">
        <v>82</v>
      </c>
      <c r="C8258" s="0" t="str">
        <f aca="false">INDEX(Intent_Analysis!$B$5:$B$81,MATCH(B8258,Intent_Analysis!$A$5:$A$81,0))</f>
        <v>Exchange rates &amp; currencies</v>
      </c>
      <c r="D8258" s="0" t="n">
        <f aca="false">INDEX(Intent_Analysis!$E$5:$E$81,MATCH(B8258,Intent_Analysis!$A$5:$A$81,0))</f>
        <v>2</v>
      </c>
    </row>
    <row r="8259" customFormat="false" ht="15" hidden="false" customHeight="false" outlineLevel="0" collapsed="false">
      <c r="A8259" s="0" t="s">
        <v>8583</v>
      </c>
      <c r="B8259" s="0" t="s">
        <v>82</v>
      </c>
      <c r="C8259" s="0" t="str">
        <f aca="false">INDEX(Intent_Analysis!$B$5:$B$81,MATCH(B8259,Intent_Analysis!$A$5:$A$81,0))</f>
        <v>Exchange rates &amp; currencies</v>
      </c>
      <c r="D8259" s="0" t="n">
        <f aca="false">INDEX(Intent_Analysis!$E$5:$E$81,MATCH(B8259,Intent_Analysis!$A$5:$A$81,0))</f>
        <v>2</v>
      </c>
    </row>
    <row r="8260" customFormat="false" ht="15" hidden="false" customHeight="false" outlineLevel="0" collapsed="false">
      <c r="A8260" s="0" t="s">
        <v>8584</v>
      </c>
      <c r="B8260" s="0" t="s">
        <v>82</v>
      </c>
      <c r="C8260" s="0" t="str">
        <f aca="false">INDEX(Intent_Analysis!$B$5:$B$81,MATCH(B8260,Intent_Analysis!$A$5:$A$81,0))</f>
        <v>Exchange rates &amp; currencies</v>
      </c>
      <c r="D8260" s="0" t="n">
        <f aca="false">INDEX(Intent_Analysis!$E$5:$E$81,MATCH(B8260,Intent_Analysis!$A$5:$A$81,0))</f>
        <v>2</v>
      </c>
    </row>
    <row r="8261" customFormat="false" ht="15" hidden="false" customHeight="false" outlineLevel="0" collapsed="false">
      <c r="A8261" s="0" t="s">
        <v>8585</v>
      </c>
      <c r="B8261" s="0" t="s">
        <v>82</v>
      </c>
      <c r="C8261" s="0" t="str">
        <f aca="false">INDEX(Intent_Analysis!$B$5:$B$81,MATCH(B8261,Intent_Analysis!$A$5:$A$81,0))</f>
        <v>Exchange rates &amp; currencies</v>
      </c>
      <c r="D8261" s="0" t="n">
        <f aca="false">INDEX(Intent_Analysis!$E$5:$E$81,MATCH(B8261,Intent_Analysis!$A$5:$A$81,0))</f>
        <v>2</v>
      </c>
    </row>
    <row r="8262" customFormat="false" ht="15" hidden="false" customHeight="false" outlineLevel="0" collapsed="false">
      <c r="A8262" s="0" t="s">
        <v>8586</v>
      </c>
      <c r="B8262" s="0" t="s">
        <v>82</v>
      </c>
      <c r="C8262" s="0" t="str">
        <f aca="false">INDEX(Intent_Analysis!$B$5:$B$81,MATCH(B8262,Intent_Analysis!$A$5:$A$81,0))</f>
        <v>Exchange rates &amp; currencies</v>
      </c>
      <c r="D8262" s="0" t="n">
        <f aca="false">INDEX(Intent_Analysis!$E$5:$E$81,MATCH(B8262,Intent_Analysis!$A$5:$A$81,0))</f>
        <v>2</v>
      </c>
    </row>
    <row r="8263" customFormat="false" ht="15" hidden="false" customHeight="false" outlineLevel="0" collapsed="false">
      <c r="A8263" s="0" t="s">
        <v>8587</v>
      </c>
      <c r="B8263" s="0" t="s">
        <v>82</v>
      </c>
      <c r="C8263" s="0" t="str">
        <f aca="false">INDEX(Intent_Analysis!$B$5:$B$81,MATCH(B8263,Intent_Analysis!$A$5:$A$81,0))</f>
        <v>Exchange rates &amp; currencies</v>
      </c>
      <c r="D8263" s="0" t="n">
        <f aca="false">INDEX(Intent_Analysis!$E$5:$E$81,MATCH(B8263,Intent_Analysis!$A$5:$A$81,0))</f>
        <v>2</v>
      </c>
    </row>
    <row r="8264" customFormat="false" ht="15" hidden="false" customHeight="false" outlineLevel="0" collapsed="false">
      <c r="A8264" s="0" t="s">
        <v>8588</v>
      </c>
      <c r="B8264" s="0" t="s">
        <v>82</v>
      </c>
      <c r="C8264" s="0" t="str">
        <f aca="false">INDEX(Intent_Analysis!$B$5:$B$81,MATCH(B8264,Intent_Analysis!$A$5:$A$81,0))</f>
        <v>Exchange rates &amp; currencies</v>
      </c>
      <c r="D8264" s="0" t="n">
        <f aca="false">INDEX(Intent_Analysis!$E$5:$E$81,MATCH(B8264,Intent_Analysis!$A$5:$A$81,0))</f>
        <v>2</v>
      </c>
    </row>
    <row r="8265" customFormat="false" ht="15" hidden="false" customHeight="false" outlineLevel="0" collapsed="false">
      <c r="A8265" s="0" t="s">
        <v>8589</v>
      </c>
      <c r="B8265" s="0" t="s">
        <v>82</v>
      </c>
      <c r="C8265" s="0" t="str">
        <f aca="false">INDEX(Intent_Analysis!$B$5:$B$81,MATCH(B8265,Intent_Analysis!$A$5:$A$81,0))</f>
        <v>Exchange rates &amp; currencies</v>
      </c>
      <c r="D8265" s="0" t="n">
        <f aca="false">INDEX(Intent_Analysis!$E$5:$E$81,MATCH(B8265,Intent_Analysis!$A$5:$A$81,0))</f>
        <v>2</v>
      </c>
    </row>
    <row r="8266" customFormat="false" ht="15" hidden="false" customHeight="false" outlineLevel="0" collapsed="false">
      <c r="A8266" s="0" t="s">
        <v>8590</v>
      </c>
      <c r="B8266" s="0" t="s">
        <v>82</v>
      </c>
      <c r="C8266" s="0" t="str">
        <f aca="false">INDEX(Intent_Analysis!$B$5:$B$81,MATCH(B8266,Intent_Analysis!$A$5:$A$81,0))</f>
        <v>Exchange rates &amp; currencies</v>
      </c>
      <c r="D8266" s="0" t="n">
        <f aca="false">INDEX(Intent_Analysis!$E$5:$E$81,MATCH(B8266,Intent_Analysis!$A$5:$A$81,0))</f>
        <v>2</v>
      </c>
    </row>
    <row r="8267" customFormat="false" ht="15" hidden="false" customHeight="false" outlineLevel="0" collapsed="false">
      <c r="A8267" s="0" t="s">
        <v>8591</v>
      </c>
      <c r="B8267" s="0" t="s">
        <v>82</v>
      </c>
      <c r="C8267" s="0" t="str">
        <f aca="false">INDEX(Intent_Analysis!$B$5:$B$81,MATCH(B8267,Intent_Analysis!$A$5:$A$81,0))</f>
        <v>Exchange rates &amp; currencies</v>
      </c>
      <c r="D8267" s="0" t="n">
        <f aca="false">INDEX(Intent_Analysis!$E$5:$E$81,MATCH(B8267,Intent_Analysis!$A$5:$A$81,0))</f>
        <v>2</v>
      </c>
    </row>
    <row r="8268" customFormat="false" ht="15" hidden="false" customHeight="false" outlineLevel="0" collapsed="false">
      <c r="A8268" s="0" t="s">
        <v>8592</v>
      </c>
      <c r="B8268" s="0" t="s">
        <v>82</v>
      </c>
      <c r="C8268" s="0" t="str">
        <f aca="false">INDEX(Intent_Analysis!$B$5:$B$81,MATCH(B8268,Intent_Analysis!$A$5:$A$81,0))</f>
        <v>Exchange rates &amp; currencies</v>
      </c>
      <c r="D8268" s="0" t="n">
        <f aca="false">INDEX(Intent_Analysis!$E$5:$E$81,MATCH(B8268,Intent_Analysis!$A$5:$A$81,0))</f>
        <v>2</v>
      </c>
    </row>
    <row r="8269" customFormat="false" ht="15" hidden="false" customHeight="false" outlineLevel="0" collapsed="false">
      <c r="A8269" s="0" t="s">
        <v>8593</v>
      </c>
      <c r="B8269" s="0" t="s">
        <v>82</v>
      </c>
      <c r="C8269" s="0" t="str">
        <f aca="false">INDEX(Intent_Analysis!$B$5:$B$81,MATCH(B8269,Intent_Analysis!$A$5:$A$81,0))</f>
        <v>Exchange rates &amp; currencies</v>
      </c>
      <c r="D8269" s="0" t="n">
        <f aca="false">INDEX(Intent_Analysis!$E$5:$E$81,MATCH(B8269,Intent_Analysis!$A$5:$A$81,0))</f>
        <v>2</v>
      </c>
    </row>
    <row r="8270" customFormat="false" ht="15" hidden="false" customHeight="false" outlineLevel="0" collapsed="false">
      <c r="A8270" s="0" t="s">
        <v>8594</v>
      </c>
      <c r="B8270" s="0" t="s">
        <v>82</v>
      </c>
      <c r="C8270" s="0" t="str">
        <f aca="false">INDEX(Intent_Analysis!$B$5:$B$81,MATCH(B8270,Intent_Analysis!$A$5:$A$81,0))</f>
        <v>Exchange rates &amp; currencies</v>
      </c>
      <c r="D8270" s="0" t="n">
        <f aca="false">INDEX(Intent_Analysis!$E$5:$E$81,MATCH(B8270,Intent_Analysis!$A$5:$A$81,0))</f>
        <v>2</v>
      </c>
    </row>
    <row r="8271" customFormat="false" ht="15" hidden="false" customHeight="false" outlineLevel="0" collapsed="false">
      <c r="A8271" s="0" t="s">
        <v>8595</v>
      </c>
      <c r="B8271" s="0" t="s">
        <v>82</v>
      </c>
      <c r="C8271" s="0" t="str">
        <f aca="false">INDEX(Intent_Analysis!$B$5:$B$81,MATCH(B8271,Intent_Analysis!$A$5:$A$81,0))</f>
        <v>Exchange rates &amp; currencies</v>
      </c>
      <c r="D8271" s="0" t="n">
        <f aca="false">INDEX(Intent_Analysis!$E$5:$E$81,MATCH(B8271,Intent_Analysis!$A$5:$A$81,0))</f>
        <v>2</v>
      </c>
    </row>
    <row r="8272" customFormat="false" ht="15" hidden="false" customHeight="false" outlineLevel="0" collapsed="false">
      <c r="A8272" s="0" t="s">
        <v>8596</v>
      </c>
      <c r="B8272" s="0" t="s">
        <v>82</v>
      </c>
      <c r="C8272" s="0" t="str">
        <f aca="false">INDEX(Intent_Analysis!$B$5:$B$81,MATCH(B8272,Intent_Analysis!$A$5:$A$81,0))</f>
        <v>Exchange rates &amp; currencies</v>
      </c>
      <c r="D8272" s="0" t="n">
        <f aca="false">INDEX(Intent_Analysis!$E$5:$E$81,MATCH(B8272,Intent_Analysis!$A$5:$A$81,0))</f>
        <v>2</v>
      </c>
    </row>
    <row r="8273" customFormat="false" ht="15" hidden="false" customHeight="false" outlineLevel="0" collapsed="false">
      <c r="A8273" s="0" t="s">
        <v>8597</v>
      </c>
      <c r="B8273" s="0" t="s">
        <v>82</v>
      </c>
      <c r="C8273" s="0" t="str">
        <f aca="false">INDEX(Intent_Analysis!$B$5:$B$81,MATCH(B8273,Intent_Analysis!$A$5:$A$81,0))</f>
        <v>Exchange rates &amp; currencies</v>
      </c>
      <c r="D8273" s="0" t="n">
        <f aca="false">INDEX(Intent_Analysis!$E$5:$E$81,MATCH(B8273,Intent_Analysis!$A$5:$A$81,0))</f>
        <v>2</v>
      </c>
    </row>
    <row r="8274" customFormat="false" ht="15" hidden="false" customHeight="false" outlineLevel="0" collapsed="false">
      <c r="A8274" s="0" t="s">
        <v>8598</v>
      </c>
      <c r="B8274" s="0" t="s">
        <v>82</v>
      </c>
      <c r="C8274" s="0" t="str">
        <f aca="false">INDEX(Intent_Analysis!$B$5:$B$81,MATCH(B8274,Intent_Analysis!$A$5:$A$81,0))</f>
        <v>Exchange rates &amp; currencies</v>
      </c>
      <c r="D8274" s="0" t="n">
        <f aca="false">INDEX(Intent_Analysis!$E$5:$E$81,MATCH(B8274,Intent_Analysis!$A$5:$A$81,0))</f>
        <v>2</v>
      </c>
    </row>
    <row r="8275" customFormat="false" ht="15" hidden="false" customHeight="false" outlineLevel="0" collapsed="false">
      <c r="A8275" s="0" t="s">
        <v>8599</v>
      </c>
      <c r="B8275" s="0" t="s">
        <v>82</v>
      </c>
      <c r="C8275" s="0" t="str">
        <f aca="false">INDEX(Intent_Analysis!$B$5:$B$81,MATCH(B8275,Intent_Analysis!$A$5:$A$81,0))</f>
        <v>Exchange rates &amp; currencies</v>
      </c>
      <c r="D8275" s="0" t="n">
        <f aca="false">INDEX(Intent_Analysis!$E$5:$E$81,MATCH(B8275,Intent_Analysis!$A$5:$A$81,0))</f>
        <v>2</v>
      </c>
    </row>
    <row r="8276" customFormat="false" ht="15" hidden="false" customHeight="false" outlineLevel="0" collapsed="false">
      <c r="A8276" s="0" t="s">
        <v>8600</v>
      </c>
      <c r="B8276" s="0" t="s">
        <v>82</v>
      </c>
      <c r="C8276" s="0" t="str">
        <f aca="false">INDEX(Intent_Analysis!$B$5:$B$81,MATCH(B8276,Intent_Analysis!$A$5:$A$81,0))</f>
        <v>Exchange rates &amp; currencies</v>
      </c>
      <c r="D8276" s="0" t="n">
        <f aca="false">INDEX(Intent_Analysis!$E$5:$E$81,MATCH(B8276,Intent_Analysis!$A$5:$A$81,0))</f>
        <v>2</v>
      </c>
    </row>
    <row r="8277" customFormat="false" ht="15" hidden="false" customHeight="false" outlineLevel="0" collapsed="false">
      <c r="A8277" s="0" t="s">
        <v>8601</v>
      </c>
      <c r="B8277" s="0" t="s">
        <v>82</v>
      </c>
      <c r="C8277" s="0" t="str">
        <f aca="false">INDEX(Intent_Analysis!$B$5:$B$81,MATCH(B8277,Intent_Analysis!$A$5:$A$81,0))</f>
        <v>Exchange rates &amp; currencies</v>
      </c>
      <c r="D8277" s="0" t="n">
        <f aca="false">INDEX(Intent_Analysis!$E$5:$E$81,MATCH(B8277,Intent_Analysis!$A$5:$A$81,0))</f>
        <v>2</v>
      </c>
    </row>
    <row r="8278" customFormat="false" ht="15" hidden="false" customHeight="false" outlineLevel="0" collapsed="false">
      <c r="A8278" s="0" t="s">
        <v>8602</v>
      </c>
      <c r="B8278" s="0" t="s">
        <v>82</v>
      </c>
      <c r="C8278" s="0" t="str">
        <f aca="false">INDEX(Intent_Analysis!$B$5:$B$81,MATCH(B8278,Intent_Analysis!$A$5:$A$81,0))</f>
        <v>Exchange rates &amp; currencies</v>
      </c>
      <c r="D8278" s="0" t="n">
        <f aca="false">INDEX(Intent_Analysis!$E$5:$E$81,MATCH(B8278,Intent_Analysis!$A$5:$A$81,0))</f>
        <v>2</v>
      </c>
    </row>
    <row r="8279" customFormat="false" ht="15" hidden="false" customHeight="false" outlineLevel="0" collapsed="false">
      <c r="A8279" s="0" t="s">
        <v>8603</v>
      </c>
      <c r="B8279" s="0" t="s">
        <v>82</v>
      </c>
      <c r="C8279" s="0" t="str">
        <f aca="false">INDEX(Intent_Analysis!$B$5:$B$81,MATCH(B8279,Intent_Analysis!$A$5:$A$81,0))</f>
        <v>Exchange rates &amp; currencies</v>
      </c>
      <c r="D8279" s="0" t="n">
        <f aca="false">INDEX(Intent_Analysis!$E$5:$E$81,MATCH(B8279,Intent_Analysis!$A$5:$A$81,0))</f>
        <v>2</v>
      </c>
    </row>
    <row r="8280" customFormat="false" ht="15" hidden="false" customHeight="false" outlineLevel="0" collapsed="false">
      <c r="A8280" s="0" t="s">
        <v>8604</v>
      </c>
      <c r="B8280" s="0" t="s">
        <v>82</v>
      </c>
      <c r="C8280" s="0" t="str">
        <f aca="false">INDEX(Intent_Analysis!$B$5:$B$81,MATCH(B8280,Intent_Analysis!$A$5:$A$81,0))</f>
        <v>Exchange rates &amp; currencies</v>
      </c>
      <c r="D8280" s="0" t="n">
        <f aca="false">INDEX(Intent_Analysis!$E$5:$E$81,MATCH(B8280,Intent_Analysis!$A$5:$A$81,0))</f>
        <v>2</v>
      </c>
    </row>
    <row r="8281" customFormat="false" ht="15" hidden="false" customHeight="false" outlineLevel="0" collapsed="false">
      <c r="A8281" s="0" t="s">
        <v>8605</v>
      </c>
      <c r="B8281" s="0" t="s">
        <v>82</v>
      </c>
      <c r="C8281" s="0" t="str">
        <f aca="false">INDEX(Intent_Analysis!$B$5:$B$81,MATCH(B8281,Intent_Analysis!$A$5:$A$81,0))</f>
        <v>Exchange rates &amp; currencies</v>
      </c>
      <c r="D8281" s="0" t="n">
        <f aca="false">INDEX(Intent_Analysis!$E$5:$E$81,MATCH(B8281,Intent_Analysis!$A$5:$A$81,0))</f>
        <v>2</v>
      </c>
    </row>
    <row r="8282" customFormat="false" ht="15" hidden="false" customHeight="false" outlineLevel="0" collapsed="false">
      <c r="A8282" s="0" t="s">
        <v>8606</v>
      </c>
      <c r="B8282" s="0" t="s">
        <v>82</v>
      </c>
      <c r="C8282" s="0" t="str">
        <f aca="false">INDEX(Intent_Analysis!$B$5:$B$81,MATCH(B8282,Intent_Analysis!$A$5:$A$81,0))</f>
        <v>Exchange rates &amp; currencies</v>
      </c>
      <c r="D8282" s="0" t="n">
        <f aca="false">INDEX(Intent_Analysis!$E$5:$E$81,MATCH(B8282,Intent_Analysis!$A$5:$A$81,0))</f>
        <v>2</v>
      </c>
    </row>
    <row r="8283" customFormat="false" ht="15" hidden="false" customHeight="false" outlineLevel="0" collapsed="false">
      <c r="A8283" s="0" t="s">
        <v>8607</v>
      </c>
      <c r="B8283" s="0" t="s">
        <v>82</v>
      </c>
      <c r="C8283" s="0" t="str">
        <f aca="false">INDEX(Intent_Analysis!$B$5:$B$81,MATCH(B8283,Intent_Analysis!$A$5:$A$81,0))</f>
        <v>Exchange rates &amp; currencies</v>
      </c>
      <c r="D8283" s="0" t="n">
        <f aca="false">INDEX(Intent_Analysis!$E$5:$E$81,MATCH(B8283,Intent_Analysis!$A$5:$A$81,0))</f>
        <v>2</v>
      </c>
    </row>
    <row r="8284" customFormat="false" ht="15" hidden="false" customHeight="false" outlineLevel="0" collapsed="false">
      <c r="A8284" s="0" t="s">
        <v>8608</v>
      </c>
      <c r="B8284" s="0" t="s">
        <v>82</v>
      </c>
      <c r="C8284" s="0" t="str">
        <f aca="false">INDEX(Intent_Analysis!$B$5:$B$81,MATCH(B8284,Intent_Analysis!$A$5:$A$81,0))</f>
        <v>Exchange rates &amp; currencies</v>
      </c>
      <c r="D8284" s="0" t="n">
        <f aca="false">INDEX(Intent_Analysis!$E$5:$E$81,MATCH(B8284,Intent_Analysis!$A$5:$A$81,0))</f>
        <v>2</v>
      </c>
    </row>
    <row r="8285" customFormat="false" ht="15" hidden="false" customHeight="false" outlineLevel="0" collapsed="false">
      <c r="A8285" s="0" t="s">
        <v>8609</v>
      </c>
      <c r="B8285" s="0" t="s">
        <v>82</v>
      </c>
      <c r="C8285" s="0" t="str">
        <f aca="false">INDEX(Intent_Analysis!$B$5:$B$81,MATCH(B8285,Intent_Analysis!$A$5:$A$81,0))</f>
        <v>Exchange rates &amp; currencies</v>
      </c>
      <c r="D8285" s="0" t="n">
        <f aca="false">INDEX(Intent_Analysis!$E$5:$E$81,MATCH(B8285,Intent_Analysis!$A$5:$A$81,0))</f>
        <v>2</v>
      </c>
    </row>
    <row r="8286" customFormat="false" ht="15" hidden="false" customHeight="false" outlineLevel="0" collapsed="false">
      <c r="A8286" s="0" t="s">
        <v>8610</v>
      </c>
      <c r="B8286" s="0" t="s">
        <v>82</v>
      </c>
      <c r="C8286" s="0" t="str">
        <f aca="false">INDEX(Intent_Analysis!$B$5:$B$81,MATCH(B8286,Intent_Analysis!$A$5:$A$81,0))</f>
        <v>Exchange rates &amp; currencies</v>
      </c>
      <c r="D8286" s="0" t="n">
        <f aca="false">INDEX(Intent_Analysis!$E$5:$E$81,MATCH(B8286,Intent_Analysis!$A$5:$A$81,0))</f>
        <v>2</v>
      </c>
    </row>
    <row r="8287" customFormat="false" ht="15" hidden="false" customHeight="false" outlineLevel="0" collapsed="false">
      <c r="A8287" s="0" t="s">
        <v>8611</v>
      </c>
      <c r="B8287" s="0" t="s">
        <v>82</v>
      </c>
      <c r="C8287" s="0" t="str">
        <f aca="false">INDEX(Intent_Analysis!$B$5:$B$81,MATCH(B8287,Intent_Analysis!$A$5:$A$81,0))</f>
        <v>Exchange rates &amp; currencies</v>
      </c>
      <c r="D8287" s="0" t="n">
        <f aca="false">INDEX(Intent_Analysis!$E$5:$E$81,MATCH(B8287,Intent_Analysis!$A$5:$A$81,0))</f>
        <v>2</v>
      </c>
    </row>
    <row r="8288" customFormat="false" ht="15" hidden="false" customHeight="false" outlineLevel="0" collapsed="false">
      <c r="A8288" s="0" t="s">
        <v>8612</v>
      </c>
      <c r="B8288" s="0" t="s">
        <v>82</v>
      </c>
      <c r="C8288" s="0" t="str">
        <f aca="false">INDEX(Intent_Analysis!$B$5:$B$81,MATCH(B8288,Intent_Analysis!$A$5:$A$81,0))</f>
        <v>Exchange rates &amp; currencies</v>
      </c>
      <c r="D8288" s="0" t="n">
        <f aca="false">INDEX(Intent_Analysis!$E$5:$E$81,MATCH(B8288,Intent_Analysis!$A$5:$A$81,0))</f>
        <v>2</v>
      </c>
    </row>
    <row r="8289" customFormat="false" ht="15" hidden="false" customHeight="false" outlineLevel="0" collapsed="false">
      <c r="A8289" s="0" t="s">
        <v>8613</v>
      </c>
      <c r="B8289" s="0" t="s">
        <v>82</v>
      </c>
      <c r="C8289" s="0" t="str">
        <f aca="false">INDEX(Intent_Analysis!$B$5:$B$81,MATCH(B8289,Intent_Analysis!$A$5:$A$81,0))</f>
        <v>Exchange rates &amp; currencies</v>
      </c>
      <c r="D8289" s="0" t="n">
        <f aca="false">INDEX(Intent_Analysis!$E$5:$E$81,MATCH(B8289,Intent_Analysis!$A$5:$A$81,0))</f>
        <v>2</v>
      </c>
    </row>
    <row r="8290" customFormat="false" ht="15" hidden="false" customHeight="false" outlineLevel="0" collapsed="false">
      <c r="A8290" s="0" t="s">
        <v>8614</v>
      </c>
      <c r="B8290" s="0" t="s">
        <v>82</v>
      </c>
      <c r="C8290" s="0" t="str">
        <f aca="false">INDEX(Intent_Analysis!$B$5:$B$81,MATCH(B8290,Intent_Analysis!$A$5:$A$81,0))</f>
        <v>Exchange rates &amp; currencies</v>
      </c>
      <c r="D8290" s="0" t="n">
        <f aca="false">INDEX(Intent_Analysis!$E$5:$E$81,MATCH(B8290,Intent_Analysis!$A$5:$A$81,0))</f>
        <v>2</v>
      </c>
    </row>
    <row r="8291" customFormat="false" ht="15" hidden="false" customHeight="false" outlineLevel="0" collapsed="false">
      <c r="A8291" s="0" t="s">
        <v>8615</v>
      </c>
      <c r="B8291" s="0" t="s">
        <v>82</v>
      </c>
      <c r="C8291" s="0" t="str">
        <f aca="false">INDEX(Intent_Analysis!$B$5:$B$81,MATCH(B8291,Intent_Analysis!$A$5:$A$81,0))</f>
        <v>Exchange rates &amp; currencies</v>
      </c>
      <c r="D8291" s="0" t="n">
        <f aca="false">INDEX(Intent_Analysis!$E$5:$E$81,MATCH(B8291,Intent_Analysis!$A$5:$A$81,0))</f>
        <v>2</v>
      </c>
    </row>
    <row r="8292" customFormat="false" ht="15" hidden="false" customHeight="false" outlineLevel="0" collapsed="false">
      <c r="A8292" s="0" t="s">
        <v>8616</v>
      </c>
      <c r="B8292" s="0" t="s">
        <v>82</v>
      </c>
      <c r="C8292" s="0" t="str">
        <f aca="false">INDEX(Intent_Analysis!$B$5:$B$81,MATCH(B8292,Intent_Analysis!$A$5:$A$81,0))</f>
        <v>Exchange rates &amp; currencies</v>
      </c>
      <c r="D8292" s="0" t="n">
        <f aca="false">INDEX(Intent_Analysis!$E$5:$E$81,MATCH(B8292,Intent_Analysis!$A$5:$A$81,0))</f>
        <v>2</v>
      </c>
    </row>
    <row r="8293" customFormat="false" ht="15" hidden="false" customHeight="false" outlineLevel="0" collapsed="false">
      <c r="A8293" s="0" t="s">
        <v>8617</v>
      </c>
      <c r="B8293" s="0" t="s">
        <v>82</v>
      </c>
      <c r="C8293" s="0" t="str">
        <f aca="false">INDEX(Intent_Analysis!$B$5:$B$81,MATCH(B8293,Intent_Analysis!$A$5:$A$81,0))</f>
        <v>Exchange rates &amp; currencies</v>
      </c>
      <c r="D8293" s="0" t="n">
        <f aca="false">INDEX(Intent_Analysis!$E$5:$E$81,MATCH(B8293,Intent_Analysis!$A$5:$A$81,0))</f>
        <v>2</v>
      </c>
    </row>
    <row r="8294" customFormat="false" ht="15" hidden="false" customHeight="false" outlineLevel="0" collapsed="false">
      <c r="A8294" s="0" t="s">
        <v>8618</v>
      </c>
      <c r="B8294" s="0" t="s">
        <v>82</v>
      </c>
      <c r="C8294" s="0" t="str">
        <f aca="false">INDEX(Intent_Analysis!$B$5:$B$81,MATCH(B8294,Intent_Analysis!$A$5:$A$81,0))</f>
        <v>Exchange rates &amp; currencies</v>
      </c>
      <c r="D8294" s="0" t="n">
        <f aca="false">INDEX(Intent_Analysis!$E$5:$E$81,MATCH(B8294,Intent_Analysis!$A$5:$A$81,0))</f>
        <v>2</v>
      </c>
    </row>
    <row r="8295" customFormat="false" ht="15" hidden="false" customHeight="false" outlineLevel="0" collapsed="false">
      <c r="A8295" s="0" t="s">
        <v>8619</v>
      </c>
      <c r="B8295" s="0" t="s">
        <v>82</v>
      </c>
      <c r="C8295" s="0" t="str">
        <f aca="false">INDEX(Intent_Analysis!$B$5:$B$81,MATCH(B8295,Intent_Analysis!$A$5:$A$81,0))</f>
        <v>Exchange rates &amp; currencies</v>
      </c>
      <c r="D8295" s="0" t="n">
        <f aca="false">INDEX(Intent_Analysis!$E$5:$E$81,MATCH(B8295,Intent_Analysis!$A$5:$A$81,0))</f>
        <v>2</v>
      </c>
    </row>
    <row r="8296" customFormat="false" ht="15" hidden="false" customHeight="false" outlineLevel="0" collapsed="false">
      <c r="A8296" s="0" t="s">
        <v>8620</v>
      </c>
      <c r="B8296" s="0" t="s">
        <v>82</v>
      </c>
      <c r="C8296" s="0" t="str">
        <f aca="false">INDEX(Intent_Analysis!$B$5:$B$81,MATCH(B8296,Intent_Analysis!$A$5:$A$81,0))</f>
        <v>Exchange rates &amp; currencies</v>
      </c>
      <c r="D8296" s="0" t="n">
        <f aca="false">INDEX(Intent_Analysis!$E$5:$E$81,MATCH(B8296,Intent_Analysis!$A$5:$A$81,0))</f>
        <v>2</v>
      </c>
    </row>
    <row r="8297" customFormat="false" ht="15" hidden="false" customHeight="false" outlineLevel="0" collapsed="false">
      <c r="A8297" s="0" t="s">
        <v>8621</v>
      </c>
      <c r="B8297" s="0" t="s">
        <v>82</v>
      </c>
      <c r="C8297" s="0" t="str">
        <f aca="false">INDEX(Intent_Analysis!$B$5:$B$81,MATCH(B8297,Intent_Analysis!$A$5:$A$81,0))</f>
        <v>Exchange rates &amp; currencies</v>
      </c>
      <c r="D8297" s="0" t="n">
        <f aca="false">INDEX(Intent_Analysis!$E$5:$E$81,MATCH(B8297,Intent_Analysis!$A$5:$A$81,0))</f>
        <v>2</v>
      </c>
    </row>
    <row r="8298" customFormat="false" ht="15" hidden="false" customHeight="false" outlineLevel="0" collapsed="false">
      <c r="A8298" s="0" t="s">
        <v>8622</v>
      </c>
      <c r="B8298" s="0" t="s">
        <v>82</v>
      </c>
      <c r="C8298" s="0" t="str">
        <f aca="false">INDEX(Intent_Analysis!$B$5:$B$81,MATCH(B8298,Intent_Analysis!$A$5:$A$81,0))</f>
        <v>Exchange rates &amp; currencies</v>
      </c>
      <c r="D8298" s="0" t="n">
        <f aca="false">INDEX(Intent_Analysis!$E$5:$E$81,MATCH(B8298,Intent_Analysis!$A$5:$A$81,0))</f>
        <v>2</v>
      </c>
    </row>
    <row r="8299" customFormat="false" ht="15" hidden="false" customHeight="false" outlineLevel="0" collapsed="false">
      <c r="A8299" s="0" t="s">
        <v>8623</v>
      </c>
      <c r="B8299" s="0" t="s">
        <v>82</v>
      </c>
      <c r="C8299" s="0" t="str">
        <f aca="false">INDEX(Intent_Analysis!$B$5:$B$81,MATCH(B8299,Intent_Analysis!$A$5:$A$81,0))</f>
        <v>Exchange rates &amp; currencies</v>
      </c>
      <c r="D8299" s="0" t="n">
        <f aca="false">INDEX(Intent_Analysis!$E$5:$E$81,MATCH(B8299,Intent_Analysis!$A$5:$A$81,0))</f>
        <v>2</v>
      </c>
    </row>
    <row r="8300" customFormat="false" ht="15" hidden="false" customHeight="false" outlineLevel="0" collapsed="false">
      <c r="A8300" s="0" t="s">
        <v>8624</v>
      </c>
      <c r="B8300" s="0" t="s">
        <v>82</v>
      </c>
      <c r="C8300" s="0" t="str">
        <f aca="false">INDEX(Intent_Analysis!$B$5:$B$81,MATCH(B8300,Intent_Analysis!$A$5:$A$81,0))</f>
        <v>Exchange rates &amp; currencies</v>
      </c>
      <c r="D8300" s="0" t="n">
        <f aca="false">INDEX(Intent_Analysis!$E$5:$E$81,MATCH(B8300,Intent_Analysis!$A$5:$A$81,0))</f>
        <v>2</v>
      </c>
    </row>
    <row r="8301" customFormat="false" ht="15" hidden="false" customHeight="false" outlineLevel="0" collapsed="false">
      <c r="A8301" s="0" t="s">
        <v>8625</v>
      </c>
      <c r="B8301" s="0" t="s">
        <v>82</v>
      </c>
      <c r="C8301" s="0" t="str">
        <f aca="false">INDEX(Intent_Analysis!$B$5:$B$81,MATCH(B8301,Intent_Analysis!$A$5:$A$81,0))</f>
        <v>Exchange rates &amp; currencies</v>
      </c>
      <c r="D8301" s="0" t="n">
        <f aca="false">INDEX(Intent_Analysis!$E$5:$E$81,MATCH(B8301,Intent_Analysis!$A$5:$A$81,0))</f>
        <v>2</v>
      </c>
    </row>
    <row r="8302" customFormat="false" ht="15" hidden="false" customHeight="false" outlineLevel="0" collapsed="false">
      <c r="A8302" s="0" t="s">
        <v>8626</v>
      </c>
      <c r="B8302" s="0" t="s">
        <v>82</v>
      </c>
      <c r="C8302" s="0" t="str">
        <f aca="false">INDEX(Intent_Analysis!$B$5:$B$81,MATCH(B8302,Intent_Analysis!$A$5:$A$81,0))</f>
        <v>Exchange rates &amp; currencies</v>
      </c>
      <c r="D8302" s="0" t="n">
        <f aca="false">INDEX(Intent_Analysis!$E$5:$E$81,MATCH(B8302,Intent_Analysis!$A$5:$A$81,0))</f>
        <v>2</v>
      </c>
    </row>
    <row r="8303" customFormat="false" ht="15" hidden="false" customHeight="false" outlineLevel="0" collapsed="false">
      <c r="A8303" s="0" t="s">
        <v>8627</v>
      </c>
      <c r="B8303" s="0" t="s">
        <v>82</v>
      </c>
      <c r="C8303" s="0" t="str">
        <f aca="false">INDEX(Intent_Analysis!$B$5:$B$81,MATCH(B8303,Intent_Analysis!$A$5:$A$81,0))</f>
        <v>Exchange rates &amp; currencies</v>
      </c>
      <c r="D8303" s="0" t="n">
        <f aca="false">INDEX(Intent_Analysis!$E$5:$E$81,MATCH(B8303,Intent_Analysis!$A$5:$A$81,0))</f>
        <v>2</v>
      </c>
    </row>
    <row r="8304" customFormat="false" ht="15" hidden="false" customHeight="false" outlineLevel="0" collapsed="false">
      <c r="A8304" s="0" t="s">
        <v>8628</v>
      </c>
      <c r="B8304" s="0" t="s">
        <v>82</v>
      </c>
      <c r="C8304" s="0" t="str">
        <f aca="false">INDEX(Intent_Analysis!$B$5:$B$81,MATCH(B8304,Intent_Analysis!$A$5:$A$81,0))</f>
        <v>Exchange rates &amp; currencies</v>
      </c>
      <c r="D8304" s="0" t="n">
        <f aca="false">INDEX(Intent_Analysis!$E$5:$E$81,MATCH(B8304,Intent_Analysis!$A$5:$A$81,0))</f>
        <v>2</v>
      </c>
    </row>
    <row r="8305" customFormat="false" ht="15" hidden="false" customHeight="false" outlineLevel="0" collapsed="false">
      <c r="A8305" s="0" t="s">
        <v>8629</v>
      </c>
      <c r="B8305" s="0" t="s">
        <v>82</v>
      </c>
      <c r="C8305" s="0" t="str">
        <f aca="false">INDEX(Intent_Analysis!$B$5:$B$81,MATCH(B8305,Intent_Analysis!$A$5:$A$81,0))</f>
        <v>Exchange rates &amp; currencies</v>
      </c>
      <c r="D8305" s="0" t="n">
        <f aca="false">INDEX(Intent_Analysis!$E$5:$E$81,MATCH(B8305,Intent_Analysis!$A$5:$A$81,0))</f>
        <v>2</v>
      </c>
    </row>
    <row r="8306" customFormat="false" ht="15" hidden="false" customHeight="false" outlineLevel="0" collapsed="false">
      <c r="A8306" s="0" t="s">
        <v>8630</v>
      </c>
      <c r="B8306" s="0" t="s">
        <v>82</v>
      </c>
      <c r="C8306" s="0" t="str">
        <f aca="false">INDEX(Intent_Analysis!$B$5:$B$81,MATCH(B8306,Intent_Analysis!$A$5:$A$81,0))</f>
        <v>Exchange rates &amp; currencies</v>
      </c>
      <c r="D8306" s="0" t="n">
        <f aca="false">INDEX(Intent_Analysis!$E$5:$E$81,MATCH(B8306,Intent_Analysis!$A$5:$A$81,0))</f>
        <v>2</v>
      </c>
    </row>
    <row r="8307" customFormat="false" ht="15" hidden="false" customHeight="false" outlineLevel="0" collapsed="false">
      <c r="A8307" s="0" t="s">
        <v>8631</v>
      </c>
      <c r="B8307" s="0" t="s">
        <v>82</v>
      </c>
      <c r="C8307" s="0" t="str">
        <f aca="false">INDEX(Intent_Analysis!$B$5:$B$81,MATCH(B8307,Intent_Analysis!$A$5:$A$81,0))</f>
        <v>Exchange rates &amp; currencies</v>
      </c>
      <c r="D8307" s="0" t="n">
        <f aca="false">INDEX(Intent_Analysis!$E$5:$E$81,MATCH(B8307,Intent_Analysis!$A$5:$A$81,0))</f>
        <v>2</v>
      </c>
    </row>
    <row r="8308" customFormat="false" ht="15" hidden="false" customHeight="false" outlineLevel="0" collapsed="false">
      <c r="A8308" s="0" t="s">
        <v>8632</v>
      </c>
      <c r="B8308" s="0" t="s">
        <v>82</v>
      </c>
      <c r="C8308" s="0" t="str">
        <f aca="false">INDEX(Intent_Analysis!$B$5:$B$81,MATCH(B8308,Intent_Analysis!$A$5:$A$81,0))</f>
        <v>Exchange rates &amp; currencies</v>
      </c>
      <c r="D8308" s="0" t="n">
        <f aca="false">INDEX(Intent_Analysis!$E$5:$E$81,MATCH(B8308,Intent_Analysis!$A$5:$A$81,0))</f>
        <v>2</v>
      </c>
    </row>
    <row r="8309" customFormat="false" ht="15" hidden="false" customHeight="false" outlineLevel="0" collapsed="false">
      <c r="A8309" s="0" t="s">
        <v>8633</v>
      </c>
      <c r="B8309" s="0" t="s">
        <v>82</v>
      </c>
      <c r="C8309" s="0" t="str">
        <f aca="false">INDEX(Intent_Analysis!$B$5:$B$81,MATCH(B8309,Intent_Analysis!$A$5:$A$81,0))</f>
        <v>Exchange rates &amp; currencies</v>
      </c>
      <c r="D8309" s="0" t="n">
        <f aca="false">INDEX(Intent_Analysis!$E$5:$E$81,MATCH(B8309,Intent_Analysis!$A$5:$A$81,0))</f>
        <v>2</v>
      </c>
    </row>
    <row r="8310" customFormat="false" ht="15" hidden="false" customHeight="false" outlineLevel="0" collapsed="false">
      <c r="A8310" s="0" t="s">
        <v>8634</v>
      </c>
      <c r="B8310" s="0" t="s">
        <v>82</v>
      </c>
      <c r="C8310" s="0" t="str">
        <f aca="false">INDEX(Intent_Analysis!$B$5:$B$81,MATCH(B8310,Intent_Analysis!$A$5:$A$81,0))</f>
        <v>Exchange rates &amp; currencies</v>
      </c>
      <c r="D8310" s="0" t="n">
        <f aca="false">INDEX(Intent_Analysis!$E$5:$E$81,MATCH(B8310,Intent_Analysis!$A$5:$A$81,0))</f>
        <v>2</v>
      </c>
    </row>
    <row r="8311" customFormat="false" ht="15" hidden="false" customHeight="false" outlineLevel="0" collapsed="false">
      <c r="A8311" s="0" t="s">
        <v>8635</v>
      </c>
      <c r="B8311" s="0" t="s">
        <v>82</v>
      </c>
      <c r="C8311" s="0" t="str">
        <f aca="false">INDEX(Intent_Analysis!$B$5:$B$81,MATCH(B8311,Intent_Analysis!$A$5:$A$81,0))</f>
        <v>Exchange rates &amp; currencies</v>
      </c>
      <c r="D8311" s="0" t="n">
        <f aca="false">INDEX(Intent_Analysis!$E$5:$E$81,MATCH(B8311,Intent_Analysis!$A$5:$A$81,0))</f>
        <v>2</v>
      </c>
    </row>
    <row r="8312" customFormat="false" ht="15" hidden="false" customHeight="false" outlineLevel="0" collapsed="false">
      <c r="A8312" s="0" t="s">
        <v>8636</v>
      </c>
      <c r="B8312" s="0" t="s">
        <v>82</v>
      </c>
      <c r="C8312" s="0" t="str">
        <f aca="false">INDEX(Intent_Analysis!$B$5:$B$81,MATCH(B8312,Intent_Analysis!$A$5:$A$81,0))</f>
        <v>Exchange rates &amp; currencies</v>
      </c>
      <c r="D8312" s="0" t="n">
        <f aca="false">INDEX(Intent_Analysis!$E$5:$E$81,MATCH(B8312,Intent_Analysis!$A$5:$A$81,0))</f>
        <v>2</v>
      </c>
    </row>
    <row r="8313" customFormat="false" ht="15" hidden="false" customHeight="false" outlineLevel="0" collapsed="false">
      <c r="A8313" s="0" t="s">
        <v>8637</v>
      </c>
      <c r="B8313" s="0" t="s">
        <v>82</v>
      </c>
      <c r="C8313" s="0" t="str">
        <f aca="false">INDEX(Intent_Analysis!$B$5:$B$81,MATCH(B8313,Intent_Analysis!$A$5:$A$81,0))</f>
        <v>Exchange rates &amp; currencies</v>
      </c>
      <c r="D8313" s="0" t="n">
        <f aca="false">INDEX(Intent_Analysis!$E$5:$E$81,MATCH(B8313,Intent_Analysis!$A$5:$A$81,0))</f>
        <v>2</v>
      </c>
    </row>
    <row r="8314" customFormat="false" ht="15" hidden="false" customHeight="false" outlineLevel="0" collapsed="false">
      <c r="A8314" s="0" t="s">
        <v>8638</v>
      </c>
      <c r="B8314" s="0" t="s">
        <v>82</v>
      </c>
      <c r="C8314" s="0" t="str">
        <f aca="false">INDEX(Intent_Analysis!$B$5:$B$81,MATCH(B8314,Intent_Analysis!$A$5:$A$81,0))</f>
        <v>Exchange rates &amp; currencies</v>
      </c>
      <c r="D8314" s="0" t="n">
        <f aca="false">INDEX(Intent_Analysis!$E$5:$E$81,MATCH(B8314,Intent_Analysis!$A$5:$A$81,0))</f>
        <v>2</v>
      </c>
    </row>
    <row r="8315" customFormat="false" ht="15" hidden="false" customHeight="false" outlineLevel="0" collapsed="false">
      <c r="A8315" s="0" t="s">
        <v>8639</v>
      </c>
      <c r="B8315" s="0" t="s">
        <v>82</v>
      </c>
      <c r="C8315" s="0" t="str">
        <f aca="false">INDEX(Intent_Analysis!$B$5:$B$81,MATCH(B8315,Intent_Analysis!$A$5:$A$81,0))</f>
        <v>Exchange rates &amp; currencies</v>
      </c>
      <c r="D8315" s="0" t="n">
        <f aca="false">INDEX(Intent_Analysis!$E$5:$E$81,MATCH(B8315,Intent_Analysis!$A$5:$A$81,0))</f>
        <v>2</v>
      </c>
    </row>
    <row r="8316" customFormat="false" ht="15" hidden="false" customHeight="false" outlineLevel="0" collapsed="false">
      <c r="A8316" s="0" t="s">
        <v>8640</v>
      </c>
      <c r="B8316" s="0" t="s">
        <v>82</v>
      </c>
      <c r="C8316" s="0" t="str">
        <f aca="false">INDEX(Intent_Analysis!$B$5:$B$81,MATCH(B8316,Intent_Analysis!$A$5:$A$81,0))</f>
        <v>Exchange rates &amp; currencies</v>
      </c>
      <c r="D8316" s="0" t="n">
        <f aca="false">INDEX(Intent_Analysis!$E$5:$E$81,MATCH(B8316,Intent_Analysis!$A$5:$A$81,0))</f>
        <v>2</v>
      </c>
    </row>
    <row r="8317" customFormat="false" ht="15" hidden="false" customHeight="false" outlineLevel="0" collapsed="false">
      <c r="A8317" s="0" t="s">
        <v>8641</v>
      </c>
      <c r="B8317" s="0" t="s">
        <v>82</v>
      </c>
      <c r="C8317" s="0" t="str">
        <f aca="false">INDEX(Intent_Analysis!$B$5:$B$81,MATCH(B8317,Intent_Analysis!$A$5:$A$81,0))</f>
        <v>Exchange rates &amp; currencies</v>
      </c>
      <c r="D8317" s="0" t="n">
        <f aca="false">INDEX(Intent_Analysis!$E$5:$E$81,MATCH(B8317,Intent_Analysis!$A$5:$A$81,0))</f>
        <v>2</v>
      </c>
    </row>
    <row r="8318" customFormat="false" ht="15" hidden="false" customHeight="false" outlineLevel="0" collapsed="false">
      <c r="A8318" s="0" t="s">
        <v>8642</v>
      </c>
      <c r="B8318" s="0" t="s">
        <v>82</v>
      </c>
      <c r="C8318" s="0" t="str">
        <f aca="false">INDEX(Intent_Analysis!$B$5:$B$81,MATCH(B8318,Intent_Analysis!$A$5:$A$81,0))</f>
        <v>Exchange rates &amp; currencies</v>
      </c>
      <c r="D8318" s="0" t="n">
        <f aca="false">INDEX(Intent_Analysis!$E$5:$E$81,MATCH(B8318,Intent_Analysis!$A$5:$A$81,0))</f>
        <v>2</v>
      </c>
    </row>
    <row r="8319" customFormat="false" ht="15" hidden="false" customHeight="false" outlineLevel="0" collapsed="false">
      <c r="A8319" s="0" t="s">
        <v>8643</v>
      </c>
      <c r="B8319" s="0" t="s">
        <v>82</v>
      </c>
      <c r="C8319" s="0" t="str">
        <f aca="false">INDEX(Intent_Analysis!$B$5:$B$81,MATCH(B8319,Intent_Analysis!$A$5:$A$81,0))</f>
        <v>Exchange rates &amp; currencies</v>
      </c>
      <c r="D8319" s="0" t="n">
        <f aca="false">INDEX(Intent_Analysis!$E$5:$E$81,MATCH(B8319,Intent_Analysis!$A$5:$A$81,0))</f>
        <v>2</v>
      </c>
    </row>
    <row r="8320" customFormat="false" ht="15" hidden="false" customHeight="false" outlineLevel="0" collapsed="false">
      <c r="A8320" s="0" t="s">
        <v>8644</v>
      </c>
      <c r="B8320" s="0" t="s">
        <v>82</v>
      </c>
      <c r="C8320" s="0" t="str">
        <f aca="false">INDEX(Intent_Analysis!$B$5:$B$81,MATCH(B8320,Intent_Analysis!$A$5:$A$81,0))</f>
        <v>Exchange rates &amp; currencies</v>
      </c>
      <c r="D8320" s="0" t="n">
        <f aca="false">INDEX(Intent_Analysis!$E$5:$E$81,MATCH(B8320,Intent_Analysis!$A$5:$A$81,0))</f>
        <v>2</v>
      </c>
    </row>
    <row r="8321" customFormat="false" ht="15" hidden="false" customHeight="false" outlineLevel="0" collapsed="false">
      <c r="A8321" s="0" t="s">
        <v>8645</v>
      </c>
      <c r="B8321" s="0" t="s">
        <v>82</v>
      </c>
      <c r="C8321" s="0" t="str">
        <f aca="false">INDEX(Intent_Analysis!$B$5:$B$81,MATCH(B8321,Intent_Analysis!$A$5:$A$81,0))</f>
        <v>Exchange rates &amp; currencies</v>
      </c>
      <c r="D8321" s="0" t="n">
        <f aca="false">INDEX(Intent_Analysis!$E$5:$E$81,MATCH(B8321,Intent_Analysis!$A$5:$A$81,0))</f>
        <v>2</v>
      </c>
    </row>
    <row r="8322" customFormat="false" ht="15" hidden="false" customHeight="false" outlineLevel="0" collapsed="false">
      <c r="A8322" s="0" t="s">
        <v>8646</v>
      </c>
      <c r="B8322" s="0" t="s">
        <v>82</v>
      </c>
      <c r="C8322" s="0" t="str">
        <f aca="false">INDEX(Intent_Analysis!$B$5:$B$81,MATCH(B8322,Intent_Analysis!$A$5:$A$81,0))</f>
        <v>Exchange rates &amp; currencies</v>
      </c>
      <c r="D8322" s="0" t="n">
        <f aca="false">INDEX(Intent_Analysis!$E$5:$E$81,MATCH(B8322,Intent_Analysis!$A$5:$A$81,0))</f>
        <v>2</v>
      </c>
    </row>
    <row r="8323" customFormat="false" ht="15" hidden="false" customHeight="false" outlineLevel="0" collapsed="false">
      <c r="A8323" s="0" t="s">
        <v>8647</v>
      </c>
      <c r="B8323" s="0" t="s">
        <v>82</v>
      </c>
      <c r="C8323" s="0" t="str">
        <f aca="false">INDEX(Intent_Analysis!$B$5:$B$81,MATCH(B8323,Intent_Analysis!$A$5:$A$81,0))</f>
        <v>Exchange rates &amp; currencies</v>
      </c>
      <c r="D8323" s="0" t="n">
        <f aca="false">INDEX(Intent_Analysis!$E$5:$E$81,MATCH(B8323,Intent_Analysis!$A$5:$A$81,0))</f>
        <v>2</v>
      </c>
    </row>
    <row r="8324" customFormat="false" ht="15" hidden="false" customHeight="false" outlineLevel="0" collapsed="false">
      <c r="A8324" s="0" t="s">
        <v>8648</v>
      </c>
      <c r="B8324" s="0" t="s">
        <v>82</v>
      </c>
      <c r="C8324" s="0" t="str">
        <f aca="false">INDEX(Intent_Analysis!$B$5:$B$81,MATCH(B8324,Intent_Analysis!$A$5:$A$81,0))</f>
        <v>Exchange rates &amp; currencies</v>
      </c>
      <c r="D8324" s="0" t="n">
        <f aca="false">INDEX(Intent_Analysis!$E$5:$E$81,MATCH(B8324,Intent_Analysis!$A$5:$A$81,0))</f>
        <v>2</v>
      </c>
    </row>
    <row r="8325" customFormat="false" ht="15" hidden="false" customHeight="false" outlineLevel="0" collapsed="false">
      <c r="A8325" s="0" t="s">
        <v>8649</v>
      </c>
      <c r="B8325" s="0" t="s">
        <v>82</v>
      </c>
      <c r="C8325" s="0" t="str">
        <f aca="false">INDEX(Intent_Analysis!$B$5:$B$81,MATCH(B8325,Intent_Analysis!$A$5:$A$81,0))</f>
        <v>Exchange rates &amp; currencies</v>
      </c>
      <c r="D8325" s="0" t="n">
        <f aca="false">INDEX(Intent_Analysis!$E$5:$E$81,MATCH(B8325,Intent_Analysis!$A$5:$A$81,0))</f>
        <v>2</v>
      </c>
    </row>
    <row r="8326" customFormat="false" ht="15" hidden="false" customHeight="false" outlineLevel="0" collapsed="false">
      <c r="A8326" s="0" t="s">
        <v>8650</v>
      </c>
      <c r="B8326" s="0" t="s">
        <v>82</v>
      </c>
      <c r="C8326" s="0" t="str">
        <f aca="false">INDEX(Intent_Analysis!$B$5:$B$81,MATCH(B8326,Intent_Analysis!$A$5:$A$81,0))</f>
        <v>Exchange rates &amp; currencies</v>
      </c>
      <c r="D8326" s="0" t="n">
        <f aca="false">INDEX(Intent_Analysis!$E$5:$E$81,MATCH(B8326,Intent_Analysis!$A$5:$A$81,0))</f>
        <v>2</v>
      </c>
    </row>
    <row r="8327" customFormat="false" ht="15" hidden="false" customHeight="false" outlineLevel="0" collapsed="false">
      <c r="A8327" s="0" t="s">
        <v>8651</v>
      </c>
      <c r="B8327" s="0" t="s">
        <v>82</v>
      </c>
      <c r="C8327" s="0" t="str">
        <f aca="false">INDEX(Intent_Analysis!$B$5:$B$81,MATCH(B8327,Intent_Analysis!$A$5:$A$81,0))</f>
        <v>Exchange rates &amp; currencies</v>
      </c>
      <c r="D8327" s="0" t="n">
        <f aca="false">INDEX(Intent_Analysis!$E$5:$E$81,MATCH(B8327,Intent_Analysis!$A$5:$A$81,0))</f>
        <v>2</v>
      </c>
    </row>
    <row r="8328" customFormat="false" ht="15" hidden="false" customHeight="false" outlineLevel="0" collapsed="false">
      <c r="A8328" s="0" t="s">
        <v>8652</v>
      </c>
      <c r="B8328" s="0" t="s">
        <v>82</v>
      </c>
      <c r="C8328" s="0" t="str">
        <f aca="false">INDEX(Intent_Analysis!$B$5:$B$81,MATCH(B8328,Intent_Analysis!$A$5:$A$81,0))</f>
        <v>Exchange rates &amp; currencies</v>
      </c>
      <c r="D8328" s="0" t="n">
        <f aca="false">INDEX(Intent_Analysis!$E$5:$E$81,MATCH(B8328,Intent_Analysis!$A$5:$A$81,0))</f>
        <v>2</v>
      </c>
    </row>
    <row r="8329" customFormat="false" ht="15" hidden="false" customHeight="false" outlineLevel="0" collapsed="false">
      <c r="A8329" s="0" t="s">
        <v>8653</v>
      </c>
      <c r="B8329" s="0" t="s">
        <v>82</v>
      </c>
      <c r="C8329" s="0" t="str">
        <f aca="false">INDEX(Intent_Analysis!$B$5:$B$81,MATCH(B8329,Intent_Analysis!$A$5:$A$81,0))</f>
        <v>Exchange rates &amp; currencies</v>
      </c>
      <c r="D8329" s="0" t="n">
        <f aca="false">INDEX(Intent_Analysis!$E$5:$E$81,MATCH(B8329,Intent_Analysis!$A$5:$A$81,0))</f>
        <v>2</v>
      </c>
    </row>
    <row r="8330" customFormat="false" ht="15" hidden="false" customHeight="false" outlineLevel="0" collapsed="false">
      <c r="A8330" s="0" t="s">
        <v>8654</v>
      </c>
      <c r="B8330" s="0" t="s">
        <v>82</v>
      </c>
      <c r="C8330" s="0" t="str">
        <f aca="false">INDEX(Intent_Analysis!$B$5:$B$81,MATCH(B8330,Intent_Analysis!$A$5:$A$81,0))</f>
        <v>Exchange rates &amp; currencies</v>
      </c>
      <c r="D8330" s="0" t="n">
        <f aca="false">INDEX(Intent_Analysis!$E$5:$E$81,MATCH(B8330,Intent_Analysis!$A$5:$A$81,0))</f>
        <v>2</v>
      </c>
    </row>
    <row r="8331" customFormat="false" ht="15" hidden="false" customHeight="false" outlineLevel="0" collapsed="false">
      <c r="A8331" s="0" t="s">
        <v>8655</v>
      </c>
      <c r="B8331" s="0" t="s">
        <v>82</v>
      </c>
      <c r="C8331" s="0" t="str">
        <f aca="false">INDEX(Intent_Analysis!$B$5:$B$81,MATCH(B8331,Intent_Analysis!$A$5:$A$81,0))</f>
        <v>Exchange rates &amp; currencies</v>
      </c>
      <c r="D8331" s="0" t="n">
        <f aca="false">INDEX(Intent_Analysis!$E$5:$E$81,MATCH(B8331,Intent_Analysis!$A$5:$A$81,0))</f>
        <v>2</v>
      </c>
    </row>
    <row r="8332" customFormat="false" ht="15" hidden="false" customHeight="false" outlineLevel="0" collapsed="false">
      <c r="A8332" s="0" t="s">
        <v>8656</v>
      </c>
      <c r="B8332" s="0" t="s">
        <v>82</v>
      </c>
      <c r="C8332" s="0" t="str">
        <f aca="false">INDEX(Intent_Analysis!$B$5:$B$81,MATCH(B8332,Intent_Analysis!$A$5:$A$81,0))</f>
        <v>Exchange rates &amp; currencies</v>
      </c>
      <c r="D8332" s="0" t="n">
        <f aca="false">INDEX(Intent_Analysis!$E$5:$E$81,MATCH(B8332,Intent_Analysis!$A$5:$A$81,0))</f>
        <v>2</v>
      </c>
    </row>
    <row r="8333" customFormat="false" ht="15" hidden="false" customHeight="false" outlineLevel="0" collapsed="false">
      <c r="A8333" s="0" t="s">
        <v>8657</v>
      </c>
      <c r="B8333" s="0" t="s">
        <v>82</v>
      </c>
      <c r="C8333" s="0" t="str">
        <f aca="false">INDEX(Intent_Analysis!$B$5:$B$81,MATCH(B8333,Intent_Analysis!$A$5:$A$81,0))</f>
        <v>Exchange rates &amp; currencies</v>
      </c>
      <c r="D8333" s="0" t="n">
        <f aca="false">INDEX(Intent_Analysis!$E$5:$E$81,MATCH(B8333,Intent_Analysis!$A$5:$A$81,0))</f>
        <v>2</v>
      </c>
    </row>
    <row r="8334" customFormat="false" ht="15" hidden="false" customHeight="false" outlineLevel="0" collapsed="false">
      <c r="A8334" s="0" t="s">
        <v>8658</v>
      </c>
      <c r="B8334" s="0" t="s">
        <v>82</v>
      </c>
      <c r="C8334" s="0" t="str">
        <f aca="false">INDEX(Intent_Analysis!$B$5:$B$81,MATCH(B8334,Intent_Analysis!$A$5:$A$81,0))</f>
        <v>Exchange rates &amp; currencies</v>
      </c>
      <c r="D8334" s="0" t="n">
        <f aca="false">INDEX(Intent_Analysis!$E$5:$E$81,MATCH(B8334,Intent_Analysis!$A$5:$A$81,0))</f>
        <v>2</v>
      </c>
    </row>
    <row r="8335" customFormat="false" ht="15" hidden="false" customHeight="false" outlineLevel="0" collapsed="false">
      <c r="A8335" s="0" t="s">
        <v>8659</v>
      </c>
      <c r="B8335" s="0" t="s">
        <v>82</v>
      </c>
      <c r="C8335" s="0" t="str">
        <f aca="false">INDEX(Intent_Analysis!$B$5:$B$81,MATCH(B8335,Intent_Analysis!$A$5:$A$81,0))</f>
        <v>Exchange rates &amp; currencies</v>
      </c>
      <c r="D8335" s="0" t="n">
        <f aca="false">INDEX(Intent_Analysis!$E$5:$E$81,MATCH(B8335,Intent_Analysis!$A$5:$A$81,0))</f>
        <v>2</v>
      </c>
    </row>
    <row r="8336" customFormat="false" ht="15" hidden="false" customHeight="false" outlineLevel="0" collapsed="false">
      <c r="A8336" s="0" t="s">
        <v>8660</v>
      </c>
      <c r="B8336" s="0" t="s">
        <v>82</v>
      </c>
      <c r="C8336" s="0" t="str">
        <f aca="false">INDEX(Intent_Analysis!$B$5:$B$81,MATCH(B8336,Intent_Analysis!$A$5:$A$81,0))</f>
        <v>Exchange rates &amp; currencies</v>
      </c>
      <c r="D8336" s="0" t="n">
        <f aca="false">INDEX(Intent_Analysis!$E$5:$E$81,MATCH(B8336,Intent_Analysis!$A$5:$A$81,0))</f>
        <v>2</v>
      </c>
    </row>
    <row r="8337" customFormat="false" ht="15" hidden="false" customHeight="false" outlineLevel="0" collapsed="false">
      <c r="A8337" s="0" t="s">
        <v>8661</v>
      </c>
      <c r="B8337" s="0" t="s">
        <v>82</v>
      </c>
      <c r="C8337" s="0" t="str">
        <f aca="false">INDEX(Intent_Analysis!$B$5:$B$81,MATCH(B8337,Intent_Analysis!$A$5:$A$81,0))</f>
        <v>Exchange rates &amp; currencies</v>
      </c>
      <c r="D8337" s="0" t="n">
        <f aca="false">INDEX(Intent_Analysis!$E$5:$E$81,MATCH(B8337,Intent_Analysis!$A$5:$A$81,0))</f>
        <v>2</v>
      </c>
    </row>
    <row r="8338" customFormat="false" ht="15" hidden="false" customHeight="false" outlineLevel="0" collapsed="false">
      <c r="A8338" s="0" t="s">
        <v>8662</v>
      </c>
      <c r="B8338" s="0" t="s">
        <v>82</v>
      </c>
      <c r="C8338" s="0" t="str">
        <f aca="false">INDEX(Intent_Analysis!$B$5:$B$81,MATCH(B8338,Intent_Analysis!$A$5:$A$81,0))</f>
        <v>Exchange rates &amp; currencies</v>
      </c>
      <c r="D8338" s="0" t="n">
        <f aca="false">INDEX(Intent_Analysis!$E$5:$E$81,MATCH(B8338,Intent_Analysis!$A$5:$A$81,0))</f>
        <v>2</v>
      </c>
    </row>
    <row r="8339" customFormat="false" ht="15" hidden="false" customHeight="false" outlineLevel="0" collapsed="false">
      <c r="A8339" s="0" t="s">
        <v>8663</v>
      </c>
      <c r="B8339" s="0" t="s">
        <v>82</v>
      </c>
      <c r="C8339" s="0" t="str">
        <f aca="false">INDEX(Intent_Analysis!$B$5:$B$81,MATCH(B8339,Intent_Analysis!$A$5:$A$81,0))</f>
        <v>Exchange rates &amp; currencies</v>
      </c>
      <c r="D8339" s="0" t="n">
        <f aca="false">INDEX(Intent_Analysis!$E$5:$E$81,MATCH(B8339,Intent_Analysis!$A$5:$A$81,0))</f>
        <v>2</v>
      </c>
    </row>
    <row r="8340" customFormat="false" ht="15" hidden="false" customHeight="false" outlineLevel="0" collapsed="false">
      <c r="A8340" s="0" t="s">
        <v>8664</v>
      </c>
      <c r="B8340" s="0" t="s">
        <v>82</v>
      </c>
      <c r="C8340" s="0" t="str">
        <f aca="false">INDEX(Intent_Analysis!$B$5:$B$81,MATCH(B8340,Intent_Analysis!$A$5:$A$81,0))</f>
        <v>Exchange rates &amp; currencies</v>
      </c>
      <c r="D8340" s="0" t="n">
        <f aca="false">INDEX(Intent_Analysis!$E$5:$E$81,MATCH(B8340,Intent_Analysis!$A$5:$A$81,0))</f>
        <v>2</v>
      </c>
    </row>
    <row r="8341" customFormat="false" ht="15" hidden="false" customHeight="false" outlineLevel="0" collapsed="false">
      <c r="A8341" s="0" t="s">
        <v>8665</v>
      </c>
      <c r="B8341" s="0" t="s">
        <v>82</v>
      </c>
      <c r="C8341" s="0" t="str">
        <f aca="false">INDEX(Intent_Analysis!$B$5:$B$81,MATCH(B8341,Intent_Analysis!$A$5:$A$81,0))</f>
        <v>Exchange rates &amp; currencies</v>
      </c>
      <c r="D8341" s="0" t="n">
        <f aca="false">INDEX(Intent_Analysis!$E$5:$E$81,MATCH(B8341,Intent_Analysis!$A$5:$A$81,0))</f>
        <v>2</v>
      </c>
    </row>
    <row r="8342" customFormat="false" ht="15" hidden="false" customHeight="false" outlineLevel="0" collapsed="false">
      <c r="A8342" s="0" t="s">
        <v>8666</v>
      </c>
      <c r="B8342" s="0" t="s">
        <v>82</v>
      </c>
      <c r="C8342" s="0" t="str">
        <f aca="false">INDEX(Intent_Analysis!$B$5:$B$81,MATCH(B8342,Intent_Analysis!$A$5:$A$81,0))</f>
        <v>Exchange rates &amp; currencies</v>
      </c>
      <c r="D8342" s="0" t="n">
        <f aca="false">INDEX(Intent_Analysis!$E$5:$E$81,MATCH(B8342,Intent_Analysis!$A$5:$A$81,0))</f>
        <v>2</v>
      </c>
    </row>
    <row r="8343" customFormat="false" ht="15" hidden="false" customHeight="false" outlineLevel="0" collapsed="false">
      <c r="A8343" s="0" t="s">
        <v>8667</v>
      </c>
      <c r="B8343" s="0" t="s">
        <v>82</v>
      </c>
      <c r="C8343" s="0" t="str">
        <f aca="false">INDEX(Intent_Analysis!$B$5:$B$81,MATCH(B8343,Intent_Analysis!$A$5:$A$81,0))</f>
        <v>Exchange rates &amp; currencies</v>
      </c>
      <c r="D8343" s="0" t="n">
        <f aca="false">INDEX(Intent_Analysis!$E$5:$E$81,MATCH(B8343,Intent_Analysis!$A$5:$A$81,0))</f>
        <v>2</v>
      </c>
    </row>
    <row r="8344" customFormat="false" ht="15" hidden="false" customHeight="false" outlineLevel="0" collapsed="false">
      <c r="A8344" s="0" t="s">
        <v>8668</v>
      </c>
      <c r="B8344" s="0" t="s">
        <v>82</v>
      </c>
      <c r="C8344" s="0" t="str">
        <f aca="false">INDEX(Intent_Analysis!$B$5:$B$81,MATCH(B8344,Intent_Analysis!$A$5:$A$81,0))</f>
        <v>Exchange rates &amp; currencies</v>
      </c>
      <c r="D8344" s="0" t="n">
        <f aca="false">INDEX(Intent_Analysis!$E$5:$E$81,MATCH(B8344,Intent_Analysis!$A$5:$A$81,0))</f>
        <v>2</v>
      </c>
    </row>
    <row r="8345" customFormat="false" ht="15" hidden="false" customHeight="false" outlineLevel="0" collapsed="false">
      <c r="A8345" s="0" t="s">
        <v>8669</v>
      </c>
      <c r="B8345" s="0" t="s">
        <v>82</v>
      </c>
      <c r="C8345" s="0" t="str">
        <f aca="false">INDEX(Intent_Analysis!$B$5:$B$81,MATCH(B8345,Intent_Analysis!$A$5:$A$81,0))</f>
        <v>Exchange rates &amp; currencies</v>
      </c>
      <c r="D8345" s="0" t="n">
        <f aca="false">INDEX(Intent_Analysis!$E$5:$E$81,MATCH(B8345,Intent_Analysis!$A$5:$A$81,0))</f>
        <v>2</v>
      </c>
    </row>
    <row r="8346" customFormat="false" ht="15" hidden="false" customHeight="false" outlineLevel="0" collapsed="false">
      <c r="A8346" s="0" t="s">
        <v>8670</v>
      </c>
      <c r="B8346" s="0" t="s">
        <v>82</v>
      </c>
      <c r="C8346" s="0" t="str">
        <f aca="false">INDEX(Intent_Analysis!$B$5:$B$81,MATCH(B8346,Intent_Analysis!$A$5:$A$81,0))</f>
        <v>Exchange rates &amp; currencies</v>
      </c>
      <c r="D8346" s="0" t="n">
        <f aca="false">INDEX(Intent_Analysis!$E$5:$E$81,MATCH(B8346,Intent_Analysis!$A$5:$A$81,0))</f>
        <v>2</v>
      </c>
    </row>
    <row r="8347" customFormat="false" ht="15" hidden="false" customHeight="false" outlineLevel="0" collapsed="false">
      <c r="A8347" s="0" t="s">
        <v>8671</v>
      </c>
      <c r="B8347" s="0" t="s">
        <v>82</v>
      </c>
      <c r="C8347" s="0" t="str">
        <f aca="false">INDEX(Intent_Analysis!$B$5:$B$81,MATCH(B8347,Intent_Analysis!$A$5:$A$81,0))</f>
        <v>Exchange rates &amp; currencies</v>
      </c>
      <c r="D8347" s="0" t="n">
        <f aca="false">INDEX(Intent_Analysis!$E$5:$E$81,MATCH(B8347,Intent_Analysis!$A$5:$A$81,0))</f>
        <v>2</v>
      </c>
    </row>
    <row r="8348" customFormat="false" ht="15" hidden="false" customHeight="false" outlineLevel="0" collapsed="false">
      <c r="A8348" s="0" t="s">
        <v>8672</v>
      </c>
      <c r="B8348" s="0" t="s">
        <v>82</v>
      </c>
      <c r="C8348" s="0" t="str">
        <f aca="false">INDEX(Intent_Analysis!$B$5:$B$81,MATCH(B8348,Intent_Analysis!$A$5:$A$81,0))</f>
        <v>Exchange rates &amp; currencies</v>
      </c>
      <c r="D8348" s="0" t="n">
        <f aca="false">INDEX(Intent_Analysis!$E$5:$E$81,MATCH(B8348,Intent_Analysis!$A$5:$A$81,0))</f>
        <v>2</v>
      </c>
    </row>
    <row r="8349" customFormat="false" ht="15" hidden="false" customHeight="false" outlineLevel="0" collapsed="false">
      <c r="A8349" s="0" t="s">
        <v>8673</v>
      </c>
      <c r="B8349" s="0" t="s">
        <v>82</v>
      </c>
      <c r="C8349" s="0" t="str">
        <f aca="false">INDEX(Intent_Analysis!$B$5:$B$81,MATCH(B8349,Intent_Analysis!$A$5:$A$81,0))</f>
        <v>Exchange rates &amp; currencies</v>
      </c>
      <c r="D8349" s="0" t="n">
        <f aca="false">INDEX(Intent_Analysis!$E$5:$E$81,MATCH(B8349,Intent_Analysis!$A$5:$A$81,0))</f>
        <v>2</v>
      </c>
    </row>
    <row r="8350" customFormat="false" ht="15" hidden="false" customHeight="false" outlineLevel="0" collapsed="false">
      <c r="A8350" s="0" t="s">
        <v>8674</v>
      </c>
      <c r="B8350" s="0" t="s">
        <v>82</v>
      </c>
      <c r="C8350" s="0" t="str">
        <f aca="false">INDEX(Intent_Analysis!$B$5:$B$81,MATCH(B8350,Intent_Analysis!$A$5:$A$81,0))</f>
        <v>Exchange rates &amp; currencies</v>
      </c>
      <c r="D8350" s="0" t="n">
        <f aca="false">INDEX(Intent_Analysis!$E$5:$E$81,MATCH(B8350,Intent_Analysis!$A$5:$A$81,0))</f>
        <v>2</v>
      </c>
    </row>
    <row r="8351" customFormat="false" ht="15" hidden="false" customHeight="false" outlineLevel="0" collapsed="false">
      <c r="A8351" s="0" t="s">
        <v>8675</v>
      </c>
      <c r="B8351" s="0" t="s">
        <v>82</v>
      </c>
      <c r="C8351" s="0" t="str">
        <f aca="false">INDEX(Intent_Analysis!$B$5:$B$81,MATCH(B8351,Intent_Analysis!$A$5:$A$81,0))</f>
        <v>Exchange rates &amp; currencies</v>
      </c>
      <c r="D8351" s="0" t="n">
        <f aca="false">INDEX(Intent_Analysis!$E$5:$E$81,MATCH(B8351,Intent_Analysis!$A$5:$A$81,0))</f>
        <v>2</v>
      </c>
    </row>
    <row r="8352" customFormat="false" ht="15" hidden="false" customHeight="false" outlineLevel="0" collapsed="false">
      <c r="A8352" s="0" t="s">
        <v>8676</v>
      </c>
      <c r="B8352" s="0" t="s">
        <v>82</v>
      </c>
      <c r="C8352" s="0" t="str">
        <f aca="false">INDEX(Intent_Analysis!$B$5:$B$81,MATCH(B8352,Intent_Analysis!$A$5:$A$81,0))</f>
        <v>Exchange rates &amp; currencies</v>
      </c>
      <c r="D8352" s="0" t="n">
        <f aca="false">INDEX(Intent_Analysis!$E$5:$E$81,MATCH(B8352,Intent_Analysis!$A$5:$A$81,0))</f>
        <v>2</v>
      </c>
    </row>
    <row r="8353" customFormat="false" ht="15" hidden="false" customHeight="false" outlineLevel="0" collapsed="false">
      <c r="A8353" s="0" t="s">
        <v>8677</v>
      </c>
      <c r="B8353" s="0" t="s">
        <v>82</v>
      </c>
      <c r="C8353" s="0" t="str">
        <f aca="false">INDEX(Intent_Analysis!$B$5:$B$81,MATCH(B8353,Intent_Analysis!$A$5:$A$81,0))</f>
        <v>Exchange rates &amp; currencies</v>
      </c>
      <c r="D8353" s="0" t="n">
        <f aca="false">INDEX(Intent_Analysis!$E$5:$E$81,MATCH(B8353,Intent_Analysis!$A$5:$A$81,0))</f>
        <v>2</v>
      </c>
    </row>
    <row r="8354" customFormat="false" ht="15" hidden="false" customHeight="false" outlineLevel="0" collapsed="false">
      <c r="A8354" s="0" t="s">
        <v>8678</v>
      </c>
      <c r="B8354" s="0" t="s">
        <v>82</v>
      </c>
      <c r="C8354" s="0" t="str">
        <f aca="false">INDEX(Intent_Analysis!$B$5:$B$81,MATCH(B8354,Intent_Analysis!$A$5:$A$81,0))</f>
        <v>Exchange rates &amp; currencies</v>
      </c>
      <c r="D8354" s="0" t="n">
        <f aca="false">INDEX(Intent_Analysis!$E$5:$E$81,MATCH(B8354,Intent_Analysis!$A$5:$A$81,0))</f>
        <v>2</v>
      </c>
    </row>
    <row r="8355" customFormat="false" ht="15" hidden="false" customHeight="false" outlineLevel="0" collapsed="false">
      <c r="A8355" s="0" t="s">
        <v>8679</v>
      </c>
      <c r="B8355" s="0" t="s">
        <v>82</v>
      </c>
      <c r="C8355" s="0" t="str">
        <f aca="false">INDEX(Intent_Analysis!$B$5:$B$81,MATCH(B8355,Intent_Analysis!$A$5:$A$81,0))</f>
        <v>Exchange rates &amp; currencies</v>
      </c>
      <c r="D8355" s="0" t="n">
        <f aca="false">INDEX(Intent_Analysis!$E$5:$E$81,MATCH(B8355,Intent_Analysis!$A$5:$A$81,0))</f>
        <v>2</v>
      </c>
    </row>
    <row r="8356" customFormat="false" ht="15" hidden="false" customHeight="false" outlineLevel="0" collapsed="false">
      <c r="A8356" s="0" t="s">
        <v>8680</v>
      </c>
      <c r="B8356" s="0" t="s">
        <v>82</v>
      </c>
      <c r="C8356" s="0" t="str">
        <f aca="false">INDEX(Intent_Analysis!$B$5:$B$81,MATCH(B8356,Intent_Analysis!$A$5:$A$81,0))</f>
        <v>Exchange rates &amp; currencies</v>
      </c>
      <c r="D8356" s="0" t="n">
        <f aca="false">INDEX(Intent_Analysis!$E$5:$E$81,MATCH(B8356,Intent_Analysis!$A$5:$A$81,0))</f>
        <v>2</v>
      </c>
    </row>
    <row r="8357" customFormat="false" ht="15" hidden="false" customHeight="false" outlineLevel="0" collapsed="false">
      <c r="A8357" s="0" t="s">
        <v>8681</v>
      </c>
      <c r="B8357" s="0" t="s">
        <v>82</v>
      </c>
      <c r="C8357" s="0" t="str">
        <f aca="false">INDEX(Intent_Analysis!$B$5:$B$81,MATCH(B8357,Intent_Analysis!$A$5:$A$81,0))</f>
        <v>Exchange rates &amp; currencies</v>
      </c>
      <c r="D8357" s="0" t="n">
        <f aca="false">INDEX(Intent_Analysis!$E$5:$E$81,MATCH(B8357,Intent_Analysis!$A$5:$A$81,0))</f>
        <v>2</v>
      </c>
    </row>
    <row r="8358" customFormat="false" ht="15" hidden="false" customHeight="false" outlineLevel="0" collapsed="false">
      <c r="A8358" s="0" t="s">
        <v>8682</v>
      </c>
      <c r="B8358" s="0" t="s">
        <v>82</v>
      </c>
      <c r="C8358" s="0" t="str">
        <f aca="false">INDEX(Intent_Analysis!$B$5:$B$81,MATCH(B8358,Intent_Analysis!$A$5:$A$81,0))</f>
        <v>Exchange rates &amp; currencies</v>
      </c>
      <c r="D8358" s="0" t="n">
        <f aca="false">INDEX(Intent_Analysis!$E$5:$E$81,MATCH(B8358,Intent_Analysis!$A$5:$A$81,0))</f>
        <v>2</v>
      </c>
    </row>
    <row r="8359" customFormat="false" ht="15" hidden="false" customHeight="false" outlineLevel="0" collapsed="false">
      <c r="A8359" s="0" t="s">
        <v>8683</v>
      </c>
      <c r="B8359" s="0" t="s">
        <v>82</v>
      </c>
      <c r="C8359" s="0" t="str">
        <f aca="false">INDEX(Intent_Analysis!$B$5:$B$81,MATCH(B8359,Intent_Analysis!$A$5:$A$81,0))</f>
        <v>Exchange rates &amp; currencies</v>
      </c>
      <c r="D8359" s="0" t="n">
        <f aca="false">INDEX(Intent_Analysis!$E$5:$E$81,MATCH(B8359,Intent_Analysis!$A$5:$A$81,0))</f>
        <v>2</v>
      </c>
    </row>
    <row r="8360" customFormat="false" ht="15" hidden="false" customHeight="false" outlineLevel="0" collapsed="false">
      <c r="A8360" s="0" t="s">
        <v>8684</v>
      </c>
      <c r="B8360" s="0" t="s">
        <v>82</v>
      </c>
      <c r="C8360" s="0" t="str">
        <f aca="false">INDEX(Intent_Analysis!$B$5:$B$81,MATCH(B8360,Intent_Analysis!$A$5:$A$81,0))</f>
        <v>Exchange rates &amp; currencies</v>
      </c>
      <c r="D8360" s="0" t="n">
        <f aca="false">INDEX(Intent_Analysis!$E$5:$E$81,MATCH(B8360,Intent_Analysis!$A$5:$A$81,0))</f>
        <v>2</v>
      </c>
    </row>
    <row r="8361" customFormat="false" ht="15" hidden="false" customHeight="false" outlineLevel="0" collapsed="false">
      <c r="A8361" s="0" t="s">
        <v>8685</v>
      </c>
      <c r="B8361" s="0" t="s">
        <v>82</v>
      </c>
      <c r="C8361" s="0" t="str">
        <f aca="false">INDEX(Intent_Analysis!$B$5:$B$81,MATCH(B8361,Intent_Analysis!$A$5:$A$81,0))</f>
        <v>Exchange rates &amp; currencies</v>
      </c>
      <c r="D8361" s="0" t="n">
        <f aca="false">INDEX(Intent_Analysis!$E$5:$E$81,MATCH(B8361,Intent_Analysis!$A$5:$A$81,0))</f>
        <v>2</v>
      </c>
    </row>
    <row r="8362" customFormat="false" ht="15" hidden="false" customHeight="false" outlineLevel="0" collapsed="false">
      <c r="A8362" s="0" t="s">
        <v>8686</v>
      </c>
      <c r="B8362" s="0" t="s">
        <v>82</v>
      </c>
      <c r="C8362" s="0" t="str">
        <f aca="false">INDEX(Intent_Analysis!$B$5:$B$81,MATCH(B8362,Intent_Analysis!$A$5:$A$81,0))</f>
        <v>Exchange rates &amp; currencies</v>
      </c>
      <c r="D8362" s="0" t="n">
        <f aca="false">INDEX(Intent_Analysis!$E$5:$E$81,MATCH(B8362,Intent_Analysis!$A$5:$A$81,0))</f>
        <v>2</v>
      </c>
    </row>
    <row r="8363" customFormat="false" ht="15" hidden="false" customHeight="false" outlineLevel="0" collapsed="false">
      <c r="A8363" s="0" t="s">
        <v>8687</v>
      </c>
      <c r="B8363" s="0" t="s">
        <v>82</v>
      </c>
      <c r="C8363" s="0" t="str">
        <f aca="false">INDEX(Intent_Analysis!$B$5:$B$81,MATCH(B8363,Intent_Analysis!$A$5:$A$81,0))</f>
        <v>Exchange rates &amp; currencies</v>
      </c>
      <c r="D8363" s="0" t="n">
        <f aca="false">INDEX(Intent_Analysis!$E$5:$E$81,MATCH(B8363,Intent_Analysis!$A$5:$A$81,0))</f>
        <v>2</v>
      </c>
    </row>
    <row r="8364" customFormat="false" ht="15" hidden="false" customHeight="false" outlineLevel="0" collapsed="false">
      <c r="A8364" s="0" t="s">
        <v>8688</v>
      </c>
      <c r="B8364" s="0" t="s">
        <v>82</v>
      </c>
      <c r="C8364" s="0" t="str">
        <f aca="false">INDEX(Intent_Analysis!$B$5:$B$81,MATCH(B8364,Intent_Analysis!$A$5:$A$81,0))</f>
        <v>Exchange rates &amp; currencies</v>
      </c>
      <c r="D8364" s="0" t="n">
        <f aca="false">INDEX(Intent_Analysis!$E$5:$E$81,MATCH(B8364,Intent_Analysis!$A$5:$A$81,0))</f>
        <v>2</v>
      </c>
    </row>
    <row r="8365" customFormat="false" ht="15" hidden="false" customHeight="false" outlineLevel="0" collapsed="false">
      <c r="A8365" s="0" t="s">
        <v>8689</v>
      </c>
      <c r="B8365" s="0" t="s">
        <v>82</v>
      </c>
      <c r="C8365" s="0" t="str">
        <f aca="false">INDEX(Intent_Analysis!$B$5:$B$81,MATCH(B8365,Intent_Analysis!$A$5:$A$81,0))</f>
        <v>Exchange rates &amp; currencies</v>
      </c>
      <c r="D8365" s="0" t="n">
        <f aca="false">INDEX(Intent_Analysis!$E$5:$E$81,MATCH(B8365,Intent_Analysis!$A$5:$A$81,0))</f>
        <v>2</v>
      </c>
    </row>
    <row r="8366" customFormat="false" ht="15" hidden="false" customHeight="false" outlineLevel="0" collapsed="false">
      <c r="A8366" s="0" t="s">
        <v>8690</v>
      </c>
      <c r="B8366" s="0" t="s">
        <v>82</v>
      </c>
      <c r="C8366" s="0" t="str">
        <f aca="false">INDEX(Intent_Analysis!$B$5:$B$81,MATCH(B8366,Intent_Analysis!$A$5:$A$81,0))</f>
        <v>Exchange rates &amp; currencies</v>
      </c>
      <c r="D8366" s="0" t="n">
        <f aca="false">INDEX(Intent_Analysis!$E$5:$E$81,MATCH(B8366,Intent_Analysis!$A$5:$A$81,0))</f>
        <v>2</v>
      </c>
    </row>
    <row r="8367" customFormat="false" ht="15" hidden="false" customHeight="false" outlineLevel="0" collapsed="false">
      <c r="A8367" s="0" t="s">
        <v>8691</v>
      </c>
      <c r="B8367" s="0" t="s">
        <v>82</v>
      </c>
      <c r="C8367" s="0" t="str">
        <f aca="false">INDEX(Intent_Analysis!$B$5:$B$81,MATCH(B8367,Intent_Analysis!$A$5:$A$81,0))</f>
        <v>Exchange rates &amp; currencies</v>
      </c>
      <c r="D8367" s="0" t="n">
        <f aca="false">INDEX(Intent_Analysis!$E$5:$E$81,MATCH(B8367,Intent_Analysis!$A$5:$A$81,0))</f>
        <v>2</v>
      </c>
    </row>
    <row r="8368" customFormat="false" ht="15" hidden="false" customHeight="false" outlineLevel="0" collapsed="false">
      <c r="A8368" s="0" t="s">
        <v>8692</v>
      </c>
      <c r="B8368" s="0" t="s">
        <v>82</v>
      </c>
      <c r="C8368" s="0" t="str">
        <f aca="false">INDEX(Intent_Analysis!$B$5:$B$81,MATCH(B8368,Intent_Analysis!$A$5:$A$81,0))</f>
        <v>Exchange rates &amp; currencies</v>
      </c>
      <c r="D8368" s="0" t="n">
        <f aca="false">INDEX(Intent_Analysis!$E$5:$E$81,MATCH(B8368,Intent_Analysis!$A$5:$A$81,0))</f>
        <v>2</v>
      </c>
    </row>
    <row r="8369" customFormat="false" ht="15" hidden="false" customHeight="false" outlineLevel="0" collapsed="false">
      <c r="A8369" s="0" t="s">
        <v>8693</v>
      </c>
      <c r="B8369" s="0" t="s">
        <v>82</v>
      </c>
      <c r="C8369" s="0" t="str">
        <f aca="false">INDEX(Intent_Analysis!$B$5:$B$81,MATCH(B8369,Intent_Analysis!$A$5:$A$81,0))</f>
        <v>Exchange rates &amp; currencies</v>
      </c>
      <c r="D8369" s="0" t="n">
        <f aca="false">INDEX(Intent_Analysis!$E$5:$E$81,MATCH(B8369,Intent_Analysis!$A$5:$A$81,0))</f>
        <v>2</v>
      </c>
    </row>
    <row r="8370" customFormat="false" ht="15" hidden="false" customHeight="false" outlineLevel="0" collapsed="false">
      <c r="A8370" s="0" t="s">
        <v>8694</v>
      </c>
      <c r="B8370" s="0" t="s">
        <v>82</v>
      </c>
      <c r="C8370" s="0" t="str">
        <f aca="false">INDEX(Intent_Analysis!$B$5:$B$81,MATCH(B8370,Intent_Analysis!$A$5:$A$81,0))</f>
        <v>Exchange rates &amp; currencies</v>
      </c>
      <c r="D8370" s="0" t="n">
        <f aca="false">INDEX(Intent_Analysis!$E$5:$E$81,MATCH(B8370,Intent_Analysis!$A$5:$A$81,0))</f>
        <v>2</v>
      </c>
    </row>
    <row r="8371" customFormat="false" ht="15" hidden="false" customHeight="false" outlineLevel="0" collapsed="false">
      <c r="A8371" s="0" t="s">
        <v>8695</v>
      </c>
      <c r="B8371" s="0" t="s">
        <v>82</v>
      </c>
      <c r="C8371" s="0" t="str">
        <f aca="false">INDEX(Intent_Analysis!$B$5:$B$81,MATCH(B8371,Intent_Analysis!$A$5:$A$81,0))</f>
        <v>Exchange rates &amp; currencies</v>
      </c>
      <c r="D8371" s="0" t="n">
        <f aca="false">INDEX(Intent_Analysis!$E$5:$E$81,MATCH(B8371,Intent_Analysis!$A$5:$A$81,0))</f>
        <v>2</v>
      </c>
    </row>
    <row r="8372" customFormat="false" ht="15" hidden="false" customHeight="false" outlineLevel="0" collapsed="false">
      <c r="A8372" s="0" t="s">
        <v>8696</v>
      </c>
      <c r="B8372" s="0" t="s">
        <v>82</v>
      </c>
      <c r="C8372" s="0" t="str">
        <f aca="false">INDEX(Intent_Analysis!$B$5:$B$81,MATCH(B8372,Intent_Analysis!$A$5:$A$81,0))</f>
        <v>Exchange rates &amp; currencies</v>
      </c>
      <c r="D8372" s="0" t="n">
        <f aca="false">INDEX(Intent_Analysis!$E$5:$E$81,MATCH(B8372,Intent_Analysis!$A$5:$A$81,0))</f>
        <v>2</v>
      </c>
    </row>
    <row r="8373" customFormat="false" ht="15" hidden="false" customHeight="false" outlineLevel="0" collapsed="false">
      <c r="A8373" s="0" t="s">
        <v>8697</v>
      </c>
      <c r="B8373" s="0" t="s">
        <v>69</v>
      </c>
      <c r="C8373" s="0" t="str">
        <f aca="false">INDEX(Intent_Analysis!$B$5:$B$81,MATCH(B8373,Intent_Analysis!$A$5:$A$81,0))</f>
        <v>Card usage &amp; features</v>
      </c>
      <c r="D8373" s="0" t="n">
        <f aca="false">INDEX(Intent_Analysis!$E$5:$E$81,MATCH(B8373,Intent_Analysis!$A$5:$A$81,0))</f>
        <v>1</v>
      </c>
    </row>
    <row r="8374" customFormat="false" ht="15" hidden="false" customHeight="false" outlineLevel="0" collapsed="false">
      <c r="A8374" s="0" t="s">
        <v>8698</v>
      </c>
      <c r="B8374" s="0" t="s">
        <v>69</v>
      </c>
      <c r="C8374" s="0" t="str">
        <f aca="false">INDEX(Intent_Analysis!$B$5:$B$81,MATCH(B8374,Intent_Analysis!$A$5:$A$81,0))</f>
        <v>Card usage &amp; features</v>
      </c>
      <c r="D8374" s="0" t="n">
        <f aca="false">INDEX(Intent_Analysis!$E$5:$E$81,MATCH(B8374,Intent_Analysis!$A$5:$A$81,0))</f>
        <v>1</v>
      </c>
    </row>
    <row r="8375" customFormat="false" ht="15" hidden="false" customHeight="false" outlineLevel="0" collapsed="false">
      <c r="A8375" s="0" t="s">
        <v>8699</v>
      </c>
      <c r="B8375" s="0" t="s">
        <v>69</v>
      </c>
      <c r="C8375" s="0" t="str">
        <f aca="false">INDEX(Intent_Analysis!$B$5:$B$81,MATCH(B8375,Intent_Analysis!$A$5:$A$81,0))</f>
        <v>Card usage &amp; features</v>
      </c>
      <c r="D8375" s="0" t="n">
        <f aca="false">INDEX(Intent_Analysis!$E$5:$E$81,MATCH(B8375,Intent_Analysis!$A$5:$A$81,0))</f>
        <v>1</v>
      </c>
    </row>
    <row r="8376" customFormat="false" ht="15" hidden="false" customHeight="false" outlineLevel="0" collapsed="false">
      <c r="A8376" s="0" t="s">
        <v>8700</v>
      </c>
      <c r="B8376" s="0" t="s">
        <v>69</v>
      </c>
      <c r="C8376" s="0" t="str">
        <f aca="false">INDEX(Intent_Analysis!$B$5:$B$81,MATCH(B8376,Intent_Analysis!$A$5:$A$81,0))</f>
        <v>Card usage &amp; features</v>
      </c>
      <c r="D8376" s="0" t="n">
        <f aca="false">INDEX(Intent_Analysis!$E$5:$E$81,MATCH(B8376,Intent_Analysis!$A$5:$A$81,0))</f>
        <v>1</v>
      </c>
    </row>
    <row r="8377" customFormat="false" ht="15" hidden="false" customHeight="false" outlineLevel="0" collapsed="false">
      <c r="A8377" s="0" t="s">
        <v>8701</v>
      </c>
      <c r="B8377" s="0" t="s">
        <v>69</v>
      </c>
      <c r="C8377" s="0" t="str">
        <f aca="false">INDEX(Intent_Analysis!$B$5:$B$81,MATCH(B8377,Intent_Analysis!$A$5:$A$81,0))</f>
        <v>Card usage &amp; features</v>
      </c>
      <c r="D8377" s="0" t="n">
        <f aca="false">INDEX(Intent_Analysis!$E$5:$E$81,MATCH(B8377,Intent_Analysis!$A$5:$A$81,0))</f>
        <v>1</v>
      </c>
    </row>
    <row r="8378" customFormat="false" ht="15" hidden="false" customHeight="false" outlineLevel="0" collapsed="false">
      <c r="A8378" s="0" t="s">
        <v>8702</v>
      </c>
      <c r="B8378" s="0" t="s">
        <v>69</v>
      </c>
      <c r="C8378" s="0" t="str">
        <f aca="false">INDEX(Intent_Analysis!$B$5:$B$81,MATCH(B8378,Intent_Analysis!$A$5:$A$81,0))</f>
        <v>Card usage &amp; features</v>
      </c>
      <c r="D8378" s="0" t="n">
        <f aca="false">INDEX(Intent_Analysis!$E$5:$E$81,MATCH(B8378,Intent_Analysis!$A$5:$A$81,0))</f>
        <v>1</v>
      </c>
    </row>
    <row r="8379" customFormat="false" ht="15" hidden="false" customHeight="false" outlineLevel="0" collapsed="false">
      <c r="A8379" s="0" t="s">
        <v>8703</v>
      </c>
      <c r="B8379" s="0" t="s">
        <v>69</v>
      </c>
      <c r="C8379" s="0" t="str">
        <f aca="false">INDEX(Intent_Analysis!$B$5:$B$81,MATCH(B8379,Intent_Analysis!$A$5:$A$81,0))</f>
        <v>Card usage &amp; features</v>
      </c>
      <c r="D8379" s="0" t="n">
        <f aca="false">INDEX(Intent_Analysis!$E$5:$E$81,MATCH(B8379,Intent_Analysis!$A$5:$A$81,0))</f>
        <v>1</v>
      </c>
    </row>
    <row r="8380" customFormat="false" ht="15" hidden="false" customHeight="false" outlineLevel="0" collapsed="false">
      <c r="A8380" s="0" t="s">
        <v>8704</v>
      </c>
      <c r="B8380" s="0" t="s">
        <v>69</v>
      </c>
      <c r="C8380" s="0" t="str">
        <f aca="false">INDEX(Intent_Analysis!$B$5:$B$81,MATCH(B8380,Intent_Analysis!$A$5:$A$81,0))</f>
        <v>Card usage &amp; features</v>
      </c>
      <c r="D8380" s="0" t="n">
        <f aca="false">INDEX(Intent_Analysis!$E$5:$E$81,MATCH(B8380,Intent_Analysis!$A$5:$A$81,0))</f>
        <v>1</v>
      </c>
    </row>
    <row r="8381" customFormat="false" ht="15" hidden="false" customHeight="false" outlineLevel="0" collapsed="false">
      <c r="A8381" s="0" t="s">
        <v>8705</v>
      </c>
      <c r="B8381" s="0" t="s">
        <v>69</v>
      </c>
      <c r="C8381" s="0" t="str">
        <f aca="false">INDEX(Intent_Analysis!$B$5:$B$81,MATCH(B8381,Intent_Analysis!$A$5:$A$81,0))</f>
        <v>Card usage &amp; features</v>
      </c>
      <c r="D8381" s="0" t="n">
        <f aca="false">INDEX(Intent_Analysis!$E$5:$E$81,MATCH(B8381,Intent_Analysis!$A$5:$A$81,0))</f>
        <v>1</v>
      </c>
    </row>
    <row r="8382" customFormat="false" ht="15" hidden="false" customHeight="false" outlineLevel="0" collapsed="false">
      <c r="A8382" s="0" t="s">
        <v>8706</v>
      </c>
      <c r="B8382" s="0" t="s">
        <v>69</v>
      </c>
      <c r="C8382" s="0" t="str">
        <f aca="false">INDEX(Intent_Analysis!$B$5:$B$81,MATCH(B8382,Intent_Analysis!$A$5:$A$81,0))</f>
        <v>Card usage &amp; features</v>
      </c>
      <c r="D8382" s="0" t="n">
        <f aca="false">INDEX(Intent_Analysis!$E$5:$E$81,MATCH(B8382,Intent_Analysis!$A$5:$A$81,0))</f>
        <v>1</v>
      </c>
    </row>
    <row r="8383" customFormat="false" ht="15" hidden="false" customHeight="false" outlineLevel="0" collapsed="false">
      <c r="A8383" s="0" t="s">
        <v>8707</v>
      </c>
      <c r="B8383" s="0" t="s">
        <v>69</v>
      </c>
      <c r="C8383" s="0" t="str">
        <f aca="false">INDEX(Intent_Analysis!$B$5:$B$81,MATCH(B8383,Intent_Analysis!$A$5:$A$81,0))</f>
        <v>Card usage &amp; features</v>
      </c>
      <c r="D8383" s="0" t="n">
        <f aca="false">INDEX(Intent_Analysis!$E$5:$E$81,MATCH(B8383,Intent_Analysis!$A$5:$A$81,0))</f>
        <v>1</v>
      </c>
    </row>
    <row r="8384" customFormat="false" ht="15" hidden="false" customHeight="false" outlineLevel="0" collapsed="false">
      <c r="A8384" s="0" t="s">
        <v>8708</v>
      </c>
      <c r="B8384" s="0" t="s">
        <v>69</v>
      </c>
      <c r="C8384" s="0" t="str">
        <f aca="false">INDEX(Intent_Analysis!$B$5:$B$81,MATCH(B8384,Intent_Analysis!$A$5:$A$81,0))</f>
        <v>Card usage &amp; features</v>
      </c>
      <c r="D8384" s="0" t="n">
        <f aca="false">INDEX(Intent_Analysis!$E$5:$E$81,MATCH(B8384,Intent_Analysis!$A$5:$A$81,0))</f>
        <v>1</v>
      </c>
    </row>
    <row r="8385" customFormat="false" ht="15" hidden="false" customHeight="false" outlineLevel="0" collapsed="false">
      <c r="A8385" s="0" t="s">
        <v>8709</v>
      </c>
      <c r="B8385" s="0" t="s">
        <v>69</v>
      </c>
      <c r="C8385" s="0" t="str">
        <f aca="false">INDEX(Intent_Analysis!$B$5:$B$81,MATCH(B8385,Intent_Analysis!$A$5:$A$81,0))</f>
        <v>Card usage &amp; features</v>
      </c>
      <c r="D8385" s="0" t="n">
        <f aca="false">INDEX(Intent_Analysis!$E$5:$E$81,MATCH(B8385,Intent_Analysis!$A$5:$A$81,0))</f>
        <v>1</v>
      </c>
    </row>
    <row r="8386" customFormat="false" ht="15" hidden="false" customHeight="false" outlineLevel="0" collapsed="false">
      <c r="A8386" s="0" t="s">
        <v>8710</v>
      </c>
      <c r="B8386" s="0" t="s">
        <v>69</v>
      </c>
      <c r="C8386" s="0" t="str">
        <f aca="false">INDEX(Intent_Analysis!$B$5:$B$81,MATCH(B8386,Intent_Analysis!$A$5:$A$81,0))</f>
        <v>Card usage &amp; features</v>
      </c>
      <c r="D8386" s="0" t="n">
        <f aca="false">INDEX(Intent_Analysis!$E$5:$E$81,MATCH(B8386,Intent_Analysis!$A$5:$A$81,0))</f>
        <v>1</v>
      </c>
    </row>
    <row r="8387" customFormat="false" ht="15" hidden="false" customHeight="false" outlineLevel="0" collapsed="false">
      <c r="A8387" s="0" t="s">
        <v>8711</v>
      </c>
      <c r="B8387" s="0" t="s">
        <v>69</v>
      </c>
      <c r="C8387" s="0" t="str">
        <f aca="false">INDEX(Intent_Analysis!$B$5:$B$81,MATCH(B8387,Intent_Analysis!$A$5:$A$81,0))</f>
        <v>Card usage &amp; features</v>
      </c>
      <c r="D8387" s="0" t="n">
        <f aca="false">INDEX(Intent_Analysis!$E$5:$E$81,MATCH(B8387,Intent_Analysis!$A$5:$A$81,0))</f>
        <v>1</v>
      </c>
    </row>
    <row r="8388" customFormat="false" ht="15" hidden="false" customHeight="false" outlineLevel="0" collapsed="false">
      <c r="A8388" s="0" t="s">
        <v>8712</v>
      </c>
      <c r="B8388" s="0" t="s">
        <v>69</v>
      </c>
      <c r="C8388" s="0" t="str">
        <f aca="false">INDEX(Intent_Analysis!$B$5:$B$81,MATCH(B8388,Intent_Analysis!$A$5:$A$81,0))</f>
        <v>Card usage &amp; features</v>
      </c>
      <c r="D8388" s="0" t="n">
        <f aca="false">INDEX(Intent_Analysis!$E$5:$E$81,MATCH(B8388,Intent_Analysis!$A$5:$A$81,0))</f>
        <v>1</v>
      </c>
    </row>
    <row r="8389" customFormat="false" ht="15" hidden="false" customHeight="false" outlineLevel="0" collapsed="false">
      <c r="A8389" s="0" t="s">
        <v>8713</v>
      </c>
      <c r="B8389" s="0" t="s">
        <v>69</v>
      </c>
      <c r="C8389" s="0" t="str">
        <f aca="false">INDEX(Intent_Analysis!$B$5:$B$81,MATCH(B8389,Intent_Analysis!$A$5:$A$81,0))</f>
        <v>Card usage &amp; features</v>
      </c>
      <c r="D8389" s="0" t="n">
        <f aca="false">INDEX(Intent_Analysis!$E$5:$E$81,MATCH(B8389,Intent_Analysis!$A$5:$A$81,0))</f>
        <v>1</v>
      </c>
    </row>
    <row r="8390" customFormat="false" ht="15" hidden="false" customHeight="false" outlineLevel="0" collapsed="false">
      <c r="A8390" s="0" t="s">
        <v>8714</v>
      </c>
      <c r="B8390" s="0" t="s">
        <v>69</v>
      </c>
      <c r="C8390" s="0" t="str">
        <f aca="false">INDEX(Intent_Analysis!$B$5:$B$81,MATCH(B8390,Intent_Analysis!$A$5:$A$81,0))</f>
        <v>Card usage &amp; features</v>
      </c>
      <c r="D8390" s="0" t="n">
        <f aca="false">INDEX(Intent_Analysis!$E$5:$E$81,MATCH(B8390,Intent_Analysis!$A$5:$A$81,0))</f>
        <v>1</v>
      </c>
    </row>
    <row r="8391" customFormat="false" ht="15" hidden="false" customHeight="false" outlineLevel="0" collapsed="false">
      <c r="A8391" s="0" t="s">
        <v>8715</v>
      </c>
      <c r="B8391" s="0" t="s">
        <v>69</v>
      </c>
      <c r="C8391" s="0" t="str">
        <f aca="false">INDEX(Intent_Analysis!$B$5:$B$81,MATCH(B8391,Intent_Analysis!$A$5:$A$81,0))</f>
        <v>Card usage &amp; features</v>
      </c>
      <c r="D8391" s="0" t="n">
        <f aca="false">INDEX(Intent_Analysis!$E$5:$E$81,MATCH(B8391,Intent_Analysis!$A$5:$A$81,0))</f>
        <v>1</v>
      </c>
    </row>
    <row r="8392" customFormat="false" ht="15" hidden="false" customHeight="false" outlineLevel="0" collapsed="false">
      <c r="A8392" s="0" t="s">
        <v>8716</v>
      </c>
      <c r="B8392" s="0" t="s">
        <v>69</v>
      </c>
      <c r="C8392" s="0" t="str">
        <f aca="false">INDEX(Intent_Analysis!$B$5:$B$81,MATCH(B8392,Intent_Analysis!$A$5:$A$81,0))</f>
        <v>Card usage &amp; features</v>
      </c>
      <c r="D8392" s="0" t="n">
        <f aca="false">INDEX(Intent_Analysis!$E$5:$E$81,MATCH(B8392,Intent_Analysis!$A$5:$A$81,0))</f>
        <v>1</v>
      </c>
    </row>
    <row r="8393" customFormat="false" ht="15" hidden="false" customHeight="false" outlineLevel="0" collapsed="false">
      <c r="A8393" s="0" t="s">
        <v>8717</v>
      </c>
      <c r="B8393" s="0" t="s">
        <v>69</v>
      </c>
      <c r="C8393" s="0" t="str">
        <f aca="false">INDEX(Intent_Analysis!$B$5:$B$81,MATCH(B8393,Intent_Analysis!$A$5:$A$81,0))</f>
        <v>Card usage &amp; features</v>
      </c>
      <c r="D8393" s="0" t="n">
        <f aca="false">INDEX(Intent_Analysis!$E$5:$E$81,MATCH(B8393,Intent_Analysis!$A$5:$A$81,0))</f>
        <v>1</v>
      </c>
    </row>
    <row r="8394" customFormat="false" ht="15" hidden="false" customHeight="false" outlineLevel="0" collapsed="false">
      <c r="A8394" s="0" t="s">
        <v>8718</v>
      </c>
      <c r="B8394" s="0" t="s">
        <v>69</v>
      </c>
      <c r="C8394" s="0" t="str">
        <f aca="false">INDEX(Intent_Analysis!$B$5:$B$81,MATCH(B8394,Intent_Analysis!$A$5:$A$81,0))</f>
        <v>Card usage &amp; features</v>
      </c>
      <c r="D8394" s="0" t="n">
        <f aca="false">INDEX(Intent_Analysis!$E$5:$E$81,MATCH(B8394,Intent_Analysis!$A$5:$A$81,0))</f>
        <v>1</v>
      </c>
    </row>
    <row r="8395" customFormat="false" ht="15" hidden="false" customHeight="false" outlineLevel="0" collapsed="false">
      <c r="A8395" s="0" t="s">
        <v>8719</v>
      </c>
      <c r="B8395" s="0" t="s">
        <v>69</v>
      </c>
      <c r="C8395" s="0" t="str">
        <f aca="false">INDEX(Intent_Analysis!$B$5:$B$81,MATCH(B8395,Intent_Analysis!$A$5:$A$81,0))</f>
        <v>Card usage &amp; features</v>
      </c>
      <c r="D8395" s="0" t="n">
        <f aca="false">INDEX(Intent_Analysis!$E$5:$E$81,MATCH(B8395,Intent_Analysis!$A$5:$A$81,0))</f>
        <v>1</v>
      </c>
    </row>
    <row r="8396" customFormat="false" ht="15" hidden="false" customHeight="false" outlineLevel="0" collapsed="false">
      <c r="A8396" s="0" t="s">
        <v>8720</v>
      </c>
      <c r="B8396" s="0" t="s">
        <v>69</v>
      </c>
      <c r="C8396" s="0" t="str">
        <f aca="false">INDEX(Intent_Analysis!$B$5:$B$81,MATCH(B8396,Intent_Analysis!$A$5:$A$81,0))</f>
        <v>Card usage &amp; features</v>
      </c>
      <c r="D8396" s="0" t="n">
        <f aca="false">INDEX(Intent_Analysis!$E$5:$E$81,MATCH(B8396,Intent_Analysis!$A$5:$A$81,0))</f>
        <v>1</v>
      </c>
    </row>
    <row r="8397" customFormat="false" ht="15" hidden="false" customHeight="false" outlineLevel="0" collapsed="false">
      <c r="A8397" s="0" t="s">
        <v>8721</v>
      </c>
      <c r="B8397" s="0" t="s">
        <v>69</v>
      </c>
      <c r="C8397" s="0" t="str">
        <f aca="false">INDEX(Intent_Analysis!$B$5:$B$81,MATCH(B8397,Intent_Analysis!$A$5:$A$81,0))</f>
        <v>Card usage &amp; features</v>
      </c>
      <c r="D8397" s="0" t="n">
        <f aca="false">INDEX(Intent_Analysis!$E$5:$E$81,MATCH(B8397,Intent_Analysis!$A$5:$A$81,0))</f>
        <v>1</v>
      </c>
    </row>
    <row r="8398" customFormat="false" ht="15" hidden="false" customHeight="false" outlineLevel="0" collapsed="false">
      <c r="A8398" s="0" t="s">
        <v>8722</v>
      </c>
      <c r="B8398" s="0" t="s">
        <v>69</v>
      </c>
      <c r="C8398" s="0" t="str">
        <f aca="false">INDEX(Intent_Analysis!$B$5:$B$81,MATCH(B8398,Intent_Analysis!$A$5:$A$81,0))</f>
        <v>Card usage &amp; features</v>
      </c>
      <c r="D8398" s="0" t="n">
        <f aca="false">INDEX(Intent_Analysis!$E$5:$E$81,MATCH(B8398,Intent_Analysis!$A$5:$A$81,0))</f>
        <v>1</v>
      </c>
    </row>
    <row r="8399" customFormat="false" ht="15" hidden="false" customHeight="false" outlineLevel="0" collapsed="false">
      <c r="A8399" s="0" t="s">
        <v>8723</v>
      </c>
      <c r="B8399" s="0" t="s">
        <v>69</v>
      </c>
      <c r="C8399" s="0" t="str">
        <f aca="false">INDEX(Intent_Analysis!$B$5:$B$81,MATCH(B8399,Intent_Analysis!$A$5:$A$81,0))</f>
        <v>Card usage &amp; features</v>
      </c>
      <c r="D8399" s="0" t="n">
        <f aca="false">INDEX(Intent_Analysis!$E$5:$E$81,MATCH(B8399,Intent_Analysis!$A$5:$A$81,0))</f>
        <v>1</v>
      </c>
    </row>
    <row r="8400" customFormat="false" ht="15" hidden="false" customHeight="false" outlineLevel="0" collapsed="false">
      <c r="A8400" s="0" t="s">
        <v>8724</v>
      </c>
      <c r="B8400" s="0" t="s">
        <v>69</v>
      </c>
      <c r="C8400" s="0" t="str">
        <f aca="false">INDEX(Intent_Analysis!$B$5:$B$81,MATCH(B8400,Intent_Analysis!$A$5:$A$81,0))</f>
        <v>Card usage &amp; features</v>
      </c>
      <c r="D8400" s="0" t="n">
        <f aca="false">INDEX(Intent_Analysis!$E$5:$E$81,MATCH(B8400,Intent_Analysis!$A$5:$A$81,0))</f>
        <v>1</v>
      </c>
    </row>
    <row r="8401" customFormat="false" ht="15" hidden="false" customHeight="false" outlineLevel="0" collapsed="false">
      <c r="A8401" s="0" t="s">
        <v>8725</v>
      </c>
      <c r="B8401" s="0" t="s">
        <v>69</v>
      </c>
      <c r="C8401" s="0" t="str">
        <f aca="false">INDEX(Intent_Analysis!$B$5:$B$81,MATCH(B8401,Intent_Analysis!$A$5:$A$81,0))</f>
        <v>Card usage &amp; features</v>
      </c>
      <c r="D8401" s="0" t="n">
        <f aca="false">INDEX(Intent_Analysis!$E$5:$E$81,MATCH(B8401,Intent_Analysis!$A$5:$A$81,0))</f>
        <v>1</v>
      </c>
    </row>
    <row r="8402" customFormat="false" ht="15" hidden="false" customHeight="false" outlineLevel="0" collapsed="false">
      <c r="A8402" s="0" t="s">
        <v>8726</v>
      </c>
      <c r="B8402" s="0" t="s">
        <v>69</v>
      </c>
      <c r="C8402" s="0" t="str">
        <f aca="false">INDEX(Intent_Analysis!$B$5:$B$81,MATCH(B8402,Intent_Analysis!$A$5:$A$81,0))</f>
        <v>Card usage &amp; features</v>
      </c>
      <c r="D8402" s="0" t="n">
        <f aca="false">INDEX(Intent_Analysis!$E$5:$E$81,MATCH(B8402,Intent_Analysis!$A$5:$A$81,0))</f>
        <v>1</v>
      </c>
    </row>
    <row r="8403" customFormat="false" ht="15" hidden="false" customHeight="false" outlineLevel="0" collapsed="false">
      <c r="A8403" s="0" t="s">
        <v>8727</v>
      </c>
      <c r="B8403" s="0" t="s">
        <v>69</v>
      </c>
      <c r="C8403" s="0" t="str">
        <f aca="false">INDEX(Intent_Analysis!$B$5:$B$81,MATCH(B8403,Intent_Analysis!$A$5:$A$81,0))</f>
        <v>Card usage &amp; features</v>
      </c>
      <c r="D8403" s="0" t="n">
        <f aca="false">INDEX(Intent_Analysis!$E$5:$E$81,MATCH(B8403,Intent_Analysis!$A$5:$A$81,0))</f>
        <v>1</v>
      </c>
    </row>
    <row r="8404" customFormat="false" ht="15" hidden="false" customHeight="false" outlineLevel="0" collapsed="false">
      <c r="A8404" s="0" t="s">
        <v>8728</v>
      </c>
      <c r="B8404" s="0" t="s">
        <v>69</v>
      </c>
      <c r="C8404" s="0" t="str">
        <f aca="false">INDEX(Intent_Analysis!$B$5:$B$81,MATCH(B8404,Intent_Analysis!$A$5:$A$81,0))</f>
        <v>Card usage &amp; features</v>
      </c>
      <c r="D8404" s="0" t="n">
        <f aca="false">INDEX(Intent_Analysis!$E$5:$E$81,MATCH(B8404,Intent_Analysis!$A$5:$A$81,0))</f>
        <v>1</v>
      </c>
    </row>
    <row r="8405" customFormat="false" ht="15" hidden="false" customHeight="false" outlineLevel="0" collapsed="false">
      <c r="A8405" s="0" t="s">
        <v>8729</v>
      </c>
      <c r="B8405" s="0" t="s">
        <v>69</v>
      </c>
      <c r="C8405" s="0" t="str">
        <f aca="false">INDEX(Intent_Analysis!$B$5:$B$81,MATCH(B8405,Intent_Analysis!$A$5:$A$81,0))</f>
        <v>Card usage &amp; features</v>
      </c>
      <c r="D8405" s="0" t="n">
        <f aca="false">INDEX(Intent_Analysis!$E$5:$E$81,MATCH(B8405,Intent_Analysis!$A$5:$A$81,0))</f>
        <v>1</v>
      </c>
    </row>
    <row r="8406" customFormat="false" ht="15" hidden="false" customHeight="false" outlineLevel="0" collapsed="false">
      <c r="A8406" s="0" t="s">
        <v>8730</v>
      </c>
      <c r="B8406" s="0" t="s">
        <v>69</v>
      </c>
      <c r="C8406" s="0" t="str">
        <f aca="false">INDEX(Intent_Analysis!$B$5:$B$81,MATCH(B8406,Intent_Analysis!$A$5:$A$81,0))</f>
        <v>Card usage &amp; features</v>
      </c>
      <c r="D8406" s="0" t="n">
        <f aca="false">INDEX(Intent_Analysis!$E$5:$E$81,MATCH(B8406,Intent_Analysis!$A$5:$A$81,0))</f>
        <v>1</v>
      </c>
    </row>
    <row r="8407" customFormat="false" ht="15" hidden="false" customHeight="false" outlineLevel="0" collapsed="false">
      <c r="A8407" s="0" t="s">
        <v>8731</v>
      </c>
      <c r="B8407" s="0" t="s">
        <v>69</v>
      </c>
      <c r="C8407" s="0" t="str">
        <f aca="false">INDEX(Intent_Analysis!$B$5:$B$81,MATCH(B8407,Intent_Analysis!$A$5:$A$81,0))</f>
        <v>Card usage &amp; features</v>
      </c>
      <c r="D8407" s="0" t="n">
        <f aca="false">INDEX(Intent_Analysis!$E$5:$E$81,MATCH(B8407,Intent_Analysis!$A$5:$A$81,0))</f>
        <v>1</v>
      </c>
    </row>
    <row r="8408" customFormat="false" ht="15" hidden="false" customHeight="false" outlineLevel="0" collapsed="false">
      <c r="A8408" s="0" t="s">
        <v>8732</v>
      </c>
      <c r="B8408" s="0" t="s">
        <v>69</v>
      </c>
      <c r="C8408" s="0" t="str">
        <f aca="false">INDEX(Intent_Analysis!$B$5:$B$81,MATCH(B8408,Intent_Analysis!$A$5:$A$81,0))</f>
        <v>Card usage &amp; features</v>
      </c>
      <c r="D8408" s="0" t="n">
        <f aca="false">INDEX(Intent_Analysis!$E$5:$E$81,MATCH(B8408,Intent_Analysis!$A$5:$A$81,0))</f>
        <v>1</v>
      </c>
    </row>
    <row r="8409" customFormat="false" ht="15" hidden="false" customHeight="false" outlineLevel="0" collapsed="false">
      <c r="A8409" s="0" t="s">
        <v>8733</v>
      </c>
      <c r="B8409" s="0" t="s">
        <v>69</v>
      </c>
      <c r="C8409" s="0" t="str">
        <f aca="false">INDEX(Intent_Analysis!$B$5:$B$81,MATCH(B8409,Intent_Analysis!$A$5:$A$81,0))</f>
        <v>Card usage &amp; features</v>
      </c>
      <c r="D8409" s="0" t="n">
        <f aca="false">INDEX(Intent_Analysis!$E$5:$E$81,MATCH(B8409,Intent_Analysis!$A$5:$A$81,0))</f>
        <v>1</v>
      </c>
    </row>
    <row r="8410" customFormat="false" ht="15" hidden="false" customHeight="false" outlineLevel="0" collapsed="false">
      <c r="A8410" s="0" t="s">
        <v>8734</v>
      </c>
      <c r="B8410" s="0" t="s">
        <v>69</v>
      </c>
      <c r="C8410" s="0" t="str">
        <f aca="false">INDEX(Intent_Analysis!$B$5:$B$81,MATCH(B8410,Intent_Analysis!$A$5:$A$81,0))</f>
        <v>Card usage &amp; features</v>
      </c>
      <c r="D8410" s="0" t="n">
        <f aca="false">INDEX(Intent_Analysis!$E$5:$E$81,MATCH(B8410,Intent_Analysis!$A$5:$A$81,0))</f>
        <v>1</v>
      </c>
    </row>
    <row r="8411" customFormat="false" ht="15" hidden="false" customHeight="false" outlineLevel="0" collapsed="false">
      <c r="A8411" s="0" t="s">
        <v>8735</v>
      </c>
      <c r="B8411" s="0" t="s">
        <v>69</v>
      </c>
      <c r="C8411" s="0" t="str">
        <f aca="false">INDEX(Intent_Analysis!$B$5:$B$81,MATCH(B8411,Intent_Analysis!$A$5:$A$81,0))</f>
        <v>Card usage &amp; features</v>
      </c>
      <c r="D8411" s="0" t="n">
        <f aca="false">INDEX(Intent_Analysis!$E$5:$E$81,MATCH(B8411,Intent_Analysis!$A$5:$A$81,0))</f>
        <v>1</v>
      </c>
    </row>
    <row r="8412" customFormat="false" ht="15" hidden="false" customHeight="false" outlineLevel="0" collapsed="false">
      <c r="A8412" s="0" t="s">
        <v>8736</v>
      </c>
      <c r="B8412" s="0" t="s">
        <v>69</v>
      </c>
      <c r="C8412" s="0" t="str">
        <f aca="false">INDEX(Intent_Analysis!$B$5:$B$81,MATCH(B8412,Intent_Analysis!$A$5:$A$81,0))</f>
        <v>Card usage &amp; features</v>
      </c>
      <c r="D8412" s="0" t="n">
        <f aca="false">INDEX(Intent_Analysis!$E$5:$E$81,MATCH(B8412,Intent_Analysis!$A$5:$A$81,0))</f>
        <v>1</v>
      </c>
    </row>
    <row r="8413" customFormat="false" ht="15" hidden="false" customHeight="false" outlineLevel="0" collapsed="false">
      <c r="A8413" s="0" t="s">
        <v>8737</v>
      </c>
      <c r="B8413" s="0" t="s">
        <v>69</v>
      </c>
      <c r="C8413" s="0" t="str">
        <f aca="false">INDEX(Intent_Analysis!$B$5:$B$81,MATCH(B8413,Intent_Analysis!$A$5:$A$81,0))</f>
        <v>Card usage &amp; features</v>
      </c>
      <c r="D8413" s="0" t="n">
        <f aca="false">INDEX(Intent_Analysis!$E$5:$E$81,MATCH(B8413,Intent_Analysis!$A$5:$A$81,0))</f>
        <v>1</v>
      </c>
    </row>
    <row r="8414" customFormat="false" ht="15" hidden="false" customHeight="false" outlineLevel="0" collapsed="false">
      <c r="A8414" s="0" t="s">
        <v>8738</v>
      </c>
      <c r="B8414" s="0" t="s">
        <v>69</v>
      </c>
      <c r="C8414" s="0" t="str">
        <f aca="false">INDEX(Intent_Analysis!$B$5:$B$81,MATCH(B8414,Intent_Analysis!$A$5:$A$81,0))</f>
        <v>Card usage &amp; features</v>
      </c>
      <c r="D8414" s="0" t="n">
        <f aca="false">INDEX(Intent_Analysis!$E$5:$E$81,MATCH(B8414,Intent_Analysis!$A$5:$A$81,0))</f>
        <v>1</v>
      </c>
    </row>
    <row r="8415" customFormat="false" ht="15" hidden="false" customHeight="false" outlineLevel="0" collapsed="false">
      <c r="A8415" s="0" t="s">
        <v>8739</v>
      </c>
      <c r="B8415" s="0" t="s">
        <v>69</v>
      </c>
      <c r="C8415" s="0" t="str">
        <f aca="false">INDEX(Intent_Analysis!$B$5:$B$81,MATCH(B8415,Intent_Analysis!$A$5:$A$81,0))</f>
        <v>Card usage &amp; features</v>
      </c>
      <c r="D8415" s="0" t="n">
        <f aca="false">INDEX(Intent_Analysis!$E$5:$E$81,MATCH(B8415,Intent_Analysis!$A$5:$A$81,0))</f>
        <v>1</v>
      </c>
    </row>
    <row r="8416" customFormat="false" ht="15" hidden="false" customHeight="false" outlineLevel="0" collapsed="false">
      <c r="A8416" s="0" t="s">
        <v>8740</v>
      </c>
      <c r="B8416" s="0" t="s">
        <v>69</v>
      </c>
      <c r="C8416" s="0" t="str">
        <f aca="false">INDEX(Intent_Analysis!$B$5:$B$81,MATCH(B8416,Intent_Analysis!$A$5:$A$81,0))</f>
        <v>Card usage &amp; features</v>
      </c>
      <c r="D8416" s="0" t="n">
        <f aca="false">INDEX(Intent_Analysis!$E$5:$E$81,MATCH(B8416,Intent_Analysis!$A$5:$A$81,0))</f>
        <v>1</v>
      </c>
    </row>
    <row r="8417" customFormat="false" ht="15" hidden="false" customHeight="false" outlineLevel="0" collapsed="false">
      <c r="A8417" s="0" t="s">
        <v>8741</v>
      </c>
      <c r="B8417" s="0" t="s">
        <v>69</v>
      </c>
      <c r="C8417" s="0" t="str">
        <f aca="false">INDEX(Intent_Analysis!$B$5:$B$81,MATCH(B8417,Intent_Analysis!$A$5:$A$81,0))</f>
        <v>Card usage &amp; features</v>
      </c>
      <c r="D8417" s="0" t="n">
        <f aca="false">INDEX(Intent_Analysis!$E$5:$E$81,MATCH(B8417,Intent_Analysis!$A$5:$A$81,0))</f>
        <v>1</v>
      </c>
    </row>
    <row r="8418" customFormat="false" ht="15" hidden="false" customHeight="false" outlineLevel="0" collapsed="false">
      <c r="A8418" s="0" t="s">
        <v>8742</v>
      </c>
      <c r="B8418" s="0" t="s">
        <v>69</v>
      </c>
      <c r="C8418" s="0" t="str">
        <f aca="false">INDEX(Intent_Analysis!$B$5:$B$81,MATCH(B8418,Intent_Analysis!$A$5:$A$81,0))</f>
        <v>Card usage &amp; features</v>
      </c>
      <c r="D8418" s="0" t="n">
        <f aca="false">INDEX(Intent_Analysis!$E$5:$E$81,MATCH(B8418,Intent_Analysis!$A$5:$A$81,0))</f>
        <v>1</v>
      </c>
    </row>
    <row r="8419" customFormat="false" ht="15" hidden="false" customHeight="false" outlineLevel="0" collapsed="false">
      <c r="A8419" s="0" t="s">
        <v>8743</v>
      </c>
      <c r="B8419" s="0" t="s">
        <v>69</v>
      </c>
      <c r="C8419" s="0" t="str">
        <f aca="false">INDEX(Intent_Analysis!$B$5:$B$81,MATCH(B8419,Intent_Analysis!$A$5:$A$81,0))</f>
        <v>Card usage &amp; features</v>
      </c>
      <c r="D8419" s="0" t="n">
        <f aca="false">INDEX(Intent_Analysis!$E$5:$E$81,MATCH(B8419,Intent_Analysis!$A$5:$A$81,0))</f>
        <v>1</v>
      </c>
    </row>
    <row r="8420" customFormat="false" ht="15" hidden="false" customHeight="false" outlineLevel="0" collapsed="false">
      <c r="A8420" s="0" t="s">
        <v>8744</v>
      </c>
      <c r="B8420" s="0" t="s">
        <v>69</v>
      </c>
      <c r="C8420" s="0" t="str">
        <f aca="false">INDEX(Intent_Analysis!$B$5:$B$81,MATCH(B8420,Intent_Analysis!$A$5:$A$81,0))</f>
        <v>Card usage &amp; features</v>
      </c>
      <c r="D8420" s="0" t="n">
        <f aca="false">INDEX(Intent_Analysis!$E$5:$E$81,MATCH(B8420,Intent_Analysis!$A$5:$A$81,0))</f>
        <v>1</v>
      </c>
    </row>
    <row r="8421" customFormat="false" ht="15" hidden="false" customHeight="false" outlineLevel="0" collapsed="false">
      <c r="A8421" s="0" t="s">
        <v>8745</v>
      </c>
      <c r="B8421" s="0" t="s">
        <v>69</v>
      </c>
      <c r="C8421" s="0" t="str">
        <f aca="false">INDEX(Intent_Analysis!$B$5:$B$81,MATCH(B8421,Intent_Analysis!$A$5:$A$81,0))</f>
        <v>Card usage &amp; features</v>
      </c>
      <c r="D8421" s="0" t="n">
        <f aca="false">INDEX(Intent_Analysis!$E$5:$E$81,MATCH(B8421,Intent_Analysis!$A$5:$A$81,0))</f>
        <v>1</v>
      </c>
    </row>
    <row r="8422" customFormat="false" ht="15" hidden="false" customHeight="false" outlineLevel="0" collapsed="false">
      <c r="A8422" s="0" t="s">
        <v>8746</v>
      </c>
      <c r="B8422" s="0" t="s">
        <v>69</v>
      </c>
      <c r="C8422" s="0" t="str">
        <f aca="false">INDEX(Intent_Analysis!$B$5:$B$81,MATCH(B8422,Intent_Analysis!$A$5:$A$81,0))</f>
        <v>Card usage &amp; features</v>
      </c>
      <c r="D8422" s="0" t="n">
        <f aca="false">INDEX(Intent_Analysis!$E$5:$E$81,MATCH(B8422,Intent_Analysis!$A$5:$A$81,0))</f>
        <v>1</v>
      </c>
    </row>
    <row r="8423" customFormat="false" ht="15" hidden="false" customHeight="false" outlineLevel="0" collapsed="false">
      <c r="A8423" s="0" t="s">
        <v>8747</v>
      </c>
      <c r="B8423" s="0" t="s">
        <v>69</v>
      </c>
      <c r="C8423" s="0" t="str">
        <f aca="false">INDEX(Intent_Analysis!$B$5:$B$81,MATCH(B8423,Intent_Analysis!$A$5:$A$81,0))</f>
        <v>Card usage &amp; features</v>
      </c>
      <c r="D8423" s="0" t="n">
        <f aca="false">INDEX(Intent_Analysis!$E$5:$E$81,MATCH(B8423,Intent_Analysis!$A$5:$A$81,0))</f>
        <v>1</v>
      </c>
    </row>
    <row r="8424" customFormat="false" ht="15" hidden="false" customHeight="false" outlineLevel="0" collapsed="false">
      <c r="A8424" s="0" t="s">
        <v>8748</v>
      </c>
      <c r="B8424" s="0" t="s">
        <v>69</v>
      </c>
      <c r="C8424" s="0" t="str">
        <f aca="false">INDEX(Intent_Analysis!$B$5:$B$81,MATCH(B8424,Intent_Analysis!$A$5:$A$81,0))</f>
        <v>Card usage &amp; features</v>
      </c>
      <c r="D8424" s="0" t="n">
        <f aca="false">INDEX(Intent_Analysis!$E$5:$E$81,MATCH(B8424,Intent_Analysis!$A$5:$A$81,0))</f>
        <v>1</v>
      </c>
    </row>
    <row r="8425" customFormat="false" ht="15" hidden="false" customHeight="false" outlineLevel="0" collapsed="false">
      <c r="A8425" s="0" t="s">
        <v>8749</v>
      </c>
      <c r="B8425" s="0" t="s">
        <v>69</v>
      </c>
      <c r="C8425" s="0" t="str">
        <f aca="false">INDEX(Intent_Analysis!$B$5:$B$81,MATCH(B8425,Intent_Analysis!$A$5:$A$81,0))</f>
        <v>Card usage &amp; features</v>
      </c>
      <c r="D8425" s="0" t="n">
        <f aca="false">INDEX(Intent_Analysis!$E$5:$E$81,MATCH(B8425,Intent_Analysis!$A$5:$A$81,0))</f>
        <v>1</v>
      </c>
    </row>
    <row r="8426" customFormat="false" ht="15" hidden="false" customHeight="false" outlineLevel="0" collapsed="false">
      <c r="A8426" s="0" t="s">
        <v>8750</v>
      </c>
      <c r="B8426" s="0" t="s">
        <v>69</v>
      </c>
      <c r="C8426" s="0" t="str">
        <f aca="false">INDEX(Intent_Analysis!$B$5:$B$81,MATCH(B8426,Intent_Analysis!$A$5:$A$81,0))</f>
        <v>Card usage &amp; features</v>
      </c>
      <c r="D8426" s="0" t="n">
        <f aca="false">INDEX(Intent_Analysis!$E$5:$E$81,MATCH(B8426,Intent_Analysis!$A$5:$A$81,0))</f>
        <v>1</v>
      </c>
    </row>
    <row r="8427" customFormat="false" ht="15" hidden="false" customHeight="false" outlineLevel="0" collapsed="false">
      <c r="A8427" s="0" t="s">
        <v>8751</v>
      </c>
      <c r="B8427" s="0" t="s">
        <v>69</v>
      </c>
      <c r="C8427" s="0" t="str">
        <f aca="false">INDEX(Intent_Analysis!$B$5:$B$81,MATCH(B8427,Intent_Analysis!$A$5:$A$81,0))</f>
        <v>Card usage &amp; features</v>
      </c>
      <c r="D8427" s="0" t="n">
        <f aca="false">INDEX(Intent_Analysis!$E$5:$E$81,MATCH(B8427,Intent_Analysis!$A$5:$A$81,0))</f>
        <v>1</v>
      </c>
    </row>
    <row r="8428" customFormat="false" ht="15" hidden="false" customHeight="false" outlineLevel="0" collapsed="false">
      <c r="A8428" s="0" t="s">
        <v>8752</v>
      </c>
      <c r="B8428" s="0" t="s">
        <v>69</v>
      </c>
      <c r="C8428" s="0" t="str">
        <f aca="false">INDEX(Intent_Analysis!$B$5:$B$81,MATCH(B8428,Intent_Analysis!$A$5:$A$81,0))</f>
        <v>Card usage &amp; features</v>
      </c>
      <c r="D8428" s="0" t="n">
        <f aca="false">INDEX(Intent_Analysis!$E$5:$E$81,MATCH(B8428,Intent_Analysis!$A$5:$A$81,0))</f>
        <v>1</v>
      </c>
    </row>
    <row r="8429" customFormat="false" ht="15" hidden="false" customHeight="false" outlineLevel="0" collapsed="false">
      <c r="A8429" s="0" t="s">
        <v>8753</v>
      </c>
      <c r="B8429" s="0" t="s">
        <v>69</v>
      </c>
      <c r="C8429" s="0" t="str">
        <f aca="false">INDEX(Intent_Analysis!$B$5:$B$81,MATCH(B8429,Intent_Analysis!$A$5:$A$81,0))</f>
        <v>Card usage &amp; features</v>
      </c>
      <c r="D8429" s="0" t="n">
        <f aca="false">INDEX(Intent_Analysis!$E$5:$E$81,MATCH(B8429,Intent_Analysis!$A$5:$A$81,0))</f>
        <v>1</v>
      </c>
    </row>
    <row r="8430" customFormat="false" ht="15" hidden="false" customHeight="false" outlineLevel="0" collapsed="false">
      <c r="A8430" s="0" t="s">
        <v>8754</v>
      </c>
      <c r="B8430" s="0" t="s">
        <v>69</v>
      </c>
      <c r="C8430" s="0" t="str">
        <f aca="false">INDEX(Intent_Analysis!$B$5:$B$81,MATCH(B8430,Intent_Analysis!$A$5:$A$81,0))</f>
        <v>Card usage &amp; features</v>
      </c>
      <c r="D8430" s="0" t="n">
        <f aca="false">INDEX(Intent_Analysis!$E$5:$E$81,MATCH(B8430,Intent_Analysis!$A$5:$A$81,0))</f>
        <v>1</v>
      </c>
    </row>
    <row r="8431" customFormat="false" ht="15" hidden="false" customHeight="false" outlineLevel="0" collapsed="false">
      <c r="A8431" s="0" t="s">
        <v>8755</v>
      </c>
      <c r="B8431" s="0" t="s">
        <v>69</v>
      </c>
      <c r="C8431" s="0" t="str">
        <f aca="false">INDEX(Intent_Analysis!$B$5:$B$81,MATCH(B8431,Intent_Analysis!$A$5:$A$81,0))</f>
        <v>Card usage &amp; features</v>
      </c>
      <c r="D8431" s="0" t="n">
        <f aca="false">INDEX(Intent_Analysis!$E$5:$E$81,MATCH(B8431,Intent_Analysis!$A$5:$A$81,0))</f>
        <v>1</v>
      </c>
    </row>
    <row r="8432" customFormat="false" ht="15" hidden="false" customHeight="false" outlineLevel="0" collapsed="false">
      <c r="A8432" s="0" t="s">
        <v>8756</v>
      </c>
      <c r="B8432" s="0" t="s">
        <v>69</v>
      </c>
      <c r="C8432" s="0" t="str">
        <f aca="false">INDEX(Intent_Analysis!$B$5:$B$81,MATCH(B8432,Intent_Analysis!$A$5:$A$81,0))</f>
        <v>Card usage &amp; features</v>
      </c>
      <c r="D8432" s="0" t="n">
        <f aca="false">INDEX(Intent_Analysis!$E$5:$E$81,MATCH(B8432,Intent_Analysis!$A$5:$A$81,0))</f>
        <v>1</v>
      </c>
    </row>
    <row r="8433" customFormat="false" ht="15" hidden="false" customHeight="false" outlineLevel="0" collapsed="false">
      <c r="A8433" s="0" t="s">
        <v>8757</v>
      </c>
      <c r="B8433" s="0" t="s">
        <v>69</v>
      </c>
      <c r="C8433" s="0" t="str">
        <f aca="false">INDEX(Intent_Analysis!$B$5:$B$81,MATCH(B8433,Intent_Analysis!$A$5:$A$81,0))</f>
        <v>Card usage &amp; features</v>
      </c>
      <c r="D8433" s="0" t="n">
        <f aca="false">INDEX(Intent_Analysis!$E$5:$E$81,MATCH(B8433,Intent_Analysis!$A$5:$A$81,0))</f>
        <v>1</v>
      </c>
    </row>
    <row r="8434" customFormat="false" ht="15" hidden="false" customHeight="false" outlineLevel="0" collapsed="false">
      <c r="A8434" s="0" t="s">
        <v>8758</v>
      </c>
      <c r="B8434" s="0" t="s">
        <v>69</v>
      </c>
      <c r="C8434" s="0" t="str">
        <f aca="false">INDEX(Intent_Analysis!$B$5:$B$81,MATCH(B8434,Intent_Analysis!$A$5:$A$81,0))</f>
        <v>Card usage &amp; features</v>
      </c>
      <c r="D8434" s="0" t="n">
        <f aca="false">INDEX(Intent_Analysis!$E$5:$E$81,MATCH(B8434,Intent_Analysis!$A$5:$A$81,0))</f>
        <v>1</v>
      </c>
    </row>
    <row r="8435" customFormat="false" ht="15" hidden="false" customHeight="false" outlineLevel="0" collapsed="false">
      <c r="A8435" s="0" t="s">
        <v>8759</v>
      </c>
      <c r="B8435" s="0" t="s">
        <v>69</v>
      </c>
      <c r="C8435" s="0" t="str">
        <f aca="false">INDEX(Intent_Analysis!$B$5:$B$81,MATCH(B8435,Intent_Analysis!$A$5:$A$81,0))</f>
        <v>Card usage &amp; features</v>
      </c>
      <c r="D8435" s="0" t="n">
        <f aca="false">INDEX(Intent_Analysis!$E$5:$E$81,MATCH(B8435,Intent_Analysis!$A$5:$A$81,0))</f>
        <v>1</v>
      </c>
    </row>
    <row r="8436" customFormat="false" ht="15" hidden="false" customHeight="false" outlineLevel="0" collapsed="false">
      <c r="A8436" s="0" t="s">
        <v>8760</v>
      </c>
      <c r="B8436" s="0" t="s">
        <v>69</v>
      </c>
      <c r="C8436" s="0" t="str">
        <f aca="false">INDEX(Intent_Analysis!$B$5:$B$81,MATCH(B8436,Intent_Analysis!$A$5:$A$81,0))</f>
        <v>Card usage &amp; features</v>
      </c>
      <c r="D8436" s="0" t="n">
        <f aca="false">INDEX(Intent_Analysis!$E$5:$E$81,MATCH(B8436,Intent_Analysis!$A$5:$A$81,0))</f>
        <v>1</v>
      </c>
    </row>
    <row r="8437" customFormat="false" ht="15" hidden="false" customHeight="false" outlineLevel="0" collapsed="false">
      <c r="A8437" s="0" t="s">
        <v>8761</v>
      </c>
      <c r="B8437" s="0" t="s">
        <v>69</v>
      </c>
      <c r="C8437" s="0" t="str">
        <f aca="false">INDEX(Intent_Analysis!$B$5:$B$81,MATCH(B8437,Intent_Analysis!$A$5:$A$81,0))</f>
        <v>Card usage &amp; features</v>
      </c>
      <c r="D8437" s="0" t="n">
        <f aca="false">INDEX(Intent_Analysis!$E$5:$E$81,MATCH(B8437,Intent_Analysis!$A$5:$A$81,0))</f>
        <v>1</v>
      </c>
    </row>
    <row r="8438" customFormat="false" ht="15" hidden="false" customHeight="false" outlineLevel="0" collapsed="false">
      <c r="A8438" s="0" t="s">
        <v>8762</v>
      </c>
      <c r="B8438" s="0" t="s">
        <v>69</v>
      </c>
      <c r="C8438" s="0" t="str">
        <f aca="false">INDEX(Intent_Analysis!$B$5:$B$81,MATCH(B8438,Intent_Analysis!$A$5:$A$81,0))</f>
        <v>Card usage &amp; features</v>
      </c>
      <c r="D8438" s="0" t="n">
        <f aca="false">INDEX(Intent_Analysis!$E$5:$E$81,MATCH(B8438,Intent_Analysis!$A$5:$A$81,0))</f>
        <v>1</v>
      </c>
    </row>
    <row r="8439" customFormat="false" ht="15" hidden="false" customHeight="false" outlineLevel="0" collapsed="false">
      <c r="A8439" s="0" t="s">
        <v>8763</v>
      </c>
      <c r="B8439" s="0" t="s">
        <v>69</v>
      </c>
      <c r="C8439" s="0" t="str">
        <f aca="false">INDEX(Intent_Analysis!$B$5:$B$81,MATCH(B8439,Intent_Analysis!$A$5:$A$81,0))</f>
        <v>Card usage &amp; features</v>
      </c>
      <c r="D8439" s="0" t="n">
        <f aca="false">INDEX(Intent_Analysis!$E$5:$E$81,MATCH(B8439,Intent_Analysis!$A$5:$A$81,0))</f>
        <v>1</v>
      </c>
    </row>
    <row r="8440" customFormat="false" ht="15" hidden="false" customHeight="false" outlineLevel="0" collapsed="false">
      <c r="A8440" s="0" t="s">
        <v>8764</v>
      </c>
      <c r="B8440" s="0" t="s">
        <v>69</v>
      </c>
      <c r="C8440" s="0" t="str">
        <f aca="false">INDEX(Intent_Analysis!$B$5:$B$81,MATCH(B8440,Intent_Analysis!$A$5:$A$81,0))</f>
        <v>Card usage &amp; features</v>
      </c>
      <c r="D8440" s="0" t="n">
        <f aca="false">INDEX(Intent_Analysis!$E$5:$E$81,MATCH(B8440,Intent_Analysis!$A$5:$A$81,0))</f>
        <v>1</v>
      </c>
    </row>
    <row r="8441" customFormat="false" ht="15" hidden="false" customHeight="false" outlineLevel="0" collapsed="false">
      <c r="A8441" s="0" t="s">
        <v>8765</v>
      </c>
      <c r="B8441" s="0" t="s">
        <v>69</v>
      </c>
      <c r="C8441" s="0" t="str">
        <f aca="false">INDEX(Intent_Analysis!$B$5:$B$81,MATCH(B8441,Intent_Analysis!$A$5:$A$81,0))</f>
        <v>Card usage &amp; features</v>
      </c>
      <c r="D8441" s="0" t="n">
        <f aca="false">INDEX(Intent_Analysis!$E$5:$E$81,MATCH(B8441,Intent_Analysis!$A$5:$A$81,0))</f>
        <v>1</v>
      </c>
    </row>
    <row r="8442" customFormat="false" ht="15" hidden="false" customHeight="false" outlineLevel="0" collapsed="false">
      <c r="A8442" s="0" t="s">
        <v>8766</v>
      </c>
      <c r="B8442" s="0" t="s">
        <v>69</v>
      </c>
      <c r="C8442" s="0" t="str">
        <f aca="false">INDEX(Intent_Analysis!$B$5:$B$81,MATCH(B8442,Intent_Analysis!$A$5:$A$81,0))</f>
        <v>Card usage &amp; features</v>
      </c>
      <c r="D8442" s="0" t="n">
        <f aca="false">INDEX(Intent_Analysis!$E$5:$E$81,MATCH(B8442,Intent_Analysis!$A$5:$A$81,0))</f>
        <v>1</v>
      </c>
    </row>
    <row r="8443" customFormat="false" ht="15" hidden="false" customHeight="false" outlineLevel="0" collapsed="false">
      <c r="A8443" s="0" t="s">
        <v>8767</v>
      </c>
      <c r="B8443" s="0" t="s">
        <v>69</v>
      </c>
      <c r="C8443" s="0" t="str">
        <f aca="false">INDEX(Intent_Analysis!$B$5:$B$81,MATCH(B8443,Intent_Analysis!$A$5:$A$81,0))</f>
        <v>Card usage &amp; features</v>
      </c>
      <c r="D8443" s="0" t="n">
        <f aca="false">INDEX(Intent_Analysis!$E$5:$E$81,MATCH(B8443,Intent_Analysis!$A$5:$A$81,0))</f>
        <v>1</v>
      </c>
    </row>
    <row r="8444" customFormat="false" ht="15" hidden="false" customHeight="false" outlineLevel="0" collapsed="false">
      <c r="A8444" s="0" t="s">
        <v>8768</v>
      </c>
      <c r="B8444" s="0" t="s">
        <v>69</v>
      </c>
      <c r="C8444" s="0" t="str">
        <f aca="false">INDEX(Intent_Analysis!$B$5:$B$81,MATCH(B8444,Intent_Analysis!$A$5:$A$81,0))</f>
        <v>Card usage &amp; features</v>
      </c>
      <c r="D8444" s="0" t="n">
        <f aca="false">INDEX(Intent_Analysis!$E$5:$E$81,MATCH(B8444,Intent_Analysis!$A$5:$A$81,0))</f>
        <v>1</v>
      </c>
    </row>
    <row r="8445" customFormat="false" ht="15" hidden="false" customHeight="false" outlineLevel="0" collapsed="false">
      <c r="A8445" s="0" t="s">
        <v>8769</v>
      </c>
      <c r="B8445" s="0" t="s">
        <v>69</v>
      </c>
      <c r="C8445" s="0" t="str">
        <f aca="false">INDEX(Intent_Analysis!$B$5:$B$81,MATCH(B8445,Intent_Analysis!$A$5:$A$81,0))</f>
        <v>Card usage &amp; features</v>
      </c>
      <c r="D8445" s="0" t="n">
        <f aca="false">INDEX(Intent_Analysis!$E$5:$E$81,MATCH(B8445,Intent_Analysis!$A$5:$A$81,0))</f>
        <v>1</v>
      </c>
    </row>
    <row r="8446" customFormat="false" ht="15" hidden="false" customHeight="false" outlineLevel="0" collapsed="false">
      <c r="A8446" s="0" t="s">
        <v>8770</v>
      </c>
      <c r="B8446" s="0" t="s">
        <v>69</v>
      </c>
      <c r="C8446" s="0" t="str">
        <f aca="false">INDEX(Intent_Analysis!$B$5:$B$81,MATCH(B8446,Intent_Analysis!$A$5:$A$81,0))</f>
        <v>Card usage &amp; features</v>
      </c>
      <c r="D8446" s="0" t="n">
        <f aca="false">INDEX(Intent_Analysis!$E$5:$E$81,MATCH(B8446,Intent_Analysis!$A$5:$A$81,0))</f>
        <v>1</v>
      </c>
    </row>
    <row r="8447" customFormat="false" ht="15" hidden="false" customHeight="false" outlineLevel="0" collapsed="false">
      <c r="A8447" s="0" t="s">
        <v>8771</v>
      </c>
      <c r="B8447" s="0" t="s">
        <v>69</v>
      </c>
      <c r="C8447" s="0" t="str">
        <f aca="false">INDEX(Intent_Analysis!$B$5:$B$81,MATCH(B8447,Intent_Analysis!$A$5:$A$81,0))</f>
        <v>Card usage &amp; features</v>
      </c>
      <c r="D8447" s="0" t="n">
        <f aca="false">INDEX(Intent_Analysis!$E$5:$E$81,MATCH(B8447,Intent_Analysis!$A$5:$A$81,0))</f>
        <v>1</v>
      </c>
    </row>
    <row r="8448" customFormat="false" ht="15" hidden="false" customHeight="false" outlineLevel="0" collapsed="false">
      <c r="A8448" s="0" t="s">
        <v>8772</v>
      </c>
      <c r="B8448" s="0" t="s">
        <v>69</v>
      </c>
      <c r="C8448" s="0" t="str">
        <f aca="false">INDEX(Intent_Analysis!$B$5:$B$81,MATCH(B8448,Intent_Analysis!$A$5:$A$81,0))</f>
        <v>Card usage &amp; features</v>
      </c>
      <c r="D8448" s="0" t="n">
        <f aca="false">INDEX(Intent_Analysis!$E$5:$E$81,MATCH(B8448,Intent_Analysis!$A$5:$A$81,0))</f>
        <v>1</v>
      </c>
    </row>
    <row r="8449" customFormat="false" ht="15" hidden="false" customHeight="false" outlineLevel="0" collapsed="false">
      <c r="A8449" s="0" t="s">
        <v>8773</v>
      </c>
      <c r="B8449" s="0" t="s">
        <v>69</v>
      </c>
      <c r="C8449" s="0" t="str">
        <f aca="false">INDEX(Intent_Analysis!$B$5:$B$81,MATCH(B8449,Intent_Analysis!$A$5:$A$81,0))</f>
        <v>Card usage &amp; features</v>
      </c>
      <c r="D8449" s="0" t="n">
        <f aca="false">INDEX(Intent_Analysis!$E$5:$E$81,MATCH(B8449,Intent_Analysis!$A$5:$A$81,0))</f>
        <v>1</v>
      </c>
    </row>
    <row r="8450" customFormat="false" ht="15" hidden="false" customHeight="false" outlineLevel="0" collapsed="false">
      <c r="A8450" s="0" t="s">
        <v>8774</v>
      </c>
      <c r="B8450" s="0" t="s">
        <v>69</v>
      </c>
      <c r="C8450" s="0" t="str">
        <f aca="false">INDEX(Intent_Analysis!$B$5:$B$81,MATCH(B8450,Intent_Analysis!$A$5:$A$81,0))</f>
        <v>Card usage &amp; features</v>
      </c>
      <c r="D8450" s="0" t="n">
        <f aca="false">INDEX(Intent_Analysis!$E$5:$E$81,MATCH(B8450,Intent_Analysis!$A$5:$A$81,0))</f>
        <v>1</v>
      </c>
    </row>
    <row r="8451" customFormat="false" ht="15" hidden="false" customHeight="false" outlineLevel="0" collapsed="false">
      <c r="A8451" s="0" t="s">
        <v>8775</v>
      </c>
      <c r="B8451" s="0" t="s">
        <v>69</v>
      </c>
      <c r="C8451" s="0" t="str">
        <f aca="false">INDEX(Intent_Analysis!$B$5:$B$81,MATCH(B8451,Intent_Analysis!$A$5:$A$81,0))</f>
        <v>Card usage &amp; features</v>
      </c>
      <c r="D8451" s="0" t="n">
        <f aca="false">INDEX(Intent_Analysis!$E$5:$E$81,MATCH(B8451,Intent_Analysis!$A$5:$A$81,0))</f>
        <v>1</v>
      </c>
    </row>
    <row r="8452" customFormat="false" ht="15" hidden="false" customHeight="false" outlineLevel="0" collapsed="false">
      <c r="A8452" s="0" t="s">
        <v>8776</v>
      </c>
      <c r="B8452" s="0" t="s">
        <v>69</v>
      </c>
      <c r="C8452" s="0" t="str">
        <f aca="false">INDEX(Intent_Analysis!$B$5:$B$81,MATCH(B8452,Intent_Analysis!$A$5:$A$81,0))</f>
        <v>Card usage &amp; features</v>
      </c>
      <c r="D8452" s="0" t="n">
        <f aca="false">INDEX(Intent_Analysis!$E$5:$E$81,MATCH(B8452,Intent_Analysis!$A$5:$A$81,0))</f>
        <v>1</v>
      </c>
    </row>
    <row r="8453" customFormat="false" ht="15" hidden="false" customHeight="false" outlineLevel="0" collapsed="false">
      <c r="A8453" s="0" t="s">
        <v>8777</v>
      </c>
      <c r="B8453" s="0" t="s">
        <v>69</v>
      </c>
      <c r="C8453" s="0" t="str">
        <f aca="false">INDEX(Intent_Analysis!$B$5:$B$81,MATCH(B8453,Intent_Analysis!$A$5:$A$81,0))</f>
        <v>Card usage &amp; features</v>
      </c>
      <c r="D8453" s="0" t="n">
        <f aca="false">INDEX(Intent_Analysis!$E$5:$E$81,MATCH(B8453,Intent_Analysis!$A$5:$A$81,0))</f>
        <v>1</v>
      </c>
    </row>
    <row r="8454" customFormat="false" ht="15" hidden="false" customHeight="false" outlineLevel="0" collapsed="false">
      <c r="A8454" s="0" t="s">
        <v>8778</v>
      </c>
      <c r="B8454" s="0" t="s">
        <v>69</v>
      </c>
      <c r="C8454" s="0" t="str">
        <f aca="false">INDEX(Intent_Analysis!$B$5:$B$81,MATCH(B8454,Intent_Analysis!$A$5:$A$81,0))</f>
        <v>Card usage &amp; features</v>
      </c>
      <c r="D8454" s="0" t="n">
        <f aca="false">INDEX(Intent_Analysis!$E$5:$E$81,MATCH(B8454,Intent_Analysis!$A$5:$A$81,0))</f>
        <v>1</v>
      </c>
    </row>
    <row r="8455" customFormat="false" ht="15" hidden="false" customHeight="false" outlineLevel="0" collapsed="false">
      <c r="A8455" s="0" t="s">
        <v>8779</v>
      </c>
      <c r="B8455" s="0" t="s">
        <v>69</v>
      </c>
      <c r="C8455" s="0" t="str">
        <f aca="false">INDEX(Intent_Analysis!$B$5:$B$81,MATCH(B8455,Intent_Analysis!$A$5:$A$81,0))</f>
        <v>Card usage &amp; features</v>
      </c>
      <c r="D8455" s="0" t="n">
        <f aca="false">INDEX(Intent_Analysis!$E$5:$E$81,MATCH(B8455,Intent_Analysis!$A$5:$A$81,0))</f>
        <v>1</v>
      </c>
    </row>
    <row r="8456" customFormat="false" ht="15" hidden="false" customHeight="false" outlineLevel="0" collapsed="false">
      <c r="A8456" s="0" t="s">
        <v>8780</v>
      </c>
      <c r="B8456" s="0" t="s">
        <v>69</v>
      </c>
      <c r="C8456" s="0" t="str">
        <f aca="false">INDEX(Intent_Analysis!$B$5:$B$81,MATCH(B8456,Intent_Analysis!$A$5:$A$81,0))</f>
        <v>Card usage &amp; features</v>
      </c>
      <c r="D8456" s="0" t="n">
        <f aca="false">INDEX(Intent_Analysis!$E$5:$E$81,MATCH(B8456,Intent_Analysis!$A$5:$A$81,0))</f>
        <v>1</v>
      </c>
    </row>
    <row r="8457" customFormat="false" ht="15" hidden="false" customHeight="false" outlineLevel="0" collapsed="false">
      <c r="A8457" s="0" t="s">
        <v>8781</v>
      </c>
      <c r="B8457" s="0" t="s">
        <v>69</v>
      </c>
      <c r="C8457" s="0" t="str">
        <f aca="false">INDEX(Intent_Analysis!$B$5:$B$81,MATCH(B8457,Intent_Analysis!$A$5:$A$81,0))</f>
        <v>Card usage &amp; features</v>
      </c>
      <c r="D8457" s="0" t="n">
        <f aca="false">INDEX(Intent_Analysis!$E$5:$E$81,MATCH(B8457,Intent_Analysis!$A$5:$A$81,0))</f>
        <v>1</v>
      </c>
    </row>
    <row r="8458" customFormat="false" ht="15" hidden="false" customHeight="false" outlineLevel="0" collapsed="false">
      <c r="A8458" s="0" t="s">
        <v>8782</v>
      </c>
      <c r="B8458" s="0" t="s">
        <v>69</v>
      </c>
      <c r="C8458" s="0" t="str">
        <f aca="false">INDEX(Intent_Analysis!$B$5:$B$81,MATCH(B8458,Intent_Analysis!$A$5:$A$81,0))</f>
        <v>Card usage &amp; features</v>
      </c>
      <c r="D8458" s="0" t="n">
        <f aca="false">INDEX(Intent_Analysis!$E$5:$E$81,MATCH(B8458,Intent_Analysis!$A$5:$A$81,0))</f>
        <v>1</v>
      </c>
    </row>
    <row r="8459" customFormat="false" ht="15" hidden="false" customHeight="false" outlineLevel="0" collapsed="false">
      <c r="A8459" s="0" t="s">
        <v>8783</v>
      </c>
      <c r="B8459" s="0" t="s">
        <v>69</v>
      </c>
      <c r="C8459" s="0" t="str">
        <f aca="false">INDEX(Intent_Analysis!$B$5:$B$81,MATCH(B8459,Intent_Analysis!$A$5:$A$81,0))</f>
        <v>Card usage &amp; features</v>
      </c>
      <c r="D8459" s="0" t="n">
        <f aca="false">INDEX(Intent_Analysis!$E$5:$E$81,MATCH(B8459,Intent_Analysis!$A$5:$A$81,0))</f>
        <v>1</v>
      </c>
    </row>
    <row r="8460" customFormat="false" ht="15" hidden="false" customHeight="false" outlineLevel="0" collapsed="false">
      <c r="A8460" s="0" t="s">
        <v>8784</v>
      </c>
      <c r="B8460" s="0" t="s">
        <v>69</v>
      </c>
      <c r="C8460" s="0" t="str">
        <f aca="false">INDEX(Intent_Analysis!$B$5:$B$81,MATCH(B8460,Intent_Analysis!$A$5:$A$81,0))</f>
        <v>Card usage &amp; features</v>
      </c>
      <c r="D8460" s="0" t="n">
        <f aca="false">INDEX(Intent_Analysis!$E$5:$E$81,MATCH(B8460,Intent_Analysis!$A$5:$A$81,0))</f>
        <v>1</v>
      </c>
    </row>
    <row r="8461" customFormat="false" ht="15" hidden="false" customHeight="false" outlineLevel="0" collapsed="false">
      <c r="A8461" s="0" t="s">
        <v>8785</v>
      </c>
      <c r="B8461" s="0" t="s">
        <v>69</v>
      </c>
      <c r="C8461" s="0" t="str">
        <f aca="false">INDEX(Intent_Analysis!$B$5:$B$81,MATCH(B8461,Intent_Analysis!$A$5:$A$81,0))</f>
        <v>Card usage &amp; features</v>
      </c>
      <c r="D8461" s="0" t="n">
        <f aca="false">INDEX(Intent_Analysis!$E$5:$E$81,MATCH(B8461,Intent_Analysis!$A$5:$A$81,0))</f>
        <v>1</v>
      </c>
    </row>
    <row r="8462" customFormat="false" ht="15" hidden="false" customHeight="false" outlineLevel="0" collapsed="false">
      <c r="A8462" s="0" t="s">
        <v>8786</v>
      </c>
      <c r="B8462" s="0" t="s">
        <v>69</v>
      </c>
      <c r="C8462" s="0" t="str">
        <f aca="false">INDEX(Intent_Analysis!$B$5:$B$81,MATCH(B8462,Intent_Analysis!$A$5:$A$81,0))</f>
        <v>Card usage &amp; features</v>
      </c>
      <c r="D8462" s="0" t="n">
        <f aca="false">INDEX(Intent_Analysis!$E$5:$E$81,MATCH(B8462,Intent_Analysis!$A$5:$A$81,0))</f>
        <v>1</v>
      </c>
    </row>
    <row r="8463" customFormat="false" ht="15" hidden="false" customHeight="false" outlineLevel="0" collapsed="false">
      <c r="A8463" s="0" t="s">
        <v>8787</v>
      </c>
      <c r="B8463" s="0" t="s">
        <v>69</v>
      </c>
      <c r="C8463" s="0" t="str">
        <f aca="false">INDEX(Intent_Analysis!$B$5:$B$81,MATCH(B8463,Intent_Analysis!$A$5:$A$81,0))</f>
        <v>Card usage &amp; features</v>
      </c>
      <c r="D8463" s="0" t="n">
        <f aca="false">INDEX(Intent_Analysis!$E$5:$E$81,MATCH(B8463,Intent_Analysis!$A$5:$A$81,0))</f>
        <v>1</v>
      </c>
    </row>
    <row r="8464" customFormat="false" ht="15" hidden="false" customHeight="false" outlineLevel="0" collapsed="false">
      <c r="A8464" s="0" t="s">
        <v>8788</v>
      </c>
      <c r="B8464" s="0" t="s">
        <v>69</v>
      </c>
      <c r="C8464" s="0" t="str">
        <f aca="false">INDEX(Intent_Analysis!$B$5:$B$81,MATCH(B8464,Intent_Analysis!$A$5:$A$81,0))</f>
        <v>Card usage &amp; features</v>
      </c>
      <c r="D8464" s="0" t="n">
        <f aca="false">INDEX(Intent_Analysis!$E$5:$E$81,MATCH(B8464,Intent_Analysis!$A$5:$A$81,0))</f>
        <v>1</v>
      </c>
    </row>
    <row r="8465" customFormat="false" ht="15" hidden="false" customHeight="false" outlineLevel="0" collapsed="false">
      <c r="A8465" s="0" t="s">
        <v>8789</v>
      </c>
      <c r="B8465" s="0" t="s">
        <v>69</v>
      </c>
      <c r="C8465" s="0" t="str">
        <f aca="false">INDEX(Intent_Analysis!$B$5:$B$81,MATCH(B8465,Intent_Analysis!$A$5:$A$81,0))</f>
        <v>Card usage &amp; features</v>
      </c>
      <c r="D8465" s="0" t="n">
        <f aca="false">INDEX(Intent_Analysis!$E$5:$E$81,MATCH(B8465,Intent_Analysis!$A$5:$A$81,0))</f>
        <v>1</v>
      </c>
    </row>
    <row r="8466" customFormat="false" ht="15" hidden="false" customHeight="false" outlineLevel="0" collapsed="false">
      <c r="A8466" s="0" t="s">
        <v>8790</v>
      </c>
      <c r="B8466" s="0" t="s">
        <v>69</v>
      </c>
      <c r="C8466" s="0" t="str">
        <f aca="false">INDEX(Intent_Analysis!$B$5:$B$81,MATCH(B8466,Intent_Analysis!$A$5:$A$81,0))</f>
        <v>Card usage &amp; features</v>
      </c>
      <c r="D8466" s="0" t="n">
        <f aca="false">INDEX(Intent_Analysis!$E$5:$E$81,MATCH(B8466,Intent_Analysis!$A$5:$A$81,0))</f>
        <v>1</v>
      </c>
    </row>
    <row r="8467" customFormat="false" ht="15" hidden="false" customHeight="false" outlineLevel="0" collapsed="false">
      <c r="A8467" s="0" t="s">
        <v>8791</v>
      </c>
      <c r="B8467" s="0" t="s">
        <v>69</v>
      </c>
      <c r="C8467" s="0" t="str">
        <f aca="false">INDEX(Intent_Analysis!$B$5:$B$81,MATCH(B8467,Intent_Analysis!$A$5:$A$81,0))</f>
        <v>Card usage &amp; features</v>
      </c>
      <c r="D8467" s="0" t="n">
        <f aca="false">INDEX(Intent_Analysis!$E$5:$E$81,MATCH(B8467,Intent_Analysis!$A$5:$A$81,0))</f>
        <v>1</v>
      </c>
    </row>
    <row r="8468" customFormat="false" ht="15" hidden="false" customHeight="false" outlineLevel="0" collapsed="false">
      <c r="A8468" s="0" t="s">
        <v>8792</v>
      </c>
      <c r="B8468" s="0" t="s">
        <v>69</v>
      </c>
      <c r="C8468" s="0" t="str">
        <f aca="false">INDEX(Intent_Analysis!$B$5:$B$81,MATCH(B8468,Intent_Analysis!$A$5:$A$81,0))</f>
        <v>Card usage &amp; features</v>
      </c>
      <c r="D8468" s="0" t="n">
        <f aca="false">INDEX(Intent_Analysis!$E$5:$E$81,MATCH(B8468,Intent_Analysis!$A$5:$A$81,0))</f>
        <v>1</v>
      </c>
    </row>
    <row r="8469" customFormat="false" ht="15" hidden="false" customHeight="false" outlineLevel="0" collapsed="false">
      <c r="A8469" s="0" t="s">
        <v>8793</v>
      </c>
      <c r="B8469" s="0" t="s">
        <v>69</v>
      </c>
      <c r="C8469" s="0" t="str">
        <f aca="false">INDEX(Intent_Analysis!$B$5:$B$81,MATCH(B8469,Intent_Analysis!$A$5:$A$81,0))</f>
        <v>Card usage &amp; features</v>
      </c>
      <c r="D8469" s="0" t="n">
        <f aca="false">INDEX(Intent_Analysis!$E$5:$E$81,MATCH(B8469,Intent_Analysis!$A$5:$A$81,0))</f>
        <v>1</v>
      </c>
    </row>
    <row r="8470" customFormat="false" ht="15" hidden="false" customHeight="false" outlineLevel="0" collapsed="false">
      <c r="A8470" s="0" t="s">
        <v>8794</v>
      </c>
      <c r="B8470" s="0" t="s">
        <v>105</v>
      </c>
      <c r="C8470" s="0" t="str">
        <f aca="false">INDEX(Intent_Analysis!$B$5:$B$81,MATCH(B8470,Intent_Analysis!$A$5:$A$81,0))</f>
        <v>Top-ups</v>
      </c>
      <c r="D8470" s="0" t="n">
        <f aca="false">INDEX(Intent_Analysis!$E$5:$E$81,MATCH(B8470,Intent_Analysis!$A$5:$A$81,0))</f>
        <v>2</v>
      </c>
    </row>
    <row r="8471" customFormat="false" ht="15" hidden="false" customHeight="false" outlineLevel="0" collapsed="false">
      <c r="A8471" s="0" t="s">
        <v>8795</v>
      </c>
      <c r="B8471" s="0" t="s">
        <v>105</v>
      </c>
      <c r="C8471" s="0" t="str">
        <f aca="false">INDEX(Intent_Analysis!$B$5:$B$81,MATCH(B8471,Intent_Analysis!$A$5:$A$81,0))</f>
        <v>Top-ups</v>
      </c>
      <c r="D8471" s="0" t="n">
        <f aca="false">INDEX(Intent_Analysis!$E$5:$E$81,MATCH(B8471,Intent_Analysis!$A$5:$A$81,0))</f>
        <v>2</v>
      </c>
    </row>
    <row r="8472" customFormat="false" ht="15" hidden="false" customHeight="false" outlineLevel="0" collapsed="false">
      <c r="A8472" s="0" t="s">
        <v>8796</v>
      </c>
      <c r="B8472" s="0" t="s">
        <v>105</v>
      </c>
      <c r="C8472" s="0" t="str">
        <f aca="false">INDEX(Intent_Analysis!$B$5:$B$81,MATCH(B8472,Intent_Analysis!$A$5:$A$81,0))</f>
        <v>Top-ups</v>
      </c>
      <c r="D8472" s="0" t="n">
        <f aca="false">INDEX(Intent_Analysis!$E$5:$E$81,MATCH(B8472,Intent_Analysis!$A$5:$A$81,0))</f>
        <v>2</v>
      </c>
    </row>
    <row r="8473" customFormat="false" ht="15" hidden="false" customHeight="false" outlineLevel="0" collapsed="false">
      <c r="A8473" s="0" t="s">
        <v>8797</v>
      </c>
      <c r="B8473" s="0" t="s">
        <v>105</v>
      </c>
      <c r="C8473" s="0" t="str">
        <f aca="false">INDEX(Intent_Analysis!$B$5:$B$81,MATCH(B8473,Intent_Analysis!$A$5:$A$81,0))</f>
        <v>Top-ups</v>
      </c>
      <c r="D8473" s="0" t="n">
        <f aca="false">INDEX(Intent_Analysis!$E$5:$E$81,MATCH(B8473,Intent_Analysis!$A$5:$A$81,0))</f>
        <v>2</v>
      </c>
    </row>
    <row r="8474" customFormat="false" ht="15" hidden="false" customHeight="false" outlineLevel="0" collapsed="false">
      <c r="A8474" s="0" t="s">
        <v>8798</v>
      </c>
      <c r="B8474" s="0" t="s">
        <v>105</v>
      </c>
      <c r="C8474" s="0" t="str">
        <f aca="false">INDEX(Intent_Analysis!$B$5:$B$81,MATCH(B8474,Intent_Analysis!$A$5:$A$81,0))</f>
        <v>Top-ups</v>
      </c>
      <c r="D8474" s="0" t="n">
        <f aca="false">INDEX(Intent_Analysis!$E$5:$E$81,MATCH(B8474,Intent_Analysis!$A$5:$A$81,0))</f>
        <v>2</v>
      </c>
    </row>
    <row r="8475" customFormat="false" ht="15" hidden="false" customHeight="false" outlineLevel="0" collapsed="false">
      <c r="A8475" s="0" t="s">
        <v>8799</v>
      </c>
      <c r="B8475" s="0" t="s">
        <v>105</v>
      </c>
      <c r="C8475" s="0" t="str">
        <f aca="false">INDEX(Intent_Analysis!$B$5:$B$81,MATCH(B8475,Intent_Analysis!$A$5:$A$81,0))</f>
        <v>Top-ups</v>
      </c>
      <c r="D8475" s="0" t="n">
        <f aca="false">INDEX(Intent_Analysis!$E$5:$E$81,MATCH(B8475,Intent_Analysis!$A$5:$A$81,0))</f>
        <v>2</v>
      </c>
    </row>
    <row r="8476" customFormat="false" ht="15" hidden="false" customHeight="false" outlineLevel="0" collapsed="false">
      <c r="A8476" s="0" t="s">
        <v>8800</v>
      </c>
      <c r="B8476" s="0" t="s">
        <v>105</v>
      </c>
      <c r="C8476" s="0" t="str">
        <f aca="false">INDEX(Intent_Analysis!$B$5:$B$81,MATCH(B8476,Intent_Analysis!$A$5:$A$81,0))</f>
        <v>Top-ups</v>
      </c>
      <c r="D8476" s="0" t="n">
        <f aca="false">INDEX(Intent_Analysis!$E$5:$E$81,MATCH(B8476,Intent_Analysis!$A$5:$A$81,0))</f>
        <v>2</v>
      </c>
    </row>
    <row r="8477" customFormat="false" ht="15" hidden="false" customHeight="false" outlineLevel="0" collapsed="false">
      <c r="A8477" s="0" t="s">
        <v>8801</v>
      </c>
      <c r="B8477" s="0" t="s">
        <v>105</v>
      </c>
      <c r="C8477" s="0" t="str">
        <f aca="false">INDEX(Intent_Analysis!$B$5:$B$81,MATCH(B8477,Intent_Analysis!$A$5:$A$81,0))</f>
        <v>Top-ups</v>
      </c>
      <c r="D8477" s="0" t="n">
        <f aca="false">INDEX(Intent_Analysis!$E$5:$E$81,MATCH(B8477,Intent_Analysis!$A$5:$A$81,0))</f>
        <v>2</v>
      </c>
    </row>
    <row r="8478" customFormat="false" ht="15" hidden="false" customHeight="false" outlineLevel="0" collapsed="false">
      <c r="A8478" s="0" t="s">
        <v>8802</v>
      </c>
      <c r="B8478" s="0" t="s">
        <v>105</v>
      </c>
      <c r="C8478" s="0" t="str">
        <f aca="false">INDEX(Intent_Analysis!$B$5:$B$81,MATCH(B8478,Intent_Analysis!$A$5:$A$81,0))</f>
        <v>Top-ups</v>
      </c>
      <c r="D8478" s="0" t="n">
        <f aca="false">INDEX(Intent_Analysis!$E$5:$E$81,MATCH(B8478,Intent_Analysis!$A$5:$A$81,0))</f>
        <v>2</v>
      </c>
    </row>
    <row r="8479" customFormat="false" ht="15" hidden="false" customHeight="false" outlineLevel="0" collapsed="false">
      <c r="A8479" s="0" t="s">
        <v>8803</v>
      </c>
      <c r="B8479" s="0" t="s">
        <v>105</v>
      </c>
      <c r="C8479" s="0" t="str">
        <f aca="false">INDEX(Intent_Analysis!$B$5:$B$81,MATCH(B8479,Intent_Analysis!$A$5:$A$81,0))</f>
        <v>Top-ups</v>
      </c>
      <c r="D8479" s="0" t="n">
        <f aca="false">INDEX(Intent_Analysis!$E$5:$E$81,MATCH(B8479,Intent_Analysis!$A$5:$A$81,0))</f>
        <v>2</v>
      </c>
    </row>
    <row r="8480" customFormat="false" ht="15" hidden="false" customHeight="false" outlineLevel="0" collapsed="false">
      <c r="A8480" s="0" t="s">
        <v>8804</v>
      </c>
      <c r="B8480" s="0" t="s">
        <v>105</v>
      </c>
      <c r="C8480" s="0" t="str">
        <f aca="false">INDEX(Intent_Analysis!$B$5:$B$81,MATCH(B8480,Intent_Analysis!$A$5:$A$81,0))</f>
        <v>Top-ups</v>
      </c>
      <c r="D8480" s="0" t="n">
        <f aca="false">INDEX(Intent_Analysis!$E$5:$E$81,MATCH(B8480,Intent_Analysis!$A$5:$A$81,0))</f>
        <v>2</v>
      </c>
    </row>
    <row r="8481" customFormat="false" ht="15" hidden="false" customHeight="false" outlineLevel="0" collapsed="false">
      <c r="A8481" s="0" t="s">
        <v>8805</v>
      </c>
      <c r="B8481" s="0" t="s">
        <v>105</v>
      </c>
      <c r="C8481" s="0" t="str">
        <f aca="false">INDEX(Intent_Analysis!$B$5:$B$81,MATCH(B8481,Intent_Analysis!$A$5:$A$81,0))</f>
        <v>Top-ups</v>
      </c>
      <c r="D8481" s="0" t="n">
        <f aca="false">INDEX(Intent_Analysis!$E$5:$E$81,MATCH(B8481,Intent_Analysis!$A$5:$A$81,0))</f>
        <v>2</v>
      </c>
    </row>
    <row r="8482" customFormat="false" ht="15" hidden="false" customHeight="false" outlineLevel="0" collapsed="false">
      <c r="A8482" s="0" t="s">
        <v>8806</v>
      </c>
      <c r="B8482" s="0" t="s">
        <v>105</v>
      </c>
      <c r="C8482" s="0" t="str">
        <f aca="false">INDEX(Intent_Analysis!$B$5:$B$81,MATCH(B8482,Intent_Analysis!$A$5:$A$81,0))</f>
        <v>Top-ups</v>
      </c>
      <c r="D8482" s="0" t="n">
        <f aca="false">INDEX(Intent_Analysis!$E$5:$E$81,MATCH(B8482,Intent_Analysis!$A$5:$A$81,0))</f>
        <v>2</v>
      </c>
    </row>
    <row r="8483" customFormat="false" ht="15" hidden="false" customHeight="false" outlineLevel="0" collapsed="false">
      <c r="A8483" s="0" t="s">
        <v>8807</v>
      </c>
      <c r="B8483" s="0" t="s">
        <v>105</v>
      </c>
      <c r="C8483" s="0" t="str">
        <f aca="false">INDEX(Intent_Analysis!$B$5:$B$81,MATCH(B8483,Intent_Analysis!$A$5:$A$81,0))</f>
        <v>Top-ups</v>
      </c>
      <c r="D8483" s="0" t="n">
        <f aca="false">INDEX(Intent_Analysis!$E$5:$E$81,MATCH(B8483,Intent_Analysis!$A$5:$A$81,0))</f>
        <v>2</v>
      </c>
    </row>
    <row r="8484" customFormat="false" ht="15" hidden="false" customHeight="false" outlineLevel="0" collapsed="false">
      <c r="A8484" s="0" t="s">
        <v>8808</v>
      </c>
      <c r="B8484" s="0" t="s">
        <v>105</v>
      </c>
      <c r="C8484" s="0" t="str">
        <f aca="false">INDEX(Intent_Analysis!$B$5:$B$81,MATCH(B8484,Intent_Analysis!$A$5:$A$81,0))</f>
        <v>Top-ups</v>
      </c>
      <c r="D8484" s="0" t="n">
        <f aca="false">INDEX(Intent_Analysis!$E$5:$E$81,MATCH(B8484,Intent_Analysis!$A$5:$A$81,0))</f>
        <v>2</v>
      </c>
    </row>
    <row r="8485" customFormat="false" ht="15" hidden="false" customHeight="false" outlineLevel="0" collapsed="false">
      <c r="A8485" s="0" t="s">
        <v>8809</v>
      </c>
      <c r="B8485" s="0" t="s">
        <v>105</v>
      </c>
      <c r="C8485" s="0" t="str">
        <f aca="false">INDEX(Intent_Analysis!$B$5:$B$81,MATCH(B8485,Intent_Analysis!$A$5:$A$81,0))</f>
        <v>Top-ups</v>
      </c>
      <c r="D8485" s="0" t="n">
        <f aca="false">INDEX(Intent_Analysis!$E$5:$E$81,MATCH(B8485,Intent_Analysis!$A$5:$A$81,0))</f>
        <v>2</v>
      </c>
    </row>
    <row r="8486" customFormat="false" ht="15" hidden="false" customHeight="false" outlineLevel="0" collapsed="false">
      <c r="A8486" s="0" t="s">
        <v>8810</v>
      </c>
      <c r="B8486" s="0" t="s">
        <v>105</v>
      </c>
      <c r="C8486" s="0" t="str">
        <f aca="false">INDEX(Intent_Analysis!$B$5:$B$81,MATCH(B8486,Intent_Analysis!$A$5:$A$81,0))</f>
        <v>Top-ups</v>
      </c>
      <c r="D8486" s="0" t="n">
        <f aca="false">INDEX(Intent_Analysis!$E$5:$E$81,MATCH(B8486,Intent_Analysis!$A$5:$A$81,0))</f>
        <v>2</v>
      </c>
    </row>
    <row r="8487" customFormat="false" ht="15" hidden="false" customHeight="false" outlineLevel="0" collapsed="false">
      <c r="A8487" s="0" t="s">
        <v>8811</v>
      </c>
      <c r="B8487" s="0" t="s">
        <v>105</v>
      </c>
      <c r="C8487" s="0" t="str">
        <f aca="false">INDEX(Intent_Analysis!$B$5:$B$81,MATCH(B8487,Intent_Analysis!$A$5:$A$81,0))</f>
        <v>Top-ups</v>
      </c>
      <c r="D8487" s="0" t="n">
        <f aca="false">INDEX(Intent_Analysis!$E$5:$E$81,MATCH(B8487,Intent_Analysis!$A$5:$A$81,0))</f>
        <v>2</v>
      </c>
    </row>
    <row r="8488" customFormat="false" ht="15" hidden="false" customHeight="false" outlineLevel="0" collapsed="false">
      <c r="A8488" s="0" t="s">
        <v>8812</v>
      </c>
      <c r="B8488" s="0" t="s">
        <v>105</v>
      </c>
      <c r="C8488" s="0" t="str">
        <f aca="false">INDEX(Intent_Analysis!$B$5:$B$81,MATCH(B8488,Intent_Analysis!$A$5:$A$81,0))</f>
        <v>Top-ups</v>
      </c>
      <c r="D8488" s="0" t="n">
        <f aca="false">INDEX(Intent_Analysis!$E$5:$E$81,MATCH(B8488,Intent_Analysis!$A$5:$A$81,0))</f>
        <v>2</v>
      </c>
    </row>
    <row r="8489" customFormat="false" ht="15" hidden="false" customHeight="false" outlineLevel="0" collapsed="false">
      <c r="A8489" s="0" t="s">
        <v>8813</v>
      </c>
      <c r="B8489" s="0" t="s">
        <v>105</v>
      </c>
      <c r="C8489" s="0" t="str">
        <f aca="false">INDEX(Intent_Analysis!$B$5:$B$81,MATCH(B8489,Intent_Analysis!$A$5:$A$81,0))</f>
        <v>Top-ups</v>
      </c>
      <c r="D8489" s="0" t="n">
        <f aca="false">INDEX(Intent_Analysis!$E$5:$E$81,MATCH(B8489,Intent_Analysis!$A$5:$A$81,0))</f>
        <v>2</v>
      </c>
    </row>
    <row r="8490" customFormat="false" ht="15" hidden="false" customHeight="false" outlineLevel="0" collapsed="false">
      <c r="A8490" s="0" t="s">
        <v>8814</v>
      </c>
      <c r="B8490" s="0" t="s">
        <v>105</v>
      </c>
      <c r="C8490" s="0" t="str">
        <f aca="false">INDEX(Intent_Analysis!$B$5:$B$81,MATCH(B8490,Intent_Analysis!$A$5:$A$81,0))</f>
        <v>Top-ups</v>
      </c>
      <c r="D8490" s="0" t="n">
        <f aca="false">INDEX(Intent_Analysis!$E$5:$E$81,MATCH(B8490,Intent_Analysis!$A$5:$A$81,0))</f>
        <v>2</v>
      </c>
    </row>
    <row r="8491" customFormat="false" ht="15" hidden="false" customHeight="false" outlineLevel="0" collapsed="false">
      <c r="A8491" s="0" t="s">
        <v>8815</v>
      </c>
      <c r="B8491" s="0" t="s">
        <v>105</v>
      </c>
      <c r="C8491" s="0" t="str">
        <f aca="false">INDEX(Intent_Analysis!$B$5:$B$81,MATCH(B8491,Intent_Analysis!$A$5:$A$81,0))</f>
        <v>Top-ups</v>
      </c>
      <c r="D8491" s="0" t="n">
        <f aca="false">INDEX(Intent_Analysis!$E$5:$E$81,MATCH(B8491,Intent_Analysis!$A$5:$A$81,0))</f>
        <v>2</v>
      </c>
    </row>
    <row r="8492" customFormat="false" ht="15" hidden="false" customHeight="false" outlineLevel="0" collapsed="false">
      <c r="A8492" s="0" t="s">
        <v>8816</v>
      </c>
      <c r="B8492" s="0" t="s">
        <v>105</v>
      </c>
      <c r="C8492" s="0" t="str">
        <f aca="false">INDEX(Intent_Analysis!$B$5:$B$81,MATCH(B8492,Intent_Analysis!$A$5:$A$81,0))</f>
        <v>Top-ups</v>
      </c>
      <c r="D8492" s="0" t="n">
        <f aca="false">INDEX(Intent_Analysis!$E$5:$E$81,MATCH(B8492,Intent_Analysis!$A$5:$A$81,0))</f>
        <v>2</v>
      </c>
    </row>
    <row r="8493" customFormat="false" ht="15" hidden="false" customHeight="false" outlineLevel="0" collapsed="false">
      <c r="A8493" s="0" t="s">
        <v>8817</v>
      </c>
      <c r="B8493" s="0" t="s">
        <v>105</v>
      </c>
      <c r="C8493" s="0" t="str">
        <f aca="false">INDEX(Intent_Analysis!$B$5:$B$81,MATCH(B8493,Intent_Analysis!$A$5:$A$81,0))</f>
        <v>Top-ups</v>
      </c>
      <c r="D8493" s="0" t="n">
        <f aca="false">INDEX(Intent_Analysis!$E$5:$E$81,MATCH(B8493,Intent_Analysis!$A$5:$A$81,0))</f>
        <v>2</v>
      </c>
    </row>
    <row r="8494" customFormat="false" ht="15" hidden="false" customHeight="false" outlineLevel="0" collapsed="false">
      <c r="A8494" s="0" t="s">
        <v>8818</v>
      </c>
      <c r="B8494" s="0" t="s">
        <v>105</v>
      </c>
      <c r="C8494" s="0" t="str">
        <f aca="false">INDEX(Intent_Analysis!$B$5:$B$81,MATCH(B8494,Intent_Analysis!$A$5:$A$81,0))</f>
        <v>Top-ups</v>
      </c>
      <c r="D8494" s="0" t="n">
        <f aca="false">INDEX(Intent_Analysis!$E$5:$E$81,MATCH(B8494,Intent_Analysis!$A$5:$A$81,0))</f>
        <v>2</v>
      </c>
    </row>
    <row r="8495" customFormat="false" ht="15" hidden="false" customHeight="false" outlineLevel="0" collapsed="false">
      <c r="A8495" s="0" t="s">
        <v>8819</v>
      </c>
      <c r="B8495" s="0" t="s">
        <v>105</v>
      </c>
      <c r="C8495" s="0" t="str">
        <f aca="false">INDEX(Intent_Analysis!$B$5:$B$81,MATCH(B8495,Intent_Analysis!$A$5:$A$81,0))</f>
        <v>Top-ups</v>
      </c>
      <c r="D8495" s="0" t="n">
        <f aca="false">INDEX(Intent_Analysis!$E$5:$E$81,MATCH(B8495,Intent_Analysis!$A$5:$A$81,0))</f>
        <v>2</v>
      </c>
    </row>
    <row r="8496" customFormat="false" ht="15" hidden="false" customHeight="false" outlineLevel="0" collapsed="false">
      <c r="A8496" s="0" t="s">
        <v>8820</v>
      </c>
      <c r="B8496" s="0" t="s">
        <v>105</v>
      </c>
      <c r="C8496" s="0" t="str">
        <f aca="false">INDEX(Intent_Analysis!$B$5:$B$81,MATCH(B8496,Intent_Analysis!$A$5:$A$81,0))</f>
        <v>Top-ups</v>
      </c>
      <c r="D8496" s="0" t="n">
        <f aca="false">INDEX(Intent_Analysis!$E$5:$E$81,MATCH(B8496,Intent_Analysis!$A$5:$A$81,0))</f>
        <v>2</v>
      </c>
    </row>
    <row r="8497" customFormat="false" ht="15" hidden="false" customHeight="false" outlineLevel="0" collapsed="false">
      <c r="A8497" s="0" t="s">
        <v>8821</v>
      </c>
      <c r="B8497" s="0" t="s">
        <v>105</v>
      </c>
      <c r="C8497" s="0" t="str">
        <f aca="false">INDEX(Intent_Analysis!$B$5:$B$81,MATCH(B8497,Intent_Analysis!$A$5:$A$81,0))</f>
        <v>Top-ups</v>
      </c>
      <c r="D8497" s="0" t="n">
        <f aca="false">INDEX(Intent_Analysis!$E$5:$E$81,MATCH(B8497,Intent_Analysis!$A$5:$A$81,0))</f>
        <v>2</v>
      </c>
    </row>
    <row r="8498" customFormat="false" ht="15" hidden="false" customHeight="false" outlineLevel="0" collapsed="false">
      <c r="A8498" s="0" t="s">
        <v>8822</v>
      </c>
      <c r="B8498" s="0" t="s">
        <v>105</v>
      </c>
      <c r="C8498" s="0" t="str">
        <f aca="false">INDEX(Intent_Analysis!$B$5:$B$81,MATCH(B8498,Intent_Analysis!$A$5:$A$81,0))</f>
        <v>Top-ups</v>
      </c>
      <c r="D8498" s="0" t="n">
        <f aca="false">INDEX(Intent_Analysis!$E$5:$E$81,MATCH(B8498,Intent_Analysis!$A$5:$A$81,0))</f>
        <v>2</v>
      </c>
    </row>
    <row r="8499" customFormat="false" ht="15" hidden="false" customHeight="false" outlineLevel="0" collapsed="false">
      <c r="A8499" s="0" t="s">
        <v>8823</v>
      </c>
      <c r="B8499" s="0" t="s">
        <v>105</v>
      </c>
      <c r="C8499" s="0" t="str">
        <f aca="false">INDEX(Intent_Analysis!$B$5:$B$81,MATCH(B8499,Intent_Analysis!$A$5:$A$81,0))</f>
        <v>Top-ups</v>
      </c>
      <c r="D8499" s="0" t="n">
        <f aca="false">INDEX(Intent_Analysis!$E$5:$E$81,MATCH(B8499,Intent_Analysis!$A$5:$A$81,0))</f>
        <v>2</v>
      </c>
    </row>
    <row r="8500" customFormat="false" ht="15" hidden="false" customHeight="false" outlineLevel="0" collapsed="false">
      <c r="A8500" s="0" t="s">
        <v>8824</v>
      </c>
      <c r="B8500" s="0" t="s">
        <v>105</v>
      </c>
      <c r="C8500" s="0" t="str">
        <f aca="false">INDEX(Intent_Analysis!$B$5:$B$81,MATCH(B8500,Intent_Analysis!$A$5:$A$81,0))</f>
        <v>Top-ups</v>
      </c>
      <c r="D8500" s="0" t="n">
        <f aca="false">INDEX(Intent_Analysis!$E$5:$E$81,MATCH(B8500,Intent_Analysis!$A$5:$A$81,0))</f>
        <v>2</v>
      </c>
    </row>
    <row r="8501" customFormat="false" ht="15" hidden="false" customHeight="false" outlineLevel="0" collapsed="false">
      <c r="A8501" s="0" t="s">
        <v>8825</v>
      </c>
      <c r="B8501" s="0" t="s">
        <v>105</v>
      </c>
      <c r="C8501" s="0" t="str">
        <f aca="false">INDEX(Intent_Analysis!$B$5:$B$81,MATCH(B8501,Intent_Analysis!$A$5:$A$81,0))</f>
        <v>Top-ups</v>
      </c>
      <c r="D8501" s="0" t="n">
        <f aca="false">INDEX(Intent_Analysis!$E$5:$E$81,MATCH(B8501,Intent_Analysis!$A$5:$A$81,0))</f>
        <v>2</v>
      </c>
    </row>
    <row r="8502" customFormat="false" ht="15" hidden="false" customHeight="false" outlineLevel="0" collapsed="false">
      <c r="A8502" s="0" t="s">
        <v>8826</v>
      </c>
      <c r="B8502" s="0" t="s">
        <v>105</v>
      </c>
      <c r="C8502" s="0" t="str">
        <f aca="false">INDEX(Intent_Analysis!$B$5:$B$81,MATCH(B8502,Intent_Analysis!$A$5:$A$81,0))</f>
        <v>Top-ups</v>
      </c>
      <c r="D8502" s="0" t="n">
        <f aca="false">INDEX(Intent_Analysis!$E$5:$E$81,MATCH(B8502,Intent_Analysis!$A$5:$A$81,0))</f>
        <v>2</v>
      </c>
    </row>
    <row r="8503" customFormat="false" ht="15" hidden="false" customHeight="false" outlineLevel="0" collapsed="false">
      <c r="A8503" s="0" t="s">
        <v>8827</v>
      </c>
      <c r="B8503" s="0" t="s">
        <v>105</v>
      </c>
      <c r="C8503" s="0" t="str">
        <f aca="false">INDEX(Intent_Analysis!$B$5:$B$81,MATCH(B8503,Intent_Analysis!$A$5:$A$81,0))</f>
        <v>Top-ups</v>
      </c>
      <c r="D8503" s="0" t="n">
        <f aca="false">INDEX(Intent_Analysis!$E$5:$E$81,MATCH(B8503,Intent_Analysis!$A$5:$A$81,0))</f>
        <v>2</v>
      </c>
    </row>
    <row r="8504" customFormat="false" ht="15" hidden="false" customHeight="false" outlineLevel="0" collapsed="false">
      <c r="A8504" s="0" t="s">
        <v>8828</v>
      </c>
      <c r="B8504" s="0" t="s">
        <v>105</v>
      </c>
      <c r="C8504" s="0" t="str">
        <f aca="false">INDEX(Intent_Analysis!$B$5:$B$81,MATCH(B8504,Intent_Analysis!$A$5:$A$81,0))</f>
        <v>Top-ups</v>
      </c>
      <c r="D8504" s="0" t="n">
        <f aca="false">INDEX(Intent_Analysis!$E$5:$E$81,MATCH(B8504,Intent_Analysis!$A$5:$A$81,0))</f>
        <v>2</v>
      </c>
    </row>
    <row r="8505" customFormat="false" ht="15" hidden="false" customHeight="false" outlineLevel="0" collapsed="false">
      <c r="A8505" s="0" t="s">
        <v>8829</v>
      </c>
      <c r="B8505" s="0" t="s">
        <v>105</v>
      </c>
      <c r="C8505" s="0" t="str">
        <f aca="false">INDEX(Intent_Analysis!$B$5:$B$81,MATCH(B8505,Intent_Analysis!$A$5:$A$81,0))</f>
        <v>Top-ups</v>
      </c>
      <c r="D8505" s="0" t="n">
        <f aca="false">INDEX(Intent_Analysis!$E$5:$E$81,MATCH(B8505,Intent_Analysis!$A$5:$A$81,0))</f>
        <v>2</v>
      </c>
    </row>
    <row r="8506" customFormat="false" ht="15" hidden="false" customHeight="false" outlineLevel="0" collapsed="false">
      <c r="A8506" s="0" t="s">
        <v>8830</v>
      </c>
      <c r="B8506" s="0" t="s">
        <v>105</v>
      </c>
      <c r="C8506" s="0" t="str">
        <f aca="false">INDEX(Intent_Analysis!$B$5:$B$81,MATCH(B8506,Intent_Analysis!$A$5:$A$81,0))</f>
        <v>Top-ups</v>
      </c>
      <c r="D8506" s="0" t="n">
        <f aca="false">INDEX(Intent_Analysis!$E$5:$E$81,MATCH(B8506,Intent_Analysis!$A$5:$A$81,0))</f>
        <v>2</v>
      </c>
    </row>
    <row r="8507" customFormat="false" ht="15" hidden="false" customHeight="false" outlineLevel="0" collapsed="false">
      <c r="A8507" s="0" t="s">
        <v>8831</v>
      </c>
      <c r="B8507" s="0" t="s">
        <v>105</v>
      </c>
      <c r="C8507" s="0" t="str">
        <f aca="false">INDEX(Intent_Analysis!$B$5:$B$81,MATCH(B8507,Intent_Analysis!$A$5:$A$81,0))</f>
        <v>Top-ups</v>
      </c>
      <c r="D8507" s="0" t="n">
        <f aca="false">INDEX(Intent_Analysis!$E$5:$E$81,MATCH(B8507,Intent_Analysis!$A$5:$A$81,0))</f>
        <v>2</v>
      </c>
    </row>
    <row r="8508" customFormat="false" ht="15" hidden="false" customHeight="false" outlineLevel="0" collapsed="false">
      <c r="A8508" s="0" t="s">
        <v>8832</v>
      </c>
      <c r="B8508" s="0" t="s">
        <v>105</v>
      </c>
      <c r="C8508" s="0" t="str">
        <f aca="false">INDEX(Intent_Analysis!$B$5:$B$81,MATCH(B8508,Intent_Analysis!$A$5:$A$81,0))</f>
        <v>Top-ups</v>
      </c>
      <c r="D8508" s="0" t="n">
        <f aca="false">INDEX(Intent_Analysis!$E$5:$E$81,MATCH(B8508,Intent_Analysis!$A$5:$A$81,0))</f>
        <v>2</v>
      </c>
    </row>
    <row r="8509" customFormat="false" ht="15" hidden="false" customHeight="false" outlineLevel="0" collapsed="false">
      <c r="A8509" s="0" t="s">
        <v>8833</v>
      </c>
      <c r="B8509" s="0" t="s">
        <v>105</v>
      </c>
      <c r="C8509" s="0" t="str">
        <f aca="false">INDEX(Intent_Analysis!$B$5:$B$81,MATCH(B8509,Intent_Analysis!$A$5:$A$81,0))</f>
        <v>Top-ups</v>
      </c>
      <c r="D8509" s="0" t="n">
        <f aca="false">INDEX(Intent_Analysis!$E$5:$E$81,MATCH(B8509,Intent_Analysis!$A$5:$A$81,0))</f>
        <v>2</v>
      </c>
    </row>
    <row r="8510" customFormat="false" ht="15" hidden="false" customHeight="false" outlineLevel="0" collapsed="false">
      <c r="A8510" s="0" t="s">
        <v>8834</v>
      </c>
      <c r="B8510" s="0" t="s">
        <v>105</v>
      </c>
      <c r="C8510" s="0" t="str">
        <f aca="false">INDEX(Intent_Analysis!$B$5:$B$81,MATCH(B8510,Intent_Analysis!$A$5:$A$81,0))</f>
        <v>Top-ups</v>
      </c>
      <c r="D8510" s="0" t="n">
        <f aca="false">INDEX(Intent_Analysis!$E$5:$E$81,MATCH(B8510,Intent_Analysis!$A$5:$A$81,0))</f>
        <v>2</v>
      </c>
    </row>
    <row r="8511" customFormat="false" ht="15" hidden="false" customHeight="false" outlineLevel="0" collapsed="false">
      <c r="A8511" s="0" t="s">
        <v>8835</v>
      </c>
      <c r="B8511" s="0" t="s">
        <v>105</v>
      </c>
      <c r="C8511" s="0" t="str">
        <f aca="false">INDEX(Intent_Analysis!$B$5:$B$81,MATCH(B8511,Intent_Analysis!$A$5:$A$81,0))</f>
        <v>Top-ups</v>
      </c>
      <c r="D8511" s="0" t="n">
        <f aca="false">INDEX(Intent_Analysis!$E$5:$E$81,MATCH(B8511,Intent_Analysis!$A$5:$A$81,0))</f>
        <v>2</v>
      </c>
    </row>
    <row r="8512" customFormat="false" ht="15" hidden="false" customHeight="false" outlineLevel="0" collapsed="false">
      <c r="A8512" s="0" t="s">
        <v>8836</v>
      </c>
      <c r="B8512" s="0" t="s">
        <v>105</v>
      </c>
      <c r="C8512" s="0" t="str">
        <f aca="false">INDEX(Intent_Analysis!$B$5:$B$81,MATCH(B8512,Intent_Analysis!$A$5:$A$81,0))</f>
        <v>Top-ups</v>
      </c>
      <c r="D8512" s="0" t="n">
        <f aca="false">INDEX(Intent_Analysis!$E$5:$E$81,MATCH(B8512,Intent_Analysis!$A$5:$A$81,0))</f>
        <v>2</v>
      </c>
    </row>
    <row r="8513" customFormat="false" ht="15" hidden="false" customHeight="false" outlineLevel="0" collapsed="false">
      <c r="A8513" s="0" t="s">
        <v>8837</v>
      </c>
      <c r="B8513" s="0" t="s">
        <v>105</v>
      </c>
      <c r="C8513" s="0" t="str">
        <f aca="false">INDEX(Intent_Analysis!$B$5:$B$81,MATCH(B8513,Intent_Analysis!$A$5:$A$81,0))</f>
        <v>Top-ups</v>
      </c>
      <c r="D8513" s="0" t="n">
        <f aca="false">INDEX(Intent_Analysis!$E$5:$E$81,MATCH(B8513,Intent_Analysis!$A$5:$A$81,0))</f>
        <v>2</v>
      </c>
    </row>
    <row r="8514" customFormat="false" ht="15" hidden="false" customHeight="false" outlineLevel="0" collapsed="false">
      <c r="A8514" s="0" t="s">
        <v>8838</v>
      </c>
      <c r="B8514" s="0" t="s">
        <v>105</v>
      </c>
      <c r="C8514" s="0" t="str">
        <f aca="false">INDEX(Intent_Analysis!$B$5:$B$81,MATCH(B8514,Intent_Analysis!$A$5:$A$81,0))</f>
        <v>Top-ups</v>
      </c>
      <c r="D8514" s="0" t="n">
        <f aca="false">INDEX(Intent_Analysis!$E$5:$E$81,MATCH(B8514,Intent_Analysis!$A$5:$A$81,0))</f>
        <v>2</v>
      </c>
    </row>
    <row r="8515" customFormat="false" ht="15" hidden="false" customHeight="false" outlineLevel="0" collapsed="false">
      <c r="A8515" s="0" t="s">
        <v>8839</v>
      </c>
      <c r="B8515" s="0" t="s">
        <v>105</v>
      </c>
      <c r="C8515" s="0" t="str">
        <f aca="false">INDEX(Intent_Analysis!$B$5:$B$81,MATCH(B8515,Intent_Analysis!$A$5:$A$81,0))</f>
        <v>Top-ups</v>
      </c>
      <c r="D8515" s="0" t="n">
        <f aca="false">INDEX(Intent_Analysis!$E$5:$E$81,MATCH(B8515,Intent_Analysis!$A$5:$A$81,0))</f>
        <v>2</v>
      </c>
    </row>
    <row r="8516" customFormat="false" ht="15" hidden="false" customHeight="false" outlineLevel="0" collapsed="false">
      <c r="A8516" s="0" t="s">
        <v>8840</v>
      </c>
      <c r="B8516" s="0" t="s">
        <v>105</v>
      </c>
      <c r="C8516" s="0" t="str">
        <f aca="false">INDEX(Intent_Analysis!$B$5:$B$81,MATCH(B8516,Intent_Analysis!$A$5:$A$81,0))</f>
        <v>Top-ups</v>
      </c>
      <c r="D8516" s="0" t="n">
        <f aca="false">INDEX(Intent_Analysis!$E$5:$E$81,MATCH(B8516,Intent_Analysis!$A$5:$A$81,0))</f>
        <v>2</v>
      </c>
    </row>
    <row r="8517" customFormat="false" ht="15" hidden="false" customHeight="false" outlineLevel="0" collapsed="false">
      <c r="A8517" s="0" t="s">
        <v>8841</v>
      </c>
      <c r="B8517" s="0" t="s">
        <v>105</v>
      </c>
      <c r="C8517" s="0" t="str">
        <f aca="false">INDEX(Intent_Analysis!$B$5:$B$81,MATCH(B8517,Intent_Analysis!$A$5:$A$81,0))</f>
        <v>Top-ups</v>
      </c>
      <c r="D8517" s="0" t="n">
        <f aca="false">INDEX(Intent_Analysis!$E$5:$E$81,MATCH(B8517,Intent_Analysis!$A$5:$A$81,0))</f>
        <v>2</v>
      </c>
    </row>
    <row r="8518" customFormat="false" ht="15" hidden="false" customHeight="false" outlineLevel="0" collapsed="false">
      <c r="A8518" s="0" t="s">
        <v>8842</v>
      </c>
      <c r="B8518" s="0" t="s">
        <v>105</v>
      </c>
      <c r="C8518" s="0" t="str">
        <f aca="false">INDEX(Intent_Analysis!$B$5:$B$81,MATCH(B8518,Intent_Analysis!$A$5:$A$81,0))</f>
        <v>Top-ups</v>
      </c>
      <c r="D8518" s="0" t="n">
        <f aca="false">INDEX(Intent_Analysis!$E$5:$E$81,MATCH(B8518,Intent_Analysis!$A$5:$A$81,0))</f>
        <v>2</v>
      </c>
    </row>
    <row r="8519" customFormat="false" ht="15" hidden="false" customHeight="false" outlineLevel="0" collapsed="false">
      <c r="A8519" s="0" t="s">
        <v>8843</v>
      </c>
      <c r="B8519" s="0" t="s">
        <v>105</v>
      </c>
      <c r="C8519" s="0" t="str">
        <f aca="false">INDEX(Intent_Analysis!$B$5:$B$81,MATCH(B8519,Intent_Analysis!$A$5:$A$81,0))</f>
        <v>Top-ups</v>
      </c>
      <c r="D8519" s="0" t="n">
        <f aca="false">INDEX(Intent_Analysis!$E$5:$E$81,MATCH(B8519,Intent_Analysis!$A$5:$A$81,0))</f>
        <v>2</v>
      </c>
    </row>
    <row r="8520" customFormat="false" ht="15" hidden="false" customHeight="false" outlineLevel="0" collapsed="false">
      <c r="A8520" s="0" t="s">
        <v>8844</v>
      </c>
      <c r="B8520" s="0" t="s">
        <v>105</v>
      </c>
      <c r="C8520" s="0" t="str">
        <f aca="false">INDEX(Intent_Analysis!$B$5:$B$81,MATCH(B8520,Intent_Analysis!$A$5:$A$81,0))</f>
        <v>Top-ups</v>
      </c>
      <c r="D8520" s="0" t="n">
        <f aca="false">INDEX(Intent_Analysis!$E$5:$E$81,MATCH(B8520,Intent_Analysis!$A$5:$A$81,0))</f>
        <v>2</v>
      </c>
    </row>
    <row r="8521" customFormat="false" ht="15" hidden="false" customHeight="false" outlineLevel="0" collapsed="false">
      <c r="A8521" s="0" t="s">
        <v>8845</v>
      </c>
      <c r="B8521" s="0" t="s">
        <v>105</v>
      </c>
      <c r="C8521" s="0" t="str">
        <f aca="false">INDEX(Intent_Analysis!$B$5:$B$81,MATCH(B8521,Intent_Analysis!$A$5:$A$81,0))</f>
        <v>Top-ups</v>
      </c>
      <c r="D8521" s="0" t="n">
        <f aca="false">INDEX(Intent_Analysis!$E$5:$E$81,MATCH(B8521,Intent_Analysis!$A$5:$A$81,0))</f>
        <v>2</v>
      </c>
    </row>
    <row r="8522" customFormat="false" ht="15" hidden="false" customHeight="false" outlineLevel="0" collapsed="false">
      <c r="A8522" s="0" t="s">
        <v>8846</v>
      </c>
      <c r="B8522" s="0" t="s">
        <v>105</v>
      </c>
      <c r="C8522" s="0" t="str">
        <f aca="false">INDEX(Intent_Analysis!$B$5:$B$81,MATCH(B8522,Intent_Analysis!$A$5:$A$81,0))</f>
        <v>Top-ups</v>
      </c>
      <c r="D8522" s="0" t="n">
        <f aca="false">INDEX(Intent_Analysis!$E$5:$E$81,MATCH(B8522,Intent_Analysis!$A$5:$A$81,0))</f>
        <v>2</v>
      </c>
    </row>
    <row r="8523" customFormat="false" ht="15" hidden="false" customHeight="false" outlineLevel="0" collapsed="false">
      <c r="A8523" s="0" t="s">
        <v>8847</v>
      </c>
      <c r="B8523" s="0" t="s">
        <v>105</v>
      </c>
      <c r="C8523" s="0" t="str">
        <f aca="false">INDEX(Intent_Analysis!$B$5:$B$81,MATCH(B8523,Intent_Analysis!$A$5:$A$81,0))</f>
        <v>Top-ups</v>
      </c>
      <c r="D8523" s="0" t="n">
        <f aca="false">INDEX(Intent_Analysis!$E$5:$E$81,MATCH(B8523,Intent_Analysis!$A$5:$A$81,0))</f>
        <v>2</v>
      </c>
    </row>
    <row r="8524" customFormat="false" ht="15" hidden="false" customHeight="false" outlineLevel="0" collapsed="false">
      <c r="A8524" s="0" t="s">
        <v>8848</v>
      </c>
      <c r="B8524" s="0" t="s">
        <v>105</v>
      </c>
      <c r="C8524" s="0" t="str">
        <f aca="false">INDEX(Intent_Analysis!$B$5:$B$81,MATCH(B8524,Intent_Analysis!$A$5:$A$81,0))</f>
        <v>Top-ups</v>
      </c>
      <c r="D8524" s="0" t="n">
        <f aca="false">INDEX(Intent_Analysis!$E$5:$E$81,MATCH(B8524,Intent_Analysis!$A$5:$A$81,0))</f>
        <v>2</v>
      </c>
    </row>
    <row r="8525" customFormat="false" ht="15" hidden="false" customHeight="false" outlineLevel="0" collapsed="false">
      <c r="A8525" s="0" t="s">
        <v>8849</v>
      </c>
      <c r="B8525" s="0" t="s">
        <v>105</v>
      </c>
      <c r="C8525" s="0" t="str">
        <f aca="false">INDEX(Intent_Analysis!$B$5:$B$81,MATCH(B8525,Intent_Analysis!$A$5:$A$81,0))</f>
        <v>Top-ups</v>
      </c>
      <c r="D8525" s="0" t="n">
        <f aca="false">INDEX(Intent_Analysis!$E$5:$E$81,MATCH(B8525,Intent_Analysis!$A$5:$A$81,0))</f>
        <v>2</v>
      </c>
    </row>
    <row r="8526" customFormat="false" ht="15" hidden="false" customHeight="false" outlineLevel="0" collapsed="false">
      <c r="A8526" s="0" t="s">
        <v>8850</v>
      </c>
      <c r="B8526" s="0" t="s">
        <v>105</v>
      </c>
      <c r="C8526" s="0" t="str">
        <f aca="false">INDEX(Intent_Analysis!$B$5:$B$81,MATCH(B8526,Intent_Analysis!$A$5:$A$81,0))</f>
        <v>Top-ups</v>
      </c>
      <c r="D8526" s="0" t="n">
        <f aca="false">INDEX(Intent_Analysis!$E$5:$E$81,MATCH(B8526,Intent_Analysis!$A$5:$A$81,0))</f>
        <v>2</v>
      </c>
    </row>
    <row r="8527" customFormat="false" ht="15" hidden="false" customHeight="false" outlineLevel="0" collapsed="false">
      <c r="A8527" s="0" t="s">
        <v>8851</v>
      </c>
      <c r="B8527" s="0" t="s">
        <v>105</v>
      </c>
      <c r="C8527" s="0" t="str">
        <f aca="false">INDEX(Intent_Analysis!$B$5:$B$81,MATCH(B8527,Intent_Analysis!$A$5:$A$81,0))</f>
        <v>Top-ups</v>
      </c>
      <c r="D8527" s="0" t="n">
        <f aca="false">INDEX(Intent_Analysis!$E$5:$E$81,MATCH(B8527,Intent_Analysis!$A$5:$A$81,0))</f>
        <v>2</v>
      </c>
    </row>
    <row r="8528" customFormat="false" ht="15" hidden="false" customHeight="false" outlineLevel="0" collapsed="false">
      <c r="A8528" s="0" t="s">
        <v>8852</v>
      </c>
      <c r="B8528" s="0" t="s">
        <v>105</v>
      </c>
      <c r="C8528" s="0" t="str">
        <f aca="false">INDEX(Intent_Analysis!$B$5:$B$81,MATCH(B8528,Intent_Analysis!$A$5:$A$81,0))</f>
        <v>Top-ups</v>
      </c>
      <c r="D8528" s="0" t="n">
        <f aca="false">INDEX(Intent_Analysis!$E$5:$E$81,MATCH(B8528,Intent_Analysis!$A$5:$A$81,0))</f>
        <v>2</v>
      </c>
    </row>
    <row r="8529" customFormat="false" ht="15" hidden="false" customHeight="false" outlineLevel="0" collapsed="false">
      <c r="A8529" s="0" t="s">
        <v>8853</v>
      </c>
      <c r="B8529" s="0" t="s">
        <v>105</v>
      </c>
      <c r="C8529" s="0" t="str">
        <f aca="false">INDEX(Intent_Analysis!$B$5:$B$81,MATCH(B8529,Intent_Analysis!$A$5:$A$81,0))</f>
        <v>Top-ups</v>
      </c>
      <c r="D8529" s="0" t="n">
        <f aca="false">INDEX(Intent_Analysis!$E$5:$E$81,MATCH(B8529,Intent_Analysis!$A$5:$A$81,0))</f>
        <v>2</v>
      </c>
    </row>
    <row r="8530" customFormat="false" ht="15" hidden="false" customHeight="false" outlineLevel="0" collapsed="false">
      <c r="A8530" s="0" t="s">
        <v>8854</v>
      </c>
      <c r="B8530" s="0" t="s">
        <v>105</v>
      </c>
      <c r="C8530" s="0" t="str">
        <f aca="false">INDEX(Intent_Analysis!$B$5:$B$81,MATCH(B8530,Intent_Analysis!$A$5:$A$81,0))</f>
        <v>Top-ups</v>
      </c>
      <c r="D8530" s="0" t="n">
        <f aca="false">INDEX(Intent_Analysis!$E$5:$E$81,MATCH(B8530,Intent_Analysis!$A$5:$A$81,0))</f>
        <v>2</v>
      </c>
    </row>
    <row r="8531" customFormat="false" ht="15" hidden="false" customHeight="false" outlineLevel="0" collapsed="false">
      <c r="A8531" s="0" t="s">
        <v>8855</v>
      </c>
      <c r="B8531" s="0" t="s">
        <v>105</v>
      </c>
      <c r="C8531" s="0" t="str">
        <f aca="false">INDEX(Intent_Analysis!$B$5:$B$81,MATCH(B8531,Intent_Analysis!$A$5:$A$81,0))</f>
        <v>Top-ups</v>
      </c>
      <c r="D8531" s="0" t="n">
        <f aca="false">INDEX(Intent_Analysis!$E$5:$E$81,MATCH(B8531,Intent_Analysis!$A$5:$A$81,0))</f>
        <v>2</v>
      </c>
    </row>
    <row r="8532" customFormat="false" ht="15" hidden="false" customHeight="false" outlineLevel="0" collapsed="false">
      <c r="A8532" s="0" t="s">
        <v>8856</v>
      </c>
      <c r="B8532" s="0" t="s">
        <v>105</v>
      </c>
      <c r="C8532" s="0" t="str">
        <f aca="false">INDEX(Intent_Analysis!$B$5:$B$81,MATCH(B8532,Intent_Analysis!$A$5:$A$81,0))</f>
        <v>Top-ups</v>
      </c>
      <c r="D8532" s="0" t="n">
        <f aca="false">INDEX(Intent_Analysis!$E$5:$E$81,MATCH(B8532,Intent_Analysis!$A$5:$A$81,0))</f>
        <v>2</v>
      </c>
    </row>
    <row r="8533" customFormat="false" ht="15" hidden="false" customHeight="false" outlineLevel="0" collapsed="false">
      <c r="A8533" s="0" t="s">
        <v>8857</v>
      </c>
      <c r="B8533" s="0" t="s">
        <v>105</v>
      </c>
      <c r="C8533" s="0" t="str">
        <f aca="false">INDEX(Intent_Analysis!$B$5:$B$81,MATCH(B8533,Intent_Analysis!$A$5:$A$81,0))</f>
        <v>Top-ups</v>
      </c>
      <c r="D8533" s="0" t="n">
        <f aca="false">INDEX(Intent_Analysis!$E$5:$E$81,MATCH(B8533,Intent_Analysis!$A$5:$A$81,0))</f>
        <v>2</v>
      </c>
    </row>
    <row r="8534" customFormat="false" ht="15" hidden="false" customHeight="false" outlineLevel="0" collapsed="false">
      <c r="A8534" s="0" t="s">
        <v>8858</v>
      </c>
      <c r="B8534" s="0" t="s">
        <v>105</v>
      </c>
      <c r="C8534" s="0" t="str">
        <f aca="false">INDEX(Intent_Analysis!$B$5:$B$81,MATCH(B8534,Intent_Analysis!$A$5:$A$81,0))</f>
        <v>Top-ups</v>
      </c>
      <c r="D8534" s="0" t="n">
        <f aca="false">INDEX(Intent_Analysis!$E$5:$E$81,MATCH(B8534,Intent_Analysis!$A$5:$A$81,0))</f>
        <v>2</v>
      </c>
    </row>
    <row r="8535" customFormat="false" ht="15" hidden="false" customHeight="false" outlineLevel="0" collapsed="false">
      <c r="A8535" s="0" t="s">
        <v>8859</v>
      </c>
      <c r="B8535" s="0" t="s">
        <v>105</v>
      </c>
      <c r="C8535" s="0" t="str">
        <f aca="false">INDEX(Intent_Analysis!$B$5:$B$81,MATCH(B8535,Intent_Analysis!$A$5:$A$81,0))</f>
        <v>Top-ups</v>
      </c>
      <c r="D8535" s="0" t="n">
        <f aca="false">INDEX(Intent_Analysis!$E$5:$E$81,MATCH(B8535,Intent_Analysis!$A$5:$A$81,0))</f>
        <v>2</v>
      </c>
    </row>
    <row r="8536" customFormat="false" ht="15" hidden="false" customHeight="false" outlineLevel="0" collapsed="false">
      <c r="A8536" s="0" t="s">
        <v>8860</v>
      </c>
      <c r="B8536" s="0" t="s">
        <v>105</v>
      </c>
      <c r="C8536" s="0" t="str">
        <f aca="false">INDEX(Intent_Analysis!$B$5:$B$81,MATCH(B8536,Intent_Analysis!$A$5:$A$81,0))</f>
        <v>Top-ups</v>
      </c>
      <c r="D8536" s="0" t="n">
        <f aca="false">INDEX(Intent_Analysis!$E$5:$E$81,MATCH(B8536,Intent_Analysis!$A$5:$A$81,0))</f>
        <v>2</v>
      </c>
    </row>
    <row r="8537" customFormat="false" ht="15" hidden="false" customHeight="false" outlineLevel="0" collapsed="false">
      <c r="A8537" s="0" t="s">
        <v>8861</v>
      </c>
      <c r="B8537" s="0" t="s">
        <v>105</v>
      </c>
      <c r="C8537" s="0" t="str">
        <f aca="false">INDEX(Intent_Analysis!$B$5:$B$81,MATCH(B8537,Intent_Analysis!$A$5:$A$81,0))</f>
        <v>Top-ups</v>
      </c>
      <c r="D8537" s="0" t="n">
        <f aca="false">INDEX(Intent_Analysis!$E$5:$E$81,MATCH(B8537,Intent_Analysis!$A$5:$A$81,0))</f>
        <v>2</v>
      </c>
    </row>
    <row r="8538" customFormat="false" ht="15" hidden="false" customHeight="false" outlineLevel="0" collapsed="false">
      <c r="A8538" s="0" t="s">
        <v>8862</v>
      </c>
      <c r="B8538" s="0" t="s">
        <v>105</v>
      </c>
      <c r="C8538" s="0" t="str">
        <f aca="false">INDEX(Intent_Analysis!$B$5:$B$81,MATCH(B8538,Intent_Analysis!$A$5:$A$81,0))</f>
        <v>Top-ups</v>
      </c>
      <c r="D8538" s="0" t="n">
        <f aca="false">INDEX(Intent_Analysis!$E$5:$E$81,MATCH(B8538,Intent_Analysis!$A$5:$A$81,0))</f>
        <v>2</v>
      </c>
    </row>
    <row r="8539" customFormat="false" ht="15" hidden="false" customHeight="false" outlineLevel="0" collapsed="false">
      <c r="A8539" s="0" t="s">
        <v>8863</v>
      </c>
      <c r="B8539" s="0" t="s">
        <v>105</v>
      </c>
      <c r="C8539" s="0" t="str">
        <f aca="false">INDEX(Intent_Analysis!$B$5:$B$81,MATCH(B8539,Intent_Analysis!$A$5:$A$81,0))</f>
        <v>Top-ups</v>
      </c>
      <c r="D8539" s="0" t="n">
        <f aca="false">INDEX(Intent_Analysis!$E$5:$E$81,MATCH(B8539,Intent_Analysis!$A$5:$A$81,0))</f>
        <v>2</v>
      </c>
    </row>
    <row r="8540" customFormat="false" ht="15" hidden="false" customHeight="false" outlineLevel="0" collapsed="false">
      <c r="A8540" s="0" t="s">
        <v>8864</v>
      </c>
      <c r="B8540" s="0" t="s">
        <v>105</v>
      </c>
      <c r="C8540" s="0" t="str">
        <f aca="false">INDEX(Intent_Analysis!$B$5:$B$81,MATCH(B8540,Intent_Analysis!$A$5:$A$81,0))</f>
        <v>Top-ups</v>
      </c>
      <c r="D8540" s="0" t="n">
        <f aca="false">INDEX(Intent_Analysis!$E$5:$E$81,MATCH(B8540,Intent_Analysis!$A$5:$A$81,0))</f>
        <v>2</v>
      </c>
    </row>
    <row r="8541" customFormat="false" ht="15" hidden="false" customHeight="false" outlineLevel="0" collapsed="false">
      <c r="A8541" s="0" t="s">
        <v>8865</v>
      </c>
      <c r="B8541" s="0" t="s">
        <v>105</v>
      </c>
      <c r="C8541" s="0" t="str">
        <f aca="false">INDEX(Intent_Analysis!$B$5:$B$81,MATCH(B8541,Intent_Analysis!$A$5:$A$81,0))</f>
        <v>Top-ups</v>
      </c>
      <c r="D8541" s="0" t="n">
        <f aca="false">INDEX(Intent_Analysis!$E$5:$E$81,MATCH(B8541,Intent_Analysis!$A$5:$A$81,0))</f>
        <v>2</v>
      </c>
    </row>
    <row r="8542" customFormat="false" ht="15" hidden="false" customHeight="false" outlineLevel="0" collapsed="false">
      <c r="A8542" s="0" t="s">
        <v>8866</v>
      </c>
      <c r="B8542" s="0" t="s">
        <v>105</v>
      </c>
      <c r="C8542" s="0" t="str">
        <f aca="false">INDEX(Intent_Analysis!$B$5:$B$81,MATCH(B8542,Intent_Analysis!$A$5:$A$81,0))</f>
        <v>Top-ups</v>
      </c>
      <c r="D8542" s="0" t="n">
        <f aca="false">INDEX(Intent_Analysis!$E$5:$E$81,MATCH(B8542,Intent_Analysis!$A$5:$A$81,0))</f>
        <v>2</v>
      </c>
    </row>
    <row r="8543" customFormat="false" ht="15" hidden="false" customHeight="false" outlineLevel="0" collapsed="false">
      <c r="A8543" s="0" t="s">
        <v>8867</v>
      </c>
      <c r="B8543" s="0" t="s">
        <v>105</v>
      </c>
      <c r="C8543" s="0" t="str">
        <f aca="false">INDEX(Intent_Analysis!$B$5:$B$81,MATCH(B8543,Intent_Analysis!$A$5:$A$81,0))</f>
        <v>Top-ups</v>
      </c>
      <c r="D8543" s="0" t="n">
        <f aca="false">INDEX(Intent_Analysis!$E$5:$E$81,MATCH(B8543,Intent_Analysis!$A$5:$A$81,0))</f>
        <v>2</v>
      </c>
    </row>
    <row r="8544" customFormat="false" ht="15" hidden="false" customHeight="false" outlineLevel="0" collapsed="false">
      <c r="A8544" s="0" t="s">
        <v>8868</v>
      </c>
      <c r="B8544" s="0" t="s">
        <v>105</v>
      </c>
      <c r="C8544" s="0" t="str">
        <f aca="false">INDEX(Intent_Analysis!$B$5:$B$81,MATCH(B8544,Intent_Analysis!$A$5:$A$81,0))</f>
        <v>Top-ups</v>
      </c>
      <c r="D8544" s="0" t="n">
        <f aca="false">INDEX(Intent_Analysis!$E$5:$E$81,MATCH(B8544,Intent_Analysis!$A$5:$A$81,0))</f>
        <v>2</v>
      </c>
    </row>
    <row r="8545" customFormat="false" ht="15" hidden="false" customHeight="false" outlineLevel="0" collapsed="false">
      <c r="A8545" s="0" t="s">
        <v>8869</v>
      </c>
      <c r="B8545" s="0" t="s">
        <v>105</v>
      </c>
      <c r="C8545" s="0" t="str">
        <f aca="false">INDEX(Intent_Analysis!$B$5:$B$81,MATCH(B8545,Intent_Analysis!$A$5:$A$81,0))</f>
        <v>Top-ups</v>
      </c>
      <c r="D8545" s="0" t="n">
        <f aca="false">INDEX(Intent_Analysis!$E$5:$E$81,MATCH(B8545,Intent_Analysis!$A$5:$A$81,0))</f>
        <v>2</v>
      </c>
    </row>
    <row r="8546" customFormat="false" ht="15" hidden="false" customHeight="false" outlineLevel="0" collapsed="false">
      <c r="A8546" s="0" t="s">
        <v>8870</v>
      </c>
      <c r="B8546" s="0" t="s">
        <v>105</v>
      </c>
      <c r="C8546" s="0" t="str">
        <f aca="false">INDEX(Intent_Analysis!$B$5:$B$81,MATCH(B8546,Intent_Analysis!$A$5:$A$81,0))</f>
        <v>Top-ups</v>
      </c>
      <c r="D8546" s="0" t="n">
        <f aca="false">INDEX(Intent_Analysis!$E$5:$E$81,MATCH(B8546,Intent_Analysis!$A$5:$A$81,0))</f>
        <v>2</v>
      </c>
    </row>
    <row r="8547" customFormat="false" ht="15" hidden="false" customHeight="false" outlineLevel="0" collapsed="false">
      <c r="A8547" s="0" t="s">
        <v>8871</v>
      </c>
      <c r="B8547" s="0" t="s">
        <v>105</v>
      </c>
      <c r="C8547" s="0" t="str">
        <f aca="false">INDEX(Intent_Analysis!$B$5:$B$81,MATCH(B8547,Intent_Analysis!$A$5:$A$81,0))</f>
        <v>Top-ups</v>
      </c>
      <c r="D8547" s="0" t="n">
        <f aca="false">INDEX(Intent_Analysis!$E$5:$E$81,MATCH(B8547,Intent_Analysis!$A$5:$A$81,0))</f>
        <v>2</v>
      </c>
    </row>
    <row r="8548" customFormat="false" ht="15" hidden="false" customHeight="false" outlineLevel="0" collapsed="false">
      <c r="A8548" s="0" t="s">
        <v>8872</v>
      </c>
      <c r="B8548" s="0" t="s">
        <v>105</v>
      </c>
      <c r="C8548" s="0" t="str">
        <f aca="false">INDEX(Intent_Analysis!$B$5:$B$81,MATCH(B8548,Intent_Analysis!$A$5:$A$81,0))</f>
        <v>Top-ups</v>
      </c>
      <c r="D8548" s="0" t="n">
        <f aca="false">INDEX(Intent_Analysis!$E$5:$E$81,MATCH(B8548,Intent_Analysis!$A$5:$A$81,0))</f>
        <v>2</v>
      </c>
    </row>
    <row r="8549" customFormat="false" ht="15" hidden="false" customHeight="false" outlineLevel="0" collapsed="false">
      <c r="A8549" s="0" t="s">
        <v>8873</v>
      </c>
      <c r="B8549" s="0" t="s">
        <v>105</v>
      </c>
      <c r="C8549" s="0" t="str">
        <f aca="false">INDEX(Intent_Analysis!$B$5:$B$81,MATCH(B8549,Intent_Analysis!$A$5:$A$81,0))</f>
        <v>Top-ups</v>
      </c>
      <c r="D8549" s="0" t="n">
        <f aca="false">INDEX(Intent_Analysis!$E$5:$E$81,MATCH(B8549,Intent_Analysis!$A$5:$A$81,0))</f>
        <v>2</v>
      </c>
    </row>
    <row r="8550" customFormat="false" ht="15" hidden="false" customHeight="false" outlineLevel="0" collapsed="false">
      <c r="A8550" s="0" t="s">
        <v>8874</v>
      </c>
      <c r="B8550" s="0" t="s">
        <v>105</v>
      </c>
      <c r="C8550" s="0" t="str">
        <f aca="false">INDEX(Intent_Analysis!$B$5:$B$81,MATCH(B8550,Intent_Analysis!$A$5:$A$81,0))</f>
        <v>Top-ups</v>
      </c>
      <c r="D8550" s="0" t="n">
        <f aca="false">INDEX(Intent_Analysis!$E$5:$E$81,MATCH(B8550,Intent_Analysis!$A$5:$A$81,0))</f>
        <v>2</v>
      </c>
    </row>
    <row r="8551" customFormat="false" ht="15" hidden="false" customHeight="false" outlineLevel="0" collapsed="false">
      <c r="A8551" s="0" t="s">
        <v>8875</v>
      </c>
      <c r="B8551" s="0" t="s">
        <v>105</v>
      </c>
      <c r="C8551" s="0" t="str">
        <f aca="false">INDEX(Intent_Analysis!$B$5:$B$81,MATCH(B8551,Intent_Analysis!$A$5:$A$81,0))</f>
        <v>Top-ups</v>
      </c>
      <c r="D8551" s="0" t="n">
        <f aca="false">INDEX(Intent_Analysis!$E$5:$E$81,MATCH(B8551,Intent_Analysis!$A$5:$A$81,0))</f>
        <v>2</v>
      </c>
    </row>
    <row r="8552" customFormat="false" ht="15" hidden="false" customHeight="false" outlineLevel="0" collapsed="false">
      <c r="A8552" s="0" t="s">
        <v>8876</v>
      </c>
      <c r="B8552" s="0" t="s">
        <v>105</v>
      </c>
      <c r="C8552" s="0" t="str">
        <f aca="false">INDEX(Intent_Analysis!$B$5:$B$81,MATCH(B8552,Intent_Analysis!$A$5:$A$81,0))</f>
        <v>Top-ups</v>
      </c>
      <c r="D8552" s="0" t="n">
        <f aca="false">INDEX(Intent_Analysis!$E$5:$E$81,MATCH(B8552,Intent_Analysis!$A$5:$A$81,0))</f>
        <v>2</v>
      </c>
    </row>
    <row r="8553" customFormat="false" ht="15" hidden="false" customHeight="false" outlineLevel="0" collapsed="false">
      <c r="A8553" s="0" t="s">
        <v>8877</v>
      </c>
      <c r="B8553" s="0" t="s">
        <v>105</v>
      </c>
      <c r="C8553" s="0" t="str">
        <f aca="false">INDEX(Intent_Analysis!$B$5:$B$81,MATCH(B8553,Intent_Analysis!$A$5:$A$81,0))</f>
        <v>Top-ups</v>
      </c>
      <c r="D8553" s="0" t="n">
        <f aca="false">INDEX(Intent_Analysis!$E$5:$E$81,MATCH(B8553,Intent_Analysis!$A$5:$A$81,0))</f>
        <v>2</v>
      </c>
    </row>
    <row r="8554" customFormat="false" ht="15" hidden="false" customHeight="false" outlineLevel="0" collapsed="false">
      <c r="A8554" s="0" t="s">
        <v>8878</v>
      </c>
      <c r="B8554" s="0" t="s">
        <v>105</v>
      </c>
      <c r="C8554" s="0" t="str">
        <f aca="false">INDEX(Intent_Analysis!$B$5:$B$81,MATCH(B8554,Intent_Analysis!$A$5:$A$81,0))</f>
        <v>Top-ups</v>
      </c>
      <c r="D8554" s="0" t="n">
        <f aca="false">INDEX(Intent_Analysis!$E$5:$E$81,MATCH(B8554,Intent_Analysis!$A$5:$A$81,0))</f>
        <v>2</v>
      </c>
    </row>
    <row r="8555" customFormat="false" ht="15" hidden="false" customHeight="false" outlineLevel="0" collapsed="false">
      <c r="A8555" s="0" t="s">
        <v>8879</v>
      </c>
      <c r="B8555" s="0" t="s">
        <v>105</v>
      </c>
      <c r="C8555" s="0" t="str">
        <f aca="false">INDEX(Intent_Analysis!$B$5:$B$81,MATCH(B8555,Intent_Analysis!$A$5:$A$81,0))</f>
        <v>Top-ups</v>
      </c>
      <c r="D8555" s="0" t="n">
        <f aca="false">INDEX(Intent_Analysis!$E$5:$E$81,MATCH(B8555,Intent_Analysis!$A$5:$A$81,0))</f>
        <v>2</v>
      </c>
    </row>
    <row r="8556" customFormat="false" ht="15" hidden="false" customHeight="false" outlineLevel="0" collapsed="false">
      <c r="A8556" s="0" t="s">
        <v>8880</v>
      </c>
      <c r="B8556" s="0" t="s">
        <v>105</v>
      </c>
      <c r="C8556" s="0" t="str">
        <f aca="false">INDEX(Intent_Analysis!$B$5:$B$81,MATCH(B8556,Intent_Analysis!$A$5:$A$81,0))</f>
        <v>Top-ups</v>
      </c>
      <c r="D8556" s="0" t="n">
        <f aca="false">INDEX(Intent_Analysis!$E$5:$E$81,MATCH(B8556,Intent_Analysis!$A$5:$A$81,0))</f>
        <v>2</v>
      </c>
    </row>
    <row r="8557" customFormat="false" ht="15" hidden="false" customHeight="false" outlineLevel="0" collapsed="false">
      <c r="A8557" s="0" t="s">
        <v>8881</v>
      </c>
      <c r="B8557" s="0" t="s">
        <v>105</v>
      </c>
      <c r="C8557" s="0" t="str">
        <f aca="false">INDEX(Intent_Analysis!$B$5:$B$81,MATCH(B8557,Intent_Analysis!$A$5:$A$81,0))</f>
        <v>Top-ups</v>
      </c>
      <c r="D8557" s="0" t="n">
        <f aca="false">INDEX(Intent_Analysis!$E$5:$E$81,MATCH(B8557,Intent_Analysis!$A$5:$A$81,0))</f>
        <v>2</v>
      </c>
    </row>
    <row r="8558" customFormat="false" ht="15" hidden="false" customHeight="false" outlineLevel="0" collapsed="false">
      <c r="A8558" s="0" t="s">
        <v>8882</v>
      </c>
      <c r="B8558" s="0" t="s">
        <v>105</v>
      </c>
      <c r="C8558" s="0" t="str">
        <f aca="false">INDEX(Intent_Analysis!$B$5:$B$81,MATCH(B8558,Intent_Analysis!$A$5:$A$81,0))</f>
        <v>Top-ups</v>
      </c>
      <c r="D8558" s="0" t="n">
        <f aca="false">INDEX(Intent_Analysis!$E$5:$E$81,MATCH(B8558,Intent_Analysis!$A$5:$A$81,0))</f>
        <v>2</v>
      </c>
    </row>
    <row r="8559" customFormat="false" ht="15" hidden="false" customHeight="false" outlineLevel="0" collapsed="false">
      <c r="A8559" s="0" t="s">
        <v>8883</v>
      </c>
      <c r="B8559" s="0" t="s">
        <v>105</v>
      </c>
      <c r="C8559" s="0" t="str">
        <f aca="false">INDEX(Intent_Analysis!$B$5:$B$81,MATCH(B8559,Intent_Analysis!$A$5:$A$81,0))</f>
        <v>Top-ups</v>
      </c>
      <c r="D8559" s="0" t="n">
        <f aca="false">INDEX(Intent_Analysis!$E$5:$E$81,MATCH(B8559,Intent_Analysis!$A$5:$A$81,0))</f>
        <v>2</v>
      </c>
    </row>
    <row r="8560" customFormat="false" ht="15" hidden="false" customHeight="false" outlineLevel="0" collapsed="false">
      <c r="A8560" s="0" t="s">
        <v>8884</v>
      </c>
      <c r="B8560" s="0" t="s">
        <v>105</v>
      </c>
      <c r="C8560" s="0" t="str">
        <f aca="false">INDEX(Intent_Analysis!$B$5:$B$81,MATCH(B8560,Intent_Analysis!$A$5:$A$81,0))</f>
        <v>Top-ups</v>
      </c>
      <c r="D8560" s="0" t="n">
        <f aca="false">INDEX(Intent_Analysis!$E$5:$E$81,MATCH(B8560,Intent_Analysis!$A$5:$A$81,0))</f>
        <v>2</v>
      </c>
    </row>
    <row r="8561" customFormat="false" ht="15" hidden="false" customHeight="false" outlineLevel="0" collapsed="false">
      <c r="A8561" s="0" t="s">
        <v>8885</v>
      </c>
      <c r="B8561" s="0" t="s">
        <v>105</v>
      </c>
      <c r="C8561" s="0" t="str">
        <f aca="false">INDEX(Intent_Analysis!$B$5:$B$81,MATCH(B8561,Intent_Analysis!$A$5:$A$81,0))</f>
        <v>Top-ups</v>
      </c>
      <c r="D8561" s="0" t="n">
        <f aca="false">INDEX(Intent_Analysis!$E$5:$E$81,MATCH(B8561,Intent_Analysis!$A$5:$A$81,0))</f>
        <v>2</v>
      </c>
    </row>
    <row r="8562" customFormat="false" ht="15" hidden="false" customHeight="false" outlineLevel="0" collapsed="false">
      <c r="A8562" s="0" t="s">
        <v>8886</v>
      </c>
      <c r="B8562" s="0" t="s">
        <v>105</v>
      </c>
      <c r="C8562" s="0" t="str">
        <f aca="false">INDEX(Intent_Analysis!$B$5:$B$81,MATCH(B8562,Intent_Analysis!$A$5:$A$81,0))</f>
        <v>Top-ups</v>
      </c>
      <c r="D8562" s="0" t="n">
        <f aca="false">INDEX(Intent_Analysis!$E$5:$E$81,MATCH(B8562,Intent_Analysis!$A$5:$A$81,0))</f>
        <v>2</v>
      </c>
    </row>
    <row r="8563" customFormat="false" ht="15" hidden="false" customHeight="false" outlineLevel="0" collapsed="false">
      <c r="A8563" s="0" t="s">
        <v>8887</v>
      </c>
      <c r="B8563" s="0" t="s">
        <v>105</v>
      </c>
      <c r="C8563" s="0" t="str">
        <f aca="false">INDEX(Intent_Analysis!$B$5:$B$81,MATCH(B8563,Intent_Analysis!$A$5:$A$81,0))</f>
        <v>Top-ups</v>
      </c>
      <c r="D8563" s="0" t="n">
        <f aca="false">INDEX(Intent_Analysis!$E$5:$E$81,MATCH(B8563,Intent_Analysis!$A$5:$A$81,0))</f>
        <v>2</v>
      </c>
    </row>
    <row r="8564" customFormat="false" ht="15" hidden="false" customHeight="false" outlineLevel="0" collapsed="false">
      <c r="A8564" s="0" t="s">
        <v>8888</v>
      </c>
      <c r="B8564" s="0" t="s">
        <v>105</v>
      </c>
      <c r="C8564" s="0" t="str">
        <f aca="false">INDEX(Intent_Analysis!$B$5:$B$81,MATCH(B8564,Intent_Analysis!$A$5:$A$81,0))</f>
        <v>Top-ups</v>
      </c>
      <c r="D8564" s="0" t="n">
        <f aca="false">INDEX(Intent_Analysis!$E$5:$E$81,MATCH(B8564,Intent_Analysis!$A$5:$A$81,0))</f>
        <v>2</v>
      </c>
    </row>
    <row r="8565" customFormat="false" ht="15" hidden="false" customHeight="false" outlineLevel="0" collapsed="false">
      <c r="A8565" s="0" t="s">
        <v>8889</v>
      </c>
      <c r="B8565" s="0" t="s">
        <v>105</v>
      </c>
      <c r="C8565" s="0" t="str">
        <f aca="false">INDEX(Intent_Analysis!$B$5:$B$81,MATCH(B8565,Intent_Analysis!$A$5:$A$81,0))</f>
        <v>Top-ups</v>
      </c>
      <c r="D8565" s="0" t="n">
        <f aca="false">INDEX(Intent_Analysis!$E$5:$E$81,MATCH(B8565,Intent_Analysis!$A$5:$A$81,0))</f>
        <v>2</v>
      </c>
    </row>
    <row r="8566" customFormat="false" ht="15" hidden="false" customHeight="false" outlineLevel="0" collapsed="false">
      <c r="A8566" s="0" t="s">
        <v>8890</v>
      </c>
      <c r="B8566" s="0" t="s">
        <v>105</v>
      </c>
      <c r="C8566" s="0" t="str">
        <f aca="false">INDEX(Intent_Analysis!$B$5:$B$81,MATCH(B8566,Intent_Analysis!$A$5:$A$81,0))</f>
        <v>Top-ups</v>
      </c>
      <c r="D8566" s="0" t="n">
        <f aca="false">INDEX(Intent_Analysis!$E$5:$E$81,MATCH(B8566,Intent_Analysis!$A$5:$A$81,0))</f>
        <v>2</v>
      </c>
    </row>
    <row r="8567" customFormat="false" ht="15" hidden="false" customHeight="false" outlineLevel="0" collapsed="false">
      <c r="A8567" s="0" t="s">
        <v>8891</v>
      </c>
      <c r="B8567" s="0" t="s">
        <v>105</v>
      </c>
      <c r="C8567" s="0" t="str">
        <f aca="false">INDEX(Intent_Analysis!$B$5:$B$81,MATCH(B8567,Intent_Analysis!$A$5:$A$81,0))</f>
        <v>Top-ups</v>
      </c>
      <c r="D8567" s="0" t="n">
        <f aca="false">INDEX(Intent_Analysis!$E$5:$E$81,MATCH(B8567,Intent_Analysis!$A$5:$A$81,0))</f>
        <v>2</v>
      </c>
    </row>
    <row r="8568" customFormat="false" ht="15" hidden="false" customHeight="false" outlineLevel="0" collapsed="false">
      <c r="A8568" s="0" t="s">
        <v>8892</v>
      </c>
      <c r="B8568" s="0" t="s">
        <v>105</v>
      </c>
      <c r="C8568" s="0" t="str">
        <f aca="false">INDEX(Intent_Analysis!$B$5:$B$81,MATCH(B8568,Intent_Analysis!$A$5:$A$81,0))</f>
        <v>Top-ups</v>
      </c>
      <c r="D8568" s="0" t="n">
        <f aca="false">INDEX(Intent_Analysis!$E$5:$E$81,MATCH(B8568,Intent_Analysis!$A$5:$A$81,0))</f>
        <v>2</v>
      </c>
    </row>
    <row r="8569" customFormat="false" ht="15" hidden="false" customHeight="false" outlineLevel="0" collapsed="false">
      <c r="A8569" s="0" t="s">
        <v>8893</v>
      </c>
      <c r="B8569" s="0" t="s">
        <v>105</v>
      </c>
      <c r="C8569" s="0" t="str">
        <f aca="false">INDEX(Intent_Analysis!$B$5:$B$81,MATCH(B8569,Intent_Analysis!$A$5:$A$81,0))</f>
        <v>Top-ups</v>
      </c>
      <c r="D8569" s="0" t="n">
        <f aca="false">INDEX(Intent_Analysis!$E$5:$E$81,MATCH(B8569,Intent_Analysis!$A$5:$A$81,0))</f>
        <v>2</v>
      </c>
    </row>
    <row r="8570" customFormat="false" ht="15" hidden="false" customHeight="false" outlineLevel="0" collapsed="false">
      <c r="A8570" s="0" t="s">
        <v>8894</v>
      </c>
      <c r="B8570" s="0" t="s">
        <v>105</v>
      </c>
      <c r="C8570" s="0" t="str">
        <f aca="false">INDEX(Intent_Analysis!$B$5:$B$81,MATCH(B8570,Intent_Analysis!$A$5:$A$81,0))</f>
        <v>Top-ups</v>
      </c>
      <c r="D8570" s="0" t="n">
        <f aca="false">INDEX(Intent_Analysis!$E$5:$E$81,MATCH(B8570,Intent_Analysis!$A$5:$A$81,0))</f>
        <v>2</v>
      </c>
    </row>
    <row r="8571" customFormat="false" ht="15" hidden="false" customHeight="false" outlineLevel="0" collapsed="false">
      <c r="A8571" s="0" t="s">
        <v>8895</v>
      </c>
      <c r="B8571" s="0" t="s">
        <v>105</v>
      </c>
      <c r="C8571" s="0" t="str">
        <f aca="false">INDEX(Intent_Analysis!$B$5:$B$81,MATCH(B8571,Intent_Analysis!$A$5:$A$81,0))</f>
        <v>Top-ups</v>
      </c>
      <c r="D8571" s="0" t="n">
        <f aca="false">INDEX(Intent_Analysis!$E$5:$E$81,MATCH(B8571,Intent_Analysis!$A$5:$A$81,0))</f>
        <v>2</v>
      </c>
    </row>
    <row r="8572" customFormat="false" ht="15" hidden="false" customHeight="false" outlineLevel="0" collapsed="false">
      <c r="A8572" s="0" t="s">
        <v>8896</v>
      </c>
      <c r="B8572" s="0" t="s">
        <v>105</v>
      </c>
      <c r="C8572" s="0" t="str">
        <f aca="false">INDEX(Intent_Analysis!$B$5:$B$81,MATCH(B8572,Intent_Analysis!$A$5:$A$81,0))</f>
        <v>Top-ups</v>
      </c>
      <c r="D8572" s="0" t="n">
        <f aca="false">INDEX(Intent_Analysis!$E$5:$E$81,MATCH(B8572,Intent_Analysis!$A$5:$A$81,0))</f>
        <v>2</v>
      </c>
    </row>
    <row r="8573" customFormat="false" ht="15" hidden="false" customHeight="false" outlineLevel="0" collapsed="false">
      <c r="A8573" s="0" t="s">
        <v>8897</v>
      </c>
      <c r="B8573" s="0" t="s">
        <v>105</v>
      </c>
      <c r="C8573" s="0" t="str">
        <f aca="false">INDEX(Intent_Analysis!$B$5:$B$81,MATCH(B8573,Intent_Analysis!$A$5:$A$81,0))</f>
        <v>Top-ups</v>
      </c>
      <c r="D8573" s="0" t="n">
        <f aca="false">INDEX(Intent_Analysis!$E$5:$E$81,MATCH(B8573,Intent_Analysis!$A$5:$A$81,0))</f>
        <v>2</v>
      </c>
    </row>
    <row r="8574" customFormat="false" ht="15" hidden="false" customHeight="false" outlineLevel="0" collapsed="false">
      <c r="A8574" s="0" t="s">
        <v>8898</v>
      </c>
      <c r="B8574" s="0" t="s">
        <v>105</v>
      </c>
      <c r="C8574" s="0" t="str">
        <f aca="false">INDEX(Intent_Analysis!$B$5:$B$81,MATCH(B8574,Intent_Analysis!$A$5:$A$81,0))</f>
        <v>Top-ups</v>
      </c>
      <c r="D8574" s="0" t="n">
        <f aca="false">INDEX(Intent_Analysis!$E$5:$E$81,MATCH(B8574,Intent_Analysis!$A$5:$A$81,0))</f>
        <v>2</v>
      </c>
    </row>
    <row r="8575" customFormat="false" ht="15" hidden="false" customHeight="false" outlineLevel="0" collapsed="false">
      <c r="A8575" s="0" t="s">
        <v>8899</v>
      </c>
      <c r="B8575" s="0" t="s">
        <v>105</v>
      </c>
      <c r="C8575" s="0" t="str">
        <f aca="false">INDEX(Intent_Analysis!$B$5:$B$81,MATCH(B8575,Intent_Analysis!$A$5:$A$81,0))</f>
        <v>Top-ups</v>
      </c>
      <c r="D8575" s="0" t="n">
        <f aca="false">INDEX(Intent_Analysis!$E$5:$E$81,MATCH(B8575,Intent_Analysis!$A$5:$A$81,0))</f>
        <v>2</v>
      </c>
    </row>
    <row r="8576" customFormat="false" ht="15" hidden="false" customHeight="false" outlineLevel="0" collapsed="false">
      <c r="A8576" s="0" t="s">
        <v>8900</v>
      </c>
      <c r="B8576" s="0" t="s">
        <v>105</v>
      </c>
      <c r="C8576" s="0" t="str">
        <f aca="false">INDEX(Intent_Analysis!$B$5:$B$81,MATCH(B8576,Intent_Analysis!$A$5:$A$81,0))</f>
        <v>Top-ups</v>
      </c>
      <c r="D8576" s="0" t="n">
        <f aca="false">INDEX(Intent_Analysis!$E$5:$E$81,MATCH(B8576,Intent_Analysis!$A$5:$A$81,0))</f>
        <v>2</v>
      </c>
    </row>
    <row r="8577" customFormat="false" ht="15" hidden="false" customHeight="false" outlineLevel="0" collapsed="false">
      <c r="A8577" s="0" t="s">
        <v>8901</v>
      </c>
      <c r="B8577" s="0" t="s">
        <v>105</v>
      </c>
      <c r="C8577" s="0" t="str">
        <f aca="false">INDEX(Intent_Analysis!$B$5:$B$81,MATCH(B8577,Intent_Analysis!$A$5:$A$81,0))</f>
        <v>Top-ups</v>
      </c>
      <c r="D8577" s="0" t="n">
        <f aca="false">INDEX(Intent_Analysis!$E$5:$E$81,MATCH(B8577,Intent_Analysis!$A$5:$A$81,0))</f>
        <v>2</v>
      </c>
    </row>
    <row r="8578" customFormat="false" ht="15" hidden="false" customHeight="false" outlineLevel="0" collapsed="false">
      <c r="A8578" s="0" t="s">
        <v>8902</v>
      </c>
      <c r="B8578" s="0" t="s">
        <v>105</v>
      </c>
      <c r="C8578" s="0" t="str">
        <f aca="false">INDEX(Intent_Analysis!$B$5:$B$81,MATCH(B8578,Intent_Analysis!$A$5:$A$81,0))</f>
        <v>Top-ups</v>
      </c>
      <c r="D8578" s="0" t="n">
        <f aca="false">INDEX(Intent_Analysis!$E$5:$E$81,MATCH(B8578,Intent_Analysis!$A$5:$A$81,0))</f>
        <v>2</v>
      </c>
    </row>
    <row r="8579" customFormat="false" ht="15" hidden="false" customHeight="false" outlineLevel="0" collapsed="false">
      <c r="A8579" s="0" t="s">
        <v>8903</v>
      </c>
      <c r="B8579" s="0" t="s">
        <v>105</v>
      </c>
      <c r="C8579" s="0" t="str">
        <f aca="false">INDEX(Intent_Analysis!$B$5:$B$81,MATCH(B8579,Intent_Analysis!$A$5:$A$81,0))</f>
        <v>Top-ups</v>
      </c>
      <c r="D8579" s="0" t="n">
        <f aca="false">INDEX(Intent_Analysis!$E$5:$E$81,MATCH(B8579,Intent_Analysis!$A$5:$A$81,0))</f>
        <v>2</v>
      </c>
    </row>
    <row r="8580" customFormat="false" ht="15" hidden="false" customHeight="false" outlineLevel="0" collapsed="false">
      <c r="A8580" s="0" t="s">
        <v>8904</v>
      </c>
      <c r="B8580" s="0" t="s">
        <v>105</v>
      </c>
      <c r="C8580" s="0" t="str">
        <f aca="false">INDEX(Intent_Analysis!$B$5:$B$81,MATCH(B8580,Intent_Analysis!$A$5:$A$81,0))</f>
        <v>Top-ups</v>
      </c>
      <c r="D8580" s="0" t="n">
        <f aca="false">INDEX(Intent_Analysis!$E$5:$E$81,MATCH(B8580,Intent_Analysis!$A$5:$A$81,0))</f>
        <v>2</v>
      </c>
    </row>
    <row r="8581" customFormat="false" ht="15" hidden="false" customHeight="false" outlineLevel="0" collapsed="false">
      <c r="A8581" s="0" t="s">
        <v>8905</v>
      </c>
      <c r="B8581" s="0" t="s">
        <v>105</v>
      </c>
      <c r="C8581" s="0" t="str">
        <f aca="false">INDEX(Intent_Analysis!$B$5:$B$81,MATCH(B8581,Intent_Analysis!$A$5:$A$81,0))</f>
        <v>Top-ups</v>
      </c>
      <c r="D8581" s="0" t="n">
        <f aca="false">INDEX(Intent_Analysis!$E$5:$E$81,MATCH(B8581,Intent_Analysis!$A$5:$A$81,0))</f>
        <v>2</v>
      </c>
    </row>
    <row r="8582" customFormat="false" ht="15" hidden="false" customHeight="false" outlineLevel="0" collapsed="false">
      <c r="A8582" s="0" t="s">
        <v>8906</v>
      </c>
      <c r="B8582" s="0" t="s">
        <v>105</v>
      </c>
      <c r="C8582" s="0" t="str">
        <f aca="false">INDEX(Intent_Analysis!$B$5:$B$81,MATCH(B8582,Intent_Analysis!$A$5:$A$81,0))</f>
        <v>Top-ups</v>
      </c>
      <c r="D8582" s="0" t="n">
        <f aca="false">INDEX(Intent_Analysis!$E$5:$E$81,MATCH(B8582,Intent_Analysis!$A$5:$A$81,0))</f>
        <v>2</v>
      </c>
    </row>
    <row r="8583" customFormat="false" ht="15" hidden="false" customHeight="false" outlineLevel="0" collapsed="false">
      <c r="A8583" s="0" t="s">
        <v>8907</v>
      </c>
      <c r="B8583" s="0" t="s">
        <v>105</v>
      </c>
      <c r="C8583" s="0" t="str">
        <f aca="false">INDEX(Intent_Analysis!$B$5:$B$81,MATCH(B8583,Intent_Analysis!$A$5:$A$81,0))</f>
        <v>Top-ups</v>
      </c>
      <c r="D8583" s="0" t="n">
        <f aca="false">INDEX(Intent_Analysis!$E$5:$E$81,MATCH(B8583,Intent_Analysis!$A$5:$A$81,0))</f>
        <v>2</v>
      </c>
    </row>
    <row r="8584" customFormat="false" ht="15" hidden="false" customHeight="false" outlineLevel="0" collapsed="false">
      <c r="A8584" s="0" t="s">
        <v>8908</v>
      </c>
      <c r="B8584" s="0" t="s">
        <v>105</v>
      </c>
      <c r="C8584" s="0" t="str">
        <f aca="false">INDEX(Intent_Analysis!$B$5:$B$81,MATCH(B8584,Intent_Analysis!$A$5:$A$81,0))</f>
        <v>Top-ups</v>
      </c>
      <c r="D8584" s="0" t="n">
        <f aca="false">INDEX(Intent_Analysis!$E$5:$E$81,MATCH(B8584,Intent_Analysis!$A$5:$A$81,0))</f>
        <v>2</v>
      </c>
    </row>
    <row r="8585" customFormat="false" ht="15" hidden="false" customHeight="false" outlineLevel="0" collapsed="false">
      <c r="A8585" s="0" t="s">
        <v>8909</v>
      </c>
      <c r="B8585" s="0" t="s">
        <v>105</v>
      </c>
      <c r="C8585" s="0" t="str">
        <f aca="false">INDEX(Intent_Analysis!$B$5:$B$81,MATCH(B8585,Intent_Analysis!$A$5:$A$81,0))</f>
        <v>Top-ups</v>
      </c>
      <c r="D8585" s="0" t="n">
        <f aca="false">INDEX(Intent_Analysis!$E$5:$E$81,MATCH(B8585,Intent_Analysis!$A$5:$A$81,0))</f>
        <v>2</v>
      </c>
    </row>
    <row r="8586" customFormat="false" ht="15" hidden="false" customHeight="false" outlineLevel="0" collapsed="false">
      <c r="A8586" s="0" t="s">
        <v>8910</v>
      </c>
      <c r="B8586" s="0" t="s">
        <v>105</v>
      </c>
      <c r="C8586" s="0" t="str">
        <f aca="false">INDEX(Intent_Analysis!$B$5:$B$81,MATCH(B8586,Intent_Analysis!$A$5:$A$81,0))</f>
        <v>Top-ups</v>
      </c>
      <c r="D8586" s="0" t="n">
        <f aca="false">INDEX(Intent_Analysis!$E$5:$E$81,MATCH(B8586,Intent_Analysis!$A$5:$A$81,0))</f>
        <v>2</v>
      </c>
    </row>
    <row r="8587" customFormat="false" ht="15" hidden="false" customHeight="false" outlineLevel="0" collapsed="false">
      <c r="A8587" s="0" t="s">
        <v>8911</v>
      </c>
      <c r="B8587" s="0" t="s">
        <v>105</v>
      </c>
      <c r="C8587" s="0" t="str">
        <f aca="false">INDEX(Intent_Analysis!$B$5:$B$81,MATCH(B8587,Intent_Analysis!$A$5:$A$81,0))</f>
        <v>Top-ups</v>
      </c>
      <c r="D8587" s="0" t="n">
        <f aca="false">INDEX(Intent_Analysis!$E$5:$E$81,MATCH(B8587,Intent_Analysis!$A$5:$A$81,0))</f>
        <v>2</v>
      </c>
    </row>
    <row r="8588" customFormat="false" ht="15" hidden="false" customHeight="false" outlineLevel="0" collapsed="false">
      <c r="A8588" s="0" t="s">
        <v>8912</v>
      </c>
      <c r="B8588" s="0" t="s">
        <v>105</v>
      </c>
      <c r="C8588" s="0" t="str">
        <f aca="false">INDEX(Intent_Analysis!$B$5:$B$81,MATCH(B8588,Intent_Analysis!$A$5:$A$81,0))</f>
        <v>Top-ups</v>
      </c>
      <c r="D8588" s="0" t="n">
        <f aca="false">INDEX(Intent_Analysis!$E$5:$E$81,MATCH(B8588,Intent_Analysis!$A$5:$A$81,0))</f>
        <v>2</v>
      </c>
    </row>
    <row r="8589" customFormat="false" ht="15" hidden="false" customHeight="false" outlineLevel="0" collapsed="false">
      <c r="A8589" s="0" t="s">
        <v>8913</v>
      </c>
      <c r="B8589" s="0" t="s">
        <v>105</v>
      </c>
      <c r="C8589" s="0" t="str">
        <f aca="false">INDEX(Intent_Analysis!$B$5:$B$81,MATCH(B8589,Intent_Analysis!$A$5:$A$81,0))</f>
        <v>Top-ups</v>
      </c>
      <c r="D8589" s="0" t="n">
        <f aca="false">INDEX(Intent_Analysis!$E$5:$E$81,MATCH(B8589,Intent_Analysis!$A$5:$A$81,0))</f>
        <v>2</v>
      </c>
    </row>
    <row r="8590" customFormat="false" ht="15" hidden="false" customHeight="false" outlineLevel="0" collapsed="false">
      <c r="A8590" s="0" t="s">
        <v>8914</v>
      </c>
      <c r="B8590" s="0" t="s">
        <v>105</v>
      </c>
      <c r="C8590" s="0" t="str">
        <f aca="false">INDEX(Intent_Analysis!$B$5:$B$81,MATCH(B8590,Intent_Analysis!$A$5:$A$81,0))</f>
        <v>Top-ups</v>
      </c>
      <c r="D8590" s="0" t="n">
        <f aca="false">INDEX(Intent_Analysis!$E$5:$E$81,MATCH(B8590,Intent_Analysis!$A$5:$A$81,0))</f>
        <v>2</v>
      </c>
    </row>
    <row r="8591" customFormat="false" ht="15" hidden="false" customHeight="false" outlineLevel="0" collapsed="false">
      <c r="A8591" s="0" t="s">
        <v>8915</v>
      </c>
      <c r="B8591" s="0" t="s">
        <v>105</v>
      </c>
      <c r="C8591" s="0" t="str">
        <f aca="false">INDEX(Intent_Analysis!$B$5:$B$81,MATCH(B8591,Intent_Analysis!$A$5:$A$81,0))</f>
        <v>Top-ups</v>
      </c>
      <c r="D8591" s="0" t="n">
        <f aca="false">INDEX(Intent_Analysis!$E$5:$E$81,MATCH(B8591,Intent_Analysis!$A$5:$A$81,0))</f>
        <v>2</v>
      </c>
    </row>
    <row r="8592" customFormat="false" ht="15" hidden="false" customHeight="false" outlineLevel="0" collapsed="false">
      <c r="A8592" s="0" t="s">
        <v>8916</v>
      </c>
      <c r="B8592" s="0" t="s">
        <v>105</v>
      </c>
      <c r="C8592" s="0" t="str">
        <f aca="false">INDEX(Intent_Analysis!$B$5:$B$81,MATCH(B8592,Intent_Analysis!$A$5:$A$81,0))</f>
        <v>Top-ups</v>
      </c>
      <c r="D8592" s="0" t="n">
        <f aca="false">INDEX(Intent_Analysis!$E$5:$E$81,MATCH(B8592,Intent_Analysis!$A$5:$A$81,0))</f>
        <v>2</v>
      </c>
    </row>
    <row r="8593" customFormat="false" ht="15" hidden="false" customHeight="false" outlineLevel="0" collapsed="false">
      <c r="A8593" s="0" t="s">
        <v>8917</v>
      </c>
      <c r="B8593" s="0" t="s">
        <v>105</v>
      </c>
      <c r="C8593" s="0" t="str">
        <f aca="false">INDEX(Intent_Analysis!$B$5:$B$81,MATCH(B8593,Intent_Analysis!$A$5:$A$81,0))</f>
        <v>Top-ups</v>
      </c>
      <c r="D8593" s="0" t="n">
        <f aca="false">INDEX(Intent_Analysis!$E$5:$E$81,MATCH(B8593,Intent_Analysis!$A$5:$A$81,0))</f>
        <v>2</v>
      </c>
    </row>
    <row r="8594" customFormat="false" ht="15" hidden="false" customHeight="false" outlineLevel="0" collapsed="false">
      <c r="A8594" s="0" t="s">
        <v>8918</v>
      </c>
      <c r="B8594" s="0" t="s">
        <v>105</v>
      </c>
      <c r="C8594" s="0" t="str">
        <f aca="false">INDEX(Intent_Analysis!$B$5:$B$81,MATCH(B8594,Intent_Analysis!$A$5:$A$81,0))</f>
        <v>Top-ups</v>
      </c>
      <c r="D8594" s="0" t="n">
        <f aca="false">INDEX(Intent_Analysis!$E$5:$E$81,MATCH(B8594,Intent_Analysis!$A$5:$A$81,0))</f>
        <v>2</v>
      </c>
    </row>
    <row r="8595" customFormat="false" ht="15" hidden="false" customHeight="false" outlineLevel="0" collapsed="false">
      <c r="A8595" s="0" t="s">
        <v>8919</v>
      </c>
      <c r="B8595" s="0" t="s">
        <v>105</v>
      </c>
      <c r="C8595" s="0" t="str">
        <f aca="false">INDEX(Intent_Analysis!$B$5:$B$81,MATCH(B8595,Intent_Analysis!$A$5:$A$81,0))</f>
        <v>Top-ups</v>
      </c>
      <c r="D8595" s="0" t="n">
        <f aca="false">INDEX(Intent_Analysis!$E$5:$E$81,MATCH(B8595,Intent_Analysis!$A$5:$A$81,0))</f>
        <v>2</v>
      </c>
    </row>
    <row r="8596" customFormat="false" ht="15" hidden="false" customHeight="false" outlineLevel="0" collapsed="false">
      <c r="A8596" s="0" t="s">
        <v>8920</v>
      </c>
      <c r="B8596" s="0" t="s">
        <v>105</v>
      </c>
      <c r="C8596" s="0" t="str">
        <f aca="false">INDEX(Intent_Analysis!$B$5:$B$81,MATCH(B8596,Intent_Analysis!$A$5:$A$81,0))</f>
        <v>Top-ups</v>
      </c>
      <c r="D8596" s="0" t="n">
        <f aca="false">INDEX(Intent_Analysis!$E$5:$E$81,MATCH(B8596,Intent_Analysis!$A$5:$A$81,0))</f>
        <v>2</v>
      </c>
    </row>
    <row r="8597" customFormat="false" ht="15" hidden="false" customHeight="false" outlineLevel="0" collapsed="false">
      <c r="A8597" s="0" t="s">
        <v>8921</v>
      </c>
      <c r="B8597" s="0" t="s">
        <v>105</v>
      </c>
      <c r="C8597" s="0" t="str">
        <f aca="false">INDEX(Intent_Analysis!$B$5:$B$81,MATCH(B8597,Intent_Analysis!$A$5:$A$81,0))</f>
        <v>Top-ups</v>
      </c>
      <c r="D8597" s="0" t="n">
        <f aca="false">INDEX(Intent_Analysis!$E$5:$E$81,MATCH(B8597,Intent_Analysis!$A$5:$A$81,0))</f>
        <v>2</v>
      </c>
    </row>
    <row r="8598" customFormat="false" ht="15" hidden="false" customHeight="false" outlineLevel="0" collapsed="false">
      <c r="A8598" s="0" t="s">
        <v>8922</v>
      </c>
      <c r="B8598" s="0" t="s">
        <v>105</v>
      </c>
      <c r="C8598" s="0" t="str">
        <f aca="false">INDEX(Intent_Analysis!$B$5:$B$81,MATCH(B8598,Intent_Analysis!$A$5:$A$81,0))</f>
        <v>Top-ups</v>
      </c>
      <c r="D8598" s="0" t="n">
        <f aca="false">INDEX(Intent_Analysis!$E$5:$E$81,MATCH(B8598,Intent_Analysis!$A$5:$A$81,0))</f>
        <v>2</v>
      </c>
    </row>
    <row r="8599" customFormat="false" ht="15" hidden="false" customHeight="false" outlineLevel="0" collapsed="false">
      <c r="A8599" s="0" t="s">
        <v>8923</v>
      </c>
      <c r="B8599" s="0" t="s">
        <v>105</v>
      </c>
      <c r="C8599" s="0" t="str">
        <f aca="false">INDEX(Intent_Analysis!$B$5:$B$81,MATCH(B8599,Intent_Analysis!$A$5:$A$81,0))</f>
        <v>Top-ups</v>
      </c>
      <c r="D8599" s="0" t="n">
        <f aca="false">INDEX(Intent_Analysis!$E$5:$E$81,MATCH(B8599,Intent_Analysis!$A$5:$A$81,0))</f>
        <v>2</v>
      </c>
    </row>
    <row r="8600" customFormat="false" ht="15" hidden="false" customHeight="false" outlineLevel="0" collapsed="false">
      <c r="A8600" s="0" t="s">
        <v>8924</v>
      </c>
      <c r="B8600" s="0" t="s">
        <v>105</v>
      </c>
      <c r="C8600" s="0" t="str">
        <f aca="false">INDEX(Intent_Analysis!$B$5:$B$81,MATCH(B8600,Intent_Analysis!$A$5:$A$81,0))</f>
        <v>Top-ups</v>
      </c>
      <c r="D8600" s="0" t="n">
        <f aca="false">INDEX(Intent_Analysis!$E$5:$E$81,MATCH(B8600,Intent_Analysis!$A$5:$A$81,0))</f>
        <v>2</v>
      </c>
    </row>
    <row r="8601" customFormat="false" ht="15" hidden="false" customHeight="false" outlineLevel="0" collapsed="false">
      <c r="A8601" s="0" t="s">
        <v>8925</v>
      </c>
      <c r="B8601" s="0" t="s">
        <v>105</v>
      </c>
      <c r="C8601" s="0" t="str">
        <f aca="false">INDEX(Intent_Analysis!$B$5:$B$81,MATCH(B8601,Intent_Analysis!$A$5:$A$81,0))</f>
        <v>Top-ups</v>
      </c>
      <c r="D8601" s="0" t="n">
        <f aca="false">INDEX(Intent_Analysis!$E$5:$E$81,MATCH(B8601,Intent_Analysis!$A$5:$A$81,0))</f>
        <v>2</v>
      </c>
    </row>
    <row r="8602" customFormat="false" ht="15" hidden="false" customHeight="false" outlineLevel="0" collapsed="false">
      <c r="A8602" s="0" t="s">
        <v>8926</v>
      </c>
      <c r="B8602" s="0" t="s">
        <v>105</v>
      </c>
      <c r="C8602" s="0" t="str">
        <f aca="false">INDEX(Intent_Analysis!$B$5:$B$81,MATCH(B8602,Intent_Analysis!$A$5:$A$81,0))</f>
        <v>Top-ups</v>
      </c>
      <c r="D8602" s="0" t="n">
        <f aca="false">INDEX(Intent_Analysis!$E$5:$E$81,MATCH(B8602,Intent_Analysis!$A$5:$A$81,0))</f>
        <v>2</v>
      </c>
    </row>
    <row r="8603" customFormat="false" ht="15" hidden="false" customHeight="false" outlineLevel="0" collapsed="false">
      <c r="A8603" s="0" t="s">
        <v>8927</v>
      </c>
      <c r="B8603" s="0" t="s">
        <v>105</v>
      </c>
      <c r="C8603" s="0" t="str">
        <f aca="false">INDEX(Intent_Analysis!$B$5:$B$81,MATCH(B8603,Intent_Analysis!$A$5:$A$81,0))</f>
        <v>Top-ups</v>
      </c>
      <c r="D8603" s="0" t="n">
        <f aca="false">INDEX(Intent_Analysis!$E$5:$E$81,MATCH(B8603,Intent_Analysis!$A$5:$A$81,0))</f>
        <v>2</v>
      </c>
    </row>
    <row r="8604" customFormat="false" ht="15" hidden="false" customHeight="false" outlineLevel="0" collapsed="false">
      <c r="A8604" s="0" t="s">
        <v>8928</v>
      </c>
      <c r="B8604" s="0" t="s">
        <v>105</v>
      </c>
      <c r="C8604" s="0" t="str">
        <f aca="false">INDEX(Intent_Analysis!$B$5:$B$81,MATCH(B8604,Intent_Analysis!$A$5:$A$81,0))</f>
        <v>Top-ups</v>
      </c>
      <c r="D8604" s="0" t="n">
        <f aca="false">INDEX(Intent_Analysis!$E$5:$E$81,MATCH(B8604,Intent_Analysis!$A$5:$A$81,0))</f>
        <v>2</v>
      </c>
    </row>
    <row r="8605" customFormat="false" ht="15" hidden="false" customHeight="false" outlineLevel="0" collapsed="false">
      <c r="A8605" s="0" t="s">
        <v>8929</v>
      </c>
      <c r="B8605" s="0" t="s">
        <v>105</v>
      </c>
      <c r="C8605" s="0" t="str">
        <f aca="false">INDEX(Intent_Analysis!$B$5:$B$81,MATCH(B8605,Intent_Analysis!$A$5:$A$81,0))</f>
        <v>Top-ups</v>
      </c>
      <c r="D8605" s="0" t="n">
        <f aca="false">INDEX(Intent_Analysis!$E$5:$E$81,MATCH(B8605,Intent_Analysis!$A$5:$A$81,0))</f>
        <v>2</v>
      </c>
    </row>
    <row r="8606" customFormat="false" ht="15" hidden="false" customHeight="false" outlineLevel="0" collapsed="false">
      <c r="A8606" s="0" t="s">
        <v>8930</v>
      </c>
      <c r="B8606" s="0" t="s">
        <v>105</v>
      </c>
      <c r="C8606" s="0" t="str">
        <f aca="false">INDEX(Intent_Analysis!$B$5:$B$81,MATCH(B8606,Intent_Analysis!$A$5:$A$81,0))</f>
        <v>Top-ups</v>
      </c>
      <c r="D8606" s="0" t="n">
        <f aca="false">INDEX(Intent_Analysis!$E$5:$E$81,MATCH(B8606,Intent_Analysis!$A$5:$A$81,0))</f>
        <v>2</v>
      </c>
    </row>
    <row r="8607" customFormat="false" ht="15" hidden="false" customHeight="false" outlineLevel="0" collapsed="false">
      <c r="A8607" s="0" t="s">
        <v>8931</v>
      </c>
      <c r="B8607" s="0" t="s">
        <v>105</v>
      </c>
      <c r="C8607" s="0" t="str">
        <f aca="false">INDEX(Intent_Analysis!$B$5:$B$81,MATCH(B8607,Intent_Analysis!$A$5:$A$81,0))</f>
        <v>Top-ups</v>
      </c>
      <c r="D8607" s="0" t="n">
        <f aca="false">INDEX(Intent_Analysis!$E$5:$E$81,MATCH(B8607,Intent_Analysis!$A$5:$A$81,0))</f>
        <v>2</v>
      </c>
    </row>
    <row r="8608" customFormat="false" ht="15" hidden="false" customHeight="false" outlineLevel="0" collapsed="false">
      <c r="A8608" s="0" t="s">
        <v>8932</v>
      </c>
      <c r="B8608" s="0" t="s">
        <v>105</v>
      </c>
      <c r="C8608" s="0" t="str">
        <f aca="false">INDEX(Intent_Analysis!$B$5:$B$81,MATCH(B8608,Intent_Analysis!$A$5:$A$81,0))</f>
        <v>Top-ups</v>
      </c>
      <c r="D8608" s="0" t="n">
        <f aca="false">INDEX(Intent_Analysis!$E$5:$E$81,MATCH(B8608,Intent_Analysis!$A$5:$A$81,0))</f>
        <v>2</v>
      </c>
    </row>
    <row r="8609" customFormat="false" ht="15" hidden="false" customHeight="false" outlineLevel="0" collapsed="false">
      <c r="A8609" s="0" t="s">
        <v>8933</v>
      </c>
      <c r="B8609" s="0" t="s">
        <v>105</v>
      </c>
      <c r="C8609" s="0" t="str">
        <f aca="false">INDEX(Intent_Analysis!$B$5:$B$81,MATCH(B8609,Intent_Analysis!$A$5:$A$81,0))</f>
        <v>Top-ups</v>
      </c>
      <c r="D8609" s="0" t="n">
        <f aca="false">INDEX(Intent_Analysis!$E$5:$E$81,MATCH(B8609,Intent_Analysis!$A$5:$A$81,0))</f>
        <v>2</v>
      </c>
    </row>
    <row r="8610" customFormat="false" ht="15" hidden="false" customHeight="false" outlineLevel="0" collapsed="false">
      <c r="A8610" s="0" t="s">
        <v>8934</v>
      </c>
      <c r="B8610" s="0" t="s">
        <v>105</v>
      </c>
      <c r="C8610" s="0" t="str">
        <f aca="false">INDEX(Intent_Analysis!$B$5:$B$81,MATCH(B8610,Intent_Analysis!$A$5:$A$81,0))</f>
        <v>Top-ups</v>
      </c>
      <c r="D8610" s="0" t="n">
        <f aca="false">INDEX(Intent_Analysis!$E$5:$E$81,MATCH(B8610,Intent_Analysis!$A$5:$A$81,0))</f>
        <v>2</v>
      </c>
    </row>
    <row r="8611" customFormat="false" ht="15" hidden="false" customHeight="false" outlineLevel="0" collapsed="false">
      <c r="A8611" s="0" t="s">
        <v>8935</v>
      </c>
      <c r="B8611" s="0" t="s">
        <v>105</v>
      </c>
      <c r="C8611" s="0" t="str">
        <f aca="false">INDEX(Intent_Analysis!$B$5:$B$81,MATCH(B8611,Intent_Analysis!$A$5:$A$81,0))</f>
        <v>Top-ups</v>
      </c>
      <c r="D8611" s="0" t="n">
        <f aca="false">INDEX(Intent_Analysis!$E$5:$E$81,MATCH(B8611,Intent_Analysis!$A$5:$A$81,0))</f>
        <v>2</v>
      </c>
    </row>
    <row r="8612" customFormat="false" ht="15" hidden="false" customHeight="false" outlineLevel="0" collapsed="false">
      <c r="A8612" s="0" t="s">
        <v>8936</v>
      </c>
      <c r="B8612" s="0" t="s">
        <v>105</v>
      </c>
      <c r="C8612" s="0" t="str">
        <f aca="false">INDEX(Intent_Analysis!$B$5:$B$81,MATCH(B8612,Intent_Analysis!$A$5:$A$81,0))</f>
        <v>Top-ups</v>
      </c>
      <c r="D8612" s="0" t="n">
        <f aca="false">INDEX(Intent_Analysis!$E$5:$E$81,MATCH(B8612,Intent_Analysis!$A$5:$A$81,0))</f>
        <v>2</v>
      </c>
    </row>
    <row r="8613" customFormat="false" ht="15" hidden="false" customHeight="false" outlineLevel="0" collapsed="false">
      <c r="A8613" s="0" t="s">
        <v>8937</v>
      </c>
      <c r="B8613" s="0" t="s">
        <v>105</v>
      </c>
      <c r="C8613" s="0" t="str">
        <f aca="false">INDEX(Intent_Analysis!$B$5:$B$81,MATCH(B8613,Intent_Analysis!$A$5:$A$81,0))</f>
        <v>Top-ups</v>
      </c>
      <c r="D8613" s="0" t="n">
        <f aca="false">INDEX(Intent_Analysis!$E$5:$E$81,MATCH(B8613,Intent_Analysis!$A$5:$A$81,0))</f>
        <v>2</v>
      </c>
    </row>
    <row r="8614" customFormat="false" ht="15" hidden="false" customHeight="false" outlineLevel="0" collapsed="false">
      <c r="A8614" s="0" t="s">
        <v>8938</v>
      </c>
      <c r="B8614" s="0" t="s">
        <v>105</v>
      </c>
      <c r="C8614" s="0" t="str">
        <f aca="false">INDEX(Intent_Analysis!$B$5:$B$81,MATCH(B8614,Intent_Analysis!$A$5:$A$81,0))</f>
        <v>Top-ups</v>
      </c>
      <c r="D8614" s="0" t="n">
        <f aca="false">INDEX(Intent_Analysis!$E$5:$E$81,MATCH(B8614,Intent_Analysis!$A$5:$A$81,0))</f>
        <v>2</v>
      </c>
    </row>
    <row r="8615" customFormat="false" ht="15" hidden="false" customHeight="false" outlineLevel="0" collapsed="false">
      <c r="A8615" s="0" t="s">
        <v>8939</v>
      </c>
      <c r="B8615" s="0" t="s">
        <v>113</v>
      </c>
      <c r="C8615" s="0" t="str">
        <f aca="false">INDEX(Intent_Analysis!$B$5:$B$81,MATCH(B8615,Intent_Analysis!$A$5:$A$81,0))</f>
        <v>Transfers</v>
      </c>
      <c r="D8615" s="0" t="n">
        <f aca="false">INDEX(Intent_Analysis!$E$5:$E$81,MATCH(B8615,Intent_Analysis!$A$5:$A$81,0))</f>
        <v>2</v>
      </c>
    </row>
    <row r="8616" customFormat="false" ht="15" hidden="false" customHeight="false" outlineLevel="0" collapsed="false">
      <c r="A8616" s="0" t="s">
        <v>8940</v>
      </c>
      <c r="B8616" s="0" t="s">
        <v>113</v>
      </c>
      <c r="C8616" s="0" t="str">
        <f aca="false">INDEX(Intent_Analysis!$B$5:$B$81,MATCH(B8616,Intent_Analysis!$A$5:$A$81,0))</f>
        <v>Transfers</v>
      </c>
      <c r="D8616" s="0" t="n">
        <f aca="false">INDEX(Intent_Analysis!$E$5:$E$81,MATCH(B8616,Intent_Analysis!$A$5:$A$81,0))</f>
        <v>2</v>
      </c>
    </row>
    <row r="8617" customFormat="false" ht="15" hidden="false" customHeight="false" outlineLevel="0" collapsed="false">
      <c r="A8617" s="0" t="s">
        <v>8941</v>
      </c>
      <c r="B8617" s="0" t="s">
        <v>113</v>
      </c>
      <c r="C8617" s="0" t="str">
        <f aca="false">INDEX(Intent_Analysis!$B$5:$B$81,MATCH(B8617,Intent_Analysis!$A$5:$A$81,0))</f>
        <v>Transfers</v>
      </c>
      <c r="D8617" s="0" t="n">
        <f aca="false">INDEX(Intent_Analysis!$E$5:$E$81,MATCH(B8617,Intent_Analysis!$A$5:$A$81,0))</f>
        <v>2</v>
      </c>
    </row>
    <row r="8618" customFormat="false" ht="15" hidden="false" customHeight="false" outlineLevel="0" collapsed="false">
      <c r="A8618" s="0" t="s">
        <v>8942</v>
      </c>
      <c r="B8618" s="0" t="s">
        <v>113</v>
      </c>
      <c r="C8618" s="0" t="str">
        <f aca="false">INDEX(Intent_Analysis!$B$5:$B$81,MATCH(B8618,Intent_Analysis!$A$5:$A$81,0))</f>
        <v>Transfers</v>
      </c>
      <c r="D8618" s="0" t="n">
        <f aca="false">INDEX(Intent_Analysis!$E$5:$E$81,MATCH(B8618,Intent_Analysis!$A$5:$A$81,0))</f>
        <v>2</v>
      </c>
    </row>
    <row r="8619" customFormat="false" ht="15" hidden="false" customHeight="false" outlineLevel="0" collapsed="false">
      <c r="A8619" s="0" t="s">
        <v>8943</v>
      </c>
      <c r="B8619" s="0" t="s">
        <v>113</v>
      </c>
      <c r="C8619" s="0" t="str">
        <f aca="false">INDEX(Intent_Analysis!$B$5:$B$81,MATCH(B8619,Intent_Analysis!$A$5:$A$81,0))</f>
        <v>Transfers</v>
      </c>
      <c r="D8619" s="0" t="n">
        <f aca="false">INDEX(Intent_Analysis!$E$5:$E$81,MATCH(B8619,Intent_Analysis!$A$5:$A$81,0))</f>
        <v>2</v>
      </c>
    </row>
    <row r="8620" customFormat="false" ht="15" hidden="false" customHeight="false" outlineLevel="0" collapsed="false">
      <c r="A8620" s="0" t="s">
        <v>8944</v>
      </c>
      <c r="B8620" s="0" t="s">
        <v>113</v>
      </c>
      <c r="C8620" s="0" t="str">
        <f aca="false">INDEX(Intent_Analysis!$B$5:$B$81,MATCH(B8620,Intent_Analysis!$A$5:$A$81,0))</f>
        <v>Transfers</v>
      </c>
      <c r="D8620" s="0" t="n">
        <f aca="false">INDEX(Intent_Analysis!$E$5:$E$81,MATCH(B8620,Intent_Analysis!$A$5:$A$81,0))</f>
        <v>2</v>
      </c>
    </row>
    <row r="8621" customFormat="false" ht="15" hidden="false" customHeight="false" outlineLevel="0" collapsed="false">
      <c r="A8621" s="0" t="s">
        <v>8945</v>
      </c>
      <c r="B8621" s="0" t="s">
        <v>113</v>
      </c>
      <c r="C8621" s="0" t="str">
        <f aca="false">INDEX(Intent_Analysis!$B$5:$B$81,MATCH(B8621,Intent_Analysis!$A$5:$A$81,0))</f>
        <v>Transfers</v>
      </c>
      <c r="D8621" s="0" t="n">
        <f aca="false">INDEX(Intent_Analysis!$E$5:$E$81,MATCH(B8621,Intent_Analysis!$A$5:$A$81,0))</f>
        <v>2</v>
      </c>
    </row>
    <row r="8622" customFormat="false" ht="15" hidden="false" customHeight="false" outlineLevel="0" collapsed="false">
      <c r="A8622" s="0" t="s">
        <v>8946</v>
      </c>
      <c r="B8622" s="0" t="s">
        <v>113</v>
      </c>
      <c r="C8622" s="0" t="str">
        <f aca="false">INDEX(Intent_Analysis!$B$5:$B$81,MATCH(B8622,Intent_Analysis!$A$5:$A$81,0))</f>
        <v>Transfers</v>
      </c>
      <c r="D8622" s="0" t="n">
        <f aca="false">INDEX(Intent_Analysis!$E$5:$E$81,MATCH(B8622,Intent_Analysis!$A$5:$A$81,0))</f>
        <v>2</v>
      </c>
    </row>
    <row r="8623" customFormat="false" ht="15" hidden="false" customHeight="false" outlineLevel="0" collapsed="false">
      <c r="A8623" s="0" t="s">
        <v>8947</v>
      </c>
      <c r="B8623" s="0" t="s">
        <v>113</v>
      </c>
      <c r="C8623" s="0" t="str">
        <f aca="false">INDEX(Intent_Analysis!$B$5:$B$81,MATCH(B8623,Intent_Analysis!$A$5:$A$81,0))</f>
        <v>Transfers</v>
      </c>
      <c r="D8623" s="0" t="n">
        <f aca="false">INDEX(Intent_Analysis!$E$5:$E$81,MATCH(B8623,Intent_Analysis!$A$5:$A$81,0))</f>
        <v>2</v>
      </c>
    </row>
    <row r="8624" customFormat="false" ht="15" hidden="false" customHeight="false" outlineLevel="0" collapsed="false">
      <c r="A8624" s="0" t="s">
        <v>8948</v>
      </c>
      <c r="B8624" s="0" t="s">
        <v>113</v>
      </c>
      <c r="C8624" s="0" t="str">
        <f aca="false">INDEX(Intent_Analysis!$B$5:$B$81,MATCH(B8624,Intent_Analysis!$A$5:$A$81,0))</f>
        <v>Transfers</v>
      </c>
      <c r="D8624" s="0" t="n">
        <f aca="false">INDEX(Intent_Analysis!$E$5:$E$81,MATCH(B8624,Intent_Analysis!$A$5:$A$81,0))</f>
        <v>2</v>
      </c>
    </row>
    <row r="8625" customFormat="false" ht="15" hidden="false" customHeight="false" outlineLevel="0" collapsed="false">
      <c r="A8625" s="0" t="s">
        <v>8949</v>
      </c>
      <c r="B8625" s="0" t="s">
        <v>113</v>
      </c>
      <c r="C8625" s="0" t="str">
        <f aca="false">INDEX(Intent_Analysis!$B$5:$B$81,MATCH(B8625,Intent_Analysis!$A$5:$A$81,0))</f>
        <v>Transfers</v>
      </c>
      <c r="D8625" s="0" t="n">
        <f aca="false">INDEX(Intent_Analysis!$E$5:$E$81,MATCH(B8625,Intent_Analysis!$A$5:$A$81,0))</f>
        <v>2</v>
      </c>
    </row>
    <row r="8626" customFormat="false" ht="15" hidden="false" customHeight="false" outlineLevel="0" collapsed="false">
      <c r="A8626" s="0" t="s">
        <v>8950</v>
      </c>
      <c r="B8626" s="0" t="s">
        <v>113</v>
      </c>
      <c r="C8626" s="0" t="str">
        <f aca="false">INDEX(Intent_Analysis!$B$5:$B$81,MATCH(B8626,Intent_Analysis!$A$5:$A$81,0))</f>
        <v>Transfers</v>
      </c>
      <c r="D8626" s="0" t="n">
        <f aca="false">INDEX(Intent_Analysis!$E$5:$E$81,MATCH(B8626,Intent_Analysis!$A$5:$A$81,0))</f>
        <v>2</v>
      </c>
    </row>
    <row r="8627" customFormat="false" ht="15" hidden="false" customHeight="false" outlineLevel="0" collapsed="false">
      <c r="A8627" s="0" t="s">
        <v>8951</v>
      </c>
      <c r="B8627" s="0" t="s">
        <v>113</v>
      </c>
      <c r="C8627" s="0" t="str">
        <f aca="false">INDEX(Intent_Analysis!$B$5:$B$81,MATCH(B8627,Intent_Analysis!$A$5:$A$81,0))</f>
        <v>Transfers</v>
      </c>
      <c r="D8627" s="0" t="n">
        <f aca="false">INDEX(Intent_Analysis!$E$5:$E$81,MATCH(B8627,Intent_Analysis!$A$5:$A$81,0))</f>
        <v>2</v>
      </c>
    </row>
    <row r="8628" customFormat="false" ht="15" hidden="false" customHeight="false" outlineLevel="0" collapsed="false">
      <c r="A8628" s="0" t="s">
        <v>8952</v>
      </c>
      <c r="B8628" s="0" t="s">
        <v>113</v>
      </c>
      <c r="C8628" s="0" t="str">
        <f aca="false">INDEX(Intent_Analysis!$B$5:$B$81,MATCH(B8628,Intent_Analysis!$A$5:$A$81,0))</f>
        <v>Transfers</v>
      </c>
      <c r="D8628" s="0" t="n">
        <f aca="false">INDEX(Intent_Analysis!$E$5:$E$81,MATCH(B8628,Intent_Analysis!$A$5:$A$81,0))</f>
        <v>2</v>
      </c>
    </row>
    <row r="8629" customFormat="false" ht="15" hidden="false" customHeight="false" outlineLevel="0" collapsed="false">
      <c r="A8629" s="0" t="s">
        <v>8953</v>
      </c>
      <c r="B8629" s="0" t="s">
        <v>113</v>
      </c>
      <c r="C8629" s="0" t="str">
        <f aca="false">INDEX(Intent_Analysis!$B$5:$B$81,MATCH(B8629,Intent_Analysis!$A$5:$A$81,0))</f>
        <v>Transfers</v>
      </c>
      <c r="D8629" s="0" t="n">
        <f aca="false">INDEX(Intent_Analysis!$E$5:$E$81,MATCH(B8629,Intent_Analysis!$A$5:$A$81,0))</f>
        <v>2</v>
      </c>
    </row>
    <row r="8630" customFormat="false" ht="15" hidden="false" customHeight="false" outlineLevel="0" collapsed="false">
      <c r="A8630" s="0" t="s">
        <v>8954</v>
      </c>
      <c r="B8630" s="0" t="s">
        <v>113</v>
      </c>
      <c r="C8630" s="0" t="str">
        <f aca="false">INDEX(Intent_Analysis!$B$5:$B$81,MATCH(B8630,Intent_Analysis!$A$5:$A$81,0))</f>
        <v>Transfers</v>
      </c>
      <c r="D8630" s="0" t="n">
        <f aca="false">INDEX(Intent_Analysis!$E$5:$E$81,MATCH(B8630,Intent_Analysis!$A$5:$A$81,0))</f>
        <v>2</v>
      </c>
    </row>
    <row r="8631" customFormat="false" ht="15" hidden="false" customHeight="false" outlineLevel="0" collapsed="false">
      <c r="A8631" s="0" t="s">
        <v>8955</v>
      </c>
      <c r="B8631" s="0" t="s">
        <v>113</v>
      </c>
      <c r="C8631" s="0" t="str">
        <f aca="false">INDEX(Intent_Analysis!$B$5:$B$81,MATCH(B8631,Intent_Analysis!$A$5:$A$81,0))</f>
        <v>Transfers</v>
      </c>
      <c r="D8631" s="0" t="n">
        <f aca="false">INDEX(Intent_Analysis!$E$5:$E$81,MATCH(B8631,Intent_Analysis!$A$5:$A$81,0))</f>
        <v>2</v>
      </c>
    </row>
    <row r="8632" customFormat="false" ht="15" hidden="false" customHeight="false" outlineLevel="0" collapsed="false">
      <c r="A8632" s="0" t="s">
        <v>8956</v>
      </c>
      <c r="B8632" s="0" t="s">
        <v>113</v>
      </c>
      <c r="C8632" s="0" t="str">
        <f aca="false">INDEX(Intent_Analysis!$B$5:$B$81,MATCH(B8632,Intent_Analysis!$A$5:$A$81,0))</f>
        <v>Transfers</v>
      </c>
      <c r="D8632" s="0" t="n">
        <f aca="false">INDEX(Intent_Analysis!$E$5:$E$81,MATCH(B8632,Intent_Analysis!$A$5:$A$81,0))</f>
        <v>2</v>
      </c>
    </row>
    <row r="8633" customFormat="false" ht="15" hidden="false" customHeight="false" outlineLevel="0" collapsed="false">
      <c r="A8633" s="0" t="s">
        <v>8957</v>
      </c>
      <c r="B8633" s="0" t="s">
        <v>113</v>
      </c>
      <c r="C8633" s="0" t="str">
        <f aca="false">INDEX(Intent_Analysis!$B$5:$B$81,MATCH(B8633,Intent_Analysis!$A$5:$A$81,0))</f>
        <v>Transfers</v>
      </c>
      <c r="D8633" s="0" t="n">
        <f aca="false">INDEX(Intent_Analysis!$E$5:$E$81,MATCH(B8633,Intent_Analysis!$A$5:$A$81,0))</f>
        <v>2</v>
      </c>
    </row>
    <row r="8634" customFormat="false" ht="15" hidden="false" customHeight="false" outlineLevel="0" collapsed="false">
      <c r="A8634" s="0" t="s">
        <v>8958</v>
      </c>
      <c r="B8634" s="0" t="s">
        <v>113</v>
      </c>
      <c r="C8634" s="0" t="str">
        <f aca="false">INDEX(Intent_Analysis!$B$5:$B$81,MATCH(B8634,Intent_Analysis!$A$5:$A$81,0))</f>
        <v>Transfers</v>
      </c>
      <c r="D8634" s="0" t="n">
        <f aca="false">INDEX(Intent_Analysis!$E$5:$E$81,MATCH(B8634,Intent_Analysis!$A$5:$A$81,0))</f>
        <v>2</v>
      </c>
    </row>
    <row r="8635" customFormat="false" ht="15" hidden="false" customHeight="false" outlineLevel="0" collapsed="false">
      <c r="A8635" s="0" t="s">
        <v>8959</v>
      </c>
      <c r="B8635" s="0" t="s">
        <v>113</v>
      </c>
      <c r="C8635" s="0" t="str">
        <f aca="false">INDEX(Intent_Analysis!$B$5:$B$81,MATCH(B8635,Intent_Analysis!$A$5:$A$81,0))</f>
        <v>Transfers</v>
      </c>
      <c r="D8635" s="0" t="n">
        <f aca="false">INDEX(Intent_Analysis!$E$5:$E$81,MATCH(B8635,Intent_Analysis!$A$5:$A$81,0))</f>
        <v>2</v>
      </c>
    </row>
    <row r="8636" customFormat="false" ht="15" hidden="false" customHeight="false" outlineLevel="0" collapsed="false">
      <c r="A8636" s="0" t="s">
        <v>8960</v>
      </c>
      <c r="B8636" s="0" t="s">
        <v>113</v>
      </c>
      <c r="C8636" s="0" t="str">
        <f aca="false">INDEX(Intent_Analysis!$B$5:$B$81,MATCH(B8636,Intent_Analysis!$A$5:$A$81,0))</f>
        <v>Transfers</v>
      </c>
      <c r="D8636" s="0" t="n">
        <f aca="false">INDEX(Intent_Analysis!$E$5:$E$81,MATCH(B8636,Intent_Analysis!$A$5:$A$81,0))</f>
        <v>2</v>
      </c>
    </row>
    <row r="8637" customFormat="false" ht="15" hidden="false" customHeight="false" outlineLevel="0" collapsed="false">
      <c r="A8637" s="0" t="s">
        <v>8961</v>
      </c>
      <c r="B8637" s="0" t="s">
        <v>113</v>
      </c>
      <c r="C8637" s="0" t="str">
        <f aca="false">INDEX(Intent_Analysis!$B$5:$B$81,MATCH(B8637,Intent_Analysis!$A$5:$A$81,0))</f>
        <v>Transfers</v>
      </c>
      <c r="D8637" s="0" t="n">
        <f aca="false">INDEX(Intent_Analysis!$E$5:$E$81,MATCH(B8637,Intent_Analysis!$A$5:$A$81,0))</f>
        <v>2</v>
      </c>
    </row>
    <row r="8638" customFormat="false" ht="15" hidden="false" customHeight="false" outlineLevel="0" collapsed="false">
      <c r="A8638" s="0" t="s">
        <v>8962</v>
      </c>
      <c r="B8638" s="0" t="s">
        <v>113</v>
      </c>
      <c r="C8638" s="0" t="str">
        <f aca="false">INDEX(Intent_Analysis!$B$5:$B$81,MATCH(B8638,Intent_Analysis!$A$5:$A$81,0))</f>
        <v>Transfers</v>
      </c>
      <c r="D8638" s="0" t="n">
        <f aca="false">INDEX(Intent_Analysis!$E$5:$E$81,MATCH(B8638,Intent_Analysis!$A$5:$A$81,0))</f>
        <v>2</v>
      </c>
    </row>
    <row r="8639" customFormat="false" ht="15" hidden="false" customHeight="false" outlineLevel="0" collapsed="false">
      <c r="A8639" s="0" t="s">
        <v>8963</v>
      </c>
      <c r="B8639" s="0" t="s">
        <v>113</v>
      </c>
      <c r="C8639" s="0" t="str">
        <f aca="false">INDEX(Intent_Analysis!$B$5:$B$81,MATCH(B8639,Intent_Analysis!$A$5:$A$81,0))</f>
        <v>Transfers</v>
      </c>
      <c r="D8639" s="0" t="n">
        <f aca="false">INDEX(Intent_Analysis!$E$5:$E$81,MATCH(B8639,Intent_Analysis!$A$5:$A$81,0))</f>
        <v>2</v>
      </c>
    </row>
    <row r="8640" customFormat="false" ht="15" hidden="false" customHeight="false" outlineLevel="0" collapsed="false">
      <c r="A8640" s="0" t="s">
        <v>8964</v>
      </c>
      <c r="B8640" s="0" t="s">
        <v>113</v>
      </c>
      <c r="C8640" s="0" t="str">
        <f aca="false">INDEX(Intent_Analysis!$B$5:$B$81,MATCH(B8640,Intent_Analysis!$A$5:$A$81,0))</f>
        <v>Transfers</v>
      </c>
      <c r="D8640" s="0" t="n">
        <f aca="false">INDEX(Intent_Analysis!$E$5:$E$81,MATCH(B8640,Intent_Analysis!$A$5:$A$81,0))</f>
        <v>2</v>
      </c>
    </row>
    <row r="8641" customFormat="false" ht="15" hidden="false" customHeight="false" outlineLevel="0" collapsed="false">
      <c r="A8641" s="0" t="s">
        <v>8965</v>
      </c>
      <c r="B8641" s="0" t="s">
        <v>113</v>
      </c>
      <c r="C8641" s="0" t="str">
        <f aca="false">INDEX(Intent_Analysis!$B$5:$B$81,MATCH(B8641,Intent_Analysis!$A$5:$A$81,0))</f>
        <v>Transfers</v>
      </c>
      <c r="D8641" s="0" t="n">
        <f aca="false">INDEX(Intent_Analysis!$E$5:$E$81,MATCH(B8641,Intent_Analysis!$A$5:$A$81,0))</f>
        <v>2</v>
      </c>
    </row>
    <row r="8642" customFormat="false" ht="15" hidden="false" customHeight="false" outlineLevel="0" collapsed="false">
      <c r="A8642" s="0" t="s">
        <v>8966</v>
      </c>
      <c r="B8642" s="0" t="s">
        <v>113</v>
      </c>
      <c r="C8642" s="0" t="str">
        <f aca="false">INDEX(Intent_Analysis!$B$5:$B$81,MATCH(B8642,Intent_Analysis!$A$5:$A$81,0))</f>
        <v>Transfers</v>
      </c>
      <c r="D8642" s="0" t="n">
        <f aca="false">INDEX(Intent_Analysis!$E$5:$E$81,MATCH(B8642,Intent_Analysis!$A$5:$A$81,0))</f>
        <v>2</v>
      </c>
    </row>
    <row r="8643" customFormat="false" ht="15" hidden="false" customHeight="false" outlineLevel="0" collapsed="false">
      <c r="A8643" s="0" t="s">
        <v>8967</v>
      </c>
      <c r="B8643" s="0" t="s">
        <v>113</v>
      </c>
      <c r="C8643" s="0" t="str">
        <f aca="false">INDEX(Intent_Analysis!$B$5:$B$81,MATCH(B8643,Intent_Analysis!$A$5:$A$81,0))</f>
        <v>Transfers</v>
      </c>
      <c r="D8643" s="0" t="n">
        <f aca="false">INDEX(Intent_Analysis!$E$5:$E$81,MATCH(B8643,Intent_Analysis!$A$5:$A$81,0))</f>
        <v>2</v>
      </c>
    </row>
    <row r="8644" customFormat="false" ht="15" hidden="false" customHeight="false" outlineLevel="0" collapsed="false">
      <c r="A8644" s="0" t="s">
        <v>8968</v>
      </c>
      <c r="B8644" s="0" t="s">
        <v>113</v>
      </c>
      <c r="C8644" s="0" t="str">
        <f aca="false">INDEX(Intent_Analysis!$B$5:$B$81,MATCH(B8644,Intent_Analysis!$A$5:$A$81,0))</f>
        <v>Transfers</v>
      </c>
      <c r="D8644" s="0" t="n">
        <f aca="false">INDEX(Intent_Analysis!$E$5:$E$81,MATCH(B8644,Intent_Analysis!$A$5:$A$81,0))</f>
        <v>2</v>
      </c>
    </row>
    <row r="8645" customFormat="false" ht="15" hidden="false" customHeight="false" outlineLevel="0" collapsed="false">
      <c r="A8645" s="0" t="s">
        <v>8969</v>
      </c>
      <c r="B8645" s="0" t="s">
        <v>113</v>
      </c>
      <c r="C8645" s="0" t="str">
        <f aca="false">INDEX(Intent_Analysis!$B$5:$B$81,MATCH(B8645,Intent_Analysis!$A$5:$A$81,0))</f>
        <v>Transfers</v>
      </c>
      <c r="D8645" s="0" t="n">
        <f aca="false">INDEX(Intent_Analysis!$E$5:$E$81,MATCH(B8645,Intent_Analysis!$A$5:$A$81,0))</f>
        <v>2</v>
      </c>
    </row>
    <row r="8646" customFormat="false" ht="15" hidden="false" customHeight="false" outlineLevel="0" collapsed="false">
      <c r="A8646" s="0" t="s">
        <v>8970</v>
      </c>
      <c r="B8646" s="0" t="s">
        <v>113</v>
      </c>
      <c r="C8646" s="0" t="str">
        <f aca="false">INDEX(Intent_Analysis!$B$5:$B$81,MATCH(B8646,Intent_Analysis!$A$5:$A$81,0))</f>
        <v>Transfers</v>
      </c>
      <c r="D8646" s="0" t="n">
        <f aca="false">INDEX(Intent_Analysis!$E$5:$E$81,MATCH(B8646,Intent_Analysis!$A$5:$A$81,0))</f>
        <v>2</v>
      </c>
    </row>
    <row r="8647" customFormat="false" ht="15" hidden="false" customHeight="false" outlineLevel="0" collapsed="false">
      <c r="A8647" s="0" t="s">
        <v>8971</v>
      </c>
      <c r="B8647" s="0" t="s">
        <v>113</v>
      </c>
      <c r="C8647" s="0" t="str">
        <f aca="false">INDEX(Intent_Analysis!$B$5:$B$81,MATCH(B8647,Intent_Analysis!$A$5:$A$81,0))</f>
        <v>Transfers</v>
      </c>
      <c r="D8647" s="0" t="n">
        <f aca="false">INDEX(Intent_Analysis!$E$5:$E$81,MATCH(B8647,Intent_Analysis!$A$5:$A$81,0))</f>
        <v>2</v>
      </c>
    </row>
    <row r="8648" customFormat="false" ht="15" hidden="false" customHeight="false" outlineLevel="0" collapsed="false">
      <c r="A8648" s="0" t="s">
        <v>8972</v>
      </c>
      <c r="B8648" s="0" t="s">
        <v>113</v>
      </c>
      <c r="C8648" s="0" t="str">
        <f aca="false">INDEX(Intent_Analysis!$B$5:$B$81,MATCH(B8648,Intent_Analysis!$A$5:$A$81,0))</f>
        <v>Transfers</v>
      </c>
      <c r="D8648" s="0" t="n">
        <f aca="false">INDEX(Intent_Analysis!$E$5:$E$81,MATCH(B8648,Intent_Analysis!$A$5:$A$81,0))</f>
        <v>2</v>
      </c>
    </row>
    <row r="8649" customFormat="false" ht="15" hidden="false" customHeight="false" outlineLevel="0" collapsed="false">
      <c r="A8649" s="0" t="s">
        <v>8973</v>
      </c>
      <c r="B8649" s="0" t="s">
        <v>113</v>
      </c>
      <c r="C8649" s="0" t="str">
        <f aca="false">INDEX(Intent_Analysis!$B$5:$B$81,MATCH(B8649,Intent_Analysis!$A$5:$A$81,0))</f>
        <v>Transfers</v>
      </c>
      <c r="D8649" s="0" t="n">
        <f aca="false">INDEX(Intent_Analysis!$E$5:$E$81,MATCH(B8649,Intent_Analysis!$A$5:$A$81,0))</f>
        <v>2</v>
      </c>
    </row>
    <row r="8650" customFormat="false" ht="15" hidden="false" customHeight="false" outlineLevel="0" collapsed="false">
      <c r="A8650" s="0" t="s">
        <v>8974</v>
      </c>
      <c r="B8650" s="0" t="s">
        <v>113</v>
      </c>
      <c r="C8650" s="0" t="str">
        <f aca="false">INDEX(Intent_Analysis!$B$5:$B$81,MATCH(B8650,Intent_Analysis!$A$5:$A$81,0))</f>
        <v>Transfers</v>
      </c>
      <c r="D8650" s="0" t="n">
        <f aca="false">INDEX(Intent_Analysis!$E$5:$E$81,MATCH(B8650,Intent_Analysis!$A$5:$A$81,0))</f>
        <v>2</v>
      </c>
    </row>
    <row r="8651" customFormat="false" ht="15" hidden="false" customHeight="false" outlineLevel="0" collapsed="false">
      <c r="A8651" s="0" t="s">
        <v>8975</v>
      </c>
      <c r="B8651" s="0" t="s">
        <v>113</v>
      </c>
      <c r="C8651" s="0" t="str">
        <f aca="false">INDEX(Intent_Analysis!$B$5:$B$81,MATCH(B8651,Intent_Analysis!$A$5:$A$81,0))</f>
        <v>Transfers</v>
      </c>
      <c r="D8651" s="0" t="n">
        <f aca="false">INDEX(Intent_Analysis!$E$5:$E$81,MATCH(B8651,Intent_Analysis!$A$5:$A$81,0))</f>
        <v>2</v>
      </c>
    </row>
    <row r="8652" customFormat="false" ht="15" hidden="false" customHeight="false" outlineLevel="0" collapsed="false">
      <c r="A8652" s="0" t="s">
        <v>8976</v>
      </c>
      <c r="B8652" s="0" t="s">
        <v>113</v>
      </c>
      <c r="C8652" s="0" t="str">
        <f aca="false">INDEX(Intent_Analysis!$B$5:$B$81,MATCH(B8652,Intent_Analysis!$A$5:$A$81,0))</f>
        <v>Transfers</v>
      </c>
      <c r="D8652" s="0" t="n">
        <f aca="false">INDEX(Intent_Analysis!$E$5:$E$81,MATCH(B8652,Intent_Analysis!$A$5:$A$81,0))</f>
        <v>2</v>
      </c>
    </row>
    <row r="8653" customFormat="false" ht="15" hidden="false" customHeight="false" outlineLevel="0" collapsed="false">
      <c r="A8653" s="0" t="s">
        <v>8977</v>
      </c>
      <c r="B8653" s="0" t="s">
        <v>113</v>
      </c>
      <c r="C8653" s="0" t="str">
        <f aca="false">INDEX(Intent_Analysis!$B$5:$B$81,MATCH(B8653,Intent_Analysis!$A$5:$A$81,0))</f>
        <v>Transfers</v>
      </c>
      <c r="D8653" s="0" t="n">
        <f aca="false">INDEX(Intent_Analysis!$E$5:$E$81,MATCH(B8653,Intent_Analysis!$A$5:$A$81,0))</f>
        <v>2</v>
      </c>
    </row>
    <row r="8654" customFormat="false" ht="15" hidden="false" customHeight="false" outlineLevel="0" collapsed="false">
      <c r="A8654" s="0" t="s">
        <v>8978</v>
      </c>
      <c r="B8654" s="0" t="s">
        <v>113</v>
      </c>
      <c r="C8654" s="0" t="str">
        <f aca="false">INDEX(Intent_Analysis!$B$5:$B$81,MATCH(B8654,Intent_Analysis!$A$5:$A$81,0))</f>
        <v>Transfers</v>
      </c>
      <c r="D8654" s="0" t="n">
        <f aca="false">INDEX(Intent_Analysis!$E$5:$E$81,MATCH(B8654,Intent_Analysis!$A$5:$A$81,0))</f>
        <v>2</v>
      </c>
    </row>
    <row r="8655" customFormat="false" ht="15" hidden="false" customHeight="false" outlineLevel="0" collapsed="false">
      <c r="A8655" s="0" t="s">
        <v>8979</v>
      </c>
      <c r="B8655" s="0" t="s">
        <v>113</v>
      </c>
      <c r="C8655" s="0" t="str">
        <f aca="false">INDEX(Intent_Analysis!$B$5:$B$81,MATCH(B8655,Intent_Analysis!$A$5:$A$81,0))</f>
        <v>Transfers</v>
      </c>
      <c r="D8655" s="0" t="n">
        <f aca="false">INDEX(Intent_Analysis!$E$5:$E$81,MATCH(B8655,Intent_Analysis!$A$5:$A$81,0))</f>
        <v>2</v>
      </c>
    </row>
    <row r="8656" customFormat="false" ht="15" hidden="false" customHeight="false" outlineLevel="0" collapsed="false">
      <c r="A8656" s="0" t="s">
        <v>8980</v>
      </c>
      <c r="B8656" s="0" t="s">
        <v>113</v>
      </c>
      <c r="C8656" s="0" t="str">
        <f aca="false">INDEX(Intent_Analysis!$B$5:$B$81,MATCH(B8656,Intent_Analysis!$A$5:$A$81,0))</f>
        <v>Transfers</v>
      </c>
      <c r="D8656" s="0" t="n">
        <f aca="false">INDEX(Intent_Analysis!$E$5:$E$81,MATCH(B8656,Intent_Analysis!$A$5:$A$81,0))</f>
        <v>2</v>
      </c>
    </row>
    <row r="8657" customFormat="false" ht="15" hidden="false" customHeight="false" outlineLevel="0" collapsed="false">
      <c r="A8657" s="0" t="s">
        <v>8981</v>
      </c>
      <c r="B8657" s="0" t="s">
        <v>113</v>
      </c>
      <c r="C8657" s="0" t="str">
        <f aca="false">INDEX(Intent_Analysis!$B$5:$B$81,MATCH(B8657,Intent_Analysis!$A$5:$A$81,0))</f>
        <v>Transfers</v>
      </c>
      <c r="D8657" s="0" t="n">
        <f aca="false">INDEX(Intent_Analysis!$E$5:$E$81,MATCH(B8657,Intent_Analysis!$A$5:$A$81,0))</f>
        <v>2</v>
      </c>
    </row>
    <row r="8658" customFormat="false" ht="15" hidden="false" customHeight="false" outlineLevel="0" collapsed="false">
      <c r="A8658" s="0" t="s">
        <v>8982</v>
      </c>
      <c r="B8658" s="0" t="s">
        <v>113</v>
      </c>
      <c r="C8658" s="0" t="str">
        <f aca="false">INDEX(Intent_Analysis!$B$5:$B$81,MATCH(B8658,Intent_Analysis!$A$5:$A$81,0))</f>
        <v>Transfers</v>
      </c>
      <c r="D8658" s="0" t="n">
        <f aca="false">INDEX(Intent_Analysis!$E$5:$E$81,MATCH(B8658,Intent_Analysis!$A$5:$A$81,0))</f>
        <v>2</v>
      </c>
    </row>
    <row r="8659" customFormat="false" ht="15" hidden="false" customHeight="false" outlineLevel="0" collapsed="false">
      <c r="A8659" s="0" t="s">
        <v>8983</v>
      </c>
      <c r="B8659" s="0" t="s">
        <v>113</v>
      </c>
      <c r="C8659" s="0" t="str">
        <f aca="false">INDEX(Intent_Analysis!$B$5:$B$81,MATCH(B8659,Intent_Analysis!$A$5:$A$81,0))</f>
        <v>Transfers</v>
      </c>
      <c r="D8659" s="0" t="n">
        <f aca="false">INDEX(Intent_Analysis!$E$5:$E$81,MATCH(B8659,Intent_Analysis!$A$5:$A$81,0))</f>
        <v>2</v>
      </c>
    </row>
    <row r="8660" customFormat="false" ht="15" hidden="false" customHeight="false" outlineLevel="0" collapsed="false">
      <c r="A8660" s="0" t="s">
        <v>8984</v>
      </c>
      <c r="B8660" s="0" t="s">
        <v>113</v>
      </c>
      <c r="C8660" s="0" t="str">
        <f aca="false">INDEX(Intent_Analysis!$B$5:$B$81,MATCH(B8660,Intent_Analysis!$A$5:$A$81,0))</f>
        <v>Transfers</v>
      </c>
      <c r="D8660" s="0" t="n">
        <f aca="false">INDEX(Intent_Analysis!$E$5:$E$81,MATCH(B8660,Intent_Analysis!$A$5:$A$81,0))</f>
        <v>2</v>
      </c>
    </row>
    <row r="8661" customFormat="false" ht="15" hidden="false" customHeight="false" outlineLevel="0" collapsed="false">
      <c r="A8661" s="0" t="s">
        <v>8985</v>
      </c>
      <c r="B8661" s="0" t="s">
        <v>113</v>
      </c>
      <c r="C8661" s="0" t="str">
        <f aca="false">INDEX(Intent_Analysis!$B$5:$B$81,MATCH(B8661,Intent_Analysis!$A$5:$A$81,0))</f>
        <v>Transfers</v>
      </c>
      <c r="D8661" s="0" t="n">
        <f aca="false">INDEX(Intent_Analysis!$E$5:$E$81,MATCH(B8661,Intent_Analysis!$A$5:$A$81,0))</f>
        <v>2</v>
      </c>
    </row>
    <row r="8662" customFormat="false" ht="15" hidden="false" customHeight="false" outlineLevel="0" collapsed="false">
      <c r="A8662" s="0" t="s">
        <v>8986</v>
      </c>
      <c r="B8662" s="0" t="s">
        <v>113</v>
      </c>
      <c r="C8662" s="0" t="str">
        <f aca="false">INDEX(Intent_Analysis!$B$5:$B$81,MATCH(B8662,Intent_Analysis!$A$5:$A$81,0))</f>
        <v>Transfers</v>
      </c>
      <c r="D8662" s="0" t="n">
        <f aca="false">INDEX(Intent_Analysis!$E$5:$E$81,MATCH(B8662,Intent_Analysis!$A$5:$A$81,0))</f>
        <v>2</v>
      </c>
    </row>
    <row r="8663" customFormat="false" ht="15" hidden="false" customHeight="false" outlineLevel="0" collapsed="false">
      <c r="A8663" s="0" t="s">
        <v>8987</v>
      </c>
      <c r="B8663" s="0" t="s">
        <v>113</v>
      </c>
      <c r="C8663" s="0" t="str">
        <f aca="false">INDEX(Intent_Analysis!$B$5:$B$81,MATCH(B8663,Intent_Analysis!$A$5:$A$81,0))</f>
        <v>Transfers</v>
      </c>
      <c r="D8663" s="0" t="n">
        <f aca="false">INDEX(Intent_Analysis!$E$5:$E$81,MATCH(B8663,Intent_Analysis!$A$5:$A$81,0))</f>
        <v>2</v>
      </c>
    </row>
    <row r="8664" customFormat="false" ht="15" hidden="false" customHeight="false" outlineLevel="0" collapsed="false">
      <c r="A8664" s="0" t="s">
        <v>8988</v>
      </c>
      <c r="B8664" s="0" t="s">
        <v>113</v>
      </c>
      <c r="C8664" s="0" t="str">
        <f aca="false">INDEX(Intent_Analysis!$B$5:$B$81,MATCH(B8664,Intent_Analysis!$A$5:$A$81,0))</f>
        <v>Transfers</v>
      </c>
      <c r="D8664" s="0" t="n">
        <f aca="false">INDEX(Intent_Analysis!$E$5:$E$81,MATCH(B8664,Intent_Analysis!$A$5:$A$81,0))</f>
        <v>2</v>
      </c>
    </row>
    <row r="8665" customFormat="false" ht="15" hidden="false" customHeight="false" outlineLevel="0" collapsed="false">
      <c r="A8665" s="0" t="s">
        <v>8989</v>
      </c>
      <c r="B8665" s="0" t="s">
        <v>113</v>
      </c>
      <c r="C8665" s="0" t="str">
        <f aca="false">INDEX(Intent_Analysis!$B$5:$B$81,MATCH(B8665,Intent_Analysis!$A$5:$A$81,0))</f>
        <v>Transfers</v>
      </c>
      <c r="D8665" s="0" t="n">
        <f aca="false">INDEX(Intent_Analysis!$E$5:$E$81,MATCH(B8665,Intent_Analysis!$A$5:$A$81,0))</f>
        <v>2</v>
      </c>
    </row>
    <row r="8666" customFormat="false" ht="15" hidden="false" customHeight="false" outlineLevel="0" collapsed="false">
      <c r="A8666" s="0" t="s">
        <v>8990</v>
      </c>
      <c r="B8666" s="0" t="s">
        <v>113</v>
      </c>
      <c r="C8666" s="0" t="str">
        <f aca="false">INDEX(Intent_Analysis!$B$5:$B$81,MATCH(B8666,Intent_Analysis!$A$5:$A$81,0))</f>
        <v>Transfers</v>
      </c>
      <c r="D8666" s="0" t="n">
        <f aca="false">INDEX(Intent_Analysis!$E$5:$E$81,MATCH(B8666,Intent_Analysis!$A$5:$A$81,0))</f>
        <v>2</v>
      </c>
    </row>
    <row r="8667" customFormat="false" ht="15" hidden="false" customHeight="false" outlineLevel="0" collapsed="false">
      <c r="A8667" s="0" t="s">
        <v>8991</v>
      </c>
      <c r="B8667" s="0" t="s">
        <v>113</v>
      </c>
      <c r="C8667" s="0" t="str">
        <f aca="false">INDEX(Intent_Analysis!$B$5:$B$81,MATCH(B8667,Intent_Analysis!$A$5:$A$81,0))</f>
        <v>Transfers</v>
      </c>
      <c r="D8667" s="0" t="n">
        <f aca="false">INDEX(Intent_Analysis!$E$5:$E$81,MATCH(B8667,Intent_Analysis!$A$5:$A$81,0))</f>
        <v>2</v>
      </c>
    </row>
    <row r="8668" customFormat="false" ht="15" hidden="false" customHeight="false" outlineLevel="0" collapsed="false">
      <c r="A8668" s="0" t="s">
        <v>8992</v>
      </c>
      <c r="B8668" s="0" t="s">
        <v>113</v>
      </c>
      <c r="C8668" s="0" t="str">
        <f aca="false">INDEX(Intent_Analysis!$B$5:$B$81,MATCH(B8668,Intent_Analysis!$A$5:$A$81,0))</f>
        <v>Transfers</v>
      </c>
      <c r="D8668" s="0" t="n">
        <f aca="false">INDEX(Intent_Analysis!$E$5:$E$81,MATCH(B8668,Intent_Analysis!$A$5:$A$81,0))</f>
        <v>2</v>
      </c>
    </row>
    <row r="8669" customFormat="false" ht="15" hidden="false" customHeight="false" outlineLevel="0" collapsed="false">
      <c r="A8669" s="0" t="s">
        <v>8993</v>
      </c>
      <c r="B8669" s="0" t="s">
        <v>113</v>
      </c>
      <c r="C8669" s="0" t="str">
        <f aca="false">INDEX(Intent_Analysis!$B$5:$B$81,MATCH(B8669,Intent_Analysis!$A$5:$A$81,0))</f>
        <v>Transfers</v>
      </c>
      <c r="D8669" s="0" t="n">
        <f aca="false">INDEX(Intent_Analysis!$E$5:$E$81,MATCH(B8669,Intent_Analysis!$A$5:$A$81,0))</f>
        <v>2</v>
      </c>
    </row>
    <row r="8670" customFormat="false" ht="15" hidden="false" customHeight="false" outlineLevel="0" collapsed="false">
      <c r="A8670" s="0" t="s">
        <v>8994</v>
      </c>
      <c r="B8670" s="0" t="s">
        <v>113</v>
      </c>
      <c r="C8670" s="0" t="str">
        <f aca="false">INDEX(Intent_Analysis!$B$5:$B$81,MATCH(B8670,Intent_Analysis!$A$5:$A$81,0))</f>
        <v>Transfers</v>
      </c>
      <c r="D8670" s="0" t="n">
        <f aca="false">INDEX(Intent_Analysis!$E$5:$E$81,MATCH(B8670,Intent_Analysis!$A$5:$A$81,0))</f>
        <v>2</v>
      </c>
    </row>
    <row r="8671" customFormat="false" ht="15" hidden="false" customHeight="false" outlineLevel="0" collapsed="false">
      <c r="A8671" s="0" t="s">
        <v>8995</v>
      </c>
      <c r="B8671" s="0" t="s">
        <v>113</v>
      </c>
      <c r="C8671" s="0" t="str">
        <f aca="false">INDEX(Intent_Analysis!$B$5:$B$81,MATCH(B8671,Intent_Analysis!$A$5:$A$81,0))</f>
        <v>Transfers</v>
      </c>
      <c r="D8671" s="0" t="n">
        <f aca="false">INDEX(Intent_Analysis!$E$5:$E$81,MATCH(B8671,Intent_Analysis!$A$5:$A$81,0))</f>
        <v>2</v>
      </c>
    </row>
    <row r="8672" customFormat="false" ht="15" hidden="false" customHeight="false" outlineLevel="0" collapsed="false">
      <c r="A8672" s="0" t="s">
        <v>8996</v>
      </c>
      <c r="B8672" s="0" t="s">
        <v>113</v>
      </c>
      <c r="C8672" s="0" t="str">
        <f aca="false">INDEX(Intent_Analysis!$B$5:$B$81,MATCH(B8672,Intent_Analysis!$A$5:$A$81,0))</f>
        <v>Transfers</v>
      </c>
      <c r="D8672" s="0" t="n">
        <f aca="false">INDEX(Intent_Analysis!$E$5:$E$81,MATCH(B8672,Intent_Analysis!$A$5:$A$81,0))</f>
        <v>2</v>
      </c>
    </row>
    <row r="8673" customFormat="false" ht="15" hidden="false" customHeight="false" outlineLevel="0" collapsed="false">
      <c r="A8673" s="0" t="s">
        <v>8997</v>
      </c>
      <c r="B8673" s="0" t="s">
        <v>113</v>
      </c>
      <c r="C8673" s="0" t="str">
        <f aca="false">INDEX(Intent_Analysis!$B$5:$B$81,MATCH(B8673,Intent_Analysis!$A$5:$A$81,0))</f>
        <v>Transfers</v>
      </c>
      <c r="D8673" s="0" t="n">
        <f aca="false">INDEX(Intent_Analysis!$E$5:$E$81,MATCH(B8673,Intent_Analysis!$A$5:$A$81,0))</f>
        <v>2</v>
      </c>
    </row>
    <row r="8674" customFormat="false" ht="15" hidden="false" customHeight="false" outlineLevel="0" collapsed="false">
      <c r="A8674" s="0" t="s">
        <v>8998</v>
      </c>
      <c r="B8674" s="0" t="s">
        <v>113</v>
      </c>
      <c r="C8674" s="0" t="str">
        <f aca="false">INDEX(Intent_Analysis!$B$5:$B$81,MATCH(B8674,Intent_Analysis!$A$5:$A$81,0))</f>
        <v>Transfers</v>
      </c>
      <c r="D8674" s="0" t="n">
        <f aca="false">INDEX(Intent_Analysis!$E$5:$E$81,MATCH(B8674,Intent_Analysis!$A$5:$A$81,0))</f>
        <v>2</v>
      </c>
    </row>
    <row r="8675" customFormat="false" ht="15" hidden="false" customHeight="false" outlineLevel="0" collapsed="false">
      <c r="A8675" s="0" t="s">
        <v>8999</v>
      </c>
      <c r="B8675" s="0" t="s">
        <v>113</v>
      </c>
      <c r="C8675" s="0" t="str">
        <f aca="false">INDEX(Intent_Analysis!$B$5:$B$81,MATCH(B8675,Intent_Analysis!$A$5:$A$81,0))</f>
        <v>Transfers</v>
      </c>
      <c r="D8675" s="0" t="n">
        <f aca="false">INDEX(Intent_Analysis!$E$5:$E$81,MATCH(B8675,Intent_Analysis!$A$5:$A$81,0))</f>
        <v>2</v>
      </c>
    </row>
    <row r="8676" customFormat="false" ht="15" hidden="false" customHeight="false" outlineLevel="0" collapsed="false">
      <c r="A8676" s="0" t="s">
        <v>9000</v>
      </c>
      <c r="B8676" s="0" t="s">
        <v>113</v>
      </c>
      <c r="C8676" s="0" t="str">
        <f aca="false">INDEX(Intent_Analysis!$B$5:$B$81,MATCH(B8676,Intent_Analysis!$A$5:$A$81,0))</f>
        <v>Transfers</v>
      </c>
      <c r="D8676" s="0" t="n">
        <f aca="false">INDEX(Intent_Analysis!$E$5:$E$81,MATCH(B8676,Intent_Analysis!$A$5:$A$81,0))</f>
        <v>2</v>
      </c>
    </row>
    <row r="8677" customFormat="false" ht="15" hidden="false" customHeight="false" outlineLevel="0" collapsed="false">
      <c r="A8677" s="0" t="s">
        <v>9001</v>
      </c>
      <c r="B8677" s="0" t="s">
        <v>113</v>
      </c>
      <c r="C8677" s="0" t="str">
        <f aca="false">INDEX(Intent_Analysis!$B$5:$B$81,MATCH(B8677,Intent_Analysis!$A$5:$A$81,0))</f>
        <v>Transfers</v>
      </c>
      <c r="D8677" s="0" t="n">
        <f aca="false">INDEX(Intent_Analysis!$E$5:$E$81,MATCH(B8677,Intent_Analysis!$A$5:$A$81,0))</f>
        <v>2</v>
      </c>
    </row>
    <row r="8678" customFormat="false" ht="15" hidden="false" customHeight="false" outlineLevel="0" collapsed="false">
      <c r="A8678" s="0" t="s">
        <v>9002</v>
      </c>
      <c r="B8678" s="0" t="s">
        <v>113</v>
      </c>
      <c r="C8678" s="0" t="str">
        <f aca="false">INDEX(Intent_Analysis!$B$5:$B$81,MATCH(B8678,Intent_Analysis!$A$5:$A$81,0))</f>
        <v>Transfers</v>
      </c>
      <c r="D8678" s="0" t="n">
        <f aca="false">INDEX(Intent_Analysis!$E$5:$E$81,MATCH(B8678,Intent_Analysis!$A$5:$A$81,0))</f>
        <v>2</v>
      </c>
    </row>
    <row r="8679" customFormat="false" ht="15" hidden="false" customHeight="false" outlineLevel="0" collapsed="false">
      <c r="A8679" s="0" t="s">
        <v>9003</v>
      </c>
      <c r="B8679" s="0" t="s">
        <v>113</v>
      </c>
      <c r="C8679" s="0" t="str">
        <f aca="false">INDEX(Intent_Analysis!$B$5:$B$81,MATCH(B8679,Intent_Analysis!$A$5:$A$81,0))</f>
        <v>Transfers</v>
      </c>
      <c r="D8679" s="0" t="n">
        <f aca="false">INDEX(Intent_Analysis!$E$5:$E$81,MATCH(B8679,Intent_Analysis!$A$5:$A$81,0))</f>
        <v>2</v>
      </c>
    </row>
    <row r="8680" customFormat="false" ht="15" hidden="false" customHeight="false" outlineLevel="0" collapsed="false">
      <c r="A8680" s="0" t="s">
        <v>9004</v>
      </c>
      <c r="B8680" s="0" t="s">
        <v>113</v>
      </c>
      <c r="C8680" s="0" t="str">
        <f aca="false">INDEX(Intent_Analysis!$B$5:$B$81,MATCH(B8680,Intent_Analysis!$A$5:$A$81,0))</f>
        <v>Transfers</v>
      </c>
      <c r="D8680" s="0" t="n">
        <f aca="false">INDEX(Intent_Analysis!$E$5:$E$81,MATCH(B8680,Intent_Analysis!$A$5:$A$81,0))</f>
        <v>2</v>
      </c>
    </row>
    <row r="8681" customFormat="false" ht="15" hidden="false" customHeight="false" outlineLevel="0" collapsed="false">
      <c r="A8681" s="0" t="s">
        <v>9005</v>
      </c>
      <c r="B8681" s="0" t="s">
        <v>113</v>
      </c>
      <c r="C8681" s="0" t="str">
        <f aca="false">INDEX(Intent_Analysis!$B$5:$B$81,MATCH(B8681,Intent_Analysis!$A$5:$A$81,0))</f>
        <v>Transfers</v>
      </c>
      <c r="D8681" s="0" t="n">
        <f aca="false">INDEX(Intent_Analysis!$E$5:$E$81,MATCH(B8681,Intent_Analysis!$A$5:$A$81,0))</f>
        <v>2</v>
      </c>
    </row>
    <row r="8682" customFormat="false" ht="15" hidden="false" customHeight="false" outlineLevel="0" collapsed="false">
      <c r="A8682" s="0" t="s">
        <v>9006</v>
      </c>
      <c r="B8682" s="0" t="s">
        <v>113</v>
      </c>
      <c r="C8682" s="0" t="str">
        <f aca="false">INDEX(Intent_Analysis!$B$5:$B$81,MATCH(B8682,Intent_Analysis!$A$5:$A$81,0))</f>
        <v>Transfers</v>
      </c>
      <c r="D8682" s="0" t="n">
        <f aca="false">INDEX(Intent_Analysis!$E$5:$E$81,MATCH(B8682,Intent_Analysis!$A$5:$A$81,0))</f>
        <v>2</v>
      </c>
    </row>
    <row r="8683" customFormat="false" ht="15" hidden="false" customHeight="false" outlineLevel="0" collapsed="false">
      <c r="A8683" s="0" t="s">
        <v>9007</v>
      </c>
      <c r="B8683" s="0" t="s">
        <v>113</v>
      </c>
      <c r="C8683" s="0" t="str">
        <f aca="false">INDEX(Intent_Analysis!$B$5:$B$81,MATCH(B8683,Intent_Analysis!$A$5:$A$81,0))</f>
        <v>Transfers</v>
      </c>
      <c r="D8683" s="0" t="n">
        <f aca="false">INDEX(Intent_Analysis!$E$5:$E$81,MATCH(B8683,Intent_Analysis!$A$5:$A$81,0))</f>
        <v>2</v>
      </c>
    </row>
    <row r="8684" customFormat="false" ht="15" hidden="false" customHeight="false" outlineLevel="0" collapsed="false">
      <c r="A8684" s="0" t="s">
        <v>9008</v>
      </c>
      <c r="B8684" s="0" t="s">
        <v>113</v>
      </c>
      <c r="C8684" s="0" t="str">
        <f aca="false">INDEX(Intent_Analysis!$B$5:$B$81,MATCH(B8684,Intent_Analysis!$A$5:$A$81,0))</f>
        <v>Transfers</v>
      </c>
      <c r="D8684" s="0" t="n">
        <f aca="false">INDEX(Intent_Analysis!$E$5:$E$81,MATCH(B8684,Intent_Analysis!$A$5:$A$81,0))</f>
        <v>2</v>
      </c>
    </row>
    <row r="8685" customFormat="false" ht="15" hidden="false" customHeight="false" outlineLevel="0" collapsed="false">
      <c r="A8685" s="0" t="s">
        <v>9009</v>
      </c>
      <c r="B8685" s="0" t="s">
        <v>113</v>
      </c>
      <c r="C8685" s="0" t="str">
        <f aca="false">INDEX(Intent_Analysis!$B$5:$B$81,MATCH(B8685,Intent_Analysis!$A$5:$A$81,0))</f>
        <v>Transfers</v>
      </c>
      <c r="D8685" s="0" t="n">
        <f aca="false">INDEX(Intent_Analysis!$E$5:$E$81,MATCH(B8685,Intent_Analysis!$A$5:$A$81,0))</f>
        <v>2</v>
      </c>
    </row>
    <row r="8686" customFormat="false" ht="15" hidden="false" customHeight="false" outlineLevel="0" collapsed="false">
      <c r="A8686" s="0" t="s">
        <v>9010</v>
      </c>
      <c r="B8686" s="0" t="s">
        <v>113</v>
      </c>
      <c r="C8686" s="0" t="str">
        <f aca="false">INDEX(Intent_Analysis!$B$5:$B$81,MATCH(B8686,Intent_Analysis!$A$5:$A$81,0))</f>
        <v>Transfers</v>
      </c>
      <c r="D8686" s="0" t="n">
        <f aca="false">INDEX(Intent_Analysis!$E$5:$E$81,MATCH(B8686,Intent_Analysis!$A$5:$A$81,0))</f>
        <v>2</v>
      </c>
    </row>
    <row r="8687" customFormat="false" ht="15" hidden="false" customHeight="false" outlineLevel="0" collapsed="false">
      <c r="A8687" s="0" t="s">
        <v>9011</v>
      </c>
      <c r="B8687" s="0" t="s">
        <v>113</v>
      </c>
      <c r="C8687" s="0" t="str">
        <f aca="false">INDEX(Intent_Analysis!$B$5:$B$81,MATCH(B8687,Intent_Analysis!$A$5:$A$81,0))</f>
        <v>Transfers</v>
      </c>
      <c r="D8687" s="0" t="n">
        <f aca="false">INDEX(Intent_Analysis!$E$5:$E$81,MATCH(B8687,Intent_Analysis!$A$5:$A$81,0))</f>
        <v>2</v>
      </c>
    </row>
    <row r="8688" customFormat="false" ht="15" hidden="false" customHeight="false" outlineLevel="0" collapsed="false">
      <c r="A8688" s="0" t="s">
        <v>9012</v>
      </c>
      <c r="B8688" s="0" t="s">
        <v>113</v>
      </c>
      <c r="C8688" s="0" t="str">
        <f aca="false">INDEX(Intent_Analysis!$B$5:$B$81,MATCH(B8688,Intent_Analysis!$A$5:$A$81,0))</f>
        <v>Transfers</v>
      </c>
      <c r="D8688" s="0" t="n">
        <f aca="false">INDEX(Intent_Analysis!$E$5:$E$81,MATCH(B8688,Intent_Analysis!$A$5:$A$81,0))</f>
        <v>2</v>
      </c>
    </row>
    <row r="8689" customFormat="false" ht="15" hidden="false" customHeight="false" outlineLevel="0" collapsed="false">
      <c r="A8689" s="0" t="s">
        <v>9013</v>
      </c>
      <c r="B8689" s="0" t="s">
        <v>113</v>
      </c>
      <c r="C8689" s="0" t="str">
        <f aca="false">INDEX(Intent_Analysis!$B$5:$B$81,MATCH(B8689,Intent_Analysis!$A$5:$A$81,0))</f>
        <v>Transfers</v>
      </c>
      <c r="D8689" s="0" t="n">
        <f aca="false">INDEX(Intent_Analysis!$E$5:$E$81,MATCH(B8689,Intent_Analysis!$A$5:$A$81,0))</f>
        <v>2</v>
      </c>
    </row>
    <row r="8690" customFormat="false" ht="15" hidden="false" customHeight="false" outlineLevel="0" collapsed="false">
      <c r="A8690" s="0" t="s">
        <v>9014</v>
      </c>
      <c r="B8690" s="0" t="s">
        <v>113</v>
      </c>
      <c r="C8690" s="0" t="str">
        <f aca="false">INDEX(Intent_Analysis!$B$5:$B$81,MATCH(B8690,Intent_Analysis!$A$5:$A$81,0))</f>
        <v>Transfers</v>
      </c>
      <c r="D8690" s="0" t="n">
        <f aca="false">INDEX(Intent_Analysis!$E$5:$E$81,MATCH(B8690,Intent_Analysis!$A$5:$A$81,0))</f>
        <v>2</v>
      </c>
    </row>
    <row r="8691" customFormat="false" ht="15" hidden="false" customHeight="false" outlineLevel="0" collapsed="false">
      <c r="A8691" s="0" t="s">
        <v>9015</v>
      </c>
      <c r="B8691" s="0" t="s">
        <v>113</v>
      </c>
      <c r="C8691" s="0" t="str">
        <f aca="false">INDEX(Intent_Analysis!$B$5:$B$81,MATCH(B8691,Intent_Analysis!$A$5:$A$81,0))</f>
        <v>Transfers</v>
      </c>
      <c r="D8691" s="0" t="n">
        <f aca="false">INDEX(Intent_Analysis!$E$5:$E$81,MATCH(B8691,Intent_Analysis!$A$5:$A$81,0))</f>
        <v>2</v>
      </c>
    </row>
    <row r="8692" customFormat="false" ht="15" hidden="false" customHeight="false" outlineLevel="0" collapsed="false">
      <c r="A8692" s="0" t="s">
        <v>9016</v>
      </c>
      <c r="B8692" s="0" t="s">
        <v>113</v>
      </c>
      <c r="C8692" s="0" t="str">
        <f aca="false">INDEX(Intent_Analysis!$B$5:$B$81,MATCH(B8692,Intent_Analysis!$A$5:$A$81,0))</f>
        <v>Transfers</v>
      </c>
      <c r="D8692" s="0" t="n">
        <f aca="false">INDEX(Intent_Analysis!$E$5:$E$81,MATCH(B8692,Intent_Analysis!$A$5:$A$81,0))</f>
        <v>2</v>
      </c>
    </row>
    <row r="8693" customFormat="false" ht="15" hidden="false" customHeight="false" outlineLevel="0" collapsed="false">
      <c r="A8693" s="0" t="s">
        <v>9017</v>
      </c>
      <c r="B8693" s="0" t="s">
        <v>113</v>
      </c>
      <c r="C8693" s="0" t="str">
        <f aca="false">INDEX(Intent_Analysis!$B$5:$B$81,MATCH(B8693,Intent_Analysis!$A$5:$A$81,0))</f>
        <v>Transfers</v>
      </c>
      <c r="D8693" s="0" t="n">
        <f aca="false">INDEX(Intent_Analysis!$E$5:$E$81,MATCH(B8693,Intent_Analysis!$A$5:$A$81,0))</f>
        <v>2</v>
      </c>
    </row>
    <row r="8694" customFormat="false" ht="15" hidden="false" customHeight="false" outlineLevel="0" collapsed="false">
      <c r="A8694" s="0" t="s">
        <v>9018</v>
      </c>
      <c r="B8694" s="0" t="s">
        <v>113</v>
      </c>
      <c r="C8694" s="0" t="str">
        <f aca="false">INDEX(Intent_Analysis!$B$5:$B$81,MATCH(B8694,Intent_Analysis!$A$5:$A$81,0))</f>
        <v>Transfers</v>
      </c>
      <c r="D8694" s="0" t="n">
        <f aca="false">INDEX(Intent_Analysis!$E$5:$E$81,MATCH(B8694,Intent_Analysis!$A$5:$A$81,0))</f>
        <v>2</v>
      </c>
    </row>
    <row r="8695" customFormat="false" ht="15" hidden="false" customHeight="false" outlineLevel="0" collapsed="false">
      <c r="A8695" s="0" t="s">
        <v>9019</v>
      </c>
      <c r="B8695" s="0" t="s">
        <v>113</v>
      </c>
      <c r="C8695" s="0" t="str">
        <f aca="false">INDEX(Intent_Analysis!$B$5:$B$81,MATCH(B8695,Intent_Analysis!$A$5:$A$81,0))</f>
        <v>Transfers</v>
      </c>
      <c r="D8695" s="0" t="n">
        <f aca="false">INDEX(Intent_Analysis!$E$5:$E$81,MATCH(B8695,Intent_Analysis!$A$5:$A$81,0))</f>
        <v>2</v>
      </c>
    </row>
    <row r="8696" customFormat="false" ht="15" hidden="false" customHeight="false" outlineLevel="0" collapsed="false">
      <c r="A8696" s="0" t="s">
        <v>9020</v>
      </c>
      <c r="B8696" s="0" t="s">
        <v>113</v>
      </c>
      <c r="C8696" s="0" t="str">
        <f aca="false">INDEX(Intent_Analysis!$B$5:$B$81,MATCH(B8696,Intent_Analysis!$A$5:$A$81,0))</f>
        <v>Transfers</v>
      </c>
      <c r="D8696" s="0" t="n">
        <f aca="false">INDEX(Intent_Analysis!$E$5:$E$81,MATCH(B8696,Intent_Analysis!$A$5:$A$81,0))</f>
        <v>2</v>
      </c>
    </row>
    <row r="8697" customFormat="false" ht="15" hidden="false" customHeight="false" outlineLevel="0" collapsed="false">
      <c r="A8697" s="0" t="s">
        <v>9021</v>
      </c>
      <c r="B8697" s="0" t="s">
        <v>113</v>
      </c>
      <c r="C8697" s="0" t="str">
        <f aca="false">INDEX(Intent_Analysis!$B$5:$B$81,MATCH(B8697,Intent_Analysis!$A$5:$A$81,0))</f>
        <v>Transfers</v>
      </c>
      <c r="D8697" s="0" t="n">
        <f aca="false">INDEX(Intent_Analysis!$E$5:$E$81,MATCH(B8697,Intent_Analysis!$A$5:$A$81,0))</f>
        <v>2</v>
      </c>
    </row>
    <row r="8698" customFormat="false" ht="15" hidden="false" customHeight="false" outlineLevel="0" collapsed="false">
      <c r="A8698" s="0" t="s">
        <v>9022</v>
      </c>
      <c r="B8698" s="0" t="s">
        <v>113</v>
      </c>
      <c r="C8698" s="0" t="str">
        <f aca="false">INDEX(Intent_Analysis!$B$5:$B$81,MATCH(B8698,Intent_Analysis!$A$5:$A$81,0))</f>
        <v>Transfers</v>
      </c>
      <c r="D8698" s="0" t="n">
        <f aca="false">INDEX(Intent_Analysis!$E$5:$E$81,MATCH(B8698,Intent_Analysis!$A$5:$A$81,0))</f>
        <v>2</v>
      </c>
    </row>
    <row r="8699" customFormat="false" ht="15" hidden="false" customHeight="false" outlineLevel="0" collapsed="false">
      <c r="A8699" s="0" t="s">
        <v>9023</v>
      </c>
      <c r="B8699" s="0" t="s">
        <v>113</v>
      </c>
      <c r="C8699" s="0" t="str">
        <f aca="false">INDEX(Intent_Analysis!$B$5:$B$81,MATCH(B8699,Intent_Analysis!$A$5:$A$81,0))</f>
        <v>Transfers</v>
      </c>
      <c r="D8699" s="0" t="n">
        <f aca="false">INDEX(Intent_Analysis!$E$5:$E$81,MATCH(B8699,Intent_Analysis!$A$5:$A$81,0))</f>
        <v>2</v>
      </c>
    </row>
    <row r="8700" customFormat="false" ht="15" hidden="false" customHeight="false" outlineLevel="0" collapsed="false">
      <c r="A8700" s="0" t="s">
        <v>9024</v>
      </c>
      <c r="B8700" s="0" t="s">
        <v>113</v>
      </c>
      <c r="C8700" s="0" t="str">
        <f aca="false">INDEX(Intent_Analysis!$B$5:$B$81,MATCH(B8700,Intent_Analysis!$A$5:$A$81,0))</f>
        <v>Transfers</v>
      </c>
      <c r="D8700" s="0" t="n">
        <f aca="false">INDEX(Intent_Analysis!$E$5:$E$81,MATCH(B8700,Intent_Analysis!$A$5:$A$81,0))</f>
        <v>2</v>
      </c>
    </row>
    <row r="8701" customFormat="false" ht="15" hidden="false" customHeight="false" outlineLevel="0" collapsed="false">
      <c r="A8701" s="0" t="s">
        <v>9025</v>
      </c>
      <c r="B8701" s="0" t="s">
        <v>113</v>
      </c>
      <c r="C8701" s="0" t="str">
        <f aca="false">INDEX(Intent_Analysis!$B$5:$B$81,MATCH(B8701,Intent_Analysis!$A$5:$A$81,0))</f>
        <v>Transfers</v>
      </c>
      <c r="D8701" s="0" t="n">
        <f aca="false">INDEX(Intent_Analysis!$E$5:$E$81,MATCH(B8701,Intent_Analysis!$A$5:$A$81,0))</f>
        <v>2</v>
      </c>
    </row>
    <row r="8702" customFormat="false" ht="15" hidden="false" customHeight="false" outlineLevel="0" collapsed="false">
      <c r="A8702" s="0" t="s">
        <v>9026</v>
      </c>
      <c r="B8702" s="0" t="s">
        <v>113</v>
      </c>
      <c r="C8702" s="0" t="str">
        <f aca="false">INDEX(Intent_Analysis!$B$5:$B$81,MATCH(B8702,Intent_Analysis!$A$5:$A$81,0))</f>
        <v>Transfers</v>
      </c>
      <c r="D8702" s="0" t="n">
        <f aca="false">INDEX(Intent_Analysis!$E$5:$E$81,MATCH(B8702,Intent_Analysis!$A$5:$A$81,0))</f>
        <v>2</v>
      </c>
    </row>
    <row r="8703" customFormat="false" ht="15" hidden="false" customHeight="false" outlineLevel="0" collapsed="false">
      <c r="A8703" s="0" t="s">
        <v>9027</v>
      </c>
      <c r="B8703" s="0" t="s">
        <v>113</v>
      </c>
      <c r="C8703" s="0" t="str">
        <f aca="false">INDEX(Intent_Analysis!$B$5:$B$81,MATCH(B8703,Intent_Analysis!$A$5:$A$81,0))</f>
        <v>Transfers</v>
      </c>
      <c r="D8703" s="0" t="n">
        <f aca="false">INDEX(Intent_Analysis!$E$5:$E$81,MATCH(B8703,Intent_Analysis!$A$5:$A$81,0))</f>
        <v>2</v>
      </c>
    </row>
    <row r="8704" customFormat="false" ht="15" hidden="false" customHeight="false" outlineLevel="0" collapsed="false">
      <c r="A8704" s="0" t="s">
        <v>9028</v>
      </c>
      <c r="B8704" s="0" t="s">
        <v>113</v>
      </c>
      <c r="C8704" s="0" t="str">
        <f aca="false">INDEX(Intent_Analysis!$B$5:$B$81,MATCH(B8704,Intent_Analysis!$A$5:$A$81,0))</f>
        <v>Transfers</v>
      </c>
      <c r="D8704" s="0" t="n">
        <f aca="false">INDEX(Intent_Analysis!$E$5:$E$81,MATCH(B8704,Intent_Analysis!$A$5:$A$81,0))</f>
        <v>2</v>
      </c>
    </row>
    <row r="8705" customFormat="false" ht="15" hidden="false" customHeight="false" outlineLevel="0" collapsed="false">
      <c r="A8705" s="0" t="s">
        <v>9029</v>
      </c>
      <c r="B8705" s="0" t="s">
        <v>113</v>
      </c>
      <c r="C8705" s="0" t="str">
        <f aca="false">INDEX(Intent_Analysis!$B$5:$B$81,MATCH(B8705,Intent_Analysis!$A$5:$A$81,0))</f>
        <v>Transfers</v>
      </c>
      <c r="D8705" s="0" t="n">
        <f aca="false">INDEX(Intent_Analysis!$E$5:$E$81,MATCH(B8705,Intent_Analysis!$A$5:$A$81,0))</f>
        <v>2</v>
      </c>
    </row>
    <row r="8706" customFormat="false" ht="15" hidden="false" customHeight="false" outlineLevel="0" collapsed="false">
      <c r="A8706" s="0" t="s">
        <v>9030</v>
      </c>
      <c r="B8706" s="0" t="s">
        <v>113</v>
      </c>
      <c r="C8706" s="0" t="str">
        <f aca="false">INDEX(Intent_Analysis!$B$5:$B$81,MATCH(B8706,Intent_Analysis!$A$5:$A$81,0))</f>
        <v>Transfers</v>
      </c>
      <c r="D8706" s="0" t="n">
        <f aca="false">INDEX(Intent_Analysis!$E$5:$E$81,MATCH(B8706,Intent_Analysis!$A$5:$A$81,0))</f>
        <v>2</v>
      </c>
    </row>
    <row r="8707" customFormat="false" ht="15" hidden="false" customHeight="false" outlineLevel="0" collapsed="false">
      <c r="A8707" s="0" t="s">
        <v>9031</v>
      </c>
      <c r="B8707" s="0" t="s">
        <v>113</v>
      </c>
      <c r="C8707" s="0" t="str">
        <f aca="false">INDEX(Intent_Analysis!$B$5:$B$81,MATCH(B8707,Intent_Analysis!$A$5:$A$81,0))</f>
        <v>Transfers</v>
      </c>
      <c r="D8707" s="0" t="n">
        <f aca="false">INDEX(Intent_Analysis!$E$5:$E$81,MATCH(B8707,Intent_Analysis!$A$5:$A$81,0))</f>
        <v>2</v>
      </c>
    </row>
    <row r="8708" customFormat="false" ht="15" hidden="false" customHeight="false" outlineLevel="0" collapsed="false">
      <c r="A8708" s="0" t="s">
        <v>9032</v>
      </c>
      <c r="B8708" s="0" t="s">
        <v>113</v>
      </c>
      <c r="C8708" s="0" t="str">
        <f aca="false">INDEX(Intent_Analysis!$B$5:$B$81,MATCH(B8708,Intent_Analysis!$A$5:$A$81,0))</f>
        <v>Transfers</v>
      </c>
      <c r="D8708" s="0" t="n">
        <f aca="false">INDEX(Intent_Analysis!$E$5:$E$81,MATCH(B8708,Intent_Analysis!$A$5:$A$81,0))</f>
        <v>2</v>
      </c>
    </row>
    <row r="8709" customFormat="false" ht="15" hidden="false" customHeight="false" outlineLevel="0" collapsed="false">
      <c r="A8709" s="0" t="s">
        <v>9033</v>
      </c>
      <c r="B8709" s="0" t="s">
        <v>113</v>
      </c>
      <c r="C8709" s="0" t="str">
        <f aca="false">INDEX(Intent_Analysis!$B$5:$B$81,MATCH(B8709,Intent_Analysis!$A$5:$A$81,0))</f>
        <v>Transfers</v>
      </c>
      <c r="D8709" s="0" t="n">
        <f aca="false">INDEX(Intent_Analysis!$E$5:$E$81,MATCH(B8709,Intent_Analysis!$A$5:$A$81,0))</f>
        <v>2</v>
      </c>
    </row>
    <row r="8710" customFormat="false" ht="15" hidden="false" customHeight="false" outlineLevel="0" collapsed="false">
      <c r="A8710" s="0" t="s">
        <v>9034</v>
      </c>
      <c r="B8710" s="0" t="s">
        <v>113</v>
      </c>
      <c r="C8710" s="0" t="str">
        <f aca="false">INDEX(Intent_Analysis!$B$5:$B$81,MATCH(B8710,Intent_Analysis!$A$5:$A$81,0))</f>
        <v>Transfers</v>
      </c>
      <c r="D8710" s="0" t="n">
        <f aca="false">INDEX(Intent_Analysis!$E$5:$E$81,MATCH(B8710,Intent_Analysis!$A$5:$A$81,0))</f>
        <v>2</v>
      </c>
    </row>
    <row r="8711" customFormat="false" ht="15" hidden="false" customHeight="false" outlineLevel="0" collapsed="false">
      <c r="A8711" s="0" t="s">
        <v>9035</v>
      </c>
      <c r="B8711" s="0" t="s">
        <v>113</v>
      </c>
      <c r="C8711" s="0" t="str">
        <f aca="false">INDEX(Intent_Analysis!$B$5:$B$81,MATCH(B8711,Intent_Analysis!$A$5:$A$81,0))</f>
        <v>Transfers</v>
      </c>
      <c r="D8711" s="0" t="n">
        <f aca="false">INDEX(Intent_Analysis!$E$5:$E$81,MATCH(B8711,Intent_Analysis!$A$5:$A$81,0))</f>
        <v>2</v>
      </c>
    </row>
    <row r="8712" customFormat="false" ht="15" hidden="false" customHeight="false" outlineLevel="0" collapsed="false">
      <c r="A8712" s="0" t="s">
        <v>9036</v>
      </c>
      <c r="B8712" s="0" t="s">
        <v>113</v>
      </c>
      <c r="C8712" s="0" t="str">
        <f aca="false">INDEX(Intent_Analysis!$B$5:$B$81,MATCH(B8712,Intent_Analysis!$A$5:$A$81,0))</f>
        <v>Transfers</v>
      </c>
      <c r="D8712" s="0" t="n">
        <f aca="false">INDEX(Intent_Analysis!$E$5:$E$81,MATCH(B8712,Intent_Analysis!$A$5:$A$81,0))</f>
        <v>2</v>
      </c>
    </row>
    <row r="8713" customFormat="false" ht="15" hidden="false" customHeight="false" outlineLevel="0" collapsed="false">
      <c r="A8713" s="0" t="s">
        <v>9037</v>
      </c>
      <c r="B8713" s="0" t="s">
        <v>113</v>
      </c>
      <c r="C8713" s="0" t="str">
        <f aca="false">INDEX(Intent_Analysis!$B$5:$B$81,MATCH(B8713,Intent_Analysis!$A$5:$A$81,0))</f>
        <v>Transfers</v>
      </c>
      <c r="D8713" s="0" t="n">
        <f aca="false">INDEX(Intent_Analysis!$E$5:$E$81,MATCH(B8713,Intent_Analysis!$A$5:$A$81,0))</f>
        <v>2</v>
      </c>
    </row>
    <row r="8714" customFormat="false" ht="15" hidden="false" customHeight="false" outlineLevel="0" collapsed="false">
      <c r="A8714" s="0" t="s">
        <v>9038</v>
      </c>
      <c r="B8714" s="0" t="s">
        <v>113</v>
      </c>
      <c r="C8714" s="0" t="str">
        <f aca="false">INDEX(Intent_Analysis!$B$5:$B$81,MATCH(B8714,Intent_Analysis!$A$5:$A$81,0))</f>
        <v>Transfers</v>
      </c>
      <c r="D8714" s="0" t="n">
        <f aca="false">INDEX(Intent_Analysis!$E$5:$E$81,MATCH(B8714,Intent_Analysis!$A$5:$A$81,0))</f>
        <v>2</v>
      </c>
    </row>
    <row r="8715" customFormat="false" ht="15" hidden="false" customHeight="false" outlineLevel="0" collapsed="false">
      <c r="A8715" s="0" t="s">
        <v>9039</v>
      </c>
      <c r="B8715" s="0" t="s">
        <v>113</v>
      </c>
      <c r="C8715" s="0" t="str">
        <f aca="false">INDEX(Intent_Analysis!$B$5:$B$81,MATCH(B8715,Intent_Analysis!$A$5:$A$81,0))</f>
        <v>Transfers</v>
      </c>
      <c r="D8715" s="0" t="n">
        <f aca="false">INDEX(Intent_Analysis!$E$5:$E$81,MATCH(B8715,Intent_Analysis!$A$5:$A$81,0))</f>
        <v>2</v>
      </c>
    </row>
    <row r="8716" customFormat="false" ht="15" hidden="false" customHeight="false" outlineLevel="0" collapsed="false">
      <c r="A8716" s="0" t="s">
        <v>9040</v>
      </c>
      <c r="B8716" s="0" t="s">
        <v>113</v>
      </c>
      <c r="C8716" s="0" t="str">
        <f aca="false">INDEX(Intent_Analysis!$B$5:$B$81,MATCH(B8716,Intent_Analysis!$A$5:$A$81,0))</f>
        <v>Transfers</v>
      </c>
      <c r="D8716" s="0" t="n">
        <f aca="false">INDEX(Intent_Analysis!$E$5:$E$81,MATCH(B8716,Intent_Analysis!$A$5:$A$81,0))</f>
        <v>2</v>
      </c>
    </row>
    <row r="8717" customFormat="false" ht="15" hidden="false" customHeight="false" outlineLevel="0" collapsed="false">
      <c r="A8717" s="0" t="s">
        <v>9041</v>
      </c>
      <c r="B8717" s="0" t="s">
        <v>113</v>
      </c>
      <c r="C8717" s="0" t="str">
        <f aca="false">INDEX(Intent_Analysis!$B$5:$B$81,MATCH(B8717,Intent_Analysis!$A$5:$A$81,0))</f>
        <v>Transfers</v>
      </c>
      <c r="D8717" s="0" t="n">
        <f aca="false">INDEX(Intent_Analysis!$E$5:$E$81,MATCH(B8717,Intent_Analysis!$A$5:$A$81,0))</f>
        <v>2</v>
      </c>
    </row>
    <row r="8718" customFormat="false" ht="15" hidden="false" customHeight="false" outlineLevel="0" collapsed="false">
      <c r="A8718" s="0" t="s">
        <v>9042</v>
      </c>
      <c r="B8718" s="0" t="s">
        <v>113</v>
      </c>
      <c r="C8718" s="0" t="str">
        <f aca="false">INDEX(Intent_Analysis!$B$5:$B$81,MATCH(B8718,Intent_Analysis!$A$5:$A$81,0))</f>
        <v>Transfers</v>
      </c>
      <c r="D8718" s="0" t="n">
        <f aca="false">INDEX(Intent_Analysis!$E$5:$E$81,MATCH(B8718,Intent_Analysis!$A$5:$A$81,0))</f>
        <v>2</v>
      </c>
    </row>
    <row r="8719" customFormat="false" ht="15" hidden="false" customHeight="false" outlineLevel="0" collapsed="false">
      <c r="A8719" s="0" t="s">
        <v>9043</v>
      </c>
      <c r="B8719" s="0" t="s">
        <v>113</v>
      </c>
      <c r="C8719" s="0" t="str">
        <f aca="false">INDEX(Intent_Analysis!$B$5:$B$81,MATCH(B8719,Intent_Analysis!$A$5:$A$81,0))</f>
        <v>Transfers</v>
      </c>
      <c r="D8719" s="0" t="n">
        <f aca="false">INDEX(Intent_Analysis!$E$5:$E$81,MATCH(B8719,Intent_Analysis!$A$5:$A$81,0))</f>
        <v>2</v>
      </c>
    </row>
    <row r="8720" customFormat="false" ht="15" hidden="false" customHeight="false" outlineLevel="0" collapsed="false">
      <c r="A8720" s="0" t="s">
        <v>9044</v>
      </c>
      <c r="B8720" s="0" t="s">
        <v>113</v>
      </c>
      <c r="C8720" s="0" t="str">
        <f aca="false">INDEX(Intent_Analysis!$B$5:$B$81,MATCH(B8720,Intent_Analysis!$A$5:$A$81,0))</f>
        <v>Transfers</v>
      </c>
      <c r="D8720" s="0" t="n">
        <f aca="false">INDEX(Intent_Analysis!$E$5:$E$81,MATCH(B8720,Intent_Analysis!$A$5:$A$81,0))</f>
        <v>2</v>
      </c>
    </row>
    <row r="8721" customFormat="false" ht="15" hidden="false" customHeight="false" outlineLevel="0" collapsed="false">
      <c r="A8721" s="0" t="s">
        <v>9045</v>
      </c>
      <c r="B8721" s="0" t="s">
        <v>113</v>
      </c>
      <c r="C8721" s="0" t="str">
        <f aca="false">INDEX(Intent_Analysis!$B$5:$B$81,MATCH(B8721,Intent_Analysis!$A$5:$A$81,0))</f>
        <v>Transfers</v>
      </c>
      <c r="D8721" s="0" t="n">
        <f aca="false">INDEX(Intent_Analysis!$E$5:$E$81,MATCH(B8721,Intent_Analysis!$A$5:$A$81,0))</f>
        <v>2</v>
      </c>
    </row>
    <row r="8722" customFormat="false" ht="15" hidden="false" customHeight="false" outlineLevel="0" collapsed="false">
      <c r="A8722" s="0" t="s">
        <v>9046</v>
      </c>
      <c r="B8722" s="0" t="s">
        <v>113</v>
      </c>
      <c r="C8722" s="0" t="str">
        <f aca="false">INDEX(Intent_Analysis!$B$5:$B$81,MATCH(B8722,Intent_Analysis!$A$5:$A$81,0))</f>
        <v>Transfers</v>
      </c>
      <c r="D8722" s="0" t="n">
        <f aca="false">INDEX(Intent_Analysis!$E$5:$E$81,MATCH(B8722,Intent_Analysis!$A$5:$A$81,0))</f>
        <v>2</v>
      </c>
    </row>
    <row r="8723" customFormat="false" ht="15" hidden="false" customHeight="false" outlineLevel="0" collapsed="false">
      <c r="A8723" s="0" t="s">
        <v>9047</v>
      </c>
      <c r="B8723" s="0" t="s">
        <v>113</v>
      </c>
      <c r="C8723" s="0" t="str">
        <f aca="false">INDEX(Intent_Analysis!$B$5:$B$81,MATCH(B8723,Intent_Analysis!$A$5:$A$81,0))</f>
        <v>Transfers</v>
      </c>
      <c r="D8723" s="0" t="n">
        <f aca="false">INDEX(Intent_Analysis!$E$5:$E$81,MATCH(B8723,Intent_Analysis!$A$5:$A$81,0))</f>
        <v>2</v>
      </c>
    </row>
    <row r="8724" customFormat="false" ht="15" hidden="false" customHeight="false" outlineLevel="0" collapsed="false">
      <c r="A8724" s="0" t="s">
        <v>9048</v>
      </c>
      <c r="B8724" s="0" t="s">
        <v>113</v>
      </c>
      <c r="C8724" s="0" t="str">
        <f aca="false">INDEX(Intent_Analysis!$B$5:$B$81,MATCH(B8724,Intent_Analysis!$A$5:$A$81,0))</f>
        <v>Transfers</v>
      </c>
      <c r="D8724" s="0" t="n">
        <f aca="false">INDEX(Intent_Analysis!$E$5:$E$81,MATCH(B8724,Intent_Analysis!$A$5:$A$81,0))</f>
        <v>2</v>
      </c>
    </row>
    <row r="8725" customFormat="false" ht="15" hidden="false" customHeight="false" outlineLevel="0" collapsed="false">
      <c r="A8725" s="0" t="s">
        <v>9049</v>
      </c>
      <c r="B8725" s="0" t="s">
        <v>113</v>
      </c>
      <c r="C8725" s="0" t="str">
        <f aca="false">INDEX(Intent_Analysis!$B$5:$B$81,MATCH(B8725,Intent_Analysis!$A$5:$A$81,0))</f>
        <v>Transfers</v>
      </c>
      <c r="D8725" s="0" t="n">
        <f aca="false">INDEX(Intent_Analysis!$E$5:$E$81,MATCH(B8725,Intent_Analysis!$A$5:$A$81,0))</f>
        <v>2</v>
      </c>
    </row>
    <row r="8726" customFormat="false" ht="15" hidden="false" customHeight="false" outlineLevel="0" collapsed="false">
      <c r="A8726" s="0" t="s">
        <v>9050</v>
      </c>
      <c r="B8726" s="0" t="s">
        <v>113</v>
      </c>
      <c r="C8726" s="0" t="str">
        <f aca="false">INDEX(Intent_Analysis!$B$5:$B$81,MATCH(B8726,Intent_Analysis!$A$5:$A$81,0))</f>
        <v>Transfers</v>
      </c>
      <c r="D8726" s="0" t="n">
        <f aca="false">INDEX(Intent_Analysis!$E$5:$E$81,MATCH(B8726,Intent_Analysis!$A$5:$A$81,0))</f>
        <v>2</v>
      </c>
    </row>
    <row r="8727" customFormat="false" ht="15" hidden="false" customHeight="false" outlineLevel="0" collapsed="false">
      <c r="A8727" s="0" t="s">
        <v>9051</v>
      </c>
      <c r="B8727" s="0" t="s">
        <v>113</v>
      </c>
      <c r="C8727" s="0" t="str">
        <f aca="false">INDEX(Intent_Analysis!$B$5:$B$81,MATCH(B8727,Intent_Analysis!$A$5:$A$81,0))</f>
        <v>Transfers</v>
      </c>
      <c r="D8727" s="0" t="n">
        <f aca="false">INDEX(Intent_Analysis!$E$5:$E$81,MATCH(B8727,Intent_Analysis!$A$5:$A$81,0))</f>
        <v>2</v>
      </c>
    </row>
    <row r="8728" customFormat="false" ht="15" hidden="false" customHeight="false" outlineLevel="0" collapsed="false">
      <c r="A8728" s="0" t="s">
        <v>9052</v>
      </c>
      <c r="B8728" s="0" t="s">
        <v>113</v>
      </c>
      <c r="C8728" s="0" t="str">
        <f aca="false">INDEX(Intent_Analysis!$B$5:$B$81,MATCH(B8728,Intent_Analysis!$A$5:$A$81,0))</f>
        <v>Transfers</v>
      </c>
      <c r="D8728" s="0" t="n">
        <f aca="false">INDEX(Intent_Analysis!$E$5:$E$81,MATCH(B8728,Intent_Analysis!$A$5:$A$81,0))</f>
        <v>2</v>
      </c>
    </row>
    <row r="8729" customFormat="false" ht="15" hidden="false" customHeight="false" outlineLevel="0" collapsed="false">
      <c r="A8729" s="0" t="s">
        <v>9053</v>
      </c>
      <c r="B8729" s="0" t="s">
        <v>113</v>
      </c>
      <c r="C8729" s="0" t="str">
        <f aca="false">INDEX(Intent_Analysis!$B$5:$B$81,MATCH(B8729,Intent_Analysis!$A$5:$A$81,0))</f>
        <v>Transfers</v>
      </c>
      <c r="D8729" s="0" t="n">
        <f aca="false">INDEX(Intent_Analysis!$E$5:$E$81,MATCH(B8729,Intent_Analysis!$A$5:$A$81,0))</f>
        <v>2</v>
      </c>
    </row>
    <row r="8730" customFormat="false" ht="15" hidden="false" customHeight="false" outlineLevel="0" collapsed="false">
      <c r="A8730" s="0" t="s">
        <v>9054</v>
      </c>
      <c r="B8730" s="0" t="s">
        <v>113</v>
      </c>
      <c r="C8730" s="0" t="str">
        <f aca="false">INDEX(Intent_Analysis!$B$5:$B$81,MATCH(B8730,Intent_Analysis!$A$5:$A$81,0))</f>
        <v>Transfers</v>
      </c>
      <c r="D8730" s="0" t="n">
        <f aca="false">INDEX(Intent_Analysis!$E$5:$E$81,MATCH(B8730,Intent_Analysis!$A$5:$A$81,0))</f>
        <v>2</v>
      </c>
    </row>
    <row r="8731" customFormat="false" ht="15" hidden="false" customHeight="false" outlineLevel="0" collapsed="false">
      <c r="A8731" s="0" t="s">
        <v>9055</v>
      </c>
      <c r="B8731" s="0" t="s">
        <v>113</v>
      </c>
      <c r="C8731" s="0" t="str">
        <f aca="false">INDEX(Intent_Analysis!$B$5:$B$81,MATCH(B8731,Intent_Analysis!$A$5:$A$81,0))</f>
        <v>Transfers</v>
      </c>
      <c r="D8731" s="0" t="n">
        <f aca="false">INDEX(Intent_Analysis!$E$5:$E$81,MATCH(B8731,Intent_Analysis!$A$5:$A$81,0))</f>
        <v>2</v>
      </c>
    </row>
    <row r="8732" customFormat="false" ht="15" hidden="false" customHeight="false" outlineLevel="0" collapsed="false">
      <c r="A8732" s="0" t="s">
        <v>9056</v>
      </c>
      <c r="B8732" s="0" t="s">
        <v>113</v>
      </c>
      <c r="C8732" s="0" t="str">
        <f aca="false">INDEX(Intent_Analysis!$B$5:$B$81,MATCH(B8732,Intent_Analysis!$A$5:$A$81,0))</f>
        <v>Transfers</v>
      </c>
      <c r="D8732" s="0" t="n">
        <f aca="false">INDEX(Intent_Analysis!$E$5:$E$81,MATCH(B8732,Intent_Analysis!$A$5:$A$81,0))</f>
        <v>2</v>
      </c>
    </row>
    <row r="8733" customFormat="false" ht="15" hidden="false" customHeight="false" outlineLevel="0" collapsed="false">
      <c r="A8733" s="0" t="s">
        <v>9057</v>
      </c>
      <c r="B8733" s="0" t="s">
        <v>113</v>
      </c>
      <c r="C8733" s="0" t="str">
        <f aca="false">INDEX(Intent_Analysis!$B$5:$B$81,MATCH(B8733,Intent_Analysis!$A$5:$A$81,0))</f>
        <v>Transfers</v>
      </c>
      <c r="D8733" s="0" t="n">
        <f aca="false">INDEX(Intent_Analysis!$E$5:$E$81,MATCH(B8733,Intent_Analysis!$A$5:$A$81,0))</f>
        <v>2</v>
      </c>
    </row>
    <row r="8734" customFormat="false" ht="15" hidden="false" customHeight="false" outlineLevel="0" collapsed="false">
      <c r="A8734" s="0" t="s">
        <v>9058</v>
      </c>
      <c r="B8734" s="0" t="s">
        <v>113</v>
      </c>
      <c r="C8734" s="0" t="str">
        <f aca="false">INDEX(Intent_Analysis!$B$5:$B$81,MATCH(B8734,Intent_Analysis!$A$5:$A$81,0))</f>
        <v>Transfers</v>
      </c>
      <c r="D8734" s="0" t="n">
        <f aca="false">INDEX(Intent_Analysis!$E$5:$E$81,MATCH(B8734,Intent_Analysis!$A$5:$A$81,0))</f>
        <v>2</v>
      </c>
    </row>
    <row r="8735" customFormat="false" ht="15" hidden="false" customHeight="false" outlineLevel="0" collapsed="false">
      <c r="A8735" s="0" t="s">
        <v>9059</v>
      </c>
      <c r="B8735" s="0" t="s">
        <v>113</v>
      </c>
      <c r="C8735" s="0" t="str">
        <f aca="false">INDEX(Intent_Analysis!$B$5:$B$81,MATCH(B8735,Intent_Analysis!$A$5:$A$81,0))</f>
        <v>Transfers</v>
      </c>
      <c r="D8735" s="0" t="n">
        <f aca="false">INDEX(Intent_Analysis!$E$5:$E$81,MATCH(B8735,Intent_Analysis!$A$5:$A$81,0))</f>
        <v>2</v>
      </c>
    </row>
    <row r="8736" customFormat="false" ht="15" hidden="false" customHeight="false" outlineLevel="0" collapsed="false">
      <c r="A8736" s="0" t="s">
        <v>9060</v>
      </c>
      <c r="B8736" s="0" t="s">
        <v>113</v>
      </c>
      <c r="C8736" s="0" t="str">
        <f aca="false">INDEX(Intent_Analysis!$B$5:$B$81,MATCH(B8736,Intent_Analysis!$A$5:$A$81,0))</f>
        <v>Transfers</v>
      </c>
      <c r="D8736" s="0" t="n">
        <f aca="false">INDEX(Intent_Analysis!$E$5:$E$81,MATCH(B8736,Intent_Analysis!$A$5:$A$81,0))</f>
        <v>2</v>
      </c>
    </row>
    <row r="8737" customFormat="false" ht="15" hidden="false" customHeight="false" outlineLevel="0" collapsed="false">
      <c r="A8737" s="0" t="s">
        <v>9061</v>
      </c>
      <c r="B8737" s="0" t="s">
        <v>113</v>
      </c>
      <c r="C8737" s="0" t="str">
        <f aca="false">INDEX(Intent_Analysis!$B$5:$B$81,MATCH(B8737,Intent_Analysis!$A$5:$A$81,0))</f>
        <v>Transfers</v>
      </c>
      <c r="D8737" s="0" t="n">
        <f aca="false">INDEX(Intent_Analysis!$E$5:$E$81,MATCH(B8737,Intent_Analysis!$A$5:$A$81,0))</f>
        <v>2</v>
      </c>
    </row>
    <row r="8738" customFormat="false" ht="15" hidden="false" customHeight="false" outlineLevel="0" collapsed="false">
      <c r="A8738" s="0" t="s">
        <v>9062</v>
      </c>
      <c r="B8738" s="0" t="s">
        <v>113</v>
      </c>
      <c r="C8738" s="0" t="str">
        <f aca="false">INDEX(Intent_Analysis!$B$5:$B$81,MATCH(B8738,Intent_Analysis!$A$5:$A$81,0))</f>
        <v>Transfers</v>
      </c>
      <c r="D8738" s="0" t="n">
        <f aca="false">INDEX(Intent_Analysis!$E$5:$E$81,MATCH(B8738,Intent_Analysis!$A$5:$A$81,0))</f>
        <v>2</v>
      </c>
    </row>
    <row r="8739" customFormat="false" ht="15" hidden="false" customHeight="false" outlineLevel="0" collapsed="false">
      <c r="A8739" s="0" t="s">
        <v>9063</v>
      </c>
      <c r="B8739" s="0" t="s">
        <v>113</v>
      </c>
      <c r="C8739" s="0" t="str">
        <f aca="false">INDEX(Intent_Analysis!$B$5:$B$81,MATCH(B8739,Intent_Analysis!$A$5:$A$81,0))</f>
        <v>Transfers</v>
      </c>
      <c r="D8739" s="0" t="n">
        <f aca="false">INDEX(Intent_Analysis!$E$5:$E$81,MATCH(B8739,Intent_Analysis!$A$5:$A$81,0))</f>
        <v>2</v>
      </c>
    </row>
    <row r="8740" customFormat="false" ht="15" hidden="false" customHeight="false" outlineLevel="0" collapsed="false">
      <c r="A8740" s="0" t="s">
        <v>9064</v>
      </c>
      <c r="B8740" s="0" t="s">
        <v>113</v>
      </c>
      <c r="C8740" s="0" t="str">
        <f aca="false">INDEX(Intent_Analysis!$B$5:$B$81,MATCH(B8740,Intent_Analysis!$A$5:$A$81,0))</f>
        <v>Transfers</v>
      </c>
      <c r="D8740" s="0" t="n">
        <f aca="false">INDEX(Intent_Analysis!$E$5:$E$81,MATCH(B8740,Intent_Analysis!$A$5:$A$81,0))</f>
        <v>2</v>
      </c>
    </row>
    <row r="8741" customFormat="false" ht="15" hidden="false" customHeight="false" outlineLevel="0" collapsed="false">
      <c r="A8741" s="0" t="s">
        <v>9065</v>
      </c>
      <c r="B8741" s="0" t="s">
        <v>113</v>
      </c>
      <c r="C8741" s="0" t="str">
        <f aca="false">INDEX(Intent_Analysis!$B$5:$B$81,MATCH(B8741,Intent_Analysis!$A$5:$A$81,0))</f>
        <v>Transfers</v>
      </c>
      <c r="D8741" s="0" t="n">
        <f aca="false">INDEX(Intent_Analysis!$E$5:$E$81,MATCH(B8741,Intent_Analysis!$A$5:$A$81,0))</f>
        <v>2</v>
      </c>
    </row>
    <row r="8742" customFormat="false" ht="15" hidden="false" customHeight="false" outlineLevel="0" collapsed="false">
      <c r="A8742" s="0" t="s">
        <v>9066</v>
      </c>
      <c r="B8742" s="0" t="s">
        <v>113</v>
      </c>
      <c r="C8742" s="0" t="str">
        <f aca="false">INDEX(Intent_Analysis!$B$5:$B$81,MATCH(B8742,Intent_Analysis!$A$5:$A$81,0))</f>
        <v>Transfers</v>
      </c>
      <c r="D8742" s="0" t="n">
        <f aca="false">INDEX(Intent_Analysis!$E$5:$E$81,MATCH(B8742,Intent_Analysis!$A$5:$A$81,0))</f>
        <v>2</v>
      </c>
    </row>
    <row r="8743" customFormat="false" ht="15" hidden="false" customHeight="false" outlineLevel="0" collapsed="false">
      <c r="A8743" s="0" t="s">
        <v>9067</v>
      </c>
      <c r="B8743" s="0" t="s">
        <v>113</v>
      </c>
      <c r="C8743" s="0" t="str">
        <f aca="false">INDEX(Intent_Analysis!$B$5:$B$81,MATCH(B8743,Intent_Analysis!$A$5:$A$81,0))</f>
        <v>Transfers</v>
      </c>
      <c r="D8743" s="0" t="n">
        <f aca="false">INDEX(Intent_Analysis!$E$5:$E$81,MATCH(B8743,Intent_Analysis!$A$5:$A$81,0))</f>
        <v>2</v>
      </c>
    </row>
    <row r="8744" customFormat="false" ht="15" hidden="false" customHeight="false" outlineLevel="0" collapsed="false">
      <c r="A8744" s="0" t="s">
        <v>9068</v>
      </c>
      <c r="B8744" s="0" t="s">
        <v>113</v>
      </c>
      <c r="C8744" s="0" t="str">
        <f aca="false">INDEX(Intent_Analysis!$B$5:$B$81,MATCH(B8744,Intent_Analysis!$A$5:$A$81,0))</f>
        <v>Transfers</v>
      </c>
      <c r="D8744" s="0" t="n">
        <f aca="false">INDEX(Intent_Analysis!$E$5:$E$81,MATCH(B8744,Intent_Analysis!$A$5:$A$81,0))</f>
        <v>2</v>
      </c>
    </row>
    <row r="8745" customFormat="false" ht="15" hidden="false" customHeight="false" outlineLevel="0" collapsed="false">
      <c r="A8745" s="0" t="s">
        <v>9069</v>
      </c>
      <c r="B8745" s="0" t="s">
        <v>113</v>
      </c>
      <c r="C8745" s="0" t="str">
        <f aca="false">INDEX(Intent_Analysis!$B$5:$B$81,MATCH(B8745,Intent_Analysis!$A$5:$A$81,0))</f>
        <v>Transfers</v>
      </c>
      <c r="D8745" s="0" t="n">
        <f aca="false">INDEX(Intent_Analysis!$E$5:$E$81,MATCH(B8745,Intent_Analysis!$A$5:$A$81,0))</f>
        <v>2</v>
      </c>
    </row>
    <row r="8746" customFormat="false" ht="15" hidden="false" customHeight="false" outlineLevel="0" collapsed="false">
      <c r="A8746" s="0" t="s">
        <v>9070</v>
      </c>
      <c r="B8746" s="0" t="s">
        <v>113</v>
      </c>
      <c r="C8746" s="0" t="str">
        <f aca="false">INDEX(Intent_Analysis!$B$5:$B$81,MATCH(B8746,Intent_Analysis!$A$5:$A$81,0))</f>
        <v>Transfers</v>
      </c>
      <c r="D8746" s="0" t="n">
        <f aca="false">INDEX(Intent_Analysis!$E$5:$E$81,MATCH(B8746,Intent_Analysis!$A$5:$A$81,0))</f>
        <v>2</v>
      </c>
    </row>
    <row r="8747" customFormat="false" ht="15" hidden="false" customHeight="false" outlineLevel="0" collapsed="false">
      <c r="A8747" s="0" t="s">
        <v>9071</v>
      </c>
      <c r="B8747" s="0" t="s">
        <v>113</v>
      </c>
      <c r="C8747" s="0" t="str">
        <f aca="false">INDEX(Intent_Analysis!$B$5:$B$81,MATCH(B8747,Intent_Analysis!$A$5:$A$81,0))</f>
        <v>Transfers</v>
      </c>
      <c r="D8747" s="0" t="n">
        <f aca="false">INDEX(Intent_Analysis!$E$5:$E$81,MATCH(B8747,Intent_Analysis!$A$5:$A$81,0))</f>
        <v>2</v>
      </c>
    </row>
    <row r="8748" customFormat="false" ht="15" hidden="false" customHeight="false" outlineLevel="0" collapsed="false">
      <c r="A8748" s="0" t="s">
        <v>9072</v>
      </c>
      <c r="B8748" s="0" t="s">
        <v>113</v>
      </c>
      <c r="C8748" s="0" t="str">
        <f aca="false">INDEX(Intent_Analysis!$B$5:$B$81,MATCH(B8748,Intent_Analysis!$A$5:$A$81,0))</f>
        <v>Transfers</v>
      </c>
      <c r="D8748" s="0" t="n">
        <f aca="false">INDEX(Intent_Analysis!$E$5:$E$81,MATCH(B8748,Intent_Analysis!$A$5:$A$81,0))</f>
        <v>2</v>
      </c>
    </row>
    <row r="8749" customFormat="false" ht="15" hidden="false" customHeight="false" outlineLevel="0" collapsed="false">
      <c r="A8749" s="0" t="s">
        <v>9073</v>
      </c>
      <c r="B8749" s="0" t="s">
        <v>113</v>
      </c>
      <c r="C8749" s="0" t="str">
        <f aca="false">INDEX(Intent_Analysis!$B$5:$B$81,MATCH(B8749,Intent_Analysis!$A$5:$A$81,0))</f>
        <v>Transfers</v>
      </c>
      <c r="D8749" s="0" t="n">
        <f aca="false">INDEX(Intent_Analysis!$E$5:$E$81,MATCH(B8749,Intent_Analysis!$A$5:$A$81,0))</f>
        <v>2</v>
      </c>
    </row>
    <row r="8750" customFormat="false" ht="15" hidden="false" customHeight="false" outlineLevel="0" collapsed="false">
      <c r="A8750" s="0" t="s">
        <v>9074</v>
      </c>
      <c r="B8750" s="0" t="s">
        <v>113</v>
      </c>
      <c r="C8750" s="0" t="str">
        <f aca="false">INDEX(Intent_Analysis!$B$5:$B$81,MATCH(B8750,Intent_Analysis!$A$5:$A$81,0))</f>
        <v>Transfers</v>
      </c>
      <c r="D8750" s="0" t="n">
        <f aca="false">INDEX(Intent_Analysis!$E$5:$E$81,MATCH(B8750,Intent_Analysis!$A$5:$A$81,0))</f>
        <v>2</v>
      </c>
    </row>
    <row r="8751" customFormat="false" ht="15" hidden="false" customHeight="false" outlineLevel="0" collapsed="false">
      <c r="A8751" s="0" t="s">
        <v>9075</v>
      </c>
      <c r="B8751" s="0" t="s">
        <v>113</v>
      </c>
      <c r="C8751" s="0" t="str">
        <f aca="false">INDEX(Intent_Analysis!$B$5:$B$81,MATCH(B8751,Intent_Analysis!$A$5:$A$81,0))</f>
        <v>Transfers</v>
      </c>
      <c r="D8751" s="0" t="n">
        <f aca="false">INDEX(Intent_Analysis!$E$5:$E$81,MATCH(B8751,Intent_Analysis!$A$5:$A$81,0))</f>
        <v>2</v>
      </c>
    </row>
    <row r="8752" customFormat="false" ht="15" hidden="false" customHeight="false" outlineLevel="0" collapsed="false">
      <c r="A8752" s="0" t="s">
        <v>9076</v>
      </c>
      <c r="B8752" s="0" t="s">
        <v>113</v>
      </c>
      <c r="C8752" s="0" t="str">
        <f aca="false">INDEX(Intent_Analysis!$B$5:$B$81,MATCH(B8752,Intent_Analysis!$A$5:$A$81,0))</f>
        <v>Transfers</v>
      </c>
      <c r="D8752" s="0" t="n">
        <f aca="false">INDEX(Intent_Analysis!$E$5:$E$81,MATCH(B8752,Intent_Analysis!$A$5:$A$81,0))</f>
        <v>2</v>
      </c>
    </row>
    <row r="8753" customFormat="false" ht="15" hidden="false" customHeight="false" outlineLevel="0" collapsed="false">
      <c r="A8753" s="0" t="s">
        <v>9077</v>
      </c>
      <c r="B8753" s="0" t="s">
        <v>113</v>
      </c>
      <c r="C8753" s="0" t="str">
        <f aca="false">INDEX(Intent_Analysis!$B$5:$B$81,MATCH(B8753,Intent_Analysis!$A$5:$A$81,0))</f>
        <v>Transfers</v>
      </c>
      <c r="D8753" s="0" t="n">
        <f aca="false">INDEX(Intent_Analysis!$E$5:$E$81,MATCH(B8753,Intent_Analysis!$A$5:$A$81,0))</f>
        <v>2</v>
      </c>
    </row>
    <row r="8754" customFormat="false" ht="15" hidden="false" customHeight="false" outlineLevel="0" collapsed="false">
      <c r="A8754" s="0" t="s">
        <v>9078</v>
      </c>
      <c r="B8754" s="0" t="s">
        <v>113</v>
      </c>
      <c r="C8754" s="0" t="str">
        <f aca="false">INDEX(Intent_Analysis!$B$5:$B$81,MATCH(B8754,Intent_Analysis!$A$5:$A$81,0))</f>
        <v>Transfers</v>
      </c>
      <c r="D8754" s="0" t="n">
        <f aca="false">INDEX(Intent_Analysis!$E$5:$E$81,MATCH(B8754,Intent_Analysis!$A$5:$A$81,0))</f>
        <v>2</v>
      </c>
    </row>
    <row r="8755" customFormat="false" ht="15" hidden="false" customHeight="false" outlineLevel="0" collapsed="false">
      <c r="A8755" s="0" t="s">
        <v>9079</v>
      </c>
      <c r="B8755" s="0" t="s">
        <v>113</v>
      </c>
      <c r="C8755" s="0" t="str">
        <f aca="false">INDEX(Intent_Analysis!$B$5:$B$81,MATCH(B8755,Intent_Analysis!$A$5:$A$81,0))</f>
        <v>Transfers</v>
      </c>
      <c r="D8755" s="0" t="n">
        <f aca="false">INDEX(Intent_Analysis!$E$5:$E$81,MATCH(B8755,Intent_Analysis!$A$5:$A$81,0))</f>
        <v>2</v>
      </c>
    </row>
    <row r="8756" customFormat="false" ht="15" hidden="false" customHeight="false" outlineLevel="0" collapsed="false">
      <c r="A8756" s="0" t="s">
        <v>9080</v>
      </c>
      <c r="B8756" s="0" t="s">
        <v>113</v>
      </c>
      <c r="C8756" s="0" t="str">
        <f aca="false">INDEX(Intent_Analysis!$B$5:$B$81,MATCH(B8756,Intent_Analysis!$A$5:$A$81,0))</f>
        <v>Transfers</v>
      </c>
      <c r="D8756" s="0" t="n">
        <f aca="false">INDEX(Intent_Analysis!$E$5:$E$81,MATCH(B8756,Intent_Analysis!$A$5:$A$81,0))</f>
        <v>2</v>
      </c>
    </row>
    <row r="8757" customFormat="false" ht="15" hidden="false" customHeight="false" outlineLevel="0" collapsed="false">
      <c r="A8757" s="0" t="s">
        <v>9081</v>
      </c>
      <c r="B8757" s="0" t="s">
        <v>113</v>
      </c>
      <c r="C8757" s="0" t="str">
        <f aca="false">INDEX(Intent_Analysis!$B$5:$B$81,MATCH(B8757,Intent_Analysis!$A$5:$A$81,0))</f>
        <v>Transfers</v>
      </c>
      <c r="D8757" s="0" t="n">
        <f aca="false">INDEX(Intent_Analysis!$E$5:$E$81,MATCH(B8757,Intent_Analysis!$A$5:$A$81,0))</f>
        <v>2</v>
      </c>
    </row>
    <row r="8758" customFormat="false" ht="15" hidden="false" customHeight="false" outlineLevel="0" collapsed="false">
      <c r="A8758" s="0" t="s">
        <v>9082</v>
      </c>
      <c r="B8758" s="0" t="s">
        <v>113</v>
      </c>
      <c r="C8758" s="0" t="str">
        <f aca="false">INDEX(Intent_Analysis!$B$5:$B$81,MATCH(B8758,Intent_Analysis!$A$5:$A$81,0))</f>
        <v>Transfers</v>
      </c>
      <c r="D8758" s="0" t="n">
        <f aca="false">INDEX(Intent_Analysis!$E$5:$E$81,MATCH(B8758,Intent_Analysis!$A$5:$A$81,0))</f>
        <v>2</v>
      </c>
    </row>
    <row r="8759" customFormat="false" ht="15" hidden="false" customHeight="false" outlineLevel="0" collapsed="false">
      <c r="A8759" s="0" t="s">
        <v>9083</v>
      </c>
      <c r="B8759" s="0" t="s">
        <v>113</v>
      </c>
      <c r="C8759" s="0" t="str">
        <f aca="false">INDEX(Intent_Analysis!$B$5:$B$81,MATCH(B8759,Intent_Analysis!$A$5:$A$81,0))</f>
        <v>Transfers</v>
      </c>
      <c r="D8759" s="0" t="n">
        <f aca="false">INDEX(Intent_Analysis!$E$5:$E$81,MATCH(B8759,Intent_Analysis!$A$5:$A$81,0))</f>
        <v>2</v>
      </c>
    </row>
    <row r="8760" customFormat="false" ht="15" hidden="false" customHeight="false" outlineLevel="0" collapsed="false">
      <c r="A8760" s="0" t="s">
        <v>9084</v>
      </c>
      <c r="B8760" s="0" t="s">
        <v>113</v>
      </c>
      <c r="C8760" s="0" t="str">
        <f aca="false">INDEX(Intent_Analysis!$B$5:$B$81,MATCH(B8760,Intent_Analysis!$A$5:$A$81,0))</f>
        <v>Transfers</v>
      </c>
      <c r="D8760" s="0" t="n">
        <f aca="false">INDEX(Intent_Analysis!$E$5:$E$81,MATCH(B8760,Intent_Analysis!$A$5:$A$81,0))</f>
        <v>2</v>
      </c>
    </row>
    <row r="8761" customFormat="false" ht="15" hidden="false" customHeight="false" outlineLevel="0" collapsed="false">
      <c r="A8761" s="0" t="s">
        <v>9085</v>
      </c>
      <c r="B8761" s="0" t="s">
        <v>113</v>
      </c>
      <c r="C8761" s="0" t="str">
        <f aca="false">INDEX(Intent_Analysis!$B$5:$B$81,MATCH(B8761,Intent_Analysis!$A$5:$A$81,0))</f>
        <v>Transfers</v>
      </c>
      <c r="D8761" s="0" t="n">
        <f aca="false">INDEX(Intent_Analysis!$E$5:$E$81,MATCH(B8761,Intent_Analysis!$A$5:$A$81,0))</f>
        <v>2</v>
      </c>
    </row>
    <row r="8762" customFormat="false" ht="15" hidden="false" customHeight="false" outlineLevel="0" collapsed="false">
      <c r="A8762" s="0" t="s">
        <v>9086</v>
      </c>
      <c r="B8762" s="0" t="s">
        <v>113</v>
      </c>
      <c r="C8762" s="0" t="str">
        <f aca="false">INDEX(Intent_Analysis!$B$5:$B$81,MATCH(B8762,Intent_Analysis!$A$5:$A$81,0))</f>
        <v>Transfers</v>
      </c>
      <c r="D8762" s="0" t="n">
        <f aca="false">INDEX(Intent_Analysis!$E$5:$E$81,MATCH(B8762,Intent_Analysis!$A$5:$A$81,0))</f>
        <v>2</v>
      </c>
    </row>
    <row r="8763" customFormat="false" ht="15" hidden="false" customHeight="false" outlineLevel="0" collapsed="false">
      <c r="A8763" s="0" t="s">
        <v>9087</v>
      </c>
      <c r="B8763" s="0" t="s">
        <v>113</v>
      </c>
      <c r="C8763" s="0" t="str">
        <f aca="false">INDEX(Intent_Analysis!$B$5:$B$81,MATCH(B8763,Intent_Analysis!$A$5:$A$81,0))</f>
        <v>Transfers</v>
      </c>
      <c r="D8763" s="0" t="n">
        <f aca="false">INDEX(Intent_Analysis!$E$5:$E$81,MATCH(B8763,Intent_Analysis!$A$5:$A$81,0))</f>
        <v>2</v>
      </c>
    </row>
    <row r="8764" customFormat="false" ht="15" hidden="false" customHeight="false" outlineLevel="0" collapsed="false">
      <c r="A8764" s="0" t="s">
        <v>9088</v>
      </c>
      <c r="B8764" s="0" t="s">
        <v>113</v>
      </c>
      <c r="C8764" s="0" t="str">
        <f aca="false">INDEX(Intent_Analysis!$B$5:$B$81,MATCH(B8764,Intent_Analysis!$A$5:$A$81,0))</f>
        <v>Transfers</v>
      </c>
      <c r="D8764" s="0" t="n">
        <f aca="false">INDEX(Intent_Analysis!$E$5:$E$81,MATCH(B8764,Intent_Analysis!$A$5:$A$81,0))</f>
        <v>2</v>
      </c>
    </row>
    <row r="8765" customFormat="false" ht="15" hidden="false" customHeight="false" outlineLevel="0" collapsed="false">
      <c r="A8765" s="0" t="s">
        <v>9089</v>
      </c>
      <c r="B8765" s="0" t="s">
        <v>113</v>
      </c>
      <c r="C8765" s="0" t="str">
        <f aca="false">INDEX(Intent_Analysis!$B$5:$B$81,MATCH(B8765,Intent_Analysis!$A$5:$A$81,0))</f>
        <v>Transfers</v>
      </c>
      <c r="D8765" s="0" t="n">
        <f aca="false">INDEX(Intent_Analysis!$E$5:$E$81,MATCH(B8765,Intent_Analysis!$A$5:$A$81,0))</f>
        <v>2</v>
      </c>
    </row>
    <row r="8766" customFormat="false" ht="15" hidden="false" customHeight="false" outlineLevel="0" collapsed="false">
      <c r="A8766" s="0" t="s">
        <v>9090</v>
      </c>
      <c r="B8766" s="0" t="s">
        <v>113</v>
      </c>
      <c r="C8766" s="0" t="str">
        <f aca="false">INDEX(Intent_Analysis!$B$5:$B$81,MATCH(B8766,Intent_Analysis!$A$5:$A$81,0))</f>
        <v>Transfers</v>
      </c>
      <c r="D8766" s="0" t="n">
        <f aca="false">INDEX(Intent_Analysis!$E$5:$E$81,MATCH(B8766,Intent_Analysis!$A$5:$A$81,0))</f>
        <v>2</v>
      </c>
    </row>
    <row r="8767" customFormat="false" ht="15" hidden="false" customHeight="false" outlineLevel="0" collapsed="false">
      <c r="A8767" s="0" t="s">
        <v>9091</v>
      </c>
      <c r="B8767" s="0" t="s">
        <v>113</v>
      </c>
      <c r="C8767" s="0" t="str">
        <f aca="false">INDEX(Intent_Analysis!$B$5:$B$81,MATCH(B8767,Intent_Analysis!$A$5:$A$81,0))</f>
        <v>Transfers</v>
      </c>
      <c r="D8767" s="0" t="n">
        <f aca="false">INDEX(Intent_Analysis!$E$5:$E$81,MATCH(B8767,Intent_Analysis!$A$5:$A$81,0))</f>
        <v>2</v>
      </c>
    </row>
    <row r="8768" customFormat="false" ht="15" hidden="false" customHeight="false" outlineLevel="0" collapsed="false">
      <c r="A8768" s="0" t="s">
        <v>9092</v>
      </c>
      <c r="B8768" s="0" t="s">
        <v>113</v>
      </c>
      <c r="C8768" s="0" t="str">
        <f aca="false">INDEX(Intent_Analysis!$B$5:$B$81,MATCH(B8768,Intent_Analysis!$A$5:$A$81,0))</f>
        <v>Transfers</v>
      </c>
      <c r="D8768" s="0" t="n">
        <f aca="false">INDEX(Intent_Analysis!$E$5:$E$81,MATCH(B8768,Intent_Analysis!$A$5:$A$81,0))</f>
        <v>2</v>
      </c>
    </row>
    <row r="8769" customFormat="false" ht="15" hidden="false" customHeight="false" outlineLevel="0" collapsed="false">
      <c r="A8769" s="0" t="s">
        <v>9093</v>
      </c>
      <c r="B8769" s="0" t="s">
        <v>113</v>
      </c>
      <c r="C8769" s="0" t="str">
        <f aca="false">INDEX(Intent_Analysis!$B$5:$B$81,MATCH(B8769,Intent_Analysis!$A$5:$A$81,0))</f>
        <v>Transfers</v>
      </c>
      <c r="D8769" s="0" t="n">
        <f aca="false">INDEX(Intent_Analysis!$E$5:$E$81,MATCH(B8769,Intent_Analysis!$A$5:$A$81,0))</f>
        <v>2</v>
      </c>
    </row>
    <row r="8770" customFormat="false" ht="15" hidden="false" customHeight="false" outlineLevel="0" collapsed="false">
      <c r="A8770" s="0" t="s">
        <v>9094</v>
      </c>
      <c r="B8770" s="0" t="s">
        <v>113</v>
      </c>
      <c r="C8770" s="0" t="str">
        <f aca="false">INDEX(Intent_Analysis!$B$5:$B$81,MATCH(B8770,Intent_Analysis!$A$5:$A$81,0))</f>
        <v>Transfers</v>
      </c>
      <c r="D8770" s="0" t="n">
        <f aca="false">INDEX(Intent_Analysis!$E$5:$E$81,MATCH(B8770,Intent_Analysis!$A$5:$A$81,0))</f>
        <v>2</v>
      </c>
    </row>
    <row r="8771" customFormat="false" ht="15" hidden="false" customHeight="false" outlineLevel="0" collapsed="false">
      <c r="A8771" s="0" t="s">
        <v>9095</v>
      </c>
      <c r="B8771" s="0" t="s">
        <v>113</v>
      </c>
      <c r="C8771" s="0" t="str">
        <f aca="false">INDEX(Intent_Analysis!$B$5:$B$81,MATCH(B8771,Intent_Analysis!$A$5:$A$81,0))</f>
        <v>Transfers</v>
      </c>
      <c r="D8771" s="0" t="n">
        <f aca="false">INDEX(Intent_Analysis!$E$5:$E$81,MATCH(B8771,Intent_Analysis!$A$5:$A$81,0))</f>
        <v>2</v>
      </c>
    </row>
    <row r="8772" customFormat="false" ht="15" hidden="false" customHeight="false" outlineLevel="0" collapsed="false">
      <c r="A8772" s="0" t="s">
        <v>9096</v>
      </c>
      <c r="B8772" s="0" t="s">
        <v>113</v>
      </c>
      <c r="C8772" s="0" t="str">
        <f aca="false">INDEX(Intent_Analysis!$B$5:$B$81,MATCH(B8772,Intent_Analysis!$A$5:$A$81,0))</f>
        <v>Transfers</v>
      </c>
      <c r="D8772" s="0" t="n">
        <f aca="false">INDEX(Intent_Analysis!$E$5:$E$81,MATCH(B8772,Intent_Analysis!$A$5:$A$81,0))</f>
        <v>2</v>
      </c>
    </row>
    <row r="8773" customFormat="false" ht="15" hidden="false" customHeight="false" outlineLevel="0" collapsed="false">
      <c r="A8773" s="0" t="s">
        <v>9097</v>
      </c>
      <c r="B8773" s="0" t="s">
        <v>113</v>
      </c>
      <c r="C8773" s="0" t="str">
        <f aca="false">INDEX(Intent_Analysis!$B$5:$B$81,MATCH(B8773,Intent_Analysis!$A$5:$A$81,0))</f>
        <v>Transfers</v>
      </c>
      <c r="D8773" s="0" t="n">
        <f aca="false">INDEX(Intent_Analysis!$E$5:$E$81,MATCH(B8773,Intent_Analysis!$A$5:$A$81,0))</f>
        <v>2</v>
      </c>
    </row>
    <row r="8774" customFormat="false" ht="15" hidden="false" customHeight="false" outlineLevel="0" collapsed="false">
      <c r="A8774" s="0" t="s">
        <v>9098</v>
      </c>
      <c r="B8774" s="0" t="s">
        <v>113</v>
      </c>
      <c r="C8774" s="0" t="str">
        <f aca="false">INDEX(Intent_Analysis!$B$5:$B$81,MATCH(B8774,Intent_Analysis!$A$5:$A$81,0))</f>
        <v>Transfers</v>
      </c>
      <c r="D8774" s="0" t="n">
        <f aca="false">INDEX(Intent_Analysis!$E$5:$E$81,MATCH(B8774,Intent_Analysis!$A$5:$A$81,0))</f>
        <v>2</v>
      </c>
    </row>
    <row r="8775" customFormat="false" ht="15" hidden="false" customHeight="false" outlineLevel="0" collapsed="false">
      <c r="A8775" s="0" t="s">
        <v>9099</v>
      </c>
      <c r="B8775" s="0" t="s">
        <v>113</v>
      </c>
      <c r="C8775" s="0" t="str">
        <f aca="false">INDEX(Intent_Analysis!$B$5:$B$81,MATCH(B8775,Intent_Analysis!$A$5:$A$81,0))</f>
        <v>Transfers</v>
      </c>
      <c r="D8775" s="0" t="n">
        <f aca="false">INDEX(Intent_Analysis!$E$5:$E$81,MATCH(B8775,Intent_Analysis!$A$5:$A$81,0))</f>
        <v>2</v>
      </c>
    </row>
    <row r="8776" customFormat="false" ht="15" hidden="false" customHeight="false" outlineLevel="0" collapsed="false">
      <c r="A8776" s="0" t="s">
        <v>9100</v>
      </c>
      <c r="B8776" s="0" t="s">
        <v>113</v>
      </c>
      <c r="C8776" s="0" t="str">
        <f aca="false">INDEX(Intent_Analysis!$B$5:$B$81,MATCH(B8776,Intent_Analysis!$A$5:$A$81,0))</f>
        <v>Transfers</v>
      </c>
      <c r="D8776" s="0" t="n">
        <f aca="false">INDEX(Intent_Analysis!$E$5:$E$81,MATCH(B8776,Intent_Analysis!$A$5:$A$81,0))</f>
        <v>2</v>
      </c>
    </row>
    <row r="8777" customFormat="false" ht="15" hidden="false" customHeight="false" outlineLevel="0" collapsed="false">
      <c r="A8777" s="0" t="s">
        <v>9101</v>
      </c>
      <c r="B8777" s="0" t="s">
        <v>113</v>
      </c>
      <c r="C8777" s="0" t="str">
        <f aca="false">INDEX(Intent_Analysis!$B$5:$B$81,MATCH(B8777,Intent_Analysis!$A$5:$A$81,0))</f>
        <v>Transfers</v>
      </c>
      <c r="D8777" s="0" t="n">
        <f aca="false">INDEX(Intent_Analysis!$E$5:$E$81,MATCH(B8777,Intent_Analysis!$A$5:$A$81,0))</f>
        <v>2</v>
      </c>
    </row>
    <row r="8778" customFormat="false" ht="15" hidden="false" customHeight="false" outlineLevel="0" collapsed="false">
      <c r="A8778" s="0" t="s">
        <v>9102</v>
      </c>
      <c r="B8778" s="0" t="s">
        <v>113</v>
      </c>
      <c r="C8778" s="0" t="str">
        <f aca="false">INDEX(Intent_Analysis!$B$5:$B$81,MATCH(B8778,Intent_Analysis!$A$5:$A$81,0))</f>
        <v>Transfers</v>
      </c>
      <c r="D8778" s="0" t="n">
        <f aca="false">INDEX(Intent_Analysis!$E$5:$E$81,MATCH(B8778,Intent_Analysis!$A$5:$A$81,0))</f>
        <v>2</v>
      </c>
    </row>
    <row r="8779" customFormat="false" ht="15" hidden="false" customHeight="false" outlineLevel="0" collapsed="false">
      <c r="A8779" s="0" t="s">
        <v>9103</v>
      </c>
      <c r="B8779" s="0" t="s">
        <v>113</v>
      </c>
      <c r="C8779" s="0" t="str">
        <f aca="false">INDEX(Intent_Analysis!$B$5:$B$81,MATCH(B8779,Intent_Analysis!$A$5:$A$81,0))</f>
        <v>Transfers</v>
      </c>
      <c r="D8779" s="0" t="n">
        <f aca="false">INDEX(Intent_Analysis!$E$5:$E$81,MATCH(B8779,Intent_Analysis!$A$5:$A$81,0))</f>
        <v>2</v>
      </c>
    </row>
    <row r="8780" customFormat="false" ht="15" hidden="false" customHeight="false" outlineLevel="0" collapsed="false">
      <c r="A8780" s="0" t="s">
        <v>9104</v>
      </c>
      <c r="B8780" s="0" t="s">
        <v>113</v>
      </c>
      <c r="C8780" s="0" t="str">
        <f aca="false">INDEX(Intent_Analysis!$B$5:$B$81,MATCH(B8780,Intent_Analysis!$A$5:$A$81,0))</f>
        <v>Transfers</v>
      </c>
      <c r="D8780" s="0" t="n">
        <f aca="false">INDEX(Intent_Analysis!$E$5:$E$81,MATCH(B8780,Intent_Analysis!$A$5:$A$81,0))</f>
        <v>2</v>
      </c>
    </row>
    <row r="8781" customFormat="false" ht="15" hidden="false" customHeight="false" outlineLevel="0" collapsed="false">
      <c r="A8781" s="0" t="s">
        <v>9105</v>
      </c>
      <c r="B8781" s="0" t="s">
        <v>113</v>
      </c>
      <c r="C8781" s="0" t="str">
        <f aca="false">INDEX(Intent_Analysis!$B$5:$B$81,MATCH(B8781,Intent_Analysis!$A$5:$A$81,0))</f>
        <v>Transfers</v>
      </c>
      <c r="D8781" s="0" t="n">
        <f aca="false">INDEX(Intent_Analysis!$E$5:$E$81,MATCH(B8781,Intent_Analysis!$A$5:$A$81,0))</f>
        <v>2</v>
      </c>
    </row>
    <row r="8782" customFormat="false" ht="15" hidden="false" customHeight="false" outlineLevel="0" collapsed="false">
      <c r="A8782" s="0" t="s">
        <v>9106</v>
      </c>
      <c r="B8782" s="0" t="s">
        <v>113</v>
      </c>
      <c r="C8782" s="0" t="str">
        <f aca="false">INDEX(Intent_Analysis!$B$5:$B$81,MATCH(B8782,Intent_Analysis!$A$5:$A$81,0))</f>
        <v>Transfers</v>
      </c>
      <c r="D8782" s="0" t="n">
        <f aca="false">INDEX(Intent_Analysis!$E$5:$E$81,MATCH(B8782,Intent_Analysis!$A$5:$A$81,0))</f>
        <v>2</v>
      </c>
    </row>
    <row r="8783" customFormat="false" ht="15" hidden="false" customHeight="false" outlineLevel="0" collapsed="false">
      <c r="A8783" s="0" t="s">
        <v>9107</v>
      </c>
      <c r="B8783" s="0" t="s">
        <v>113</v>
      </c>
      <c r="C8783" s="0" t="str">
        <f aca="false">INDEX(Intent_Analysis!$B$5:$B$81,MATCH(B8783,Intent_Analysis!$A$5:$A$81,0))</f>
        <v>Transfers</v>
      </c>
      <c r="D8783" s="0" t="n">
        <f aca="false">INDEX(Intent_Analysis!$E$5:$E$81,MATCH(B8783,Intent_Analysis!$A$5:$A$81,0))</f>
        <v>2</v>
      </c>
    </row>
    <row r="8784" customFormat="false" ht="15" hidden="false" customHeight="false" outlineLevel="0" collapsed="false">
      <c r="A8784" s="0" t="s">
        <v>9108</v>
      </c>
      <c r="B8784" s="0" t="s">
        <v>113</v>
      </c>
      <c r="C8784" s="0" t="str">
        <f aca="false">INDEX(Intent_Analysis!$B$5:$B$81,MATCH(B8784,Intent_Analysis!$A$5:$A$81,0))</f>
        <v>Transfers</v>
      </c>
      <c r="D8784" s="0" t="n">
        <f aca="false">INDEX(Intent_Analysis!$E$5:$E$81,MATCH(B8784,Intent_Analysis!$A$5:$A$81,0))</f>
        <v>2</v>
      </c>
    </row>
    <row r="8785" customFormat="false" ht="15" hidden="false" customHeight="false" outlineLevel="0" collapsed="false">
      <c r="A8785" s="0" t="s">
        <v>9109</v>
      </c>
      <c r="B8785" s="0" t="s">
        <v>113</v>
      </c>
      <c r="C8785" s="0" t="str">
        <f aca="false">INDEX(Intent_Analysis!$B$5:$B$81,MATCH(B8785,Intent_Analysis!$A$5:$A$81,0))</f>
        <v>Transfers</v>
      </c>
      <c r="D8785" s="0" t="n">
        <f aca="false">INDEX(Intent_Analysis!$E$5:$E$81,MATCH(B8785,Intent_Analysis!$A$5:$A$81,0))</f>
        <v>2</v>
      </c>
    </row>
    <row r="8786" customFormat="false" ht="15" hidden="false" customHeight="false" outlineLevel="0" collapsed="false">
      <c r="A8786" s="0" t="s">
        <v>9110</v>
      </c>
      <c r="B8786" s="0" t="s">
        <v>98</v>
      </c>
      <c r="C8786" s="0" t="str">
        <f aca="false">INDEX(Intent_Analysis!$B$5:$B$81,MATCH(B8786,Intent_Analysis!$A$5:$A$81,0))</f>
        <v>Fraud &amp; security</v>
      </c>
      <c r="D8786" s="0" t="n">
        <f aca="false">INDEX(Intent_Analysis!$E$5:$E$81,MATCH(B8786,Intent_Analysis!$A$5:$A$81,0))</f>
        <v>3</v>
      </c>
    </row>
    <row r="8787" customFormat="false" ht="15" hidden="false" customHeight="false" outlineLevel="0" collapsed="false">
      <c r="A8787" s="0" t="s">
        <v>9111</v>
      </c>
      <c r="B8787" s="0" t="s">
        <v>98</v>
      </c>
      <c r="C8787" s="0" t="str">
        <f aca="false">INDEX(Intent_Analysis!$B$5:$B$81,MATCH(B8787,Intent_Analysis!$A$5:$A$81,0))</f>
        <v>Fraud &amp; security</v>
      </c>
      <c r="D8787" s="0" t="n">
        <f aca="false">INDEX(Intent_Analysis!$E$5:$E$81,MATCH(B8787,Intent_Analysis!$A$5:$A$81,0))</f>
        <v>3</v>
      </c>
    </row>
    <row r="8788" customFormat="false" ht="15" hidden="false" customHeight="false" outlineLevel="0" collapsed="false">
      <c r="A8788" s="0" t="s">
        <v>9112</v>
      </c>
      <c r="B8788" s="0" t="s">
        <v>98</v>
      </c>
      <c r="C8788" s="0" t="str">
        <f aca="false">INDEX(Intent_Analysis!$B$5:$B$81,MATCH(B8788,Intent_Analysis!$A$5:$A$81,0))</f>
        <v>Fraud &amp; security</v>
      </c>
      <c r="D8788" s="0" t="n">
        <f aca="false">INDEX(Intent_Analysis!$E$5:$E$81,MATCH(B8788,Intent_Analysis!$A$5:$A$81,0))</f>
        <v>3</v>
      </c>
    </row>
    <row r="8789" customFormat="false" ht="15" hidden="false" customHeight="false" outlineLevel="0" collapsed="false">
      <c r="A8789" s="0" t="s">
        <v>9113</v>
      </c>
      <c r="B8789" s="0" t="s">
        <v>98</v>
      </c>
      <c r="C8789" s="0" t="str">
        <f aca="false">INDEX(Intent_Analysis!$B$5:$B$81,MATCH(B8789,Intent_Analysis!$A$5:$A$81,0))</f>
        <v>Fraud &amp; security</v>
      </c>
      <c r="D8789" s="0" t="n">
        <f aca="false">INDEX(Intent_Analysis!$E$5:$E$81,MATCH(B8789,Intent_Analysis!$A$5:$A$81,0))</f>
        <v>3</v>
      </c>
    </row>
    <row r="8790" customFormat="false" ht="15" hidden="false" customHeight="false" outlineLevel="0" collapsed="false">
      <c r="A8790" s="0" t="s">
        <v>9114</v>
      </c>
      <c r="B8790" s="0" t="s">
        <v>98</v>
      </c>
      <c r="C8790" s="0" t="str">
        <f aca="false">INDEX(Intent_Analysis!$B$5:$B$81,MATCH(B8790,Intent_Analysis!$A$5:$A$81,0))</f>
        <v>Fraud &amp; security</v>
      </c>
      <c r="D8790" s="0" t="n">
        <f aca="false">INDEX(Intent_Analysis!$E$5:$E$81,MATCH(B8790,Intent_Analysis!$A$5:$A$81,0))</f>
        <v>3</v>
      </c>
    </row>
    <row r="8791" customFormat="false" ht="15" hidden="false" customHeight="false" outlineLevel="0" collapsed="false">
      <c r="A8791" s="0" t="s">
        <v>9115</v>
      </c>
      <c r="B8791" s="0" t="s">
        <v>98</v>
      </c>
      <c r="C8791" s="0" t="str">
        <f aca="false">INDEX(Intent_Analysis!$B$5:$B$81,MATCH(B8791,Intent_Analysis!$A$5:$A$81,0))</f>
        <v>Fraud &amp; security</v>
      </c>
      <c r="D8791" s="0" t="n">
        <f aca="false">INDEX(Intent_Analysis!$E$5:$E$81,MATCH(B8791,Intent_Analysis!$A$5:$A$81,0))</f>
        <v>3</v>
      </c>
    </row>
    <row r="8792" customFormat="false" ht="15" hidden="false" customHeight="false" outlineLevel="0" collapsed="false">
      <c r="A8792" s="0" t="s">
        <v>9116</v>
      </c>
      <c r="B8792" s="0" t="s">
        <v>98</v>
      </c>
      <c r="C8792" s="0" t="str">
        <f aca="false">INDEX(Intent_Analysis!$B$5:$B$81,MATCH(B8792,Intent_Analysis!$A$5:$A$81,0))</f>
        <v>Fraud &amp; security</v>
      </c>
      <c r="D8792" s="0" t="n">
        <f aca="false">INDEX(Intent_Analysis!$E$5:$E$81,MATCH(B8792,Intent_Analysis!$A$5:$A$81,0))</f>
        <v>3</v>
      </c>
    </row>
    <row r="8793" customFormat="false" ht="15" hidden="false" customHeight="false" outlineLevel="0" collapsed="false">
      <c r="A8793" s="0" t="s">
        <v>9117</v>
      </c>
      <c r="B8793" s="0" t="s">
        <v>98</v>
      </c>
      <c r="C8793" s="0" t="str">
        <f aca="false">INDEX(Intent_Analysis!$B$5:$B$81,MATCH(B8793,Intent_Analysis!$A$5:$A$81,0))</f>
        <v>Fraud &amp; security</v>
      </c>
      <c r="D8793" s="0" t="n">
        <f aca="false">INDEX(Intent_Analysis!$E$5:$E$81,MATCH(B8793,Intent_Analysis!$A$5:$A$81,0))</f>
        <v>3</v>
      </c>
    </row>
    <row r="8794" customFormat="false" ht="15" hidden="false" customHeight="false" outlineLevel="0" collapsed="false">
      <c r="A8794" s="0" t="s">
        <v>9118</v>
      </c>
      <c r="B8794" s="0" t="s">
        <v>98</v>
      </c>
      <c r="C8794" s="0" t="str">
        <f aca="false">INDEX(Intent_Analysis!$B$5:$B$81,MATCH(B8794,Intent_Analysis!$A$5:$A$81,0))</f>
        <v>Fraud &amp; security</v>
      </c>
      <c r="D8794" s="0" t="n">
        <f aca="false">INDEX(Intent_Analysis!$E$5:$E$81,MATCH(B8794,Intent_Analysis!$A$5:$A$81,0))</f>
        <v>3</v>
      </c>
    </row>
    <row r="8795" customFormat="false" ht="15" hidden="false" customHeight="false" outlineLevel="0" collapsed="false">
      <c r="A8795" s="0" t="s">
        <v>9119</v>
      </c>
      <c r="B8795" s="0" t="s">
        <v>98</v>
      </c>
      <c r="C8795" s="0" t="str">
        <f aca="false">INDEX(Intent_Analysis!$B$5:$B$81,MATCH(B8795,Intent_Analysis!$A$5:$A$81,0))</f>
        <v>Fraud &amp; security</v>
      </c>
      <c r="D8795" s="0" t="n">
        <f aca="false">INDEX(Intent_Analysis!$E$5:$E$81,MATCH(B8795,Intent_Analysis!$A$5:$A$81,0))</f>
        <v>3</v>
      </c>
    </row>
    <row r="8796" customFormat="false" ht="15" hidden="false" customHeight="false" outlineLevel="0" collapsed="false">
      <c r="A8796" s="0" t="s">
        <v>9120</v>
      </c>
      <c r="B8796" s="0" t="s">
        <v>98</v>
      </c>
      <c r="C8796" s="0" t="str">
        <f aca="false">INDEX(Intent_Analysis!$B$5:$B$81,MATCH(B8796,Intent_Analysis!$A$5:$A$81,0))</f>
        <v>Fraud &amp; security</v>
      </c>
      <c r="D8796" s="0" t="n">
        <f aca="false">INDEX(Intent_Analysis!$E$5:$E$81,MATCH(B8796,Intent_Analysis!$A$5:$A$81,0))</f>
        <v>3</v>
      </c>
    </row>
    <row r="8797" customFormat="false" ht="15" hidden="false" customHeight="false" outlineLevel="0" collapsed="false">
      <c r="A8797" s="0" t="s">
        <v>9121</v>
      </c>
      <c r="B8797" s="0" t="s">
        <v>98</v>
      </c>
      <c r="C8797" s="0" t="str">
        <f aca="false">INDEX(Intent_Analysis!$B$5:$B$81,MATCH(B8797,Intent_Analysis!$A$5:$A$81,0))</f>
        <v>Fraud &amp; security</v>
      </c>
      <c r="D8797" s="0" t="n">
        <f aca="false">INDEX(Intent_Analysis!$E$5:$E$81,MATCH(B8797,Intent_Analysis!$A$5:$A$81,0))</f>
        <v>3</v>
      </c>
    </row>
    <row r="8798" customFormat="false" ht="15" hidden="false" customHeight="false" outlineLevel="0" collapsed="false">
      <c r="A8798" s="0" t="s">
        <v>9122</v>
      </c>
      <c r="B8798" s="0" t="s">
        <v>98</v>
      </c>
      <c r="C8798" s="0" t="str">
        <f aca="false">INDEX(Intent_Analysis!$B$5:$B$81,MATCH(B8798,Intent_Analysis!$A$5:$A$81,0))</f>
        <v>Fraud &amp; security</v>
      </c>
      <c r="D8798" s="0" t="n">
        <f aca="false">INDEX(Intent_Analysis!$E$5:$E$81,MATCH(B8798,Intent_Analysis!$A$5:$A$81,0))</f>
        <v>3</v>
      </c>
    </row>
    <row r="8799" customFormat="false" ht="15" hidden="false" customHeight="false" outlineLevel="0" collapsed="false">
      <c r="A8799" s="0" t="s">
        <v>9123</v>
      </c>
      <c r="B8799" s="0" t="s">
        <v>98</v>
      </c>
      <c r="C8799" s="0" t="str">
        <f aca="false">INDEX(Intent_Analysis!$B$5:$B$81,MATCH(B8799,Intent_Analysis!$A$5:$A$81,0))</f>
        <v>Fraud &amp; security</v>
      </c>
      <c r="D8799" s="0" t="n">
        <f aca="false">INDEX(Intent_Analysis!$E$5:$E$81,MATCH(B8799,Intent_Analysis!$A$5:$A$81,0))</f>
        <v>3</v>
      </c>
    </row>
    <row r="8800" customFormat="false" ht="15" hidden="false" customHeight="false" outlineLevel="0" collapsed="false">
      <c r="A8800" s="0" t="s">
        <v>9124</v>
      </c>
      <c r="B8800" s="0" t="s">
        <v>98</v>
      </c>
      <c r="C8800" s="0" t="str">
        <f aca="false">INDEX(Intent_Analysis!$B$5:$B$81,MATCH(B8800,Intent_Analysis!$A$5:$A$81,0))</f>
        <v>Fraud &amp; security</v>
      </c>
      <c r="D8800" s="0" t="n">
        <f aca="false">INDEX(Intent_Analysis!$E$5:$E$81,MATCH(B8800,Intent_Analysis!$A$5:$A$81,0))</f>
        <v>3</v>
      </c>
    </row>
    <row r="8801" customFormat="false" ht="15" hidden="false" customHeight="false" outlineLevel="0" collapsed="false">
      <c r="A8801" s="0" t="s">
        <v>9125</v>
      </c>
      <c r="B8801" s="0" t="s">
        <v>98</v>
      </c>
      <c r="C8801" s="0" t="str">
        <f aca="false">INDEX(Intent_Analysis!$B$5:$B$81,MATCH(B8801,Intent_Analysis!$A$5:$A$81,0))</f>
        <v>Fraud &amp; security</v>
      </c>
      <c r="D8801" s="0" t="n">
        <f aca="false">INDEX(Intent_Analysis!$E$5:$E$81,MATCH(B8801,Intent_Analysis!$A$5:$A$81,0))</f>
        <v>3</v>
      </c>
    </row>
    <row r="8802" customFormat="false" ht="15" hidden="false" customHeight="false" outlineLevel="0" collapsed="false">
      <c r="A8802" s="0" t="s">
        <v>9126</v>
      </c>
      <c r="B8802" s="0" t="s">
        <v>98</v>
      </c>
      <c r="C8802" s="0" t="str">
        <f aca="false">INDEX(Intent_Analysis!$B$5:$B$81,MATCH(B8802,Intent_Analysis!$A$5:$A$81,0))</f>
        <v>Fraud &amp; security</v>
      </c>
      <c r="D8802" s="0" t="n">
        <f aca="false">INDEX(Intent_Analysis!$E$5:$E$81,MATCH(B8802,Intent_Analysis!$A$5:$A$81,0))</f>
        <v>3</v>
      </c>
    </row>
    <row r="8803" customFormat="false" ht="15" hidden="false" customHeight="false" outlineLevel="0" collapsed="false">
      <c r="A8803" s="0" t="s">
        <v>9127</v>
      </c>
      <c r="B8803" s="0" t="s">
        <v>98</v>
      </c>
      <c r="C8803" s="0" t="str">
        <f aca="false">INDEX(Intent_Analysis!$B$5:$B$81,MATCH(B8803,Intent_Analysis!$A$5:$A$81,0))</f>
        <v>Fraud &amp; security</v>
      </c>
      <c r="D8803" s="0" t="n">
        <f aca="false">INDEX(Intent_Analysis!$E$5:$E$81,MATCH(B8803,Intent_Analysis!$A$5:$A$81,0))</f>
        <v>3</v>
      </c>
    </row>
    <row r="8804" customFormat="false" ht="15" hidden="false" customHeight="false" outlineLevel="0" collapsed="false">
      <c r="A8804" s="0" t="s">
        <v>9128</v>
      </c>
      <c r="B8804" s="0" t="s">
        <v>98</v>
      </c>
      <c r="C8804" s="0" t="str">
        <f aca="false">INDEX(Intent_Analysis!$B$5:$B$81,MATCH(B8804,Intent_Analysis!$A$5:$A$81,0))</f>
        <v>Fraud &amp; security</v>
      </c>
      <c r="D8804" s="0" t="n">
        <f aca="false">INDEX(Intent_Analysis!$E$5:$E$81,MATCH(B8804,Intent_Analysis!$A$5:$A$81,0))</f>
        <v>3</v>
      </c>
    </row>
    <row r="8805" customFormat="false" ht="15" hidden="false" customHeight="false" outlineLevel="0" collapsed="false">
      <c r="A8805" s="0" t="s">
        <v>9129</v>
      </c>
      <c r="B8805" s="0" t="s">
        <v>98</v>
      </c>
      <c r="C8805" s="0" t="str">
        <f aca="false">INDEX(Intent_Analysis!$B$5:$B$81,MATCH(B8805,Intent_Analysis!$A$5:$A$81,0))</f>
        <v>Fraud &amp; security</v>
      </c>
      <c r="D8805" s="0" t="n">
        <f aca="false">INDEX(Intent_Analysis!$E$5:$E$81,MATCH(B8805,Intent_Analysis!$A$5:$A$81,0))</f>
        <v>3</v>
      </c>
    </row>
    <row r="8806" customFormat="false" ht="15" hidden="false" customHeight="false" outlineLevel="0" collapsed="false">
      <c r="A8806" s="0" t="s">
        <v>9130</v>
      </c>
      <c r="B8806" s="0" t="s">
        <v>98</v>
      </c>
      <c r="C8806" s="0" t="str">
        <f aca="false">INDEX(Intent_Analysis!$B$5:$B$81,MATCH(B8806,Intent_Analysis!$A$5:$A$81,0))</f>
        <v>Fraud &amp; security</v>
      </c>
      <c r="D8806" s="0" t="n">
        <f aca="false">INDEX(Intent_Analysis!$E$5:$E$81,MATCH(B8806,Intent_Analysis!$A$5:$A$81,0))</f>
        <v>3</v>
      </c>
    </row>
    <row r="8807" customFormat="false" ht="15" hidden="false" customHeight="false" outlineLevel="0" collapsed="false">
      <c r="A8807" s="0" t="s">
        <v>9131</v>
      </c>
      <c r="B8807" s="0" t="s">
        <v>98</v>
      </c>
      <c r="C8807" s="0" t="str">
        <f aca="false">INDEX(Intent_Analysis!$B$5:$B$81,MATCH(B8807,Intent_Analysis!$A$5:$A$81,0))</f>
        <v>Fraud &amp; security</v>
      </c>
      <c r="D8807" s="0" t="n">
        <f aca="false">INDEX(Intent_Analysis!$E$5:$E$81,MATCH(B8807,Intent_Analysis!$A$5:$A$81,0))</f>
        <v>3</v>
      </c>
    </row>
    <row r="8808" customFormat="false" ht="15" hidden="false" customHeight="false" outlineLevel="0" collapsed="false">
      <c r="A8808" s="0" t="s">
        <v>9132</v>
      </c>
      <c r="B8808" s="0" t="s">
        <v>98</v>
      </c>
      <c r="C8808" s="0" t="str">
        <f aca="false">INDEX(Intent_Analysis!$B$5:$B$81,MATCH(B8808,Intent_Analysis!$A$5:$A$81,0))</f>
        <v>Fraud &amp; security</v>
      </c>
      <c r="D8808" s="0" t="n">
        <f aca="false">INDEX(Intent_Analysis!$E$5:$E$81,MATCH(B8808,Intent_Analysis!$A$5:$A$81,0))</f>
        <v>3</v>
      </c>
    </row>
    <row r="8809" customFormat="false" ht="15" hidden="false" customHeight="false" outlineLevel="0" collapsed="false">
      <c r="A8809" s="0" t="s">
        <v>9133</v>
      </c>
      <c r="B8809" s="0" t="s">
        <v>98</v>
      </c>
      <c r="C8809" s="0" t="str">
        <f aca="false">INDEX(Intent_Analysis!$B$5:$B$81,MATCH(B8809,Intent_Analysis!$A$5:$A$81,0))</f>
        <v>Fraud &amp; security</v>
      </c>
      <c r="D8809" s="0" t="n">
        <f aca="false">INDEX(Intent_Analysis!$E$5:$E$81,MATCH(B8809,Intent_Analysis!$A$5:$A$81,0))</f>
        <v>3</v>
      </c>
    </row>
    <row r="8810" customFormat="false" ht="15" hidden="false" customHeight="false" outlineLevel="0" collapsed="false">
      <c r="A8810" s="0" t="s">
        <v>9134</v>
      </c>
      <c r="B8810" s="0" t="s">
        <v>98</v>
      </c>
      <c r="C8810" s="0" t="str">
        <f aca="false">INDEX(Intent_Analysis!$B$5:$B$81,MATCH(B8810,Intent_Analysis!$A$5:$A$81,0))</f>
        <v>Fraud &amp; security</v>
      </c>
      <c r="D8810" s="0" t="n">
        <f aca="false">INDEX(Intent_Analysis!$E$5:$E$81,MATCH(B8810,Intent_Analysis!$A$5:$A$81,0))</f>
        <v>3</v>
      </c>
    </row>
    <row r="8811" customFormat="false" ht="15" hidden="false" customHeight="false" outlineLevel="0" collapsed="false">
      <c r="A8811" s="0" t="s">
        <v>9135</v>
      </c>
      <c r="B8811" s="0" t="s">
        <v>98</v>
      </c>
      <c r="C8811" s="0" t="str">
        <f aca="false">INDEX(Intent_Analysis!$B$5:$B$81,MATCH(B8811,Intent_Analysis!$A$5:$A$81,0))</f>
        <v>Fraud &amp; security</v>
      </c>
      <c r="D8811" s="0" t="n">
        <f aca="false">INDEX(Intent_Analysis!$E$5:$E$81,MATCH(B8811,Intent_Analysis!$A$5:$A$81,0))</f>
        <v>3</v>
      </c>
    </row>
    <row r="8812" customFormat="false" ht="15" hidden="false" customHeight="false" outlineLevel="0" collapsed="false">
      <c r="A8812" s="0" t="s">
        <v>9136</v>
      </c>
      <c r="B8812" s="0" t="s">
        <v>98</v>
      </c>
      <c r="C8812" s="0" t="str">
        <f aca="false">INDEX(Intent_Analysis!$B$5:$B$81,MATCH(B8812,Intent_Analysis!$A$5:$A$81,0))</f>
        <v>Fraud &amp; security</v>
      </c>
      <c r="D8812" s="0" t="n">
        <f aca="false">INDEX(Intent_Analysis!$E$5:$E$81,MATCH(B8812,Intent_Analysis!$A$5:$A$81,0))</f>
        <v>3</v>
      </c>
    </row>
    <row r="8813" customFormat="false" ht="15" hidden="false" customHeight="false" outlineLevel="0" collapsed="false">
      <c r="A8813" s="0" t="s">
        <v>9137</v>
      </c>
      <c r="B8813" s="0" t="s">
        <v>98</v>
      </c>
      <c r="C8813" s="0" t="str">
        <f aca="false">INDEX(Intent_Analysis!$B$5:$B$81,MATCH(B8813,Intent_Analysis!$A$5:$A$81,0))</f>
        <v>Fraud &amp; security</v>
      </c>
      <c r="D8813" s="0" t="n">
        <f aca="false">INDEX(Intent_Analysis!$E$5:$E$81,MATCH(B8813,Intent_Analysis!$A$5:$A$81,0))</f>
        <v>3</v>
      </c>
    </row>
    <row r="8814" customFormat="false" ht="15" hidden="false" customHeight="false" outlineLevel="0" collapsed="false">
      <c r="A8814" s="0" t="s">
        <v>9138</v>
      </c>
      <c r="B8814" s="0" t="s">
        <v>98</v>
      </c>
      <c r="C8814" s="0" t="str">
        <f aca="false">INDEX(Intent_Analysis!$B$5:$B$81,MATCH(B8814,Intent_Analysis!$A$5:$A$81,0))</f>
        <v>Fraud &amp; security</v>
      </c>
      <c r="D8814" s="0" t="n">
        <f aca="false">INDEX(Intent_Analysis!$E$5:$E$81,MATCH(B8814,Intent_Analysis!$A$5:$A$81,0))</f>
        <v>3</v>
      </c>
    </row>
    <row r="8815" customFormat="false" ht="15" hidden="false" customHeight="false" outlineLevel="0" collapsed="false">
      <c r="A8815" s="0" t="s">
        <v>9139</v>
      </c>
      <c r="B8815" s="0" t="s">
        <v>98</v>
      </c>
      <c r="C8815" s="0" t="str">
        <f aca="false">INDEX(Intent_Analysis!$B$5:$B$81,MATCH(B8815,Intent_Analysis!$A$5:$A$81,0))</f>
        <v>Fraud &amp; security</v>
      </c>
      <c r="D8815" s="0" t="n">
        <f aca="false">INDEX(Intent_Analysis!$E$5:$E$81,MATCH(B8815,Intent_Analysis!$A$5:$A$81,0))</f>
        <v>3</v>
      </c>
    </row>
    <row r="8816" customFormat="false" ht="15" hidden="false" customHeight="false" outlineLevel="0" collapsed="false">
      <c r="A8816" s="0" t="s">
        <v>9140</v>
      </c>
      <c r="B8816" s="0" t="s">
        <v>98</v>
      </c>
      <c r="C8816" s="0" t="str">
        <f aca="false">INDEX(Intent_Analysis!$B$5:$B$81,MATCH(B8816,Intent_Analysis!$A$5:$A$81,0))</f>
        <v>Fraud &amp; security</v>
      </c>
      <c r="D8816" s="0" t="n">
        <f aca="false">INDEX(Intent_Analysis!$E$5:$E$81,MATCH(B8816,Intent_Analysis!$A$5:$A$81,0))</f>
        <v>3</v>
      </c>
    </row>
    <row r="8817" customFormat="false" ht="15" hidden="false" customHeight="false" outlineLevel="0" collapsed="false">
      <c r="A8817" s="0" t="s">
        <v>9141</v>
      </c>
      <c r="B8817" s="0" t="s">
        <v>98</v>
      </c>
      <c r="C8817" s="0" t="str">
        <f aca="false">INDEX(Intent_Analysis!$B$5:$B$81,MATCH(B8817,Intent_Analysis!$A$5:$A$81,0))</f>
        <v>Fraud &amp; security</v>
      </c>
      <c r="D8817" s="0" t="n">
        <f aca="false">INDEX(Intent_Analysis!$E$5:$E$81,MATCH(B8817,Intent_Analysis!$A$5:$A$81,0))</f>
        <v>3</v>
      </c>
    </row>
    <row r="8818" customFormat="false" ht="15" hidden="false" customHeight="false" outlineLevel="0" collapsed="false">
      <c r="A8818" s="0" t="s">
        <v>9142</v>
      </c>
      <c r="B8818" s="0" t="s">
        <v>98</v>
      </c>
      <c r="C8818" s="0" t="str">
        <f aca="false">INDEX(Intent_Analysis!$B$5:$B$81,MATCH(B8818,Intent_Analysis!$A$5:$A$81,0))</f>
        <v>Fraud &amp; security</v>
      </c>
      <c r="D8818" s="0" t="n">
        <f aca="false">INDEX(Intent_Analysis!$E$5:$E$81,MATCH(B8818,Intent_Analysis!$A$5:$A$81,0))</f>
        <v>3</v>
      </c>
    </row>
    <row r="8819" customFormat="false" ht="15" hidden="false" customHeight="false" outlineLevel="0" collapsed="false">
      <c r="A8819" s="0" t="s">
        <v>9143</v>
      </c>
      <c r="B8819" s="0" t="s">
        <v>98</v>
      </c>
      <c r="C8819" s="0" t="str">
        <f aca="false">INDEX(Intent_Analysis!$B$5:$B$81,MATCH(B8819,Intent_Analysis!$A$5:$A$81,0))</f>
        <v>Fraud &amp; security</v>
      </c>
      <c r="D8819" s="0" t="n">
        <f aca="false">INDEX(Intent_Analysis!$E$5:$E$81,MATCH(B8819,Intent_Analysis!$A$5:$A$81,0))</f>
        <v>3</v>
      </c>
    </row>
    <row r="8820" customFormat="false" ht="15" hidden="false" customHeight="false" outlineLevel="0" collapsed="false">
      <c r="A8820" s="0" t="s">
        <v>9144</v>
      </c>
      <c r="B8820" s="0" t="s">
        <v>98</v>
      </c>
      <c r="C8820" s="0" t="str">
        <f aca="false">INDEX(Intent_Analysis!$B$5:$B$81,MATCH(B8820,Intent_Analysis!$A$5:$A$81,0))</f>
        <v>Fraud &amp; security</v>
      </c>
      <c r="D8820" s="0" t="n">
        <f aca="false">INDEX(Intent_Analysis!$E$5:$E$81,MATCH(B8820,Intent_Analysis!$A$5:$A$81,0))</f>
        <v>3</v>
      </c>
    </row>
    <row r="8821" customFormat="false" ht="15" hidden="false" customHeight="false" outlineLevel="0" collapsed="false">
      <c r="A8821" s="0" t="s">
        <v>9145</v>
      </c>
      <c r="B8821" s="0" t="s">
        <v>98</v>
      </c>
      <c r="C8821" s="0" t="str">
        <f aca="false">INDEX(Intent_Analysis!$B$5:$B$81,MATCH(B8821,Intent_Analysis!$A$5:$A$81,0))</f>
        <v>Fraud &amp; security</v>
      </c>
      <c r="D8821" s="0" t="n">
        <f aca="false">INDEX(Intent_Analysis!$E$5:$E$81,MATCH(B8821,Intent_Analysis!$A$5:$A$81,0))</f>
        <v>3</v>
      </c>
    </row>
    <row r="8822" customFormat="false" ht="15" hidden="false" customHeight="false" outlineLevel="0" collapsed="false">
      <c r="A8822" s="0" t="s">
        <v>9146</v>
      </c>
      <c r="B8822" s="0" t="s">
        <v>98</v>
      </c>
      <c r="C8822" s="0" t="str">
        <f aca="false">INDEX(Intent_Analysis!$B$5:$B$81,MATCH(B8822,Intent_Analysis!$A$5:$A$81,0))</f>
        <v>Fraud &amp; security</v>
      </c>
      <c r="D8822" s="0" t="n">
        <f aca="false">INDEX(Intent_Analysis!$E$5:$E$81,MATCH(B8822,Intent_Analysis!$A$5:$A$81,0))</f>
        <v>3</v>
      </c>
    </row>
    <row r="8823" customFormat="false" ht="15" hidden="false" customHeight="false" outlineLevel="0" collapsed="false">
      <c r="A8823" s="0" t="s">
        <v>9147</v>
      </c>
      <c r="B8823" s="0" t="s">
        <v>98</v>
      </c>
      <c r="C8823" s="0" t="str">
        <f aca="false">INDEX(Intent_Analysis!$B$5:$B$81,MATCH(B8823,Intent_Analysis!$A$5:$A$81,0))</f>
        <v>Fraud &amp; security</v>
      </c>
      <c r="D8823" s="0" t="n">
        <f aca="false">INDEX(Intent_Analysis!$E$5:$E$81,MATCH(B8823,Intent_Analysis!$A$5:$A$81,0))</f>
        <v>3</v>
      </c>
    </row>
    <row r="8824" customFormat="false" ht="15" hidden="false" customHeight="false" outlineLevel="0" collapsed="false">
      <c r="A8824" s="0" t="s">
        <v>9148</v>
      </c>
      <c r="B8824" s="0" t="s">
        <v>98</v>
      </c>
      <c r="C8824" s="0" t="str">
        <f aca="false">INDEX(Intent_Analysis!$B$5:$B$81,MATCH(B8824,Intent_Analysis!$A$5:$A$81,0))</f>
        <v>Fraud &amp; security</v>
      </c>
      <c r="D8824" s="0" t="n">
        <f aca="false">INDEX(Intent_Analysis!$E$5:$E$81,MATCH(B8824,Intent_Analysis!$A$5:$A$81,0))</f>
        <v>3</v>
      </c>
    </row>
    <row r="8825" customFormat="false" ht="15" hidden="false" customHeight="false" outlineLevel="0" collapsed="false">
      <c r="A8825" s="0" t="s">
        <v>9149</v>
      </c>
      <c r="B8825" s="0" t="s">
        <v>98</v>
      </c>
      <c r="C8825" s="0" t="str">
        <f aca="false">INDEX(Intent_Analysis!$B$5:$B$81,MATCH(B8825,Intent_Analysis!$A$5:$A$81,0))</f>
        <v>Fraud &amp; security</v>
      </c>
      <c r="D8825" s="0" t="n">
        <f aca="false">INDEX(Intent_Analysis!$E$5:$E$81,MATCH(B8825,Intent_Analysis!$A$5:$A$81,0))</f>
        <v>3</v>
      </c>
    </row>
    <row r="8826" customFormat="false" ht="15" hidden="false" customHeight="false" outlineLevel="0" collapsed="false">
      <c r="A8826" s="0" t="s">
        <v>9150</v>
      </c>
      <c r="B8826" s="0" t="s">
        <v>98</v>
      </c>
      <c r="C8826" s="0" t="str">
        <f aca="false">INDEX(Intent_Analysis!$B$5:$B$81,MATCH(B8826,Intent_Analysis!$A$5:$A$81,0))</f>
        <v>Fraud &amp; security</v>
      </c>
      <c r="D8826" s="0" t="n">
        <f aca="false">INDEX(Intent_Analysis!$E$5:$E$81,MATCH(B8826,Intent_Analysis!$A$5:$A$81,0))</f>
        <v>3</v>
      </c>
    </row>
    <row r="8827" customFormat="false" ht="15" hidden="false" customHeight="false" outlineLevel="0" collapsed="false">
      <c r="A8827" s="0" t="s">
        <v>9151</v>
      </c>
      <c r="B8827" s="0" t="s">
        <v>98</v>
      </c>
      <c r="C8827" s="0" t="str">
        <f aca="false">INDEX(Intent_Analysis!$B$5:$B$81,MATCH(B8827,Intent_Analysis!$A$5:$A$81,0))</f>
        <v>Fraud &amp; security</v>
      </c>
      <c r="D8827" s="0" t="n">
        <f aca="false">INDEX(Intent_Analysis!$E$5:$E$81,MATCH(B8827,Intent_Analysis!$A$5:$A$81,0))</f>
        <v>3</v>
      </c>
    </row>
    <row r="8828" customFormat="false" ht="15" hidden="false" customHeight="false" outlineLevel="0" collapsed="false">
      <c r="A8828" s="0" t="s">
        <v>9152</v>
      </c>
      <c r="B8828" s="0" t="s">
        <v>98</v>
      </c>
      <c r="C8828" s="0" t="str">
        <f aca="false">INDEX(Intent_Analysis!$B$5:$B$81,MATCH(B8828,Intent_Analysis!$A$5:$A$81,0))</f>
        <v>Fraud &amp; security</v>
      </c>
      <c r="D8828" s="0" t="n">
        <f aca="false">INDEX(Intent_Analysis!$E$5:$E$81,MATCH(B8828,Intent_Analysis!$A$5:$A$81,0))</f>
        <v>3</v>
      </c>
    </row>
    <row r="8829" customFormat="false" ht="15" hidden="false" customHeight="false" outlineLevel="0" collapsed="false">
      <c r="A8829" s="0" t="s">
        <v>9153</v>
      </c>
      <c r="B8829" s="0" t="s">
        <v>98</v>
      </c>
      <c r="C8829" s="0" t="str">
        <f aca="false">INDEX(Intent_Analysis!$B$5:$B$81,MATCH(B8829,Intent_Analysis!$A$5:$A$81,0))</f>
        <v>Fraud &amp; security</v>
      </c>
      <c r="D8829" s="0" t="n">
        <f aca="false">INDEX(Intent_Analysis!$E$5:$E$81,MATCH(B8829,Intent_Analysis!$A$5:$A$81,0))</f>
        <v>3</v>
      </c>
    </row>
    <row r="8830" customFormat="false" ht="15" hidden="false" customHeight="false" outlineLevel="0" collapsed="false">
      <c r="A8830" s="0" t="s">
        <v>9154</v>
      </c>
      <c r="B8830" s="0" t="s">
        <v>98</v>
      </c>
      <c r="C8830" s="0" t="str">
        <f aca="false">INDEX(Intent_Analysis!$B$5:$B$81,MATCH(B8830,Intent_Analysis!$A$5:$A$81,0))</f>
        <v>Fraud &amp; security</v>
      </c>
      <c r="D8830" s="0" t="n">
        <f aca="false">INDEX(Intent_Analysis!$E$5:$E$81,MATCH(B8830,Intent_Analysis!$A$5:$A$81,0))</f>
        <v>3</v>
      </c>
    </row>
    <row r="8831" customFormat="false" ht="15" hidden="false" customHeight="false" outlineLevel="0" collapsed="false">
      <c r="A8831" s="0" t="s">
        <v>9155</v>
      </c>
      <c r="B8831" s="0" t="s">
        <v>98</v>
      </c>
      <c r="C8831" s="0" t="str">
        <f aca="false">INDEX(Intent_Analysis!$B$5:$B$81,MATCH(B8831,Intent_Analysis!$A$5:$A$81,0))</f>
        <v>Fraud &amp; security</v>
      </c>
      <c r="D8831" s="0" t="n">
        <f aca="false">INDEX(Intent_Analysis!$E$5:$E$81,MATCH(B8831,Intent_Analysis!$A$5:$A$81,0))</f>
        <v>3</v>
      </c>
    </row>
    <row r="8832" customFormat="false" ht="15" hidden="false" customHeight="false" outlineLevel="0" collapsed="false">
      <c r="A8832" s="0" t="s">
        <v>9156</v>
      </c>
      <c r="B8832" s="0" t="s">
        <v>98</v>
      </c>
      <c r="C8832" s="0" t="str">
        <f aca="false">INDEX(Intent_Analysis!$B$5:$B$81,MATCH(B8832,Intent_Analysis!$A$5:$A$81,0))</f>
        <v>Fraud &amp; security</v>
      </c>
      <c r="D8832" s="0" t="n">
        <f aca="false">INDEX(Intent_Analysis!$E$5:$E$81,MATCH(B8832,Intent_Analysis!$A$5:$A$81,0))</f>
        <v>3</v>
      </c>
    </row>
    <row r="8833" customFormat="false" ht="15" hidden="false" customHeight="false" outlineLevel="0" collapsed="false">
      <c r="A8833" s="0" t="s">
        <v>9157</v>
      </c>
      <c r="B8833" s="0" t="s">
        <v>98</v>
      </c>
      <c r="C8833" s="0" t="str">
        <f aca="false">INDEX(Intent_Analysis!$B$5:$B$81,MATCH(B8833,Intent_Analysis!$A$5:$A$81,0))</f>
        <v>Fraud &amp; security</v>
      </c>
      <c r="D8833" s="0" t="n">
        <f aca="false">INDEX(Intent_Analysis!$E$5:$E$81,MATCH(B8833,Intent_Analysis!$A$5:$A$81,0))</f>
        <v>3</v>
      </c>
    </row>
    <row r="8834" customFormat="false" ht="15" hidden="false" customHeight="false" outlineLevel="0" collapsed="false">
      <c r="A8834" s="0" t="s">
        <v>9158</v>
      </c>
      <c r="B8834" s="0" t="s">
        <v>98</v>
      </c>
      <c r="C8834" s="0" t="str">
        <f aca="false">INDEX(Intent_Analysis!$B$5:$B$81,MATCH(B8834,Intent_Analysis!$A$5:$A$81,0))</f>
        <v>Fraud &amp; security</v>
      </c>
      <c r="D8834" s="0" t="n">
        <f aca="false">INDEX(Intent_Analysis!$E$5:$E$81,MATCH(B8834,Intent_Analysis!$A$5:$A$81,0))</f>
        <v>3</v>
      </c>
    </row>
    <row r="8835" customFormat="false" ht="15" hidden="false" customHeight="false" outlineLevel="0" collapsed="false">
      <c r="A8835" s="0" t="s">
        <v>9159</v>
      </c>
      <c r="B8835" s="0" t="s">
        <v>98</v>
      </c>
      <c r="C8835" s="0" t="str">
        <f aca="false">INDEX(Intent_Analysis!$B$5:$B$81,MATCH(B8835,Intent_Analysis!$A$5:$A$81,0))</f>
        <v>Fraud &amp; security</v>
      </c>
      <c r="D8835" s="0" t="n">
        <f aca="false">INDEX(Intent_Analysis!$E$5:$E$81,MATCH(B8835,Intent_Analysis!$A$5:$A$81,0))</f>
        <v>3</v>
      </c>
    </row>
    <row r="8836" customFormat="false" ht="15" hidden="false" customHeight="false" outlineLevel="0" collapsed="false">
      <c r="A8836" s="0" t="s">
        <v>9160</v>
      </c>
      <c r="B8836" s="0" t="s">
        <v>98</v>
      </c>
      <c r="C8836" s="0" t="str">
        <f aca="false">INDEX(Intent_Analysis!$B$5:$B$81,MATCH(B8836,Intent_Analysis!$A$5:$A$81,0))</f>
        <v>Fraud &amp; security</v>
      </c>
      <c r="D8836" s="0" t="n">
        <f aca="false">INDEX(Intent_Analysis!$E$5:$E$81,MATCH(B8836,Intent_Analysis!$A$5:$A$81,0))</f>
        <v>3</v>
      </c>
    </row>
    <row r="8837" customFormat="false" ht="15" hidden="false" customHeight="false" outlineLevel="0" collapsed="false">
      <c r="A8837" s="0" t="s">
        <v>9161</v>
      </c>
      <c r="B8837" s="0" t="s">
        <v>98</v>
      </c>
      <c r="C8837" s="0" t="str">
        <f aca="false">INDEX(Intent_Analysis!$B$5:$B$81,MATCH(B8837,Intent_Analysis!$A$5:$A$81,0))</f>
        <v>Fraud &amp; security</v>
      </c>
      <c r="D8837" s="0" t="n">
        <f aca="false">INDEX(Intent_Analysis!$E$5:$E$81,MATCH(B8837,Intent_Analysis!$A$5:$A$81,0))</f>
        <v>3</v>
      </c>
    </row>
    <row r="8838" customFormat="false" ht="15" hidden="false" customHeight="false" outlineLevel="0" collapsed="false">
      <c r="A8838" s="0" t="s">
        <v>9162</v>
      </c>
      <c r="B8838" s="0" t="s">
        <v>98</v>
      </c>
      <c r="C8838" s="0" t="str">
        <f aca="false">INDEX(Intent_Analysis!$B$5:$B$81,MATCH(B8838,Intent_Analysis!$A$5:$A$81,0))</f>
        <v>Fraud &amp; security</v>
      </c>
      <c r="D8838" s="0" t="n">
        <f aca="false">INDEX(Intent_Analysis!$E$5:$E$81,MATCH(B8838,Intent_Analysis!$A$5:$A$81,0))</f>
        <v>3</v>
      </c>
    </row>
    <row r="8839" customFormat="false" ht="15" hidden="false" customHeight="false" outlineLevel="0" collapsed="false">
      <c r="A8839" s="0" t="s">
        <v>9163</v>
      </c>
      <c r="B8839" s="0" t="s">
        <v>98</v>
      </c>
      <c r="C8839" s="0" t="str">
        <f aca="false">INDEX(Intent_Analysis!$B$5:$B$81,MATCH(B8839,Intent_Analysis!$A$5:$A$81,0))</f>
        <v>Fraud &amp; security</v>
      </c>
      <c r="D8839" s="0" t="n">
        <f aca="false">INDEX(Intent_Analysis!$E$5:$E$81,MATCH(B8839,Intent_Analysis!$A$5:$A$81,0))</f>
        <v>3</v>
      </c>
    </row>
    <row r="8840" customFormat="false" ht="15" hidden="false" customHeight="false" outlineLevel="0" collapsed="false">
      <c r="A8840" s="0" t="s">
        <v>9164</v>
      </c>
      <c r="B8840" s="0" t="s">
        <v>98</v>
      </c>
      <c r="C8840" s="0" t="str">
        <f aca="false">INDEX(Intent_Analysis!$B$5:$B$81,MATCH(B8840,Intent_Analysis!$A$5:$A$81,0))</f>
        <v>Fraud &amp; security</v>
      </c>
      <c r="D8840" s="0" t="n">
        <f aca="false">INDEX(Intent_Analysis!$E$5:$E$81,MATCH(B8840,Intent_Analysis!$A$5:$A$81,0))</f>
        <v>3</v>
      </c>
    </row>
    <row r="8841" customFormat="false" ht="15" hidden="false" customHeight="false" outlineLevel="0" collapsed="false">
      <c r="A8841" s="0" t="s">
        <v>9165</v>
      </c>
      <c r="B8841" s="0" t="s">
        <v>98</v>
      </c>
      <c r="C8841" s="0" t="str">
        <f aca="false">INDEX(Intent_Analysis!$B$5:$B$81,MATCH(B8841,Intent_Analysis!$A$5:$A$81,0))</f>
        <v>Fraud &amp; security</v>
      </c>
      <c r="D8841" s="0" t="n">
        <f aca="false">INDEX(Intent_Analysis!$E$5:$E$81,MATCH(B8841,Intent_Analysis!$A$5:$A$81,0))</f>
        <v>3</v>
      </c>
    </row>
    <row r="8842" customFormat="false" ht="15" hidden="false" customHeight="false" outlineLevel="0" collapsed="false">
      <c r="A8842" s="0" t="s">
        <v>9166</v>
      </c>
      <c r="B8842" s="0" t="s">
        <v>98</v>
      </c>
      <c r="C8842" s="0" t="str">
        <f aca="false">INDEX(Intent_Analysis!$B$5:$B$81,MATCH(B8842,Intent_Analysis!$A$5:$A$81,0))</f>
        <v>Fraud &amp; security</v>
      </c>
      <c r="D8842" s="0" t="n">
        <f aca="false">INDEX(Intent_Analysis!$E$5:$E$81,MATCH(B8842,Intent_Analysis!$A$5:$A$81,0))</f>
        <v>3</v>
      </c>
    </row>
    <row r="8843" customFormat="false" ht="15" hidden="false" customHeight="false" outlineLevel="0" collapsed="false">
      <c r="A8843" s="0" t="s">
        <v>9167</v>
      </c>
      <c r="B8843" s="0" t="s">
        <v>98</v>
      </c>
      <c r="C8843" s="0" t="str">
        <f aca="false">INDEX(Intent_Analysis!$B$5:$B$81,MATCH(B8843,Intent_Analysis!$A$5:$A$81,0))</f>
        <v>Fraud &amp; security</v>
      </c>
      <c r="D8843" s="0" t="n">
        <f aca="false">INDEX(Intent_Analysis!$E$5:$E$81,MATCH(B8843,Intent_Analysis!$A$5:$A$81,0))</f>
        <v>3</v>
      </c>
    </row>
    <row r="8844" customFormat="false" ht="15" hidden="false" customHeight="false" outlineLevel="0" collapsed="false">
      <c r="A8844" s="0" t="s">
        <v>9168</v>
      </c>
      <c r="B8844" s="0" t="s">
        <v>98</v>
      </c>
      <c r="C8844" s="0" t="str">
        <f aca="false">INDEX(Intent_Analysis!$B$5:$B$81,MATCH(B8844,Intent_Analysis!$A$5:$A$81,0))</f>
        <v>Fraud &amp; security</v>
      </c>
      <c r="D8844" s="0" t="n">
        <f aca="false">INDEX(Intent_Analysis!$E$5:$E$81,MATCH(B8844,Intent_Analysis!$A$5:$A$81,0))</f>
        <v>3</v>
      </c>
    </row>
    <row r="8845" customFormat="false" ht="15" hidden="false" customHeight="false" outlineLevel="0" collapsed="false">
      <c r="A8845" s="0" t="s">
        <v>9169</v>
      </c>
      <c r="B8845" s="0" t="s">
        <v>98</v>
      </c>
      <c r="C8845" s="0" t="str">
        <f aca="false">INDEX(Intent_Analysis!$B$5:$B$81,MATCH(B8845,Intent_Analysis!$A$5:$A$81,0))</f>
        <v>Fraud &amp; security</v>
      </c>
      <c r="D8845" s="0" t="n">
        <f aca="false">INDEX(Intent_Analysis!$E$5:$E$81,MATCH(B8845,Intent_Analysis!$A$5:$A$81,0))</f>
        <v>3</v>
      </c>
    </row>
    <row r="8846" customFormat="false" ht="15" hidden="false" customHeight="false" outlineLevel="0" collapsed="false">
      <c r="A8846" s="0" t="s">
        <v>9170</v>
      </c>
      <c r="B8846" s="0" t="s">
        <v>98</v>
      </c>
      <c r="C8846" s="0" t="str">
        <f aca="false">INDEX(Intent_Analysis!$B$5:$B$81,MATCH(B8846,Intent_Analysis!$A$5:$A$81,0))</f>
        <v>Fraud &amp; security</v>
      </c>
      <c r="D8846" s="0" t="n">
        <f aca="false">INDEX(Intent_Analysis!$E$5:$E$81,MATCH(B8846,Intent_Analysis!$A$5:$A$81,0))</f>
        <v>3</v>
      </c>
    </row>
    <row r="8847" customFormat="false" ht="15" hidden="false" customHeight="false" outlineLevel="0" collapsed="false">
      <c r="A8847" s="0" t="s">
        <v>9171</v>
      </c>
      <c r="B8847" s="0" t="s">
        <v>98</v>
      </c>
      <c r="C8847" s="0" t="str">
        <f aca="false">INDEX(Intent_Analysis!$B$5:$B$81,MATCH(B8847,Intent_Analysis!$A$5:$A$81,0))</f>
        <v>Fraud &amp; security</v>
      </c>
      <c r="D8847" s="0" t="n">
        <f aca="false">INDEX(Intent_Analysis!$E$5:$E$81,MATCH(B8847,Intent_Analysis!$A$5:$A$81,0))</f>
        <v>3</v>
      </c>
    </row>
    <row r="8848" customFormat="false" ht="15" hidden="false" customHeight="false" outlineLevel="0" collapsed="false">
      <c r="A8848" s="0" t="s">
        <v>9172</v>
      </c>
      <c r="B8848" s="0" t="s">
        <v>98</v>
      </c>
      <c r="C8848" s="0" t="str">
        <f aca="false">INDEX(Intent_Analysis!$B$5:$B$81,MATCH(B8848,Intent_Analysis!$A$5:$A$81,0))</f>
        <v>Fraud &amp; security</v>
      </c>
      <c r="D8848" s="0" t="n">
        <f aca="false">INDEX(Intent_Analysis!$E$5:$E$81,MATCH(B8848,Intent_Analysis!$A$5:$A$81,0))</f>
        <v>3</v>
      </c>
    </row>
    <row r="8849" customFormat="false" ht="15" hidden="false" customHeight="false" outlineLevel="0" collapsed="false">
      <c r="A8849" s="0" t="s">
        <v>9173</v>
      </c>
      <c r="B8849" s="0" t="s">
        <v>98</v>
      </c>
      <c r="C8849" s="0" t="str">
        <f aca="false">INDEX(Intent_Analysis!$B$5:$B$81,MATCH(B8849,Intent_Analysis!$A$5:$A$81,0))</f>
        <v>Fraud &amp; security</v>
      </c>
      <c r="D8849" s="0" t="n">
        <f aca="false">INDEX(Intent_Analysis!$E$5:$E$81,MATCH(B8849,Intent_Analysis!$A$5:$A$81,0))</f>
        <v>3</v>
      </c>
    </row>
    <row r="8850" customFormat="false" ht="15" hidden="false" customHeight="false" outlineLevel="0" collapsed="false">
      <c r="A8850" s="0" t="s">
        <v>9174</v>
      </c>
      <c r="B8850" s="0" t="s">
        <v>98</v>
      </c>
      <c r="C8850" s="0" t="str">
        <f aca="false">INDEX(Intent_Analysis!$B$5:$B$81,MATCH(B8850,Intent_Analysis!$A$5:$A$81,0))</f>
        <v>Fraud &amp; security</v>
      </c>
      <c r="D8850" s="0" t="n">
        <f aca="false">INDEX(Intent_Analysis!$E$5:$E$81,MATCH(B8850,Intent_Analysis!$A$5:$A$81,0))</f>
        <v>3</v>
      </c>
    </row>
    <row r="8851" customFormat="false" ht="15" hidden="false" customHeight="false" outlineLevel="0" collapsed="false">
      <c r="A8851" s="0" t="s">
        <v>9175</v>
      </c>
      <c r="B8851" s="0" t="s">
        <v>98</v>
      </c>
      <c r="C8851" s="0" t="str">
        <f aca="false">INDEX(Intent_Analysis!$B$5:$B$81,MATCH(B8851,Intent_Analysis!$A$5:$A$81,0))</f>
        <v>Fraud &amp; security</v>
      </c>
      <c r="D8851" s="0" t="n">
        <f aca="false">INDEX(Intent_Analysis!$E$5:$E$81,MATCH(B8851,Intent_Analysis!$A$5:$A$81,0))</f>
        <v>3</v>
      </c>
    </row>
    <row r="8852" customFormat="false" ht="15" hidden="false" customHeight="false" outlineLevel="0" collapsed="false">
      <c r="A8852" s="0" t="s">
        <v>9176</v>
      </c>
      <c r="B8852" s="0" t="s">
        <v>98</v>
      </c>
      <c r="C8852" s="0" t="str">
        <f aca="false">INDEX(Intent_Analysis!$B$5:$B$81,MATCH(B8852,Intent_Analysis!$A$5:$A$81,0))</f>
        <v>Fraud &amp; security</v>
      </c>
      <c r="D8852" s="0" t="n">
        <f aca="false">INDEX(Intent_Analysis!$E$5:$E$81,MATCH(B8852,Intent_Analysis!$A$5:$A$81,0))</f>
        <v>3</v>
      </c>
    </row>
    <row r="8853" customFormat="false" ht="15" hidden="false" customHeight="false" outlineLevel="0" collapsed="false">
      <c r="A8853" s="0" t="s">
        <v>9177</v>
      </c>
      <c r="B8853" s="0" t="s">
        <v>98</v>
      </c>
      <c r="C8853" s="0" t="str">
        <f aca="false">INDEX(Intent_Analysis!$B$5:$B$81,MATCH(B8853,Intent_Analysis!$A$5:$A$81,0))</f>
        <v>Fraud &amp; security</v>
      </c>
      <c r="D8853" s="0" t="n">
        <f aca="false">INDEX(Intent_Analysis!$E$5:$E$81,MATCH(B8853,Intent_Analysis!$A$5:$A$81,0))</f>
        <v>3</v>
      </c>
    </row>
    <row r="8854" customFormat="false" ht="15" hidden="false" customHeight="false" outlineLevel="0" collapsed="false">
      <c r="A8854" s="0" t="s">
        <v>9178</v>
      </c>
      <c r="B8854" s="0" t="s">
        <v>98</v>
      </c>
      <c r="C8854" s="0" t="str">
        <f aca="false">INDEX(Intent_Analysis!$B$5:$B$81,MATCH(B8854,Intent_Analysis!$A$5:$A$81,0))</f>
        <v>Fraud &amp; security</v>
      </c>
      <c r="D8854" s="0" t="n">
        <f aca="false">INDEX(Intent_Analysis!$E$5:$E$81,MATCH(B8854,Intent_Analysis!$A$5:$A$81,0))</f>
        <v>3</v>
      </c>
    </row>
    <row r="8855" customFormat="false" ht="15" hidden="false" customHeight="false" outlineLevel="0" collapsed="false">
      <c r="A8855" s="0" t="s">
        <v>9179</v>
      </c>
      <c r="B8855" s="0" t="s">
        <v>98</v>
      </c>
      <c r="C8855" s="0" t="str">
        <f aca="false">INDEX(Intent_Analysis!$B$5:$B$81,MATCH(B8855,Intent_Analysis!$A$5:$A$81,0))</f>
        <v>Fraud &amp; security</v>
      </c>
      <c r="D8855" s="0" t="n">
        <f aca="false">INDEX(Intent_Analysis!$E$5:$E$81,MATCH(B8855,Intent_Analysis!$A$5:$A$81,0))</f>
        <v>3</v>
      </c>
    </row>
    <row r="8856" customFormat="false" ht="15" hidden="false" customHeight="false" outlineLevel="0" collapsed="false">
      <c r="A8856" s="0" t="s">
        <v>9180</v>
      </c>
      <c r="B8856" s="0" t="s">
        <v>98</v>
      </c>
      <c r="C8856" s="0" t="str">
        <f aca="false">INDEX(Intent_Analysis!$B$5:$B$81,MATCH(B8856,Intent_Analysis!$A$5:$A$81,0))</f>
        <v>Fraud &amp; security</v>
      </c>
      <c r="D8856" s="0" t="n">
        <f aca="false">INDEX(Intent_Analysis!$E$5:$E$81,MATCH(B8856,Intent_Analysis!$A$5:$A$81,0))</f>
        <v>3</v>
      </c>
    </row>
    <row r="8857" customFormat="false" ht="15" hidden="false" customHeight="false" outlineLevel="0" collapsed="false">
      <c r="A8857" s="0" t="s">
        <v>9181</v>
      </c>
      <c r="B8857" s="0" t="s">
        <v>98</v>
      </c>
      <c r="C8857" s="0" t="str">
        <f aca="false">INDEX(Intent_Analysis!$B$5:$B$81,MATCH(B8857,Intent_Analysis!$A$5:$A$81,0))</f>
        <v>Fraud &amp; security</v>
      </c>
      <c r="D8857" s="0" t="n">
        <f aca="false">INDEX(Intent_Analysis!$E$5:$E$81,MATCH(B8857,Intent_Analysis!$A$5:$A$81,0))</f>
        <v>3</v>
      </c>
    </row>
    <row r="8858" customFormat="false" ht="15" hidden="false" customHeight="false" outlineLevel="0" collapsed="false">
      <c r="A8858" s="0" t="s">
        <v>9182</v>
      </c>
      <c r="B8858" s="0" t="s">
        <v>98</v>
      </c>
      <c r="C8858" s="0" t="str">
        <f aca="false">INDEX(Intent_Analysis!$B$5:$B$81,MATCH(B8858,Intent_Analysis!$A$5:$A$81,0))</f>
        <v>Fraud &amp; security</v>
      </c>
      <c r="D8858" s="0" t="n">
        <f aca="false">INDEX(Intent_Analysis!$E$5:$E$81,MATCH(B8858,Intent_Analysis!$A$5:$A$81,0))</f>
        <v>3</v>
      </c>
    </row>
    <row r="8859" customFormat="false" ht="15" hidden="false" customHeight="false" outlineLevel="0" collapsed="false">
      <c r="A8859" s="0" t="s">
        <v>9183</v>
      </c>
      <c r="B8859" s="0" t="s">
        <v>98</v>
      </c>
      <c r="C8859" s="0" t="str">
        <f aca="false">INDEX(Intent_Analysis!$B$5:$B$81,MATCH(B8859,Intent_Analysis!$A$5:$A$81,0))</f>
        <v>Fraud &amp; security</v>
      </c>
      <c r="D8859" s="0" t="n">
        <f aca="false">INDEX(Intent_Analysis!$E$5:$E$81,MATCH(B8859,Intent_Analysis!$A$5:$A$81,0))</f>
        <v>3</v>
      </c>
    </row>
    <row r="8860" customFormat="false" ht="15" hidden="false" customHeight="false" outlineLevel="0" collapsed="false">
      <c r="A8860" s="0" t="s">
        <v>9184</v>
      </c>
      <c r="B8860" s="0" t="s">
        <v>98</v>
      </c>
      <c r="C8860" s="0" t="str">
        <f aca="false">INDEX(Intent_Analysis!$B$5:$B$81,MATCH(B8860,Intent_Analysis!$A$5:$A$81,0))</f>
        <v>Fraud &amp; security</v>
      </c>
      <c r="D8860" s="0" t="n">
        <f aca="false">INDEX(Intent_Analysis!$E$5:$E$81,MATCH(B8860,Intent_Analysis!$A$5:$A$81,0))</f>
        <v>3</v>
      </c>
    </row>
    <row r="8861" customFormat="false" ht="15" hidden="false" customHeight="false" outlineLevel="0" collapsed="false">
      <c r="A8861" s="0" t="s">
        <v>9185</v>
      </c>
      <c r="B8861" s="0" t="s">
        <v>98</v>
      </c>
      <c r="C8861" s="0" t="str">
        <f aca="false">INDEX(Intent_Analysis!$B$5:$B$81,MATCH(B8861,Intent_Analysis!$A$5:$A$81,0))</f>
        <v>Fraud &amp; security</v>
      </c>
      <c r="D8861" s="0" t="n">
        <f aca="false">INDEX(Intent_Analysis!$E$5:$E$81,MATCH(B8861,Intent_Analysis!$A$5:$A$81,0))</f>
        <v>3</v>
      </c>
    </row>
    <row r="8862" customFormat="false" ht="15" hidden="false" customHeight="false" outlineLevel="0" collapsed="false">
      <c r="A8862" s="0" t="s">
        <v>9186</v>
      </c>
      <c r="B8862" s="0" t="s">
        <v>98</v>
      </c>
      <c r="C8862" s="0" t="str">
        <f aca="false">INDEX(Intent_Analysis!$B$5:$B$81,MATCH(B8862,Intent_Analysis!$A$5:$A$81,0))</f>
        <v>Fraud &amp; security</v>
      </c>
      <c r="D8862" s="0" t="n">
        <f aca="false">INDEX(Intent_Analysis!$E$5:$E$81,MATCH(B8862,Intent_Analysis!$A$5:$A$81,0))</f>
        <v>3</v>
      </c>
    </row>
    <row r="8863" customFormat="false" ht="15" hidden="false" customHeight="false" outlineLevel="0" collapsed="false">
      <c r="A8863" s="0" t="s">
        <v>9187</v>
      </c>
      <c r="B8863" s="0" t="s">
        <v>98</v>
      </c>
      <c r="C8863" s="0" t="str">
        <f aca="false">INDEX(Intent_Analysis!$B$5:$B$81,MATCH(B8863,Intent_Analysis!$A$5:$A$81,0))</f>
        <v>Fraud &amp; security</v>
      </c>
      <c r="D8863" s="0" t="n">
        <f aca="false">INDEX(Intent_Analysis!$E$5:$E$81,MATCH(B8863,Intent_Analysis!$A$5:$A$81,0))</f>
        <v>3</v>
      </c>
    </row>
    <row r="8864" customFormat="false" ht="15" hidden="false" customHeight="false" outlineLevel="0" collapsed="false">
      <c r="A8864" s="0" t="s">
        <v>9188</v>
      </c>
      <c r="B8864" s="0" t="s">
        <v>98</v>
      </c>
      <c r="C8864" s="0" t="str">
        <f aca="false">INDEX(Intent_Analysis!$B$5:$B$81,MATCH(B8864,Intent_Analysis!$A$5:$A$81,0))</f>
        <v>Fraud &amp; security</v>
      </c>
      <c r="D8864" s="0" t="n">
        <f aca="false">INDEX(Intent_Analysis!$E$5:$E$81,MATCH(B8864,Intent_Analysis!$A$5:$A$81,0))</f>
        <v>3</v>
      </c>
    </row>
    <row r="8865" customFormat="false" ht="15" hidden="false" customHeight="false" outlineLevel="0" collapsed="false">
      <c r="A8865" s="0" t="s">
        <v>9189</v>
      </c>
      <c r="B8865" s="0" t="s">
        <v>98</v>
      </c>
      <c r="C8865" s="0" t="str">
        <f aca="false">INDEX(Intent_Analysis!$B$5:$B$81,MATCH(B8865,Intent_Analysis!$A$5:$A$81,0))</f>
        <v>Fraud &amp; security</v>
      </c>
      <c r="D8865" s="0" t="n">
        <f aca="false">INDEX(Intent_Analysis!$E$5:$E$81,MATCH(B8865,Intent_Analysis!$A$5:$A$81,0))</f>
        <v>3</v>
      </c>
    </row>
    <row r="8866" customFormat="false" ht="15" hidden="false" customHeight="false" outlineLevel="0" collapsed="false">
      <c r="A8866" s="0" t="s">
        <v>9190</v>
      </c>
      <c r="B8866" s="0" t="s">
        <v>98</v>
      </c>
      <c r="C8866" s="0" t="str">
        <f aca="false">INDEX(Intent_Analysis!$B$5:$B$81,MATCH(B8866,Intent_Analysis!$A$5:$A$81,0))</f>
        <v>Fraud &amp; security</v>
      </c>
      <c r="D8866" s="0" t="n">
        <f aca="false">INDEX(Intent_Analysis!$E$5:$E$81,MATCH(B8866,Intent_Analysis!$A$5:$A$81,0))</f>
        <v>3</v>
      </c>
    </row>
    <row r="8867" customFormat="false" ht="15" hidden="false" customHeight="false" outlineLevel="0" collapsed="false">
      <c r="A8867" s="0" t="s">
        <v>9191</v>
      </c>
      <c r="B8867" s="0" t="s">
        <v>98</v>
      </c>
      <c r="C8867" s="0" t="str">
        <f aca="false">INDEX(Intent_Analysis!$B$5:$B$81,MATCH(B8867,Intent_Analysis!$A$5:$A$81,0))</f>
        <v>Fraud &amp; security</v>
      </c>
      <c r="D8867" s="0" t="n">
        <f aca="false">INDEX(Intent_Analysis!$E$5:$E$81,MATCH(B8867,Intent_Analysis!$A$5:$A$81,0))</f>
        <v>3</v>
      </c>
    </row>
    <row r="8868" customFormat="false" ht="15" hidden="false" customHeight="false" outlineLevel="0" collapsed="false">
      <c r="A8868" s="0" t="s">
        <v>9192</v>
      </c>
      <c r="B8868" s="0" t="s">
        <v>98</v>
      </c>
      <c r="C8868" s="0" t="str">
        <f aca="false">INDEX(Intent_Analysis!$B$5:$B$81,MATCH(B8868,Intent_Analysis!$A$5:$A$81,0))</f>
        <v>Fraud &amp; security</v>
      </c>
      <c r="D8868" s="0" t="n">
        <f aca="false">INDEX(Intent_Analysis!$E$5:$E$81,MATCH(B8868,Intent_Analysis!$A$5:$A$81,0))</f>
        <v>3</v>
      </c>
    </row>
    <row r="8869" customFormat="false" ht="15" hidden="false" customHeight="false" outlineLevel="0" collapsed="false">
      <c r="A8869" s="0" t="s">
        <v>9193</v>
      </c>
      <c r="B8869" s="0" t="s">
        <v>98</v>
      </c>
      <c r="C8869" s="0" t="str">
        <f aca="false">INDEX(Intent_Analysis!$B$5:$B$81,MATCH(B8869,Intent_Analysis!$A$5:$A$81,0))</f>
        <v>Fraud &amp; security</v>
      </c>
      <c r="D8869" s="0" t="n">
        <f aca="false">INDEX(Intent_Analysis!$E$5:$E$81,MATCH(B8869,Intent_Analysis!$A$5:$A$81,0))</f>
        <v>3</v>
      </c>
    </row>
    <row r="8870" customFormat="false" ht="15" hidden="false" customHeight="false" outlineLevel="0" collapsed="false">
      <c r="A8870" s="0" t="s">
        <v>9194</v>
      </c>
      <c r="B8870" s="0" t="s">
        <v>98</v>
      </c>
      <c r="C8870" s="0" t="str">
        <f aca="false">INDEX(Intent_Analysis!$B$5:$B$81,MATCH(B8870,Intent_Analysis!$A$5:$A$81,0))</f>
        <v>Fraud &amp; security</v>
      </c>
      <c r="D8870" s="0" t="n">
        <f aca="false">INDEX(Intent_Analysis!$E$5:$E$81,MATCH(B8870,Intent_Analysis!$A$5:$A$81,0))</f>
        <v>3</v>
      </c>
    </row>
    <row r="8871" customFormat="false" ht="15" hidden="false" customHeight="false" outlineLevel="0" collapsed="false">
      <c r="A8871" s="0" t="s">
        <v>9195</v>
      </c>
      <c r="B8871" s="0" t="s">
        <v>98</v>
      </c>
      <c r="C8871" s="0" t="str">
        <f aca="false">INDEX(Intent_Analysis!$B$5:$B$81,MATCH(B8871,Intent_Analysis!$A$5:$A$81,0))</f>
        <v>Fraud &amp; security</v>
      </c>
      <c r="D8871" s="0" t="n">
        <f aca="false">INDEX(Intent_Analysis!$E$5:$E$81,MATCH(B8871,Intent_Analysis!$A$5:$A$81,0))</f>
        <v>3</v>
      </c>
    </row>
    <row r="8872" customFormat="false" ht="15" hidden="false" customHeight="false" outlineLevel="0" collapsed="false">
      <c r="A8872" s="0" t="s">
        <v>9196</v>
      </c>
      <c r="B8872" s="0" t="s">
        <v>98</v>
      </c>
      <c r="C8872" s="0" t="str">
        <f aca="false">INDEX(Intent_Analysis!$B$5:$B$81,MATCH(B8872,Intent_Analysis!$A$5:$A$81,0))</f>
        <v>Fraud &amp; security</v>
      </c>
      <c r="D8872" s="0" t="n">
        <f aca="false">INDEX(Intent_Analysis!$E$5:$E$81,MATCH(B8872,Intent_Analysis!$A$5:$A$81,0))</f>
        <v>3</v>
      </c>
    </row>
    <row r="8873" customFormat="false" ht="15" hidden="false" customHeight="false" outlineLevel="0" collapsed="false">
      <c r="A8873" s="0" t="s">
        <v>9197</v>
      </c>
      <c r="B8873" s="0" t="s">
        <v>98</v>
      </c>
      <c r="C8873" s="0" t="str">
        <f aca="false">INDEX(Intent_Analysis!$B$5:$B$81,MATCH(B8873,Intent_Analysis!$A$5:$A$81,0))</f>
        <v>Fraud &amp; security</v>
      </c>
      <c r="D8873" s="0" t="n">
        <f aca="false">INDEX(Intent_Analysis!$E$5:$E$81,MATCH(B8873,Intent_Analysis!$A$5:$A$81,0))</f>
        <v>3</v>
      </c>
    </row>
    <row r="8874" customFormat="false" ht="15" hidden="false" customHeight="false" outlineLevel="0" collapsed="false">
      <c r="A8874" s="0" t="s">
        <v>9198</v>
      </c>
      <c r="B8874" s="0" t="s">
        <v>98</v>
      </c>
      <c r="C8874" s="0" t="str">
        <f aca="false">INDEX(Intent_Analysis!$B$5:$B$81,MATCH(B8874,Intent_Analysis!$A$5:$A$81,0))</f>
        <v>Fraud &amp; security</v>
      </c>
      <c r="D8874" s="0" t="n">
        <f aca="false">INDEX(Intent_Analysis!$E$5:$E$81,MATCH(B8874,Intent_Analysis!$A$5:$A$81,0))</f>
        <v>3</v>
      </c>
    </row>
    <row r="8875" customFormat="false" ht="15" hidden="false" customHeight="false" outlineLevel="0" collapsed="false">
      <c r="A8875" s="0" t="s">
        <v>9199</v>
      </c>
      <c r="B8875" s="0" t="s">
        <v>98</v>
      </c>
      <c r="C8875" s="0" t="str">
        <f aca="false">INDEX(Intent_Analysis!$B$5:$B$81,MATCH(B8875,Intent_Analysis!$A$5:$A$81,0))</f>
        <v>Fraud &amp; security</v>
      </c>
      <c r="D8875" s="0" t="n">
        <f aca="false">INDEX(Intent_Analysis!$E$5:$E$81,MATCH(B8875,Intent_Analysis!$A$5:$A$81,0))</f>
        <v>3</v>
      </c>
    </row>
    <row r="8876" customFormat="false" ht="15" hidden="false" customHeight="false" outlineLevel="0" collapsed="false">
      <c r="A8876" s="0" t="s">
        <v>9200</v>
      </c>
      <c r="B8876" s="0" t="s">
        <v>98</v>
      </c>
      <c r="C8876" s="0" t="str">
        <f aca="false">INDEX(Intent_Analysis!$B$5:$B$81,MATCH(B8876,Intent_Analysis!$A$5:$A$81,0))</f>
        <v>Fraud &amp; security</v>
      </c>
      <c r="D8876" s="0" t="n">
        <f aca="false">INDEX(Intent_Analysis!$E$5:$E$81,MATCH(B8876,Intent_Analysis!$A$5:$A$81,0))</f>
        <v>3</v>
      </c>
    </row>
    <row r="8877" customFormat="false" ht="15" hidden="false" customHeight="false" outlineLevel="0" collapsed="false">
      <c r="A8877" s="0" t="s">
        <v>9201</v>
      </c>
      <c r="B8877" s="0" t="s">
        <v>98</v>
      </c>
      <c r="C8877" s="0" t="str">
        <f aca="false">INDEX(Intent_Analysis!$B$5:$B$81,MATCH(B8877,Intent_Analysis!$A$5:$A$81,0))</f>
        <v>Fraud &amp; security</v>
      </c>
      <c r="D8877" s="0" t="n">
        <f aca="false">INDEX(Intent_Analysis!$E$5:$E$81,MATCH(B8877,Intent_Analysis!$A$5:$A$81,0))</f>
        <v>3</v>
      </c>
    </row>
    <row r="8878" customFormat="false" ht="15" hidden="false" customHeight="false" outlineLevel="0" collapsed="false">
      <c r="A8878" s="0" t="s">
        <v>9202</v>
      </c>
      <c r="B8878" s="0" t="s">
        <v>98</v>
      </c>
      <c r="C8878" s="0" t="str">
        <f aca="false">INDEX(Intent_Analysis!$B$5:$B$81,MATCH(B8878,Intent_Analysis!$A$5:$A$81,0))</f>
        <v>Fraud &amp; security</v>
      </c>
      <c r="D8878" s="0" t="n">
        <f aca="false">INDEX(Intent_Analysis!$E$5:$E$81,MATCH(B8878,Intent_Analysis!$A$5:$A$81,0))</f>
        <v>3</v>
      </c>
    </row>
    <row r="8879" customFormat="false" ht="15" hidden="false" customHeight="false" outlineLevel="0" collapsed="false">
      <c r="A8879" s="0" t="s">
        <v>9203</v>
      </c>
      <c r="B8879" s="0" t="s">
        <v>98</v>
      </c>
      <c r="C8879" s="0" t="str">
        <f aca="false">INDEX(Intent_Analysis!$B$5:$B$81,MATCH(B8879,Intent_Analysis!$A$5:$A$81,0))</f>
        <v>Fraud &amp; security</v>
      </c>
      <c r="D8879" s="0" t="n">
        <f aca="false">INDEX(Intent_Analysis!$E$5:$E$81,MATCH(B8879,Intent_Analysis!$A$5:$A$81,0))</f>
        <v>3</v>
      </c>
    </row>
    <row r="8880" customFormat="false" ht="15" hidden="false" customHeight="false" outlineLevel="0" collapsed="false">
      <c r="A8880" s="0" t="s">
        <v>9204</v>
      </c>
      <c r="B8880" s="0" t="s">
        <v>98</v>
      </c>
      <c r="C8880" s="0" t="str">
        <f aca="false">INDEX(Intent_Analysis!$B$5:$B$81,MATCH(B8880,Intent_Analysis!$A$5:$A$81,0))</f>
        <v>Fraud &amp; security</v>
      </c>
      <c r="D8880" s="0" t="n">
        <f aca="false">INDEX(Intent_Analysis!$E$5:$E$81,MATCH(B8880,Intent_Analysis!$A$5:$A$81,0))</f>
        <v>3</v>
      </c>
    </row>
    <row r="8881" customFormat="false" ht="15" hidden="false" customHeight="false" outlineLevel="0" collapsed="false">
      <c r="A8881" s="0" t="s">
        <v>9205</v>
      </c>
      <c r="B8881" s="0" t="s">
        <v>98</v>
      </c>
      <c r="C8881" s="0" t="str">
        <f aca="false">INDEX(Intent_Analysis!$B$5:$B$81,MATCH(B8881,Intent_Analysis!$A$5:$A$81,0))</f>
        <v>Fraud &amp; security</v>
      </c>
      <c r="D8881" s="0" t="n">
        <f aca="false">INDEX(Intent_Analysis!$E$5:$E$81,MATCH(B8881,Intent_Analysis!$A$5:$A$81,0))</f>
        <v>3</v>
      </c>
    </row>
    <row r="8882" customFormat="false" ht="15" hidden="false" customHeight="false" outlineLevel="0" collapsed="false">
      <c r="A8882" s="0" t="s">
        <v>9206</v>
      </c>
      <c r="B8882" s="0" t="s">
        <v>98</v>
      </c>
      <c r="C8882" s="0" t="str">
        <f aca="false">INDEX(Intent_Analysis!$B$5:$B$81,MATCH(B8882,Intent_Analysis!$A$5:$A$81,0))</f>
        <v>Fraud &amp; security</v>
      </c>
      <c r="D8882" s="0" t="n">
        <f aca="false">INDEX(Intent_Analysis!$E$5:$E$81,MATCH(B8882,Intent_Analysis!$A$5:$A$81,0))</f>
        <v>3</v>
      </c>
    </row>
    <row r="8883" customFormat="false" ht="15" hidden="false" customHeight="false" outlineLevel="0" collapsed="false">
      <c r="A8883" s="0" t="s">
        <v>9207</v>
      </c>
      <c r="B8883" s="0" t="s">
        <v>98</v>
      </c>
      <c r="C8883" s="0" t="str">
        <f aca="false">INDEX(Intent_Analysis!$B$5:$B$81,MATCH(B8883,Intent_Analysis!$A$5:$A$81,0))</f>
        <v>Fraud &amp; security</v>
      </c>
      <c r="D8883" s="0" t="n">
        <f aca="false">INDEX(Intent_Analysis!$E$5:$E$81,MATCH(B8883,Intent_Analysis!$A$5:$A$81,0))</f>
        <v>3</v>
      </c>
    </row>
    <row r="8884" customFormat="false" ht="15" hidden="false" customHeight="false" outlineLevel="0" collapsed="false">
      <c r="A8884" s="0" t="s">
        <v>9208</v>
      </c>
      <c r="B8884" s="0" t="s">
        <v>98</v>
      </c>
      <c r="C8884" s="0" t="str">
        <f aca="false">INDEX(Intent_Analysis!$B$5:$B$81,MATCH(B8884,Intent_Analysis!$A$5:$A$81,0))</f>
        <v>Fraud &amp; security</v>
      </c>
      <c r="D8884" s="0" t="n">
        <f aca="false">INDEX(Intent_Analysis!$E$5:$E$81,MATCH(B8884,Intent_Analysis!$A$5:$A$81,0))</f>
        <v>3</v>
      </c>
    </row>
    <row r="8885" customFormat="false" ht="15" hidden="false" customHeight="false" outlineLevel="0" collapsed="false">
      <c r="A8885" s="0" t="s">
        <v>9209</v>
      </c>
      <c r="B8885" s="0" t="s">
        <v>98</v>
      </c>
      <c r="C8885" s="0" t="str">
        <f aca="false">INDEX(Intent_Analysis!$B$5:$B$81,MATCH(B8885,Intent_Analysis!$A$5:$A$81,0))</f>
        <v>Fraud &amp; security</v>
      </c>
      <c r="D8885" s="0" t="n">
        <f aca="false">INDEX(Intent_Analysis!$E$5:$E$81,MATCH(B8885,Intent_Analysis!$A$5:$A$81,0))</f>
        <v>3</v>
      </c>
    </row>
    <row r="8886" customFormat="false" ht="15" hidden="false" customHeight="false" outlineLevel="0" collapsed="false">
      <c r="A8886" s="0" t="s">
        <v>9210</v>
      </c>
      <c r="B8886" s="0" t="s">
        <v>98</v>
      </c>
      <c r="C8886" s="0" t="str">
        <f aca="false">INDEX(Intent_Analysis!$B$5:$B$81,MATCH(B8886,Intent_Analysis!$A$5:$A$81,0))</f>
        <v>Fraud &amp; security</v>
      </c>
      <c r="D8886" s="0" t="n">
        <f aca="false">INDEX(Intent_Analysis!$E$5:$E$81,MATCH(B8886,Intent_Analysis!$A$5:$A$81,0))</f>
        <v>3</v>
      </c>
    </row>
    <row r="8887" customFormat="false" ht="15" hidden="false" customHeight="false" outlineLevel="0" collapsed="false">
      <c r="A8887" s="0" t="s">
        <v>9211</v>
      </c>
      <c r="B8887" s="0" t="s">
        <v>98</v>
      </c>
      <c r="C8887" s="0" t="str">
        <f aca="false">INDEX(Intent_Analysis!$B$5:$B$81,MATCH(B8887,Intent_Analysis!$A$5:$A$81,0))</f>
        <v>Fraud &amp; security</v>
      </c>
      <c r="D8887" s="0" t="n">
        <f aca="false">INDEX(Intent_Analysis!$E$5:$E$81,MATCH(B8887,Intent_Analysis!$A$5:$A$81,0))</f>
        <v>3</v>
      </c>
    </row>
    <row r="8888" customFormat="false" ht="15" hidden="false" customHeight="false" outlineLevel="0" collapsed="false">
      <c r="A8888" s="0" t="s">
        <v>9212</v>
      </c>
      <c r="B8888" s="0" t="s">
        <v>98</v>
      </c>
      <c r="C8888" s="0" t="str">
        <f aca="false">INDEX(Intent_Analysis!$B$5:$B$81,MATCH(B8888,Intent_Analysis!$A$5:$A$81,0))</f>
        <v>Fraud &amp; security</v>
      </c>
      <c r="D8888" s="0" t="n">
        <f aca="false">INDEX(Intent_Analysis!$E$5:$E$81,MATCH(B8888,Intent_Analysis!$A$5:$A$81,0))</f>
        <v>3</v>
      </c>
    </row>
    <row r="8889" customFormat="false" ht="15" hidden="false" customHeight="false" outlineLevel="0" collapsed="false">
      <c r="A8889" s="0" t="s">
        <v>9213</v>
      </c>
      <c r="B8889" s="0" t="s">
        <v>98</v>
      </c>
      <c r="C8889" s="0" t="str">
        <f aca="false">INDEX(Intent_Analysis!$B$5:$B$81,MATCH(B8889,Intent_Analysis!$A$5:$A$81,0))</f>
        <v>Fraud &amp; security</v>
      </c>
      <c r="D8889" s="0" t="n">
        <f aca="false">INDEX(Intent_Analysis!$E$5:$E$81,MATCH(B8889,Intent_Analysis!$A$5:$A$81,0))</f>
        <v>3</v>
      </c>
    </row>
    <row r="8890" customFormat="false" ht="15" hidden="false" customHeight="false" outlineLevel="0" collapsed="false">
      <c r="A8890" s="0" t="s">
        <v>9214</v>
      </c>
      <c r="B8890" s="0" t="s">
        <v>98</v>
      </c>
      <c r="C8890" s="0" t="str">
        <f aca="false">INDEX(Intent_Analysis!$B$5:$B$81,MATCH(B8890,Intent_Analysis!$A$5:$A$81,0))</f>
        <v>Fraud &amp; security</v>
      </c>
      <c r="D8890" s="0" t="n">
        <f aca="false">INDEX(Intent_Analysis!$E$5:$E$81,MATCH(B8890,Intent_Analysis!$A$5:$A$81,0))</f>
        <v>3</v>
      </c>
    </row>
    <row r="8891" customFormat="false" ht="15" hidden="false" customHeight="false" outlineLevel="0" collapsed="false">
      <c r="A8891" s="0" t="s">
        <v>9215</v>
      </c>
      <c r="B8891" s="0" t="s">
        <v>98</v>
      </c>
      <c r="C8891" s="0" t="str">
        <f aca="false">INDEX(Intent_Analysis!$B$5:$B$81,MATCH(B8891,Intent_Analysis!$A$5:$A$81,0))</f>
        <v>Fraud &amp; security</v>
      </c>
      <c r="D8891" s="0" t="n">
        <f aca="false">INDEX(Intent_Analysis!$E$5:$E$81,MATCH(B8891,Intent_Analysis!$A$5:$A$81,0))</f>
        <v>3</v>
      </c>
    </row>
    <row r="8892" customFormat="false" ht="15" hidden="false" customHeight="false" outlineLevel="0" collapsed="false">
      <c r="A8892" s="0" t="s">
        <v>9216</v>
      </c>
      <c r="B8892" s="0" t="s">
        <v>98</v>
      </c>
      <c r="C8892" s="0" t="str">
        <f aca="false">INDEX(Intent_Analysis!$B$5:$B$81,MATCH(B8892,Intent_Analysis!$A$5:$A$81,0))</f>
        <v>Fraud &amp; security</v>
      </c>
      <c r="D8892" s="0" t="n">
        <f aca="false">INDEX(Intent_Analysis!$E$5:$E$81,MATCH(B8892,Intent_Analysis!$A$5:$A$81,0))</f>
        <v>3</v>
      </c>
    </row>
    <row r="8893" customFormat="false" ht="15" hidden="false" customHeight="false" outlineLevel="0" collapsed="false">
      <c r="A8893" s="0" t="s">
        <v>9217</v>
      </c>
      <c r="B8893" s="0" t="s">
        <v>98</v>
      </c>
      <c r="C8893" s="0" t="str">
        <f aca="false">INDEX(Intent_Analysis!$B$5:$B$81,MATCH(B8893,Intent_Analysis!$A$5:$A$81,0))</f>
        <v>Fraud &amp; security</v>
      </c>
      <c r="D8893" s="0" t="n">
        <f aca="false">INDEX(Intent_Analysis!$E$5:$E$81,MATCH(B8893,Intent_Analysis!$A$5:$A$81,0))</f>
        <v>3</v>
      </c>
    </row>
    <row r="8894" customFormat="false" ht="15" hidden="false" customHeight="false" outlineLevel="0" collapsed="false">
      <c r="A8894" s="0" t="s">
        <v>9218</v>
      </c>
      <c r="B8894" s="0" t="s">
        <v>98</v>
      </c>
      <c r="C8894" s="0" t="str">
        <f aca="false">INDEX(Intent_Analysis!$B$5:$B$81,MATCH(B8894,Intent_Analysis!$A$5:$A$81,0))</f>
        <v>Fraud &amp; security</v>
      </c>
      <c r="D8894" s="0" t="n">
        <f aca="false">INDEX(Intent_Analysis!$E$5:$E$81,MATCH(B8894,Intent_Analysis!$A$5:$A$81,0))</f>
        <v>3</v>
      </c>
    </row>
    <row r="8895" customFormat="false" ht="15" hidden="false" customHeight="false" outlineLevel="0" collapsed="false">
      <c r="A8895" s="0" t="s">
        <v>9219</v>
      </c>
      <c r="B8895" s="0" t="s">
        <v>98</v>
      </c>
      <c r="C8895" s="0" t="str">
        <f aca="false">INDEX(Intent_Analysis!$B$5:$B$81,MATCH(B8895,Intent_Analysis!$A$5:$A$81,0))</f>
        <v>Fraud &amp; security</v>
      </c>
      <c r="D8895" s="0" t="n">
        <f aca="false">INDEX(Intent_Analysis!$E$5:$E$81,MATCH(B8895,Intent_Analysis!$A$5:$A$81,0))</f>
        <v>3</v>
      </c>
    </row>
    <row r="8896" customFormat="false" ht="15" hidden="false" customHeight="false" outlineLevel="0" collapsed="false">
      <c r="A8896" s="0" t="s">
        <v>9220</v>
      </c>
      <c r="B8896" s="0" t="s">
        <v>98</v>
      </c>
      <c r="C8896" s="0" t="str">
        <f aca="false">INDEX(Intent_Analysis!$B$5:$B$81,MATCH(B8896,Intent_Analysis!$A$5:$A$81,0))</f>
        <v>Fraud &amp; security</v>
      </c>
      <c r="D8896" s="0" t="n">
        <f aca="false">INDEX(Intent_Analysis!$E$5:$E$81,MATCH(B8896,Intent_Analysis!$A$5:$A$81,0))</f>
        <v>3</v>
      </c>
    </row>
    <row r="8897" customFormat="false" ht="15" hidden="false" customHeight="false" outlineLevel="0" collapsed="false">
      <c r="A8897" s="0" t="s">
        <v>9221</v>
      </c>
      <c r="B8897" s="0" t="s">
        <v>98</v>
      </c>
      <c r="C8897" s="0" t="str">
        <f aca="false">INDEX(Intent_Analysis!$B$5:$B$81,MATCH(B8897,Intent_Analysis!$A$5:$A$81,0))</f>
        <v>Fraud &amp; security</v>
      </c>
      <c r="D8897" s="0" t="n">
        <f aca="false">INDEX(Intent_Analysis!$E$5:$E$81,MATCH(B8897,Intent_Analysis!$A$5:$A$81,0))</f>
        <v>3</v>
      </c>
    </row>
    <row r="8898" customFormat="false" ht="15" hidden="false" customHeight="false" outlineLevel="0" collapsed="false">
      <c r="A8898" s="0" t="s">
        <v>9222</v>
      </c>
      <c r="B8898" s="0" t="s">
        <v>98</v>
      </c>
      <c r="C8898" s="0" t="str">
        <f aca="false">INDEX(Intent_Analysis!$B$5:$B$81,MATCH(B8898,Intent_Analysis!$A$5:$A$81,0))</f>
        <v>Fraud &amp; security</v>
      </c>
      <c r="D8898" s="0" t="n">
        <f aca="false">INDEX(Intent_Analysis!$E$5:$E$81,MATCH(B8898,Intent_Analysis!$A$5:$A$81,0))</f>
        <v>3</v>
      </c>
    </row>
    <row r="8899" customFormat="false" ht="15" hidden="false" customHeight="false" outlineLevel="0" collapsed="false">
      <c r="A8899" s="0" t="s">
        <v>9223</v>
      </c>
      <c r="B8899" s="0" t="s">
        <v>98</v>
      </c>
      <c r="C8899" s="0" t="str">
        <f aca="false">INDEX(Intent_Analysis!$B$5:$B$81,MATCH(B8899,Intent_Analysis!$A$5:$A$81,0))</f>
        <v>Fraud &amp; security</v>
      </c>
      <c r="D8899" s="0" t="n">
        <f aca="false">INDEX(Intent_Analysis!$E$5:$E$81,MATCH(B8899,Intent_Analysis!$A$5:$A$81,0))</f>
        <v>3</v>
      </c>
    </row>
    <row r="8900" customFormat="false" ht="15" hidden="false" customHeight="false" outlineLevel="0" collapsed="false">
      <c r="A8900" s="0" t="s">
        <v>9224</v>
      </c>
      <c r="B8900" s="0" t="s">
        <v>98</v>
      </c>
      <c r="C8900" s="0" t="str">
        <f aca="false">INDEX(Intent_Analysis!$B$5:$B$81,MATCH(B8900,Intent_Analysis!$A$5:$A$81,0))</f>
        <v>Fraud &amp; security</v>
      </c>
      <c r="D8900" s="0" t="n">
        <f aca="false">INDEX(Intent_Analysis!$E$5:$E$81,MATCH(B8900,Intent_Analysis!$A$5:$A$81,0))</f>
        <v>3</v>
      </c>
    </row>
    <row r="8901" customFormat="false" ht="15" hidden="false" customHeight="false" outlineLevel="0" collapsed="false">
      <c r="A8901" s="0" t="s">
        <v>9225</v>
      </c>
      <c r="B8901" s="0" t="s">
        <v>98</v>
      </c>
      <c r="C8901" s="0" t="str">
        <f aca="false">INDEX(Intent_Analysis!$B$5:$B$81,MATCH(B8901,Intent_Analysis!$A$5:$A$81,0))</f>
        <v>Fraud &amp; security</v>
      </c>
      <c r="D8901" s="0" t="n">
        <f aca="false">INDEX(Intent_Analysis!$E$5:$E$81,MATCH(B8901,Intent_Analysis!$A$5:$A$81,0))</f>
        <v>3</v>
      </c>
    </row>
    <row r="8902" customFormat="false" ht="15" hidden="false" customHeight="false" outlineLevel="0" collapsed="false">
      <c r="A8902" s="0" t="s">
        <v>9226</v>
      </c>
      <c r="B8902" s="0" t="s">
        <v>98</v>
      </c>
      <c r="C8902" s="0" t="str">
        <f aca="false">INDEX(Intent_Analysis!$B$5:$B$81,MATCH(B8902,Intent_Analysis!$A$5:$A$81,0))</f>
        <v>Fraud &amp; security</v>
      </c>
      <c r="D8902" s="0" t="n">
        <f aca="false">INDEX(Intent_Analysis!$E$5:$E$81,MATCH(B8902,Intent_Analysis!$A$5:$A$81,0))</f>
        <v>3</v>
      </c>
    </row>
    <row r="8903" customFormat="false" ht="15" hidden="false" customHeight="false" outlineLevel="0" collapsed="false">
      <c r="A8903" s="0" t="s">
        <v>9227</v>
      </c>
      <c r="B8903" s="0" t="s">
        <v>98</v>
      </c>
      <c r="C8903" s="0" t="str">
        <f aca="false">INDEX(Intent_Analysis!$B$5:$B$81,MATCH(B8903,Intent_Analysis!$A$5:$A$81,0))</f>
        <v>Fraud &amp; security</v>
      </c>
      <c r="D8903" s="0" t="n">
        <f aca="false">INDEX(Intent_Analysis!$E$5:$E$81,MATCH(B8903,Intent_Analysis!$A$5:$A$81,0))</f>
        <v>3</v>
      </c>
    </row>
    <row r="8904" customFormat="false" ht="15" hidden="false" customHeight="false" outlineLevel="0" collapsed="false">
      <c r="A8904" s="0" t="s">
        <v>9228</v>
      </c>
      <c r="B8904" s="0" t="s">
        <v>98</v>
      </c>
      <c r="C8904" s="0" t="str">
        <f aca="false">INDEX(Intent_Analysis!$B$5:$B$81,MATCH(B8904,Intent_Analysis!$A$5:$A$81,0))</f>
        <v>Fraud &amp; security</v>
      </c>
      <c r="D8904" s="0" t="n">
        <f aca="false">INDEX(Intent_Analysis!$E$5:$E$81,MATCH(B8904,Intent_Analysis!$A$5:$A$81,0))</f>
        <v>3</v>
      </c>
    </row>
    <row r="8905" customFormat="false" ht="15" hidden="false" customHeight="false" outlineLevel="0" collapsed="false">
      <c r="A8905" s="0" t="s">
        <v>9229</v>
      </c>
      <c r="B8905" s="0" t="s">
        <v>98</v>
      </c>
      <c r="C8905" s="0" t="str">
        <f aca="false">INDEX(Intent_Analysis!$B$5:$B$81,MATCH(B8905,Intent_Analysis!$A$5:$A$81,0))</f>
        <v>Fraud &amp; security</v>
      </c>
      <c r="D8905" s="0" t="n">
        <f aca="false">INDEX(Intent_Analysis!$E$5:$E$81,MATCH(B8905,Intent_Analysis!$A$5:$A$81,0))</f>
        <v>3</v>
      </c>
    </row>
    <row r="8906" customFormat="false" ht="15" hidden="false" customHeight="false" outlineLevel="0" collapsed="false">
      <c r="A8906" s="0" t="s">
        <v>9230</v>
      </c>
      <c r="B8906" s="0" t="s">
        <v>98</v>
      </c>
      <c r="C8906" s="0" t="str">
        <f aca="false">INDEX(Intent_Analysis!$B$5:$B$81,MATCH(B8906,Intent_Analysis!$A$5:$A$81,0))</f>
        <v>Fraud &amp; security</v>
      </c>
      <c r="D8906" s="0" t="n">
        <f aca="false">INDEX(Intent_Analysis!$E$5:$E$81,MATCH(B8906,Intent_Analysis!$A$5:$A$81,0))</f>
        <v>3</v>
      </c>
    </row>
    <row r="8907" customFormat="false" ht="15" hidden="false" customHeight="false" outlineLevel="0" collapsed="false">
      <c r="A8907" s="0" t="s">
        <v>9231</v>
      </c>
      <c r="B8907" s="0" t="s">
        <v>98</v>
      </c>
      <c r="C8907" s="0" t="str">
        <f aca="false">INDEX(Intent_Analysis!$B$5:$B$81,MATCH(B8907,Intent_Analysis!$A$5:$A$81,0))</f>
        <v>Fraud &amp; security</v>
      </c>
      <c r="D8907" s="0" t="n">
        <f aca="false">INDEX(Intent_Analysis!$E$5:$E$81,MATCH(B8907,Intent_Analysis!$A$5:$A$81,0))</f>
        <v>3</v>
      </c>
    </row>
    <row r="8908" customFormat="false" ht="15" hidden="false" customHeight="false" outlineLevel="0" collapsed="false">
      <c r="A8908" s="0" t="s">
        <v>9232</v>
      </c>
      <c r="B8908" s="0" t="s">
        <v>98</v>
      </c>
      <c r="C8908" s="0" t="str">
        <f aca="false">INDEX(Intent_Analysis!$B$5:$B$81,MATCH(B8908,Intent_Analysis!$A$5:$A$81,0))</f>
        <v>Fraud &amp; security</v>
      </c>
      <c r="D8908" s="0" t="n">
        <f aca="false">INDEX(Intent_Analysis!$E$5:$E$81,MATCH(B8908,Intent_Analysis!$A$5:$A$81,0))</f>
        <v>3</v>
      </c>
    </row>
    <row r="8909" customFormat="false" ht="15" hidden="false" customHeight="false" outlineLevel="0" collapsed="false">
      <c r="A8909" s="0" t="s">
        <v>9233</v>
      </c>
      <c r="B8909" s="0" t="s">
        <v>98</v>
      </c>
      <c r="C8909" s="0" t="str">
        <f aca="false">INDEX(Intent_Analysis!$B$5:$B$81,MATCH(B8909,Intent_Analysis!$A$5:$A$81,0))</f>
        <v>Fraud &amp; security</v>
      </c>
      <c r="D8909" s="0" t="n">
        <f aca="false">INDEX(Intent_Analysis!$E$5:$E$81,MATCH(B8909,Intent_Analysis!$A$5:$A$81,0))</f>
        <v>3</v>
      </c>
    </row>
    <row r="8910" customFormat="false" ht="15" hidden="false" customHeight="false" outlineLevel="0" collapsed="false">
      <c r="A8910" s="0" t="s">
        <v>9234</v>
      </c>
      <c r="B8910" s="0" t="s">
        <v>98</v>
      </c>
      <c r="C8910" s="0" t="str">
        <f aca="false">INDEX(Intent_Analysis!$B$5:$B$81,MATCH(B8910,Intent_Analysis!$A$5:$A$81,0))</f>
        <v>Fraud &amp; security</v>
      </c>
      <c r="D8910" s="0" t="n">
        <f aca="false">INDEX(Intent_Analysis!$E$5:$E$81,MATCH(B8910,Intent_Analysis!$A$5:$A$81,0))</f>
        <v>3</v>
      </c>
    </row>
    <row r="8911" customFormat="false" ht="15" hidden="false" customHeight="false" outlineLevel="0" collapsed="false">
      <c r="A8911" s="0" t="s">
        <v>9235</v>
      </c>
      <c r="B8911" s="0" t="s">
        <v>98</v>
      </c>
      <c r="C8911" s="0" t="str">
        <f aca="false">INDEX(Intent_Analysis!$B$5:$B$81,MATCH(B8911,Intent_Analysis!$A$5:$A$81,0))</f>
        <v>Fraud &amp; security</v>
      </c>
      <c r="D8911" s="0" t="n">
        <f aca="false">INDEX(Intent_Analysis!$E$5:$E$81,MATCH(B8911,Intent_Analysis!$A$5:$A$81,0))</f>
        <v>3</v>
      </c>
    </row>
    <row r="8912" customFormat="false" ht="15" hidden="false" customHeight="false" outlineLevel="0" collapsed="false">
      <c r="A8912" s="0" t="s">
        <v>9236</v>
      </c>
      <c r="B8912" s="0" t="s">
        <v>98</v>
      </c>
      <c r="C8912" s="0" t="str">
        <f aca="false">INDEX(Intent_Analysis!$B$5:$B$81,MATCH(B8912,Intent_Analysis!$A$5:$A$81,0))</f>
        <v>Fraud &amp; security</v>
      </c>
      <c r="D8912" s="0" t="n">
        <f aca="false">INDEX(Intent_Analysis!$E$5:$E$81,MATCH(B8912,Intent_Analysis!$A$5:$A$81,0))</f>
        <v>3</v>
      </c>
    </row>
    <row r="8913" customFormat="false" ht="15" hidden="false" customHeight="false" outlineLevel="0" collapsed="false">
      <c r="A8913" s="0" t="s">
        <v>9237</v>
      </c>
      <c r="B8913" s="0" t="s">
        <v>98</v>
      </c>
      <c r="C8913" s="0" t="str">
        <f aca="false">INDEX(Intent_Analysis!$B$5:$B$81,MATCH(B8913,Intent_Analysis!$A$5:$A$81,0))</f>
        <v>Fraud &amp; security</v>
      </c>
      <c r="D8913" s="0" t="n">
        <f aca="false">INDEX(Intent_Analysis!$E$5:$E$81,MATCH(B8913,Intent_Analysis!$A$5:$A$81,0))</f>
        <v>3</v>
      </c>
    </row>
    <row r="8914" customFormat="false" ht="15" hidden="false" customHeight="false" outlineLevel="0" collapsed="false">
      <c r="A8914" s="0" t="s">
        <v>9238</v>
      </c>
      <c r="B8914" s="0" t="s">
        <v>98</v>
      </c>
      <c r="C8914" s="0" t="str">
        <f aca="false">INDEX(Intent_Analysis!$B$5:$B$81,MATCH(B8914,Intent_Analysis!$A$5:$A$81,0))</f>
        <v>Fraud &amp; security</v>
      </c>
      <c r="D8914" s="0" t="n">
        <f aca="false">INDEX(Intent_Analysis!$E$5:$E$81,MATCH(B8914,Intent_Analysis!$A$5:$A$81,0))</f>
        <v>3</v>
      </c>
    </row>
    <row r="8915" customFormat="false" ht="15" hidden="false" customHeight="false" outlineLevel="0" collapsed="false">
      <c r="A8915" s="0" t="s">
        <v>9239</v>
      </c>
      <c r="B8915" s="0" t="s">
        <v>98</v>
      </c>
      <c r="C8915" s="0" t="str">
        <f aca="false">INDEX(Intent_Analysis!$B$5:$B$81,MATCH(B8915,Intent_Analysis!$A$5:$A$81,0))</f>
        <v>Fraud &amp; security</v>
      </c>
      <c r="D8915" s="0" t="n">
        <f aca="false">INDEX(Intent_Analysis!$E$5:$E$81,MATCH(B8915,Intent_Analysis!$A$5:$A$81,0))</f>
        <v>3</v>
      </c>
    </row>
    <row r="8916" customFormat="false" ht="15" hidden="false" customHeight="false" outlineLevel="0" collapsed="false">
      <c r="A8916" s="0" t="s">
        <v>9240</v>
      </c>
      <c r="B8916" s="0" t="s">
        <v>98</v>
      </c>
      <c r="C8916" s="0" t="str">
        <f aca="false">INDEX(Intent_Analysis!$B$5:$B$81,MATCH(B8916,Intent_Analysis!$A$5:$A$81,0))</f>
        <v>Fraud &amp; security</v>
      </c>
      <c r="D8916" s="0" t="n">
        <f aca="false">INDEX(Intent_Analysis!$E$5:$E$81,MATCH(B8916,Intent_Analysis!$A$5:$A$81,0))</f>
        <v>3</v>
      </c>
    </row>
    <row r="8917" customFormat="false" ht="15" hidden="false" customHeight="false" outlineLevel="0" collapsed="false">
      <c r="A8917" s="0" t="s">
        <v>9241</v>
      </c>
      <c r="B8917" s="0" t="s">
        <v>98</v>
      </c>
      <c r="C8917" s="0" t="str">
        <f aca="false">INDEX(Intent_Analysis!$B$5:$B$81,MATCH(B8917,Intent_Analysis!$A$5:$A$81,0))</f>
        <v>Fraud &amp; security</v>
      </c>
      <c r="D8917" s="0" t="n">
        <f aca="false">INDEX(Intent_Analysis!$E$5:$E$81,MATCH(B8917,Intent_Analysis!$A$5:$A$81,0))</f>
        <v>3</v>
      </c>
    </row>
    <row r="8918" customFormat="false" ht="15" hidden="false" customHeight="false" outlineLevel="0" collapsed="false">
      <c r="A8918" s="0" t="s">
        <v>9242</v>
      </c>
      <c r="B8918" s="0" t="s">
        <v>98</v>
      </c>
      <c r="C8918" s="0" t="str">
        <f aca="false">INDEX(Intent_Analysis!$B$5:$B$81,MATCH(B8918,Intent_Analysis!$A$5:$A$81,0))</f>
        <v>Fraud &amp; security</v>
      </c>
      <c r="D8918" s="0" t="n">
        <f aca="false">INDEX(Intent_Analysis!$E$5:$E$81,MATCH(B8918,Intent_Analysis!$A$5:$A$81,0))</f>
        <v>3</v>
      </c>
    </row>
    <row r="8919" customFormat="false" ht="15" hidden="false" customHeight="false" outlineLevel="0" collapsed="false">
      <c r="A8919" s="0" t="s">
        <v>9243</v>
      </c>
      <c r="B8919" s="0" t="s">
        <v>98</v>
      </c>
      <c r="C8919" s="0" t="str">
        <f aca="false">INDEX(Intent_Analysis!$B$5:$B$81,MATCH(B8919,Intent_Analysis!$A$5:$A$81,0))</f>
        <v>Fraud &amp; security</v>
      </c>
      <c r="D8919" s="0" t="n">
        <f aca="false">INDEX(Intent_Analysis!$E$5:$E$81,MATCH(B8919,Intent_Analysis!$A$5:$A$81,0))</f>
        <v>3</v>
      </c>
    </row>
    <row r="8920" customFormat="false" ht="15" hidden="false" customHeight="false" outlineLevel="0" collapsed="false">
      <c r="A8920" s="0" t="s">
        <v>9244</v>
      </c>
      <c r="B8920" s="0" t="s">
        <v>98</v>
      </c>
      <c r="C8920" s="0" t="str">
        <f aca="false">INDEX(Intent_Analysis!$B$5:$B$81,MATCH(B8920,Intent_Analysis!$A$5:$A$81,0))</f>
        <v>Fraud &amp; security</v>
      </c>
      <c r="D8920" s="0" t="n">
        <f aca="false">INDEX(Intent_Analysis!$E$5:$E$81,MATCH(B8920,Intent_Analysis!$A$5:$A$81,0))</f>
        <v>3</v>
      </c>
    </row>
    <row r="8921" customFormat="false" ht="15" hidden="false" customHeight="false" outlineLevel="0" collapsed="false">
      <c r="A8921" s="0" t="s">
        <v>9245</v>
      </c>
      <c r="B8921" s="0" t="s">
        <v>98</v>
      </c>
      <c r="C8921" s="0" t="str">
        <f aca="false">INDEX(Intent_Analysis!$B$5:$B$81,MATCH(B8921,Intent_Analysis!$A$5:$A$81,0))</f>
        <v>Fraud &amp; security</v>
      </c>
      <c r="D8921" s="0" t="n">
        <f aca="false">INDEX(Intent_Analysis!$E$5:$E$81,MATCH(B8921,Intent_Analysis!$A$5:$A$81,0))</f>
        <v>3</v>
      </c>
    </row>
    <row r="8922" customFormat="false" ht="15" hidden="false" customHeight="false" outlineLevel="0" collapsed="false">
      <c r="A8922" s="0" t="s">
        <v>9246</v>
      </c>
      <c r="B8922" s="0" t="s">
        <v>98</v>
      </c>
      <c r="C8922" s="0" t="str">
        <f aca="false">INDEX(Intent_Analysis!$B$5:$B$81,MATCH(B8922,Intent_Analysis!$A$5:$A$81,0))</f>
        <v>Fraud &amp; security</v>
      </c>
      <c r="D8922" s="0" t="n">
        <f aca="false">INDEX(Intent_Analysis!$E$5:$E$81,MATCH(B8922,Intent_Analysis!$A$5:$A$81,0))</f>
        <v>3</v>
      </c>
    </row>
    <row r="8923" customFormat="false" ht="15" hidden="false" customHeight="false" outlineLevel="0" collapsed="false">
      <c r="A8923" s="0" t="s">
        <v>9247</v>
      </c>
      <c r="B8923" s="0" t="s">
        <v>98</v>
      </c>
      <c r="C8923" s="0" t="str">
        <f aca="false">INDEX(Intent_Analysis!$B$5:$B$81,MATCH(B8923,Intent_Analysis!$A$5:$A$81,0))</f>
        <v>Fraud &amp; security</v>
      </c>
      <c r="D8923" s="0" t="n">
        <f aca="false">INDEX(Intent_Analysis!$E$5:$E$81,MATCH(B8923,Intent_Analysis!$A$5:$A$81,0))</f>
        <v>3</v>
      </c>
    </row>
    <row r="8924" customFormat="false" ht="15" hidden="false" customHeight="false" outlineLevel="0" collapsed="false">
      <c r="A8924" s="0" t="s">
        <v>9248</v>
      </c>
      <c r="B8924" s="0" t="s">
        <v>98</v>
      </c>
      <c r="C8924" s="0" t="str">
        <f aca="false">INDEX(Intent_Analysis!$B$5:$B$81,MATCH(B8924,Intent_Analysis!$A$5:$A$81,0))</f>
        <v>Fraud &amp; security</v>
      </c>
      <c r="D8924" s="0" t="n">
        <f aca="false">INDEX(Intent_Analysis!$E$5:$E$81,MATCH(B8924,Intent_Analysis!$A$5:$A$81,0))</f>
        <v>3</v>
      </c>
    </row>
    <row r="8925" customFormat="false" ht="15" hidden="false" customHeight="false" outlineLevel="0" collapsed="false">
      <c r="A8925" s="0" t="s">
        <v>9249</v>
      </c>
      <c r="B8925" s="0" t="s">
        <v>98</v>
      </c>
      <c r="C8925" s="0" t="str">
        <f aca="false">INDEX(Intent_Analysis!$B$5:$B$81,MATCH(B8925,Intent_Analysis!$A$5:$A$81,0))</f>
        <v>Fraud &amp; security</v>
      </c>
      <c r="D8925" s="0" t="n">
        <f aca="false">INDEX(Intent_Analysis!$E$5:$E$81,MATCH(B8925,Intent_Analysis!$A$5:$A$81,0))</f>
        <v>3</v>
      </c>
    </row>
    <row r="8926" customFormat="false" ht="15" hidden="false" customHeight="false" outlineLevel="0" collapsed="false">
      <c r="A8926" s="0" t="s">
        <v>9250</v>
      </c>
      <c r="B8926" s="0" t="s">
        <v>98</v>
      </c>
      <c r="C8926" s="0" t="str">
        <f aca="false">INDEX(Intent_Analysis!$B$5:$B$81,MATCH(B8926,Intent_Analysis!$A$5:$A$81,0))</f>
        <v>Fraud &amp; security</v>
      </c>
      <c r="D8926" s="0" t="n">
        <f aca="false">INDEX(Intent_Analysis!$E$5:$E$81,MATCH(B8926,Intent_Analysis!$A$5:$A$81,0))</f>
        <v>3</v>
      </c>
    </row>
    <row r="8927" customFormat="false" ht="15" hidden="false" customHeight="false" outlineLevel="0" collapsed="false">
      <c r="A8927" s="0" t="s">
        <v>9251</v>
      </c>
      <c r="B8927" s="0" t="s">
        <v>98</v>
      </c>
      <c r="C8927" s="0" t="str">
        <f aca="false">INDEX(Intent_Analysis!$B$5:$B$81,MATCH(B8927,Intent_Analysis!$A$5:$A$81,0))</f>
        <v>Fraud &amp; security</v>
      </c>
      <c r="D8927" s="0" t="n">
        <f aca="false">INDEX(Intent_Analysis!$E$5:$E$81,MATCH(B8927,Intent_Analysis!$A$5:$A$81,0))</f>
        <v>3</v>
      </c>
    </row>
    <row r="8928" customFormat="false" ht="15" hidden="false" customHeight="false" outlineLevel="0" collapsed="false">
      <c r="A8928" s="0" t="s">
        <v>9252</v>
      </c>
      <c r="B8928" s="0" t="s">
        <v>98</v>
      </c>
      <c r="C8928" s="0" t="str">
        <f aca="false">INDEX(Intent_Analysis!$B$5:$B$81,MATCH(B8928,Intent_Analysis!$A$5:$A$81,0))</f>
        <v>Fraud &amp; security</v>
      </c>
      <c r="D8928" s="0" t="n">
        <f aca="false">INDEX(Intent_Analysis!$E$5:$E$81,MATCH(B8928,Intent_Analysis!$A$5:$A$81,0))</f>
        <v>3</v>
      </c>
    </row>
    <row r="8929" customFormat="false" ht="15" hidden="false" customHeight="false" outlineLevel="0" collapsed="false">
      <c r="A8929" s="0" t="s">
        <v>9253</v>
      </c>
      <c r="B8929" s="0" t="s">
        <v>98</v>
      </c>
      <c r="C8929" s="0" t="str">
        <f aca="false">INDEX(Intent_Analysis!$B$5:$B$81,MATCH(B8929,Intent_Analysis!$A$5:$A$81,0))</f>
        <v>Fraud &amp; security</v>
      </c>
      <c r="D8929" s="0" t="n">
        <f aca="false">INDEX(Intent_Analysis!$E$5:$E$81,MATCH(B8929,Intent_Analysis!$A$5:$A$81,0))</f>
        <v>3</v>
      </c>
    </row>
    <row r="8930" customFormat="false" ht="15" hidden="false" customHeight="false" outlineLevel="0" collapsed="false">
      <c r="A8930" s="0" t="s">
        <v>9254</v>
      </c>
      <c r="B8930" s="0" t="s">
        <v>98</v>
      </c>
      <c r="C8930" s="0" t="str">
        <f aca="false">INDEX(Intent_Analysis!$B$5:$B$81,MATCH(B8930,Intent_Analysis!$A$5:$A$81,0))</f>
        <v>Fraud &amp; security</v>
      </c>
      <c r="D8930" s="0" t="n">
        <f aca="false">INDEX(Intent_Analysis!$E$5:$E$81,MATCH(B8930,Intent_Analysis!$A$5:$A$81,0))</f>
        <v>3</v>
      </c>
    </row>
    <row r="8931" customFormat="false" ht="15" hidden="false" customHeight="false" outlineLevel="0" collapsed="false">
      <c r="A8931" s="0" t="s">
        <v>9255</v>
      </c>
      <c r="B8931" s="0" t="s">
        <v>98</v>
      </c>
      <c r="C8931" s="0" t="str">
        <f aca="false">INDEX(Intent_Analysis!$B$5:$B$81,MATCH(B8931,Intent_Analysis!$A$5:$A$81,0))</f>
        <v>Fraud &amp; security</v>
      </c>
      <c r="D8931" s="0" t="n">
        <f aca="false">INDEX(Intent_Analysis!$E$5:$E$81,MATCH(B8931,Intent_Analysis!$A$5:$A$81,0))</f>
        <v>3</v>
      </c>
    </row>
    <row r="8932" customFormat="false" ht="15" hidden="false" customHeight="false" outlineLevel="0" collapsed="false">
      <c r="A8932" s="0" t="s">
        <v>9256</v>
      </c>
      <c r="B8932" s="0" t="s">
        <v>98</v>
      </c>
      <c r="C8932" s="0" t="str">
        <f aca="false">INDEX(Intent_Analysis!$B$5:$B$81,MATCH(B8932,Intent_Analysis!$A$5:$A$81,0))</f>
        <v>Fraud &amp; security</v>
      </c>
      <c r="D8932" s="0" t="n">
        <f aca="false">INDEX(Intent_Analysis!$E$5:$E$81,MATCH(B8932,Intent_Analysis!$A$5:$A$81,0))</f>
        <v>3</v>
      </c>
    </row>
    <row r="8933" customFormat="false" ht="15" hidden="false" customHeight="false" outlineLevel="0" collapsed="false">
      <c r="A8933" s="0" t="s">
        <v>9257</v>
      </c>
      <c r="B8933" s="0" t="s">
        <v>98</v>
      </c>
      <c r="C8933" s="0" t="str">
        <f aca="false">INDEX(Intent_Analysis!$B$5:$B$81,MATCH(B8933,Intent_Analysis!$A$5:$A$81,0))</f>
        <v>Fraud &amp; security</v>
      </c>
      <c r="D8933" s="0" t="n">
        <f aca="false">INDEX(Intent_Analysis!$E$5:$E$81,MATCH(B8933,Intent_Analysis!$A$5:$A$81,0))</f>
        <v>3</v>
      </c>
    </row>
    <row r="8934" customFormat="false" ht="15" hidden="false" customHeight="false" outlineLevel="0" collapsed="false">
      <c r="A8934" s="0" t="s">
        <v>9258</v>
      </c>
      <c r="B8934" s="0" t="s">
        <v>98</v>
      </c>
      <c r="C8934" s="0" t="str">
        <f aca="false">INDEX(Intent_Analysis!$B$5:$B$81,MATCH(B8934,Intent_Analysis!$A$5:$A$81,0))</f>
        <v>Fraud &amp; security</v>
      </c>
      <c r="D8934" s="0" t="n">
        <f aca="false">INDEX(Intent_Analysis!$E$5:$E$81,MATCH(B8934,Intent_Analysis!$A$5:$A$81,0))</f>
        <v>3</v>
      </c>
    </row>
    <row r="8935" customFormat="false" ht="15" hidden="false" customHeight="false" outlineLevel="0" collapsed="false">
      <c r="A8935" s="0" t="s">
        <v>9259</v>
      </c>
      <c r="B8935" s="0" t="s">
        <v>98</v>
      </c>
      <c r="C8935" s="0" t="str">
        <f aca="false">INDEX(Intent_Analysis!$B$5:$B$81,MATCH(B8935,Intent_Analysis!$A$5:$A$81,0))</f>
        <v>Fraud &amp; security</v>
      </c>
      <c r="D8935" s="0" t="n">
        <f aca="false">INDEX(Intent_Analysis!$E$5:$E$81,MATCH(B8935,Intent_Analysis!$A$5:$A$81,0))</f>
        <v>3</v>
      </c>
    </row>
    <row r="8936" customFormat="false" ht="15" hidden="false" customHeight="false" outlineLevel="0" collapsed="false">
      <c r="A8936" s="0" t="s">
        <v>9260</v>
      </c>
      <c r="B8936" s="0" t="s">
        <v>98</v>
      </c>
      <c r="C8936" s="0" t="str">
        <f aca="false">INDEX(Intent_Analysis!$B$5:$B$81,MATCH(B8936,Intent_Analysis!$A$5:$A$81,0))</f>
        <v>Fraud &amp; security</v>
      </c>
      <c r="D8936" s="0" t="n">
        <f aca="false">INDEX(Intent_Analysis!$E$5:$E$81,MATCH(B8936,Intent_Analysis!$A$5:$A$81,0))</f>
        <v>3</v>
      </c>
    </row>
    <row r="8937" customFormat="false" ht="15" hidden="false" customHeight="false" outlineLevel="0" collapsed="false">
      <c r="A8937" s="0" t="s">
        <v>9261</v>
      </c>
      <c r="B8937" s="0" t="s">
        <v>98</v>
      </c>
      <c r="C8937" s="0" t="str">
        <f aca="false">INDEX(Intent_Analysis!$B$5:$B$81,MATCH(B8937,Intent_Analysis!$A$5:$A$81,0))</f>
        <v>Fraud &amp; security</v>
      </c>
      <c r="D8937" s="0" t="n">
        <f aca="false">INDEX(Intent_Analysis!$E$5:$E$81,MATCH(B8937,Intent_Analysis!$A$5:$A$81,0))</f>
        <v>3</v>
      </c>
    </row>
    <row r="8938" customFormat="false" ht="15" hidden="false" customHeight="false" outlineLevel="0" collapsed="false">
      <c r="A8938" s="0" t="s">
        <v>9262</v>
      </c>
      <c r="B8938" s="0" t="s">
        <v>98</v>
      </c>
      <c r="C8938" s="0" t="str">
        <f aca="false">INDEX(Intent_Analysis!$B$5:$B$81,MATCH(B8938,Intent_Analysis!$A$5:$A$81,0))</f>
        <v>Fraud &amp; security</v>
      </c>
      <c r="D8938" s="0" t="n">
        <f aca="false">INDEX(Intent_Analysis!$E$5:$E$81,MATCH(B8938,Intent_Analysis!$A$5:$A$81,0))</f>
        <v>3</v>
      </c>
    </row>
    <row r="8939" customFormat="false" ht="15" hidden="false" customHeight="false" outlineLevel="0" collapsed="false">
      <c r="A8939" s="0" t="s">
        <v>9263</v>
      </c>
      <c r="B8939" s="0" t="s">
        <v>98</v>
      </c>
      <c r="C8939" s="0" t="str">
        <f aca="false">INDEX(Intent_Analysis!$B$5:$B$81,MATCH(B8939,Intent_Analysis!$A$5:$A$81,0))</f>
        <v>Fraud &amp; security</v>
      </c>
      <c r="D8939" s="0" t="n">
        <f aca="false">INDEX(Intent_Analysis!$E$5:$E$81,MATCH(B8939,Intent_Analysis!$A$5:$A$81,0))</f>
        <v>3</v>
      </c>
    </row>
    <row r="8940" customFormat="false" ht="15" hidden="false" customHeight="false" outlineLevel="0" collapsed="false">
      <c r="A8940" s="0" t="s">
        <v>9264</v>
      </c>
      <c r="B8940" s="0" t="s">
        <v>98</v>
      </c>
      <c r="C8940" s="0" t="str">
        <f aca="false">INDEX(Intent_Analysis!$B$5:$B$81,MATCH(B8940,Intent_Analysis!$A$5:$A$81,0))</f>
        <v>Fraud &amp; security</v>
      </c>
      <c r="D8940" s="0" t="n">
        <f aca="false">INDEX(Intent_Analysis!$E$5:$E$81,MATCH(B8940,Intent_Analysis!$A$5:$A$81,0))</f>
        <v>3</v>
      </c>
    </row>
    <row r="8941" customFormat="false" ht="15" hidden="false" customHeight="false" outlineLevel="0" collapsed="false">
      <c r="A8941" s="0" t="s">
        <v>9265</v>
      </c>
      <c r="B8941" s="0" t="s">
        <v>98</v>
      </c>
      <c r="C8941" s="0" t="str">
        <f aca="false">INDEX(Intent_Analysis!$B$5:$B$81,MATCH(B8941,Intent_Analysis!$A$5:$A$81,0))</f>
        <v>Fraud &amp; security</v>
      </c>
      <c r="D8941" s="0" t="n">
        <f aca="false">INDEX(Intent_Analysis!$E$5:$E$81,MATCH(B8941,Intent_Analysis!$A$5:$A$81,0))</f>
        <v>3</v>
      </c>
    </row>
    <row r="8942" customFormat="false" ht="15" hidden="false" customHeight="false" outlineLevel="0" collapsed="false">
      <c r="A8942" s="0" t="s">
        <v>9266</v>
      </c>
      <c r="B8942" s="0" t="s">
        <v>98</v>
      </c>
      <c r="C8942" s="0" t="str">
        <f aca="false">INDEX(Intent_Analysis!$B$5:$B$81,MATCH(B8942,Intent_Analysis!$A$5:$A$81,0))</f>
        <v>Fraud &amp; security</v>
      </c>
      <c r="D8942" s="0" t="n">
        <f aca="false">INDEX(Intent_Analysis!$E$5:$E$81,MATCH(B8942,Intent_Analysis!$A$5:$A$81,0))</f>
        <v>3</v>
      </c>
    </row>
    <row r="8943" customFormat="false" ht="15" hidden="false" customHeight="false" outlineLevel="0" collapsed="false">
      <c r="A8943" s="0" t="s">
        <v>9267</v>
      </c>
      <c r="B8943" s="0" t="s">
        <v>98</v>
      </c>
      <c r="C8943" s="0" t="str">
        <f aca="false">INDEX(Intent_Analysis!$B$5:$B$81,MATCH(B8943,Intent_Analysis!$A$5:$A$81,0))</f>
        <v>Fraud &amp; security</v>
      </c>
      <c r="D8943" s="0" t="n">
        <f aca="false">INDEX(Intent_Analysis!$E$5:$E$81,MATCH(B8943,Intent_Analysis!$A$5:$A$81,0))</f>
        <v>3</v>
      </c>
    </row>
    <row r="8944" customFormat="false" ht="15" hidden="false" customHeight="false" outlineLevel="0" collapsed="false">
      <c r="A8944" s="0" t="s">
        <v>9268</v>
      </c>
      <c r="B8944" s="0" t="s">
        <v>98</v>
      </c>
      <c r="C8944" s="0" t="str">
        <f aca="false">INDEX(Intent_Analysis!$B$5:$B$81,MATCH(B8944,Intent_Analysis!$A$5:$A$81,0))</f>
        <v>Fraud &amp; security</v>
      </c>
      <c r="D8944" s="0" t="n">
        <f aca="false">INDEX(Intent_Analysis!$E$5:$E$81,MATCH(B8944,Intent_Analysis!$A$5:$A$81,0))</f>
        <v>3</v>
      </c>
    </row>
    <row r="8945" customFormat="false" ht="15" hidden="false" customHeight="false" outlineLevel="0" collapsed="false">
      <c r="A8945" s="0" t="s">
        <v>9269</v>
      </c>
      <c r="B8945" s="0" t="s">
        <v>98</v>
      </c>
      <c r="C8945" s="0" t="str">
        <f aca="false">INDEX(Intent_Analysis!$B$5:$B$81,MATCH(B8945,Intent_Analysis!$A$5:$A$81,0))</f>
        <v>Fraud &amp; security</v>
      </c>
      <c r="D8945" s="0" t="n">
        <f aca="false">INDEX(Intent_Analysis!$E$5:$E$81,MATCH(B8945,Intent_Analysis!$A$5:$A$81,0))</f>
        <v>3</v>
      </c>
    </row>
    <row r="8946" customFormat="false" ht="15" hidden="false" customHeight="false" outlineLevel="0" collapsed="false">
      <c r="A8946" s="0" t="s">
        <v>9270</v>
      </c>
      <c r="B8946" s="0" t="s">
        <v>92</v>
      </c>
      <c r="C8946" s="0" t="str">
        <f aca="false">INDEX(Intent_Analysis!$B$5:$B$81,MATCH(B8946,Intent_Analysis!$A$5:$A$81,0))</f>
        <v>Fees &amp; charges</v>
      </c>
      <c r="D8946" s="0" t="n">
        <f aca="false">INDEX(Intent_Analysis!$E$5:$E$81,MATCH(B8946,Intent_Analysis!$A$5:$A$81,0))</f>
        <v>1</v>
      </c>
    </row>
    <row r="8947" customFormat="false" ht="15" hidden="false" customHeight="false" outlineLevel="0" collapsed="false">
      <c r="A8947" s="0" t="s">
        <v>9271</v>
      </c>
      <c r="B8947" s="0" t="s">
        <v>92</v>
      </c>
      <c r="C8947" s="0" t="str">
        <f aca="false">INDEX(Intent_Analysis!$B$5:$B$81,MATCH(B8947,Intent_Analysis!$A$5:$A$81,0))</f>
        <v>Fees &amp; charges</v>
      </c>
      <c r="D8947" s="0" t="n">
        <f aca="false">INDEX(Intent_Analysis!$E$5:$E$81,MATCH(B8947,Intent_Analysis!$A$5:$A$81,0))</f>
        <v>1</v>
      </c>
    </row>
    <row r="8948" customFormat="false" ht="15" hidden="false" customHeight="false" outlineLevel="0" collapsed="false">
      <c r="A8948" s="0" t="s">
        <v>9272</v>
      </c>
      <c r="B8948" s="0" t="s">
        <v>92</v>
      </c>
      <c r="C8948" s="0" t="str">
        <f aca="false">INDEX(Intent_Analysis!$B$5:$B$81,MATCH(B8948,Intent_Analysis!$A$5:$A$81,0))</f>
        <v>Fees &amp; charges</v>
      </c>
      <c r="D8948" s="0" t="n">
        <f aca="false">INDEX(Intent_Analysis!$E$5:$E$81,MATCH(B8948,Intent_Analysis!$A$5:$A$81,0))</f>
        <v>1</v>
      </c>
    </row>
    <row r="8949" customFormat="false" ht="15" hidden="false" customHeight="false" outlineLevel="0" collapsed="false">
      <c r="A8949" s="0" t="s">
        <v>9273</v>
      </c>
      <c r="B8949" s="0" t="s">
        <v>92</v>
      </c>
      <c r="C8949" s="0" t="str">
        <f aca="false">INDEX(Intent_Analysis!$B$5:$B$81,MATCH(B8949,Intent_Analysis!$A$5:$A$81,0))</f>
        <v>Fees &amp; charges</v>
      </c>
      <c r="D8949" s="0" t="n">
        <f aca="false">INDEX(Intent_Analysis!$E$5:$E$81,MATCH(B8949,Intent_Analysis!$A$5:$A$81,0))</f>
        <v>1</v>
      </c>
    </row>
    <row r="8950" customFormat="false" ht="15" hidden="false" customHeight="false" outlineLevel="0" collapsed="false">
      <c r="A8950" s="0" t="s">
        <v>9274</v>
      </c>
      <c r="B8950" s="0" t="s">
        <v>92</v>
      </c>
      <c r="C8950" s="0" t="str">
        <f aca="false">INDEX(Intent_Analysis!$B$5:$B$81,MATCH(B8950,Intent_Analysis!$A$5:$A$81,0))</f>
        <v>Fees &amp; charges</v>
      </c>
      <c r="D8950" s="0" t="n">
        <f aca="false">INDEX(Intent_Analysis!$E$5:$E$81,MATCH(B8950,Intent_Analysis!$A$5:$A$81,0))</f>
        <v>1</v>
      </c>
    </row>
    <row r="8951" customFormat="false" ht="15" hidden="false" customHeight="false" outlineLevel="0" collapsed="false">
      <c r="A8951" s="0" t="s">
        <v>9275</v>
      </c>
      <c r="B8951" s="0" t="s">
        <v>92</v>
      </c>
      <c r="C8951" s="0" t="str">
        <f aca="false">INDEX(Intent_Analysis!$B$5:$B$81,MATCH(B8951,Intent_Analysis!$A$5:$A$81,0))</f>
        <v>Fees &amp; charges</v>
      </c>
      <c r="D8951" s="0" t="n">
        <f aca="false">INDEX(Intent_Analysis!$E$5:$E$81,MATCH(B8951,Intent_Analysis!$A$5:$A$81,0))</f>
        <v>1</v>
      </c>
    </row>
    <row r="8952" customFormat="false" ht="15" hidden="false" customHeight="false" outlineLevel="0" collapsed="false">
      <c r="A8952" s="0" t="s">
        <v>9276</v>
      </c>
      <c r="B8952" s="0" t="s">
        <v>92</v>
      </c>
      <c r="C8952" s="0" t="str">
        <f aca="false">INDEX(Intent_Analysis!$B$5:$B$81,MATCH(B8952,Intent_Analysis!$A$5:$A$81,0))</f>
        <v>Fees &amp; charges</v>
      </c>
      <c r="D8952" s="0" t="n">
        <f aca="false">INDEX(Intent_Analysis!$E$5:$E$81,MATCH(B8952,Intent_Analysis!$A$5:$A$81,0))</f>
        <v>1</v>
      </c>
    </row>
    <row r="8953" customFormat="false" ht="15" hidden="false" customHeight="false" outlineLevel="0" collapsed="false">
      <c r="A8953" s="0" t="s">
        <v>9277</v>
      </c>
      <c r="B8953" s="0" t="s">
        <v>92</v>
      </c>
      <c r="C8953" s="0" t="str">
        <f aca="false">INDEX(Intent_Analysis!$B$5:$B$81,MATCH(B8953,Intent_Analysis!$A$5:$A$81,0))</f>
        <v>Fees &amp; charges</v>
      </c>
      <c r="D8953" s="0" t="n">
        <f aca="false">INDEX(Intent_Analysis!$E$5:$E$81,MATCH(B8953,Intent_Analysis!$A$5:$A$81,0))</f>
        <v>1</v>
      </c>
    </row>
    <row r="8954" customFormat="false" ht="15" hidden="false" customHeight="false" outlineLevel="0" collapsed="false">
      <c r="A8954" s="0" t="s">
        <v>9278</v>
      </c>
      <c r="B8954" s="0" t="s">
        <v>92</v>
      </c>
      <c r="C8954" s="0" t="str">
        <f aca="false">INDEX(Intent_Analysis!$B$5:$B$81,MATCH(B8954,Intent_Analysis!$A$5:$A$81,0))</f>
        <v>Fees &amp; charges</v>
      </c>
      <c r="D8954" s="0" t="n">
        <f aca="false">INDEX(Intent_Analysis!$E$5:$E$81,MATCH(B8954,Intent_Analysis!$A$5:$A$81,0))</f>
        <v>1</v>
      </c>
    </row>
    <row r="8955" customFormat="false" ht="15" hidden="false" customHeight="false" outlineLevel="0" collapsed="false">
      <c r="A8955" s="0" t="s">
        <v>9279</v>
      </c>
      <c r="B8955" s="0" t="s">
        <v>92</v>
      </c>
      <c r="C8955" s="0" t="str">
        <f aca="false">INDEX(Intent_Analysis!$B$5:$B$81,MATCH(B8955,Intent_Analysis!$A$5:$A$81,0))</f>
        <v>Fees &amp; charges</v>
      </c>
      <c r="D8955" s="0" t="n">
        <f aca="false">INDEX(Intent_Analysis!$E$5:$E$81,MATCH(B8955,Intent_Analysis!$A$5:$A$81,0))</f>
        <v>1</v>
      </c>
    </row>
    <row r="8956" customFormat="false" ht="15" hidden="false" customHeight="false" outlineLevel="0" collapsed="false">
      <c r="A8956" s="0" t="s">
        <v>9280</v>
      </c>
      <c r="B8956" s="0" t="s">
        <v>92</v>
      </c>
      <c r="C8956" s="0" t="str">
        <f aca="false">INDEX(Intent_Analysis!$B$5:$B$81,MATCH(B8956,Intent_Analysis!$A$5:$A$81,0))</f>
        <v>Fees &amp; charges</v>
      </c>
      <c r="D8956" s="0" t="n">
        <f aca="false">INDEX(Intent_Analysis!$E$5:$E$81,MATCH(B8956,Intent_Analysis!$A$5:$A$81,0))</f>
        <v>1</v>
      </c>
    </row>
    <row r="8957" customFormat="false" ht="15" hidden="false" customHeight="false" outlineLevel="0" collapsed="false">
      <c r="A8957" s="0" t="s">
        <v>9281</v>
      </c>
      <c r="B8957" s="0" t="s">
        <v>92</v>
      </c>
      <c r="C8957" s="0" t="str">
        <f aca="false">INDEX(Intent_Analysis!$B$5:$B$81,MATCH(B8957,Intent_Analysis!$A$5:$A$81,0))</f>
        <v>Fees &amp; charges</v>
      </c>
      <c r="D8957" s="0" t="n">
        <f aca="false">INDEX(Intent_Analysis!$E$5:$E$81,MATCH(B8957,Intent_Analysis!$A$5:$A$81,0))</f>
        <v>1</v>
      </c>
    </row>
    <row r="8958" customFormat="false" ht="15" hidden="false" customHeight="false" outlineLevel="0" collapsed="false">
      <c r="A8958" s="0" t="s">
        <v>9282</v>
      </c>
      <c r="B8958" s="0" t="s">
        <v>92</v>
      </c>
      <c r="C8958" s="0" t="str">
        <f aca="false">INDEX(Intent_Analysis!$B$5:$B$81,MATCH(B8958,Intent_Analysis!$A$5:$A$81,0))</f>
        <v>Fees &amp; charges</v>
      </c>
      <c r="D8958" s="0" t="n">
        <f aca="false">INDEX(Intent_Analysis!$E$5:$E$81,MATCH(B8958,Intent_Analysis!$A$5:$A$81,0))</f>
        <v>1</v>
      </c>
    </row>
    <row r="8959" customFormat="false" ht="15" hidden="false" customHeight="false" outlineLevel="0" collapsed="false">
      <c r="A8959" s="0" t="s">
        <v>9283</v>
      </c>
      <c r="B8959" s="0" t="s">
        <v>92</v>
      </c>
      <c r="C8959" s="0" t="str">
        <f aca="false">INDEX(Intent_Analysis!$B$5:$B$81,MATCH(B8959,Intent_Analysis!$A$5:$A$81,0))</f>
        <v>Fees &amp; charges</v>
      </c>
      <c r="D8959" s="0" t="n">
        <f aca="false">INDEX(Intent_Analysis!$E$5:$E$81,MATCH(B8959,Intent_Analysis!$A$5:$A$81,0))</f>
        <v>1</v>
      </c>
    </row>
    <row r="8960" customFormat="false" ht="15" hidden="false" customHeight="false" outlineLevel="0" collapsed="false">
      <c r="A8960" s="0" t="s">
        <v>9284</v>
      </c>
      <c r="B8960" s="0" t="s">
        <v>92</v>
      </c>
      <c r="C8960" s="0" t="str">
        <f aca="false">INDEX(Intent_Analysis!$B$5:$B$81,MATCH(B8960,Intent_Analysis!$A$5:$A$81,0))</f>
        <v>Fees &amp; charges</v>
      </c>
      <c r="D8960" s="0" t="n">
        <f aca="false">INDEX(Intent_Analysis!$E$5:$E$81,MATCH(B8960,Intent_Analysis!$A$5:$A$81,0))</f>
        <v>1</v>
      </c>
    </row>
    <row r="8961" customFormat="false" ht="15" hidden="false" customHeight="false" outlineLevel="0" collapsed="false">
      <c r="A8961" s="0" t="s">
        <v>9285</v>
      </c>
      <c r="B8961" s="0" t="s">
        <v>92</v>
      </c>
      <c r="C8961" s="0" t="str">
        <f aca="false">INDEX(Intent_Analysis!$B$5:$B$81,MATCH(B8961,Intent_Analysis!$A$5:$A$81,0))</f>
        <v>Fees &amp; charges</v>
      </c>
      <c r="D8961" s="0" t="n">
        <f aca="false">INDEX(Intent_Analysis!$E$5:$E$81,MATCH(B8961,Intent_Analysis!$A$5:$A$81,0))</f>
        <v>1</v>
      </c>
    </row>
    <row r="8962" customFormat="false" ht="15" hidden="false" customHeight="false" outlineLevel="0" collapsed="false">
      <c r="A8962" s="0" t="s">
        <v>9286</v>
      </c>
      <c r="B8962" s="0" t="s">
        <v>92</v>
      </c>
      <c r="C8962" s="0" t="str">
        <f aca="false">INDEX(Intent_Analysis!$B$5:$B$81,MATCH(B8962,Intent_Analysis!$A$5:$A$81,0))</f>
        <v>Fees &amp; charges</v>
      </c>
      <c r="D8962" s="0" t="n">
        <f aca="false">INDEX(Intent_Analysis!$E$5:$E$81,MATCH(B8962,Intent_Analysis!$A$5:$A$81,0))</f>
        <v>1</v>
      </c>
    </row>
    <row r="8963" customFormat="false" ht="15" hidden="false" customHeight="false" outlineLevel="0" collapsed="false">
      <c r="A8963" s="0" t="s">
        <v>9287</v>
      </c>
      <c r="B8963" s="0" t="s">
        <v>92</v>
      </c>
      <c r="C8963" s="0" t="str">
        <f aca="false">INDEX(Intent_Analysis!$B$5:$B$81,MATCH(B8963,Intent_Analysis!$A$5:$A$81,0))</f>
        <v>Fees &amp; charges</v>
      </c>
      <c r="D8963" s="0" t="n">
        <f aca="false">INDEX(Intent_Analysis!$E$5:$E$81,MATCH(B8963,Intent_Analysis!$A$5:$A$81,0))</f>
        <v>1</v>
      </c>
    </row>
    <row r="8964" customFormat="false" ht="15" hidden="false" customHeight="false" outlineLevel="0" collapsed="false">
      <c r="A8964" s="0" t="s">
        <v>9288</v>
      </c>
      <c r="B8964" s="0" t="s">
        <v>92</v>
      </c>
      <c r="C8964" s="0" t="str">
        <f aca="false">INDEX(Intent_Analysis!$B$5:$B$81,MATCH(B8964,Intent_Analysis!$A$5:$A$81,0))</f>
        <v>Fees &amp; charges</v>
      </c>
      <c r="D8964" s="0" t="n">
        <f aca="false">INDEX(Intent_Analysis!$E$5:$E$81,MATCH(B8964,Intent_Analysis!$A$5:$A$81,0))</f>
        <v>1</v>
      </c>
    </row>
    <row r="8965" customFormat="false" ht="15" hidden="false" customHeight="false" outlineLevel="0" collapsed="false">
      <c r="A8965" s="0" t="s">
        <v>9289</v>
      </c>
      <c r="B8965" s="0" t="s">
        <v>92</v>
      </c>
      <c r="C8965" s="0" t="str">
        <f aca="false">INDEX(Intent_Analysis!$B$5:$B$81,MATCH(B8965,Intent_Analysis!$A$5:$A$81,0))</f>
        <v>Fees &amp; charges</v>
      </c>
      <c r="D8965" s="0" t="n">
        <f aca="false">INDEX(Intent_Analysis!$E$5:$E$81,MATCH(B8965,Intent_Analysis!$A$5:$A$81,0))</f>
        <v>1</v>
      </c>
    </row>
    <row r="8966" customFormat="false" ht="15" hidden="false" customHeight="false" outlineLevel="0" collapsed="false">
      <c r="A8966" s="0" t="s">
        <v>9290</v>
      </c>
      <c r="B8966" s="0" t="s">
        <v>92</v>
      </c>
      <c r="C8966" s="0" t="str">
        <f aca="false">INDEX(Intent_Analysis!$B$5:$B$81,MATCH(B8966,Intent_Analysis!$A$5:$A$81,0))</f>
        <v>Fees &amp; charges</v>
      </c>
      <c r="D8966" s="0" t="n">
        <f aca="false">INDEX(Intent_Analysis!$E$5:$E$81,MATCH(B8966,Intent_Analysis!$A$5:$A$81,0))</f>
        <v>1</v>
      </c>
    </row>
    <row r="8967" customFormat="false" ht="15" hidden="false" customHeight="false" outlineLevel="0" collapsed="false">
      <c r="A8967" s="0" t="s">
        <v>9291</v>
      </c>
      <c r="B8967" s="0" t="s">
        <v>92</v>
      </c>
      <c r="C8967" s="0" t="str">
        <f aca="false">INDEX(Intent_Analysis!$B$5:$B$81,MATCH(B8967,Intent_Analysis!$A$5:$A$81,0))</f>
        <v>Fees &amp; charges</v>
      </c>
      <c r="D8967" s="0" t="n">
        <f aca="false">INDEX(Intent_Analysis!$E$5:$E$81,MATCH(B8967,Intent_Analysis!$A$5:$A$81,0))</f>
        <v>1</v>
      </c>
    </row>
    <row r="8968" customFormat="false" ht="15" hidden="false" customHeight="false" outlineLevel="0" collapsed="false">
      <c r="A8968" s="0" t="s">
        <v>9292</v>
      </c>
      <c r="B8968" s="0" t="s">
        <v>92</v>
      </c>
      <c r="C8968" s="0" t="str">
        <f aca="false">INDEX(Intent_Analysis!$B$5:$B$81,MATCH(B8968,Intent_Analysis!$A$5:$A$81,0))</f>
        <v>Fees &amp; charges</v>
      </c>
      <c r="D8968" s="0" t="n">
        <f aca="false">INDEX(Intent_Analysis!$E$5:$E$81,MATCH(B8968,Intent_Analysis!$A$5:$A$81,0))</f>
        <v>1</v>
      </c>
    </row>
    <row r="8969" customFormat="false" ht="15" hidden="false" customHeight="false" outlineLevel="0" collapsed="false">
      <c r="A8969" s="0" t="s">
        <v>9293</v>
      </c>
      <c r="B8969" s="0" t="s">
        <v>92</v>
      </c>
      <c r="C8969" s="0" t="str">
        <f aca="false">INDEX(Intent_Analysis!$B$5:$B$81,MATCH(B8969,Intent_Analysis!$A$5:$A$81,0))</f>
        <v>Fees &amp; charges</v>
      </c>
      <c r="D8969" s="0" t="n">
        <f aca="false">INDEX(Intent_Analysis!$E$5:$E$81,MATCH(B8969,Intent_Analysis!$A$5:$A$81,0))</f>
        <v>1</v>
      </c>
    </row>
    <row r="8970" customFormat="false" ht="15" hidden="false" customHeight="false" outlineLevel="0" collapsed="false">
      <c r="A8970" s="0" t="s">
        <v>9294</v>
      </c>
      <c r="B8970" s="0" t="s">
        <v>92</v>
      </c>
      <c r="C8970" s="0" t="str">
        <f aca="false">INDEX(Intent_Analysis!$B$5:$B$81,MATCH(B8970,Intent_Analysis!$A$5:$A$81,0))</f>
        <v>Fees &amp; charges</v>
      </c>
      <c r="D8970" s="0" t="n">
        <f aca="false">INDEX(Intent_Analysis!$E$5:$E$81,MATCH(B8970,Intent_Analysis!$A$5:$A$81,0))</f>
        <v>1</v>
      </c>
    </row>
    <row r="8971" customFormat="false" ht="15" hidden="false" customHeight="false" outlineLevel="0" collapsed="false">
      <c r="A8971" s="0" t="s">
        <v>9295</v>
      </c>
      <c r="B8971" s="0" t="s">
        <v>92</v>
      </c>
      <c r="C8971" s="0" t="str">
        <f aca="false">INDEX(Intent_Analysis!$B$5:$B$81,MATCH(B8971,Intent_Analysis!$A$5:$A$81,0))</f>
        <v>Fees &amp; charges</v>
      </c>
      <c r="D8971" s="0" t="n">
        <f aca="false">INDEX(Intent_Analysis!$E$5:$E$81,MATCH(B8971,Intent_Analysis!$A$5:$A$81,0))</f>
        <v>1</v>
      </c>
    </row>
    <row r="8972" customFormat="false" ht="15" hidden="false" customHeight="false" outlineLevel="0" collapsed="false">
      <c r="A8972" s="0" t="s">
        <v>9296</v>
      </c>
      <c r="B8972" s="0" t="s">
        <v>92</v>
      </c>
      <c r="C8972" s="0" t="str">
        <f aca="false">INDEX(Intent_Analysis!$B$5:$B$81,MATCH(B8972,Intent_Analysis!$A$5:$A$81,0))</f>
        <v>Fees &amp; charges</v>
      </c>
      <c r="D8972" s="0" t="n">
        <f aca="false">INDEX(Intent_Analysis!$E$5:$E$81,MATCH(B8972,Intent_Analysis!$A$5:$A$81,0))</f>
        <v>1</v>
      </c>
    </row>
    <row r="8973" customFormat="false" ht="15" hidden="false" customHeight="false" outlineLevel="0" collapsed="false">
      <c r="A8973" s="0" t="s">
        <v>9297</v>
      </c>
      <c r="B8973" s="0" t="s">
        <v>92</v>
      </c>
      <c r="C8973" s="0" t="str">
        <f aca="false">INDEX(Intent_Analysis!$B$5:$B$81,MATCH(B8973,Intent_Analysis!$A$5:$A$81,0))</f>
        <v>Fees &amp; charges</v>
      </c>
      <c r="D8973" s="0" t="n">
        <f aca="false">INDEX(Intent_Analysis!$E$5:$E$81,MATCH(B8973,Intent_Analysis!$A$5:$A$81,0))</f>
        <v>1</v>
      </c>
    </row>
    <row r="8974" customFormat="false" ht="15" hidden="false" customHeight="false" outlineLevel="0" collapsed="false">
      <c r="A8974" s="0" t="s">
        <v>9298</v>
      </c>
      <c r="B8974" s="0" t="s">
        <v>92</v>
      </c>
      <c r="C8974" s="0" t="str">
        <f aca="false">INDEX(Intent_Analysis!$B$5:$B$81,MATCH(B8974,Intent_Analysis!$A$5:$A$81,0))</f>
        <v>Fees &amp; charges</v>
      </c>
      <c r="D8974" s="0" t="n">
        <f aca="false">INDEX(Intent_Analysis!$E$5:$E$81,MATCH(B8974,Intent_Analysis!$A$5:$A$81,0))</f>
        <v>1</v>
      </c>
    </row>
    <row r="8975" customFormat="false" ht="15" hidden="false" customHeight="false" outlineLevel="0" collapsed="false">
      <c r="A8975" s="0" t="s">
        <v>9299</v>
      </c>
      <c r="B8975" s="0" t="s">
        <v>92</v>
      </c>
      <c r="C8975" s="0" t="str">
        <f aca="false">INDEX(Intent_Analysis!$B$5:$B$81,MATCH(B8975,Intent_Analysis!$A$5:$A$81,0))</f>
        <v>Fees &amp; charges</v>
      </c>
      <c r="D8975" s="0" t="n">
        <f aca="false">INDEX(Intent_Analysis!$E$5:$E$81,MATCH(B8975,Intent_Analysis!$A$5:$A$81,0))</f>
        <v>1</v>
      </c>
    </row>
    <row r="8976" customFormat="false" ht="15" hidden="false" customHeight="false" outlineLevel="0" collapsed="false">
      <c r="A8976" s="0" t="s">
        <v>9300</v>
      </c>
      <c r="B8976" s="0" t="s">
        <v>92</v>
      </c>
      <c r="C8976" s="0" t="str">
        <f aca="false">INDEX(Intent_Analysis!$B$5:$B$81,MATCH(B8976,Intent_Analysis!$A$5:$A$81,0))</f>
        <v>Fees &amp; charges</v>
      </c>
      <c r="D8976" s="0" t="n">
        <f aca="false">INDEX(Intent_Analysis!$E$5:$E$81,MATCH(B8976,Intent_Analysis!$A$5:$A$81,0))</f>
        <v>1</v>
      </c>
    </row>
    <row r="8977" customFormat="false" ht="15" hidden="false" customHeight="false" outlineLevel="0" collapsed="false">
      <c r="A8977" s="0" t="s">
        <v>9301</v>
      </c>
      <c r="B8977" s="0" t="s">
        <v>92</v>
      </c>
      <c r="C8977" s="0" t="str">
        <f aca="false">INDEX(Intent_Analysis!$B$5:$B$81,MATCH(B8977,Intent_Analysis!$A$5:$A$81,0))</f>
        <v>Fees &amp; charges</v>
      </c>
      <c r="D8977" s="0" t="n">
        <f aca="false">INDEX(Intent_Analysis!$E$5:$E$81,MATCH(B8977,Intent_Analysis!$A$5:$A$81,0))</f>
        <v>1</v>
      </c>
    </row>
    <row r="8978" customFormat="false" ht="15" hidden="false" customHeight="false" outlineLevel="0" collapsed="false">
      <c r="A8978" s="0" t="s">
        <v>9302</v>
      </c>
      <c r="B8978" s="0" t="s">
        <v>92</v>
      </c>
      <c r="C8978" s="0" t="str">
        <f aca="false">INDEX(Intent_Analysis!$B$5:$B$81,MATCH(B8978,Intent_Analysis!$A$5:$A$81,0))</f>
        <v>Fees &amp; charges</v>
      </c>
      <c r="D8978" s="0" t="n">
        <f aca="false">INDEX(Intent_Analysis!$E$5:$E$81,MATCH(B8978,Intent_Analysis!$A$5:$A$81,0))</f>
        <v>1</v>
      </c>
    </row>
    <row r="8979" customFormat="false" ht="15" hidden="false" customHeight="false" outlineLevel="0" collapsed="false">
      <c r="A8979" s="0" t="s">
        <v>9303</v>
      </c>
      <c r="B8979" s="0" t="s">
        <v>92</v>
      </c>
      <c r="C8979" s="0" t="str">
        <f aca="false">INDEX(Intent_Analysis!$B$5:$B$81,MATCH(B8979,Intent_Analysis!$A$5:$A$81,0))</f>
        <v>Fees &amp; charges</v>
      </c>
      <c r="D8979" s="0" t="n">
        <f aca="false">INDEX(Intent_Analysis!$E$5:$E$81,MATCH(B8979,Intent_Analysis!$A$5:$A$81,0))</f>
        <v>1</v>
      </c>
    </row>
    <row r="8980" customFormat="false" ht="15" hidden="false" customHeight="false" outlineLevel="0" collapsed="false">
      <c r="A8980" s="0" t="s">
        <v>9304</v>
      </c>
      <c r="B8980" s="0" t="s">
        <v>92</v>
      </c>
      <c r="C8980" s="0" t="str">
        <f aca="false">INDEX(Intent_Analysis!$B$5:$B$81,MATCH(B8980,Intent_Analysis!$A$5:$A$81,0))</f>
        <v>Fees &amp; charges</v>
      </c>
      <c r="D8980" s="0" t="n">
        <f aca="false">INDEX(Intent_Analysis!$E$5:$E$81,MATCH(B8980,Intent_Analysis!$A$5:$A$81,0))</f>
        <v>1</v>
      </c>
    </row>
    <row r="8981" customFormat="false" ht="15" hidden="false" customHeight="false" outlineLevel="0" collapsed="false">
      <c r="A8981" s="0" t="s">
        <v>9305</v>
      </c>
      <c r="B8981" s="0" t="s">
        <v>92</v>
      </c>
      <c r="C8981" s="0" t="str">
        <f aca="false">INDEX(Intent_Analysis!$B$5:$B$81,MATCH(B8981,Intent_Analysis!$A$5:$A$81,0))</f>
        <v>Fees &amp; charges</v>
      </c>
      <c r="D8981" s="0" t="n">
        <f aca="false">INDEX(Intent_Analysis!$E$5:$E$81,MATCH(B8981,Intent_Analysis!$A$5:$A$81,0))</f>
        <v>1</v>
      </c>
    </row>
    <row r="8982" customFormat="false" ht="15" hidden="false" customHeight="false" outlineLevel="0" collapsed="false">
      <c r="A8982" s="0" t="s">
        <v>9306</v>
      </c>
      <c r="B8982" s="0" t="s">
        <v>92</v>
      </c>
      <c r="C8982" s="0" t="str">
        <f aca="false">INDEX(Intent_Analysis!$B$5:$B$81,MATCH(B8982,Intent_Analysis!$A$5:$A$81,0))</f>
        <v>Fees &amp; charges</v>
      </c>
      <c r="D8982" s="0" t="n">
        <f aca="false">INDEX(Intent_Analysis!$E$5:$E$81,MATCH(B8982,Intent_Analysis!$A$5:$A$81,0))</f>
        <v>1</v>
      </c>
    </row>
    <row r="8983" customFormat="false" ht="15" hidden="false" customHeight="false" outlineLevel="0" collapsed="false">
      <c r="A8983" s="0" t="s">
        <v>9307</v>
      </c>
      <c r="B8983" s="0" t="s">
        <v>92</v>
      </c>
      <c r="C8983" s="0" t="str">
        <f aca="false">INDEX(Intent_Analysis!$B$5:$B$81,MATCH(B8983,Intent_Analysis!$A$5:$A$81,0))</f>
        <v>Fees &amp; charges</v>
      </c>
      <c r="D8983" s="0" t="n">
        <f aca="false">INDEX(Intent_Analysis!$E$5:$E$81,MATCH(B8983,Intent_Analysis!$A$5:$A$81,0))</f>
        <v>1</v>
      </c>
    </row>
    <row r="8984" customFormat="false" ht="15" hidden="false" customHeight="false" outlineLevel="0" collapsed="false">
      <c r="A8984" s="0" t="s">
        <v>9308</v>
      </c>
      <c r="B8984" s="0" t="s">
        <v>92</v>
      </c>
      <c r="C8984" s="0" t="str">
        <f aca="false">INDEX(Intent_Analysis!$B$5:$B$81,MATCH(B8984,Intent_Analysis!$A$5:$A$81,0))</f>
        <v>Fees &amp; charges</v>
      </c>
      <c r="D8984" s="0" t="n">
        <f aca="false">INDEX(Intent_Analysis!$E$5:$E$81,MATCH(B8984,Intent_Analysis!$A$5:$A$81,0))</f>
        <v>1</v>
      </c>
    </row>
    <row r="8985" customFormat="false" ht="15" hidden="false" customHeight="false" outlineLevel="0" collapsed="false">
      <c r="A8985" s="0" t="s">
        <v>9309</v>
      </c>
      <c r="B8985" s="0" t="s">
        <v>92</v>
      </c>
      <c r="C8985" s="0" t="str">
        <f aca="false">INDEX(Intent_Analysis!$B$5:$B$81,MATCH(B8985,Intent_Analysis!$A$5:$A$81,0))</f>
        <v>Fees &amp; charges</v>
      </c>
      <c r="D8985" s="0" t="n">
        <f aca="false">INDEX(Intent_Analysis!$E$5:$E$81,MATCH(B8985,Intent_Analysis!$A$5:$A$81,0))</f>
        <v>1</v>
      </c>
    </row>
    <row r="8986" customFormat="false" ht="15" hidden="false" customHeight="false" outlineLevel="0" collapsed="false">
      <c r="A8986" s="0" t="s">
        <v>9310</v>
      </c>
      <c r="B8986" s="0" t="s">
        <v>92</v>
      </c>
      <c r="C8986" s="0" t="str">
        <f aca="false">INDEX(Intent_Analysis!$B$5:$B$81,MATCH(B8986,Intent_Analysis!$A$5:$A$81,0))</f>
        <v>Fees &amp; charges</v>
      </c>
      <c r="D8986" s="0" t="n">
        <f aca="false">INDEX(Intent_Analysis!$E$5:$E$81,MATCH(B8986,Intent_Analysis!$A$5:$A$81,0))</f>
        <v>1</v>
      </c>
    </row>
    <row r="8987" customFormat="false" ht="15" hidden="false" customHeight="false" outlineLevel="0" collapsed="false">
      <c r="A8987" s="0" t="s">
        <v>9311</v>
      </c>
      <c r="B8987" s="0" t="s">
        <v>92</v>
      </c>
      <c r="C8987" s="0" t="str">
        <f aca="false">INDEX(Intent_Analysis!$B$5:$B$81,MATCH(B8987,Intent_Analysis!$A$5:$A$81,0))</f>
        <v>Fees &amp; charges</v>
      </c>
      <c r="D8987" s="0" t="n">
        <f aca="false">INDEX(Intent_Analysis!$E$5:$E$81,MATCH(B8987,Intent_Analysis!$A$5:$A$81,0))</f>
        <v>1</v>
      </c>
    </row>
    <row r="8988" customFormat="false" ht="15" hidden="false" customHeight="false" outlineLevel="0" collapsed="false">
      <c r="A8988" s="0" t="s">
        <v>9312</v>
      </c>
      <c r="B8988" s="0" t="s">
        <v>92</v>
      </c>
      <c r="C8988" s="0" t="str">
        <f aca="false">INDEX(Intent_Analysis!$B$5:$B$81,MATCH(B8988,Intent_Analysis!$A$5:$A$81,0))</f>
        <v>Fees &amp; charges</v>
      </c>
      <c r="D8988" s="0" t="n">
        <f aca="false">INDEX(Intent_Analysis!$E$5:$E$81,MATCH(B8988,Intent_Analysis!$A$5:$A$81,0))</f>
        <v>1</v>
      </c>
    </row>
    <row r="8989" customFormat="false" ht="15" hidden="false" customHeight="false" outlineLevel="0" collapsed="false">
      <c r="A8989" s="0" t="s">
        <v>9313</v>
      </c>
      <c r="B8989" s="0" t="s">
        <v>92</v>
      </c>
      <c r="C8989" s="0" t="str">
        <f aca="false">INDEX(Intent_Analysis!$B$5:$B$81,MATCH(B8989,Intent_Analysis!$A$5:$A$81,0))</f>
        <v>Fees &amp; charges</v>
      </c>
      <c r="D8989" s="0" t="n">
        <f aca="false">INDEX(Intent_Analysis!$E$5:$E$81,MATCH(B8989,Intent_Analysis!$A$5:$A$81,0))</f>
        <v>1</v>
      </c>
    </row>
    <row r="8990" customFormat="false" ht="15" hidden="false" customHeight="false" outlineLevel="0" collapsed="false">
      <c r="A8990" s="0" t="s">
        <v>9314</v>
      </c>
      <c r="B8990" s="0" t="s">
        <v>92</v>
      </c>
      <c r="C8990" s="0" t="str">
        <f aca="false">INDEX(Intent_Analysis!$B$5:$B$81,MATCH(B8990,Intent_Analysis!$A$5:$A$81,0))</f>
        <v>Fees &amp; charges</v>
      </c>
      <c r="D8990" s="0" t="n">
        <f aca="false">INDEX(Intent_Analysis!$E$5:$E$81,MATCH(B8990,Intent_Analysis!$A$5:$A$81,0))</f>
        <v>1</v>
      </c>
    </row>
    <row r="8991" customFormat="false" ht="15" hidden="false" customHeight="false" outlineLevel="0" collapsed="false">
      <c r="A8991" s="0" t="s">
        <v>9315</v>
      </c>
      <c r="B8991" s="0" t="s">
        <v>92</v>
      </c>
      <c r="C8991" s="0" t="str">
        <f aca="false">INDEX(Intent_Analysis!$B$5:$B$81,MATCH(B8991,Intent_Analysis!$A$5:$A$81,0))</f>
        <v>Fees &amp; charges</v>
      </c>
      <c r="D8991" s="0" t="n">
        <f aca="false">INDEX(Intent_Analysis!$E$5:$E$81,MATCH(B8991,Intent_Analysis!$A$5:$A$81,0))</f>
        <v>1</v>
      </c>
    </row>
    <row r="8992" customFormat="false" ht="15" hidden="false" customHeight="false" outlineLevel="0" collapsed="false">
      <c r="A8992" s="0" t="s">
        <v>9316</v>
      </c>
      <c r="B8992" s="0" t="s">
        <v>92</v>
      </c>
      <c r="C8992" s="0" t="str">
        <f aca="false">INDEX(Intent_Analysis!$B$5:$B$81,MATCH(B8992,Intent_Analysis!$A$5:$A$81,0))</f>
        <v>Fees &amp; charges</v>
      </c>
      <c r="D8992" s="0" t="n">
        <f aca="false">INDEX(Intent_Analysis!$E$5:$E$81,MATCH(B8992,Intent_Analysis!$A$5:$A$81,0))</f>
        <v>1</v>
      </c>
    </row>
    <row r="8993" customFormat="false" ht="15" hidden="false" customHeight="false" outlineLevel="0" collapsed="false">
      <c r="A8993" s="0" t="s">
        <v>9317</v>
      </c>
      <c r="B8993" s="0" t="s">
        <v>92</v>
      </c>
      <c r="C8993" s="0" t="str">
        <f aca="false">INDEX(Intent_Analysis!$B$5:$B$81,MATCH(B8993,Intent_Analysis!$A$5:$A$81,0))</f>
        <v>Fees &amp; charges</v>
      </c>
      <c r="D8993" s="0" t="n">
        <f aca="false">INDEX(Intent_Analysis!$E$5:$E$81,MATCH(B8993,Intent_Analysis!$A$5:$A$81,0))</f>
        <v>1</v>
      </c>
    </row>
    <row r="8994" customFormat="false" ht="15" hidden="false" customHeight="false" outlineLevel="0" collapsed="false">
      <c r="A8994" s="0" t="s">
        <v>9318</v>
      </c>
      <c r="B8994" s="0" t="s">
        <v>92</v>
      </c>
      <c r="C8994" s="0" t="str">
        <f aca="false">INDEX(Intent_Analysis!$B$5:$B$81,MATCH(B8994,Intent_Analysis!$A$5:$A$81,0))</f>
        <v>Fees &amp; charges</v>
      </c>
      <c r="D8994" s="0" t="n">
        <f aca="false">INDEX(Intent_Analysis!$E$5:$E$81,MATCH(B8994,Intent_Analysis!$A$5:$A$81,0))</f>
        <v>1</v>
      </c>
    </row>
    <row r="8995" customFormat="false" ht="15" hidden="false" customHeight="false" outlineLevel="0" collapsed="false">
      <c r="A8995" s="0" t="s">
        <v>9319</v>
      </c>
      <c r="B8995" s="0" t="s">
        <v>92</v>
      </c>
      <c r="C8995" s="0" t="str">
        <f aca="false">INDEX(Intent_Analysis!$B$5:$B$81,MATCH(B8995,Intent_Analysis!$A$5:$A$81,0))</f>
        <v>Fees &amp; charges</v>
      </c>
      <c r="D8995" s="0" t="n">
        <f aca="false">INDEX(Intent_Analysis!$E$5:$E$81,MATCH(B8995,Intent_Analysis!$A$5:$A$81,0))</f>
        <v>1</v>
      </c>
    </row>
    <row r="8996" customFormat="false" ht="15" hidden="false" customHeight="false" outlineLevel="0" collapsed="false">
      <c r="A8996" s="0" t="s">
        <v>9320</v>
      </c>
      <c r="B8996" s="0" t="s">
        <v>92</v>
      </c>
      <c r="C8996" s="0" t="str">
        <f aca="false">INDEX(Intent_Analysis!$B$5:$B$81,MATCH(B8996,Intent_Analysis!$A$5:$A$81,0))</f>
        <v>Fees &amp; charges</v>
      </c>
      <c r="D8996" s="0" t="n">
        <f aca="false">INDEX(Intent_Analysis!$E$5:$E$81,MATCH(B8996,Intent_Analysis!$A$5:$A$81,0))</f>
        <v>1</v>
      </c>
    </row>
    <row r="8997" customFormat="false" ht="15" hidden="false" customHeight="false" outlineLevel="0" collapsed="false">
      <c r="A8997" s="0" t="s">
        <v>9321</v>
      </c>
      <c r="B8997" s="0" t="s">
        <v>92</v>
      </c>
      <c r="C8997" s="0" t="str">
        <f aca="false">INDEX(Intent_Analysis!$B$5:$B$81,MATCH(B8997,Intent_Analysis!$A$5:$A$81,0))</f>
        <v>Fees &amp; charges</v>
      </c>
      <c r="D8997" s="0" t="n">
        <f aca="false">INDEX(Intent_Analysis!$E$5:$E$81,MATCH(B8997,Intent_Analysis!$A$5:$A$81,0))</f>
        <v>1</v>
      </c>
    </row>
    <row r="8998" customFormat="false" ht="15" hidden="false" customHeight="false" outlineLevel="0" collapsed="false">
      <c r="A8998" s="0" t="s">
        <v>9322</v>
      </c>
      <c r="B8998" s="0" t="s">
        <v>92</v>
      </c>
      <c r="C8998" s="0" t="str">
        <f aca="false">INDEX(Intent_Analysis!$B$5:$B$81,MATCH(B8998,Intent_Analysis!$A$5:$A$81,0))</f>
        <v>Fees &amp; charges</v>
      </c>
      <c r="D8998" s="0" t="n">
        <f aca="false">INDEX(Intent_Analysis!$E$5:$E$81,MATCH(B8998,Intent_Analysis!$A$5:$A$81,0))</f>
        <v>1</v>
      </c>
    </row>
    <row r="8999" customFormat="false" ht="15" hidden="false" customHeight="false" outlineLevel="0" collapsed="false">
      <c r="A8999" s="0" t="s">
        <v>9323</v>
      </c>
      <c r="B8999" s="0" t="s">
        <v>92</v>
      </c>
      <c r="C8999" s="0" t="str">
        <f aca="false">INDEX(Intent_Analysis!$B$5:$B$81,MATCH(B8999,Intent_Analysis!$A$5:$A$81,0))</f>
        <v>Fees &amp; charges</v>
      </c>
      <c r="D8999" s="0" t="n">
        <f aca="false">INDEX(Intent_Analysis!$E$5:$E$81,MATCH(B8999,Intent_Analysis!$A$5:$A$81,0))</f>
        <v>1</v>
      </c>
    </row>
    <row r="9000" customFormat="false" ht="15" hidden="false" customHeight="false" outlineLevel="0" collapsed="false">
      <c r="A9000" s="0" t="s">
        <v>9324</v>
      </c>
      <c r="B9000" s="0" t="s">
        <v>92</v>
      </c>
      <c r="C9000" s="0" t="str">
        <f aca="false">INDEX(Intent_Analysis!$B$5:$B$81,MATCH(B9000,Intent_Analysis!$A$5:$A$81,0))</f>
        <v>Fees &amp; charges</v>
      </c>
      <c r="D9000" s="0" t="n">
        <f aca="false">INDEX(Intent_Analysis!$E$5:$E$81,MATCH(B9000,Intent_Analysis!$A$5:$A$81,0))</f>
        <v>1</v>
      </c>
    </row>
    <row r="9001" customFormat="false" ht="15" hidden="false" customHeight="false" outlineLevel="0" collapsed="false">
      <c r="A9001" s="0" t="s">
        <v>9325</v>
      </c>
      <c r="B9001" s="0" t="s">
        <v>92</v>
      </c>
      <c r="C9001" s="0" t="str">
        <f aca="false">INDEX(Intent_Analysis!$B$5:$B$81,MATCH(B9001,Intent_Analysis!$A$5:$A$81,0))</f>
        <v>Fees &amp; charges</v>
      </c>
      <c r="D9001" s="0" t="n">
        <f aca="false">INDEX(Intent_Analysis!$E$5:$E$81,MATCH(B9001,Intent_Analysis!$A$5:$A$81,0))</f>
        <v>1</v>
      </c>
    </row>
    <row r="9002" customFormat="false" ht="15" hidden="false" customHeight="false" outlineLevel="0" collapsed="false">
      <c r="A9002" s="0" t="s">
        <v>9326</v>
      </c>
      <c r="B9002" s="0" t="s">
        <v>92</v>
      </c>
      <c r="C9002" s="0" t="str">
        <f aca="false">INDEX(Intent_Analysis!$B$5:$B$81,MATCH(B9002,Intent_Analysis!$A$5:$A$81,0))</f>
        <v>Fees &amp; charges</v>
      </c>
      <c r="D9002" s="0" t="n">
        <f aca="false">INDEX(Intent_Analysis!$E$5:$E$81,MATCH(B9002,Intent_Analysis!$A$5:$A$81,0))</f>
        <v>1</v>
      </c>
    </row>
    <row r="9003" customFormat="false" ht="15" hidden="false" customHeight="false" outlineLevel="0" collapsed="false">
      <c r="A9003" s="0" t="s">
        <v>9327</v>
      </c>
      <c r="B9003" s="0" t="s">
        <v>92</v>
      </c>
      <c r="C9003" s="0" t="str">
        <f aca="false">INDEX(Intent_Analysis!$B$5:$B$81,MATCH(B9003,Intent_Analysis!$A$5:$A$81,0))</f>
        <v>Fees &amp; charges</v>
      </c>
      <c r="D9003" s="0" t="n">
        <f aca="false">INDEX(Intent_Analysis!$E$5:$E$81,MATCH(B9003,Intent_Analysis!$A$5:$A$81,0))</f>
        <v>1</v>
      </c>
    </row>
    <row r="9004" customFormat="false" ht="15" hidden="false" customHeight="false" outlineLevel="0" collapsed="false">
      <c r="A9004" s="0" t="s">
        <v>9328</v>
      </c>
      <c r="B9004" s="0" t="s">
        <v>92</v>
      </c>
      <c r="C9004" s="0" t="str">
        <f aca="false">INDEX(Intent_Analysis!$B$5:$B$81,MATCH(B9004,Intent_Analysis!$A$5:$A$81,0))</f>
        <v>Fees &amp; charges</v>
      </c>
      <c r="D9004" s="0" t="n">
        <f aca="false">INDEX(Intent_Analysis!$E$5:$E$81,MATCH(B9004,Intent_Analysis!$A$5:$A$81,0))</f>
        <v>1</v>
      </c>
    </row>
    <row r="9005" customFormat="false" ht="15" hidden="false" customHeight="false" outlineLevel="0" collapsed="false">
      <c r="A9005" s="0" t="s">
        <v>9329</v>
      </c>
      <c r="B9005" s="0" t="s">
        <v>92</v>
      </c>
      <c r="C9005" s="0" t="str">
        <f aca="false">INDEX(Intent_Analysis!$B$5:$B$81,MATCH(B9005,Intent_Analysis!$A$5:$A$81,0))</f>
        <v>Fees &amp; charges</v>
      </c>
      <c r="D9005" s="0" t="n">
        <f aca="false">INDEX(Intent_Analysis!$E$5:$E$81,MATCH(B9005,Intent_Analysis!$A$5:$A$81,0))</f>
        <v>1</v>
      </c>
    </row>
    <row r="9006" customFormat="false" ht="15" hidden="false" customHeight="false" outlineLevel="0" collapsed="false">
      <c r="A9006" s="0" t="s">
        <v>9330</v>
      </c>
      <c r="B9006" s="0" t="s">
        <v>92</v>
      </c>
      <c r="C9006" s="0" t="str">
        <f aca="false">INDEX(Intent_Analysis!$B$5:$B$81,MATCH(B9006,Intent_Analysis!$A$5:$A$81,0))</f>
        <v>Fees &amp; charges</v>
      </c>
      <c r="D9006" s="0" t="n">
        <f aca="false">INDEX(Intent_Analysis!$E$5:$E$81,MATCH(B9006,Intent_Analysis!$A$5:$A$81,0))</f>
        <v>1</v>
      </c>
    </row>
    <row r="9007" customFormat="false" ht="15" hidden="false" customHeight="false" outlineLevel="0" collapsed="false">
      <c r="A9007" s="0" t="s">
        <v>9331</v>
      </c>
      <c r="B9007" s="0" t="s">
        <v>92</v>
      </c>
      <c r="C9007" s="0" t="str">
        <f aca="false">INDEX(Intent_Analysis!$B$5:$B$81,MATCH(B9007,Intent_Analysis!$A$5:$A$81,0))</f>
        <v>Fees &amp; charges</v>
      </c>
      <c r="D9007" s="0" t="n">
        <f aca="false">INDEX(Intent_Analysis!$E$5:$E$81,MATCH(B9007,Intent_Analysis!$A$5:$A$81,0))</f>
        <v>1</v>
      </c>
    </row>
    <row r="9008" customFormat="false" ht="15" hidden="false" customHeight="false" outlineLevel="0" collapsed="false">
      <c r="A9008" s="0" t="s">
        <v>9332</v>
      </c>
      <c r="B9008" s="0" t="s">
        <v>92</v>
      </c>
      <c r="C9008" s="0" t="str">
        <f aca="false">INDEX(Intent_Analysis!$B$5:$B$81,MATCH(B9008,Intent_Analysis!$A$5:$A$81,0))</f>
        <v>Fees &amp; charges</v>
      </c>
      <c r="D9008" s="0" t="n">
        <f aca="false">INDEX(Intent_Analysis!$E$5:$E$81,MATCH(B9008,Intent_Analysis!$A$5:$A$81,0))</f>
        <v>1</v>
      </c>
    </row>
    <row r="9009" customFormat="false" ht="15" hidden="false" customHeight="false" outlineLevel="0" collapsed="false">
      <c r="A9009" s="0" t="s">
        <v>9333</v>
      </c>
      <c r="B9009" s="0" t="s">
        <v>92</v>
      </c>
      <c r="C9009" s="0" t="str">
        <f aca="false">INDEX(Intent_Analysis!$B$5:$B$81,MATCH(B9009,Intent_Analysis!$A$5:$A$81,0))</f>
        <v>Fees &amp; charges</v>
      </c>
      <c r="D9009" s="0" t="n">
        <f aca="false">INDEX(Intent_Analysis!$E$5:$E$81,MATCH(B9009,Intent_Analysis!$A$5:$A$81,0))</f>
        <v>1</v>
      </c>
    </row>
    <row r="9010" customFormat="false" ht="15" hidden="false" customHeight="false" outlineLevel="0" collapsed="false">
      <c r="A9010" s="0" t="s">
        <v>9334</v>
      </c>
      <c r="B9010" s="0" t="s">
        <v>92</v>
      </c>
      <c r="C9010" s="0" t="str">
        <f aca="false">INDEX(Intent_Analysis!$B$5:$B$81,MATCH(B9010,Intent_Analysis!$A$5:$A$81,0))</f>
        <v>Fees &amp; charges</v>
      </c>
      <c r="D9010" s="0" t="n">
        <f aca="false">INDEX(Intent_Analysis!$E$5:$E$81,MATCH(B9010,Intent_Analysis!$A$5:$A$81,0))</f>
        <v>1</v>
      </c>
    </row>
    <row r="9011" customFormat="false" ht="15" hidden="false" customHeight="false" outlineLevel="0" collapsed="false">
      <c r="A9011" s="0" t="s">
        <v>9335</v>
      </c>
      <c r="B9011" s="0" t="s">
        <v>92</v>
      </c>
      <c r="C9011" s="0" t="str">
        <f aca="false">INDEX(Intent_Analysis!$B$5:$B$81,MATCH(B9011,Intent_Analysis!$A$5:$A$81,0))</f>
        <v>Fees &amp; charges</v>
      </c>
      <c r="D9011" s="0" t="n">
        <f aca="false">INDEX(Intent_Analysis!$E$5:$E$81,MATCH(B9011,Intent_Analysis!$A$5:$A$81,0))</f>
        <v>1</v>
      </c>
    </row>
    <row r="9012" customFormat="false" ht="15" hidden="false" customHeight="false" outlineLevel="0" collapsed="false">
      <c r="A9012" s="0" t="s">
        <v>9336</v>
      </c>
      <c r="B9012" s="0" t="s">
        <v>92</v>
      </c>
      <c r="C9012" s="0" t="str">
        <f aca="false">INDEX(Intent_Analysis!$B$5:$B$81,MATCH(B9012,Intent_Analysis!$A$5:$A$81,0))</f>
        <v>Fees &amp; charges</v>
      </c>
      <c r="D9012" s="0" t="n">
        <f aca="false">INDEX(Intent_Analysis!$E$5:$E$81,MATCH(B9012,Intent_Analysis!$A$5:$A$81,0))</f>
        <v>1</v>
      </c>
    </row>
    <row r="9013" customFormat="false" ht="15" hidden="false" customHeight="false" outlineLevel="0" collapsed="false">
      <c r="A9013" s="0" t="s">
        <v>9337</v>
      </c>
      <c r="B9013" s="0" t="s">
        <v>92</v>
      </c>
      <c r="C9013" s="0" t="str">
        <f aca="false">INDEX(Intent_Analysis!$B$5:$B$81,MATCH(B9013,Intent_Analysis!$A$5:$A$81,0))</f>
        <v>Fees &amp; charges</v>
      </c>
      <c r="D9013" s="0" t="n">
        <f aca="false">INDEX(Intent_Analysis!$E$5:$E$81,MATCH(B9013,Intent_Analysis!$A$5:$A$81,0))</f>
        <v>1</v>
      </c>
    </row>
    <row r="9014" customFormat="false" ht="15" hidden="false" customHeight="false" outlineLevel="0" collapsed="false">
      <c r="A9014" s="0" t="s">
        <v>9338</v>
      </c>
      <c r="B9014" s="0" t="s">
        <v>92</v>
      </c>
      <c r="C9014" s="0" t="str">
        <f aca="false">INDEX(Intent_Analysis!$B$5:$B$81,MATCH(B9014,Intent_Analysis!$A$5:$A$81,0))</f>
        <v>Fees &amp; charges</v>
      </c>
      <c r="D9014" s="0" t="n">
        <f aca="false">INDEX(Intent_Analysis!$E$5:$E$81,MATCH(B9014,Intent_Analysis!$A$5:$A$81,0))</f>
        <v>1</v>
      </c>
    </row>
    <row r="9015" customFormat="false" ht="15" hidden="false" customHeight="false" outlineLevel="0" collapsed="false">
      <c r="A9015" s="0" t="s">
        <v>9339</v>
      </c>
      <c r="B9015" s="0" t="s">
        <v>92</v>
      </c>
      <c r="C9015" s="0" t="str">
        <f aca="false">INDEX(Intent_Analysis!$B$5:$B$81,MATCH(B9015,Intent_Analysis!$A$5:$A$81,0))</f>
        <v>Fees &amp; charges</v>
      </c>
      <c r="D9015" s="0" t="n">
        <f aca="false">INDEX(Intent_Analysis!$E$5:$E$81,MATCH(B9015,Intent_Analysis!$A$5:$A$81,0))</f>
        <v>1</v>
      </c>
    </row>
    <row r="9016" customFormat="false" ht="15" hidden="false" customHeight="false" outlineLevel="0" collapsed="false">
      <c r="A9016" s="0" t="s">
        <v>9340</v>
      </c>
      <c r="B9016" s="0" t="s">
        <v>92</v>
      </c>
      <c r="C9016" s="0" t="str">
        <f aca="false">INDEX(Intent_Analysis!$B$5:$B$81,MATCH(B9016,Intent_Analysis!$A$5:$A$81,0))</f>
        <v>Fees &amp; charges</v>
      </c>
      <c r="D9016" s="0" t="n">
        <f aca="false">INDEX(Intent_Analysis!$E$5:$E$81,MATCH(B9016,Intent_Analysis!$A$5:$A$81,0))</f>
        <v>1</v>
      </c>
    </row>
    <row r="9017" customFormat="false" ht="15" hidden="false" customHeight="false" outlineLevel="0" collapsed="false">
      <c r="A9017" s="0" t="s">
        <v>9341</v>
      </c>
      <c r="B9017" s="0" t="s">
        <v>92</v>
      </c>
      <c r="C9017" s="0" t="str">
        <f aca="false">INDEX(Intent_Analysis!$B$5:$B$81,MATCH(B9017,Intent_Analysis!$A$5:$A$81,0))</f>
        <v>Fees &amp; charges</v>
      </c>
      <c r="D9017" s="0" t="n">
        <f aca="false">INDEX(Intent_Analysis!$E$5:$E$81,MATCH(B9017,Intent_Analysis!$A$5:$A$81,0))</f>
        <v>1</v>
      </c>
    </row>
    <row r="9018" customFormat="false" ht="15" hidden="false" customHeight="false" outlineLevel="0" collapsed="false">
      <c r="A9018" s="0" t="s">
        <v>9342</v>
      </c>
      <c r="B9018" s="0" t="s">
        <v>92</v>
      </c>
      <c r="C9018" s="0" t="str">
        <f aca="false">INDEX(Intent_Analysis!$B$5:$B$81,MATCH(B9018,Intent_Analysis!$A$5:$A$81,0))</f>
        <v>Fees &amp; charges</v>
      </c>
      <c r="D9018" s="0" t="n">
        <f aca="false">INDEX(Intent_Analysis!$E$5:$E$81,MATCH(B9018,Intent_Analysis!$A$5:$A$81,0))</f>
        <v>1</v>
      </c>
    </row>
    <row r="9019" customFormat="false" ht="15" hidden="false" customHeight="false" outlineLevel="0" collapsed="false">
      <c r="A9019" s="0" t="s">
        <v>9343</v>
      </c>
      <c r="B9019" s="0" t="s">
        <v>92</v>
      </c>
      <c r="C9019" s="0" t="str">
        <f aca="false">INDEX(Intent_Analysis!$B$5:$B$81,MATCH(B9019,Intent_Analysis!$A$5:$A$81,0))</f>
        <v>Fees &amp; charges</v>
      </c>
      <c r="D9019" s="0" t="n">
        <f aca="false">INDEX(Intent_Analysis!$E$5:$E$81,MATCH(B9019,Intent_Analysis!$A$5:$A$81,0))</f>
        <v>1</v>
      </c>
    </row>
    <row r="9020" customFormat="false" ht="15" hidden="false" customHeight="false" outlineLevel="0" collapsed="false">
      <c r="A9020" s="0" t="s">
        <v>9344</v>
      </c>
      <c r="B9020" s="0" t="s">
        <v>92</v>
      </c>
      <c r="C9020" s="0" t="str">
        <f aca="false">INDEX(Intent_Analysis!$B$5:$B$81,MATCH(B9020,Intent_Analysis!$A$5:$A$81,0))</f>
        <v>Fees &amp; charges</v>
      </c>
      <c r="D9020" s="0" t="n">
        <f aca="false">INDEX(Intent_Analysis!$E$5:$E$81,MATCH(B9020,Intent_Analysis!$A$5:$A$81,0))</f>
        <v>1</v>
      </c>
    </row>
    <row r="9021" customFormat="false" ht="15" hidden="false" customHeight="false" outlineLevel="0" collapsed="false">
      <c r="A9021" s="0" t="s">
        <v>9345</v>
      </c>
      <c r="B9021" s="0" t="s">
        <v>92</v>
      </c>
      <c r="C9021" s="0" t="str">
        <f aca="false">INDEX(Intent_Analysis!$B$5:$B$81,MATCH(B9021,Intent_Analysis!$A$5:$A$81,0))</f>
        <v>Fees &amp; charges</v>
      </c>
      <c r="D9021" s="0" t="n">
        <f aca="false">INDEX(Intent_Analysis!$E$5:$E$81,MATCH(B9021,Intent_Analysis!$A$5:$A$81,0))</f>
        <v>1</v>
      </c>
    </row>
    <row r="9022" customFormat="false" ht="15" hidden="false" customHeight="false" outlineLevel="0" collapsed="false">
      <c r="A9022" s="0" t="s">
        <v>9346</v>
      </c>
      <c r="B9022" s="0" t="s">
        <v>92</v>
      </c>
      <c r="C9022" s="0" t="str">
        <f aca="false">INDEX(Intent_Analysis!$B$5:$B$81,MATCH(B9022,Intent_Analysis!$A$5:$A$81,0))</f>
        <v>Fees &amp; charges</v>
      </c>
      <c r="D9022" s="0" t="n">
        <f aca="false">INDEX(Intent_Analysis!$E$5:$E$81,MATCH(B9022,Intent_Analysis!$A$5:$A$81,0))</f>
        <v>1</v>
      </c>
    </row>
    <row r="9023" customFormat="false" ht="15" hidden="false" customHeight="false" outlineLevel="0" collapsed="false">
      <c r="A9023" s="0" t="s">
        <v>9347</v>
      </c>
      <c r="B9023" s="0" t="s">
        <v>92</v>
      </c>
      <c r="C9023" s="0" t="str">
        <f aca="false">INDEX(Intent_Analysis!$B$5:$B$81,MATCH(B9023,Intent_Analysis!$A$5:$A$81,0))</f>
        <v>Fees &amp; charges</v>
      </c>
      <c r="D9023" s="0" t="n">
        <f aca="false">INDEX(Intent_Analysis!$E$5:$E$81,MATCH(B9023,Intent_Analysis!$A$5:$A$81,0))</f>
        <v>1</v>
      </c>
    </row>
    <row r="9024" customFormat="false" ht="15" hidden="false" customHeight="false" outlineLevel="0" collapsed="false">
      <c r="A9024" s="0" t="s">
        <v>9348</v>
      </c>
      <c r="B9024" s="0" t="s">
        <v>92</v>
      </c>
      <c r="C9024" s="0" t="str">
        <f aca="false">INDEX(Intent_Analysis!$B$5:$B$81,MATCH(B9024,Intent_Analysis!$A$5:$A$81,0))</f>
        <v>Fees &amp; charges</v>
      </c>
      <c r="D9024" s="0" t="n">
        <f aca="false">INDEX(Intent_Analysis!$E$5:$E$81,MATCH(B9024,Intent_Analysis!$A$5:$A$81,0))</f>
        <v>1</v>
      </c>
    </row>
    <row r="9025" customFormat="false" ht="15" hidden="false" customHeight="false" outlineLevel="0" collapsed="false">
      <c r="A9025" s="0" t="s">
        <v>9349</v>
      </c>
      <c r="B9025" s="0" t="s">
        <v>92</v>
      </c>
      <c r="C9025" s="0" t="str">
        <f aca="false">INDEX(Intent_Analysis!$B$5:$B$81,MATCH(B9025,Intent_Analysis!$A$5:$A$81,0))</f>
        <v>Fees &amp; charges</v>
      </c>
      <c r="D9025" s="0" t="n">
        <f aca="false">INDEX(Intent_Analysis!$E$5:$E$81,MATCH(B9025,Intent_Analysis!$A$5:$A$81,0))</f>
        <v>1</v>
      </c>
    </row>
    <row r="9026" customFormat="false" ht="15" hidden="false" customHeight="false" outlineLevel="0" collapsed="false">
      <c r="A9026" s="0" t="s">
        <v>9350</v>
      </c>
      <c r="B9026" s="0" t="s">
        <v>92</v>
      </c>
      <c r="C9026" s="0" t="str">
        <f aca="false">INDEX(Intent_Analysis!$B$5:$B$81,MATCH(B9026,Intent_Analysis!$A$5:$A$81,0))</f>
        <v>Fees &amp; charges</v>
      </c>
      <c r="D9026" s="0" t="n">
        <f aca="false">INDEX(Intent_Analysis!$E$5:$E$81,MATCH(B9026,Intent_Analysis!$A$5:$A$81,0))</f>
        <v>1</v>
      </c>
    </row>
    <row r="9027" customFormat="false" ht="15" hidden="false" customHeight="false" outlineLevel="0" collapsed="false">
      <c r="A9027" s="0" t="s">
        <v>9351</v>
      </c>
      <c r="B9027" s="0" t="s">
        <v>92</v>
      </c>
      <c r="C9027" s="0" t="str">
        <f aca="false">INDEX(Intent_Analysis!$B$5:$B$81,MATCH(B9027,Intent_Analysis!$A$5:$A$81,0))</f>
        <v>Fees &amp; charges</v>
      </c>
      <c r="D9027" s="0" t="n">
        <f aca="false">INDEX(Intent_Analysis!$E$5:$E$81,MATCH(B9027,Intent_Analysis!$A$5:$A$81,0))</f>
        <v>1</v>
      </c>
    </row>
    <row r="9028" customFormat="false" ht="15" hidden="false" customHeight="false" outlineLevel="0" collapsed="false">
      <c r="A9028" s="0" t="s">
        <v>9352</v>
      </c>
      <c r="B9028" s="0" t="s">
        <v>92</v>
      </c>
      <c r="C9028" s="0" t="str">
        <f aca="false">INDEX(Intent_Analysis!$B$5:$B$81,MATCH(B9028,Intent_Analysis!$A$5:$A$81,0))</f>
        <v>Fees &amp; charges</v>
      </c>
      <c r="D9028" s="0" t="n">
        <f aca="false">INDEX(Intent_Analysis!$E$5:$E$81,MATCH(B9028,Intent_Analysis!$A$5:$A$81,0))</f>
        <v>1</v>
      </c>
    </row>
    <row r="9029" customFormat="false" ht="15" hidden="false" customHeight="false" outlineLevel="0" collapsed="false">
      <c r="A9029" s="0" t="s">
        <v>9353</v>
      </c>
      <c r="B9029" s="0" t="s">
        <v>92</v>
      </c>
      <c r="C9029" s="0" t="str">
        <f aca="false">INDEX(Intent_Analysis!$B$5:$B$81,MATCH(B9029,Intent_Analysis!$A$5:$A$81,0))</f>
        <v>Fees &amp; charges</v>
      </c>
      <c r="D9029" s="0" t="n">
        <f aca="false">INDEX(Intent_Analysis!$E$5:$E$81,MATCH(B9029,Intent_Analysis!$A$5:$A$81,0))</f>
        <v>1</v>
      </c>
    </row>
    <row r="9030" customFormat="false" ht="15" hidden="false" customHeight="false" outlineLevel="0" collapsed="false">
      <c r="A9030" s="0" t="s">
        <v>9354</v>
      </c>
      <c r="B9030" s="0" t="s">
        <v>92</v>
      </c>
      <c r="C9030" s="0" t="str">
        <f aca="false">INDEX(Intent_Analysis!$B$5:$B$81,MATCH(B9030,Intent_Analysis!$A$5:$A$81,0))</f>
        <v>Fees &amp; charges</v>
      </c>
      <c r="D9030" s="0" t="n">
        <f aca="false">INDEX(Intent_Analysis!$E$5:$E$81,MATCH(B9030,Intent_Analysis!$A$5:$A$81,0))</f>
        <v>1</v>
      </c>
    </row>
    <row r="9031" customFormat="false" ht="15" hidden="false" customHeight="false" outlineLevel="0" collapsed="false">
      <c r="A9031" s="0" t="s">
        <v>9355</v>
      </c>
      <c r="B9031" s="0" t="s">
        <v>92</v>
      </c>
      <c r="C9031" s="0" t="str">
        <f aca="false">INDEX(Intent_Analysis!$B$5:$B$81,MATCH(B9031,Intent_Analysis!$A$5:$A$81,0))</f>
        <v>Fees &amp; charges</v>
      </c>
      <c r="D9031" s="0" t="n">
        <f aca="false">INDEX(Intent_Analysis!$E$5:$E$81,MATCH(B9031,Intent_Analysis!$A$5:$A$81,0))</f>
        <v>1</v>
      </c>
    </row>
    <row r="9032" customFormat="false" ht="15" hidden="false" customHeight="false" outlineLevel="0" collapsed="false">
      <c r="A9032" s="0" t="s">
        <v>9356</v>
      </c>
      <c r="B9032" s="0" t="s">
        <v>92</v>
      </c>
      <c r="C9032" s="0" t="str">
        <f aca="false">INDEX(Intent_Analysis!$B$5:$B$81,MATCH(B9032,Intent_Analysis!$A$5:$A$81,0))</f>
        <v>Fees &amp; charges</v>
      </c>
      <c r="D9032" s="0" t="n">
        <f aca="false">INDEX(Intent_Analysis!$E$5:$E$81,MATCH(B9032,Intent_Analysis!$A$5:$A$81,0))</f>
        <v>1</v>
      </c>
    </row>
    <row r="9033" customFormat="false" ht="15" hidden="false" customHeight="false" outlineLevel="0" collapsed="false">
      <c r="A9033" s="0" t="s">
        <v>9357</v>
      </c>
      <c r="B9033" s="0" t="s">
        <v>92</v>
      </c>
      <c r="C9033" s="0" t="str">
        <f aca="false">INDEX(Intent_Analysis!$B$5:$B$81,MATCH(B9033,Intent_Analysis!$A$5:$A$81,0))</f>
        <v>Fees &amp; charges</v>
      </c>
      <c r="D9033" s="0" t="n">
        <f aca="false">INDEX(Intent_Analysis!$E$5:$E$81,MATCH(B9033,Intent_Analysis!$A$5:$A$81,0))</f>
        <v>1</v>
      </c>
    </row>
    <row r="9034" customFormat="false" ht="15" hidden="false" customHeight="false" outlineLevel="0" collapsed="false">
      <c r="A9034" s="0" t="s">
        <v>9358</v>
      </c>
      <c r="B9034" s="0" t="s">
        <v>92</v>
      </c>
      <c r="C9034" s="0" t="str">
        <f aca="false">INDEX(Intent_Analysis!$B$5:$B$81,MATCH(B9034,Intent_Analysis!$A$5:$A$81,0))</f>
        <v>Fees &amp; charges</v>
      </c>
      <c r="D9034" s="0" t="n">
        <f aca="false">INDEX(Intent_Analysis!$E$5:$E$81,MATCH(B9034,Intent_Analysis!$A$5:$A$81,0))</f>
        <v>1</v>
      </c>
    </row>
    <row r="9035" customFormat="false" ht="15" hidden="false" customHeight="false" outlineLevel="0" collapsed="false">
      <c r="A9035" s="0" t="s">
        <v>9359</v>
      </c>
      <c r="B9035" s="0" t="s">
        <v>92</v>
      </c>
      <c r="C9035" s="0" t="str">
        <f aca="false">INDEX(Intent_Analysis!$B$5:$B$81,MATCH(B9035,Intent_Analysis!$A$5:$A$81,0))</f>
        <v>Fees &amp; charges</v>
      </c>
      <c r="D9035" s="0" t="n">
        <f aca="false">INDEX(Intent_Analysis!$E$5:$E$81,MATCH(B9035,Intent_Analysis!$A$5:$A$81,0))</f>
        <v>1</v>
      </c>
    </row>
    <row r="9036" customFormat="false" ht="15" hidden="false" customHeight="false" outlineLevel="0" collapsed="false">
      <c r="A9036" s="0" t="s">
        <v>9360</v>
      </c>
      <c r="B9036" s="0" t="s">
        <v>92</v>
      </c>
      <c r="C9036" s="0" t="str">
        <f aca="false">INDEX(Intent_Analysis!$B$5:$B$81,MATCH(B9036,Intent_Analysis!$A$5:$A$81,0))</f>
        <v>Fees &amp; charges</v>
      </c>
      <c r="D9036" s="0" t="n">
        <f aca="false">INDEX(Intent_Analysis!$E$5:$E$81,MATCH(B9036,Intent_Analysis!$A$5:$A$81,0))</f>
        <v>1</v>
      </c>
    </row>
    <row r="9037" customFormat="false" ht="15" hidden="false" customHeight="false" outlineLevel="0" collapsed="false">
      <c r="A9037" s="0" t="s">
        <v>9361</v>
      </c>
      <c r="B9037" s="0" t="s">
        <v>92</v>
      </c>
      <c r="C9037" s="0" t="str">
        <f aca="false">INDEX(Intent_Analysis!$B$5:$B$81,MATCH(B9037,Intent_Analysis!$A$5:$A$81,0))</f>
        <v>Fees &amp; charges</v>
      </c>
      <c r="D9037" s="0" t="n">
        <f aca="false">INDEX(Intent_Analysis!$E$5:$E$81,MATCH(B9037,Intent_Analysis!$A$5:$A$81,0))</f>
        <v>1</v>
      </c>
    </row>
    <row r="9038" customFormat="false" ht="15" hidden="false" customHeight="false" outlineLevel="0" collapsed="false">
      <c r="A9038" s="0" t="s">
        <v>9362</v>
      </c>
      <c r="B9038" s="0" t="s">
        <v>92</v>
      </c>
      <c r="C9038" s="0" t="str">
        <f aca="false">INDEX(Intent_Analysis!$B$5:$B$81,MATCH(B9038,Intent_Analysis!$A$5:$A$81,0))</f>
        <v>Fees &amp; charges</v>
      </c>
      <c r="D9038" s="0" t="n">
        <f aca="false">INDEX(Intent_Analysis!$E$5:$E$81,MATCH(B9038,Intent_Analysis!$A$5:$A$81,0))</f>
        <v>1</v>
      </c>
    </row>
    <row r="9039" customFormat="false" ht="15" hidden="false" customHeight="false" outlineLevel="0" collapsed="false">
      <c r="A9039" s="0" t="s">
        <v>9363</v>
      </c>
      <c r="B9039" s="0" t="s">
        <v>92</v>
      </c>
      <c r="C9039" s="0" t="str">
        <f aca="false">INDEX(Intent_Analysis!$B$5:$B$81,MATCH(B9039,Intent_Analysis!$A$5:$A$81,0))</f>
        <v>Fees &amp; charges</v>
      </c>
      <c r="D9039" s="0" t="n">
        <f aca="false">INDEX(Intent_Analysis!$E$5:$E$81,MATCH(B9039,Intent_Analysis!$A$5:$A$81,0))</f>
        <v>1</v>
      </c>
    </row>
    <row r="9040" customFormat="false" ht="15" hidden="false" customHeight="false" outlineLevel="0" collapsed="false">
      <c r="A9040" s="0" t="s">
        <v>9364</v>
      </c>
      <c r="B9040" s="0" t="s">
        <v>92</v>
      </c>
      <c r="C9040" s="0" t="str">
        <f aca="false">INDEX(Intent_Analysis!$B$5:$B$81,MATCH(B9040,Intent_Analysis!$A$5:$A$81,0))</f>
        <v>Fees &amp; charges</v>
      </c>
      <c r="D9040" s="0" t="n">
        <f aca="false">INDEX(Intent_Analysis!$E$5:$E$81,MATCH(B9040,Intent_Analysis!$A$5:$A$81,0))</f>
        <v>1</v>
      </c>
    </row>
    <row r="9041" customFormat="false" ht="15" hidden="false" customHeight="false" outlineLevel="0" collapsed="false">
      <c r="A9041" s="0" t="s">
        <v>9365</v>
      </c>
      <c r="B9041" s="0" t="s">
        <v>92</v>
      </c>
      <c r="C9041" s="0" t="str">
        <f aca="false">INDEX(Intent_Analysis!$B$5:$B$81,MATCH(B9041,Intent_Analysis!$A$5:$A$81,0))</f>
        <v>Fees &amp; charges</v>
      </c>
      <c r="D9041" s="0" t="n">
        <f aca="false">INDEX(Intent_Analysis!$E$5:$E$81,MATCH(B9041,Intent_Analysis!$A$5:$A$81,0))</f>
        <v>1</v>
      </c>
    </row>
    <row r="9042" customFormat="false" ht="15" hidden="false" customHeight="false" outlineLevel="0" collapsed="false">
      <c r="A9042" s="0" t="s">
        <v>9366</v>
      </c>
      <c r="B9042" s="0" t="s">
        <v>92</v>
      </c>
      <c r="C9042" s="0" t="str">
        <f aca="false">INDEX(Intent_Analysis!$B$5:$B$81,MATCH(B9042,Intent_Analysis!$A$5:$A$81,0))</f>
        <v>Fees &amp; charges</v>
      </c>
      <c r="D9042" s="0" t="n">
        <f aca="false">INDEX(Intent_Analysis!$E$5:$E$81,MATCH(B9042,Intent_Analysis!$A$5:$A$81,0))</f>
        <v>1</v>
      </c>
    </row>
    <row r="9043" customFormat="false" ht="15" hidden="false" customHeight="false" outlineLevel="0" collapsed="false">
      <c r="A9043" s="0" t="s">
        <v>9367</v>
      </c>
      <c r="B9043" s="0" t="s">
        <v>92</v>
      </c>
      <c r="C9043" s="0" t="str">
        <f aca="false">INDEX(Intent_Analysis!$B$5:$B$81,MATCH(B9043,Intent_Analysis!$A$5:$A$81,0))</f>
        <v>Fees &amp; charges</v>
      </c>
      <c r="D9043" s="0" t="n">
        <f aca="false">INDEX(Intent_Analysis!$E$5:$E$81,MATCH(B9043,Intent_Analysis!$A$5:$A$81,0))</f>
        <v>1</v>
      </c>
    </row>
    <row r="9044" customFormat="false" ht="15" hidden="false" customHeight="false" outlineLevel="0" collapsed="false">
      <c r="A9044" s="0" t="s">
        <v>9368</v>
      </c>
      <c r="B9044" s="0" t="s">
        <v>92</v>
      </c>
      <c r="C9044" s="0" t="str">
        <f aca="false">INDEX(Intent_Analysis!$B$5:$B$81,MATCH(B9044,Intent_Analysis!$A$5:$A$81,0))</f>
        <v>Fees &amp; charges</v>
      </c>
      <c r="D9044" s="0" t="n">
        <f aca="false">INDEX(Intent_Analysis!$E$5:$E$81,MATCH(B9044,Intent_Analysis!$A$5:$A$81,0))</f>
        <v>1</v>
      </c>
    </row>
    <row r="9045" customFormat="false" ht="15" hidden="false" customHeight="false" outlineLevel="0" collapsed="false">
      <c r="A9045" s="0" t="s">
        <v>9369</v>
      </c>
      <c r="B9045" s="0" t="s">
        <v>92</v>
      </c>
      <c r="C9045" s="0" t="str">
        <f aca="false">INDEX(Intent_Analysis!$B$5:$B$81,MATCH(B9045,Intent_Analysis!$A$5:$A$81,0))</f>
        <v>Fees &amp; charges</v>
      </c>
      <c r="D9045" s="0" t="n">
        <f aca="false">INDEX(Intent_Analysis!$E$5:$E$81,MATCH(B9045,Intent_Analysis!$A$5:$A$81,0))</f>
        <v>1</v>
      </c>
    </row>
    <row r="9046" customFormat="false" ht="15" hidden="false" customHeight="false" outlineLevel="0" collapsed="false">
      <c r="A9046" s="0" t="s">
        <v>9370</v>
      </c>
      <c r="B9046" s="0" t="s">
        <v>92</v>
      </c>
      <c r="C9046" s="0" t="str">
        <f aca="false">INDEX(Intent_Analysis!$B$5:$B$81,MATCH(B9046,Intent_Analysis!$A$5:$A$81,0))</f>
        <v>Fees &amp; charges</v>
      </c>
      <c r="D9046" s="0" t="n">
        <f aca="false">INDEX(Intent_Analysis!$E$5:$E$81,MATCH(B9046,Intent_Analysis!$A$5:$A$81,0))</f>
        <v>1</v>
      </c>
    </row>
    <row r="9047" customFormat="false" ht="15" hidden="false" customHeight="false" outlineLevel="0" collapsed="false">
      <c r="A9047" s="0" t="s">
        <v>9371</v>
      </c>
      <c r="B9047" s="0" t="s">
        <v>92</v>
      </c>
      <c r="C9047" s="0" t="str">
        <f aca="false">INDEX(Intent_Analysis!$B$5:$B$81,MATCH(B9047,Intent_Analysis!$A$5:$A$81,0))</f>
        <v>Fees &amp; charges</v>
      </c>
      <c r="D9047" s="0" t="n">
        <f aca="false">INDEX(Intent_Analysis!$E$5:$E$81,MATCH(B9047,Intent_Analysis!$A$5:$A$81,0))</f>
        <v>1</v>
      </c>
    </row>
    <row r="9048" customFormat="false" ht="15" hidden="false" customHeight="false" outlineLevel="0" collapsed="false">
      <c r="A9048" s="0" t="s">
        <v>9372</v>
      </c>
      <c r="B9048" s="0" t="s">
        <v>92</v>
      </c>
      <c r="C9048" s="0" t="str">
        <f aca="false">INDEX(Intent_Analysis!$B$5:$B$81,MATCH(B9048,Intent_Analysis!$A$5:$A$81,0))</f>
        <v>Fees &amp; charges</v>
      </c>
      <c r="D9048" s="0" t="n">
        <f aca="false">INDEX(Intent_Analysis!$E$5:$E$81,MATCH(B9048,Intent_Analysis!$A$5:$A$81,0))</f>
        <v>1</v>
      </c>
    </row>
    <row r="9049" customFormat="false" ht="15" hidden="false" customHeight="false" outlineLevel="0" collapsed="false">
      <c r="A9049" s="0" t="s">
        <v>9373</v>
      </c>
      <c r="B9049" s="0" t="s">
        <v>92</v>
      </c>
      <c r="C9049" s="0" t="str">
        <f aca="false">INDEX(Intent_Analysis!$B$5:$B$81,MATCH(B9049,Intent_Analysis!$A$5:$A$81,0))</f>
        <v>Fees &amp; charges</v>
      </c>
      <c r="D9049" s="0" t="n">
        <f aca="false">INDEX(Intent_Analysis!$E$5:$E$81,MATCH(B9049,Intent_Analysis!$A$5:$A$81,0))</f>
        <v>1</v>
      </c>
    </row>
    <row r="9050" customFormat="false" ht="15" hidden="false" customHeight="false" outlineLevel="0" collapsed="false">
      <c r="A9050" s="0" t="s">
        <v>9374</v>
      </c>
      <c r="B9050" s="0" t="s">
        <v>92</v>
      </c>
      <c r="C9050" s="0" t="str">
        <f aca="false">INDEX(Intent_Analysis!$B$5:$B$81,MATCH(B9050,Intent_Analysis!$A$5:$A$81,0))</f>
        <v>Fees &amp; charges</v>
      </c>
      <c r="D9050" s="0" t="n">
        <f aca="false">INDEX(Intent_Analysis!$E$5:$E$81,MATCH(B9050,Intent_Analysis!$A$5:$A$81,0))</f>
        <v>1</v>
      </c>
    </row>
    <row r="9051" customFormat="false" ht="15" hidden="false" customHeight="false" outlineLevel="0" collapsed="false">
      <c r="A9051" s="0" t="s">
        <v>9375</v>
      </c>
      <c r="B9051" s="0" t="s">
        <v>92</v>
      </c>
      <c r="C9051" s="0" t="str">
        <f aca="false">INDEX(Intent_Analysis!$B$5:$B$81,MATCH(B9051,Intent_Analysis!$A$5:$A$81,0))</f>
        <v>Fees &amp; charges</v>
      </c>
      <c r="D9051" s="0" t="n">
        <f aca="false">INDEX(Intent_Analysis!$E$5:$E$81,MATCH(B9051,Intent_Analysis!$A$5:$A$81,0))</f>
        <v>1</v>
      </c>
    </row>
    <row r="9052" customFormat="false" ht="15" hidden="false" customHeight="false" outlineLevel="0" collapsed="false">
      <c r="A9052" s="0" t="s">
        <v>9376</v>
      </c>
      <c r="B9052" s="0" t="s">
        <v>92</v>
      </c>
      <c r="C9052" s="0" t="str">
        <f aca="false">INDEX(Intent_Analysis!$B$5:$B$81,MATCH(B9052,Intent_Analysis!$A$5:$A$81,0))</f>
        <v>Fees &amp; charges</v>
      </c>
      <c r="D9052" s="0" t="n">
        <f aca="false">INDEX(Intent_Analysis!$E$5:$E$81,MATCH(B9052,Intent_Analysis!$A$5:$A$81,0))</f>
        <v>1</v>
      </c>
    </row>
    <row r="9053" customFormat="false" ht="15" hidden="false" customHeight="false" outlineLevel="0" collapsed="false">
      <c r="A9053" s="0" t="s">
        <v>9377</v>
      </c>
      <c r="B9053" s="0" t="s">
        <v>92</v>
      </c>
      <c r="C9053" s="0" t="str">
        <f aca="false">INDEX(Intent_Analysis!$B$5:$B$81,MATCH(B9053,Intent_Analysis!$A$5:$A$81,0))</f>
        <v>Fees &amp; charges</v>
      </c>
      <c r="D9053" s="0" t="n">
        <f aca="false">INDEX(Intent_Analysis!$E$5:$E$81,MATCH(B9053,Intent_Analysis!$A$5:$A$81,0))</f>
        <v>1</v>
      </c>
    </row>
    <row r="9054" customFormat="false" ht="15" hidden="false" customHeight="false" outlineLevel="0" collapsed="false">
      <c r="A9054" s="0" t="s">
        <v>9378</v>
      </c>
      <c r="B9054" s="0" t="s">
        <v>92</v>
      </c>
      <c r="C9054" s="0" t="str">
        <f aca="false">INDEX(Intent_Analysis!$B$5:$B$81,MATCH(B9054,Intent_Analysis!$A$5:$A$81,0))</f>
        <v>Fees &amp; charges</v>
      </c>
      <c r="D9054" s="0" t="n">
        <f aca="false">INDEX(Intent_Analysis!$E$5:$E$81,MATCH(B9054,Intent_Analysis!$A$5:$A$81,0))</f>
        <v>1</v>
      </c>
    </row>
    <row r="9055" customFormat="false" ht="15" hidden="false" customHeight="false" outlineLevel="0" collapsed="false">
      <c r="A9055" s="0" t="s">
        <v>9379</v>
      </c>
      <c r="B9055" s="0" t="s">
        <v>92</v>
      </c>
      <c r="C9055" s="0" t="str">
        <f aca="false">INDEX(Intent_Analysis!$B$5:$B$81,MATCH(B9055,Intent_Analysis!$A$5:$A$81,0))</f>
        <v>Fees &amp; charges</v>
      </c>
      <c r="D9055" s="0" t="n">
        <f aca="false">INDEX(Intent_Analysis!$E$5:$E$81,MATCH(B9055,Intent_Analysis!$A$5:$A$81,0))</f>
        <v>1</v>
      </c>
    </row>
    <row r="9056" customFormat="false" ht="15" hidden="false" customHeight="false" outlineLevel="0" collapsed="false">
      <c r="A9056" s="0" t="s">
        <v>9380</v>
      </c>
      <c r="B9056" s="0" t="s">
        <v>92</v>
      </c>
      <c r="C9056" s="0" t="str">
        <f aca="false">INDEX(Intent_Analysis!$B$5:$B$81,MATCH(B9056,Intent_Analysis!$A$5:$A$81,0))</f>
        <v>Fees &amp; charges</v>
      </c>
      <c r="D9056" s="0" t="n">
        <f aca="false">INDEX(Intent_Analysis!$E$5:$E$81,MATCH(B9056,Intent_Analysis!$A$5:$A$81,0))</f>
        <v>1</v>
      </c>
    </row>
    <row r="9057" customFormat="false" ht="15" hidden="false" customHeight="false" outlineLevel="0" collapsed="false">
      <c r="A9057" s="0" t="s">
        <v>9381</v>
      </c>
      <c r="B9057" s="0" t="s">
        <v>92</v>
      </c>
      <c r="C9057" s="0" t="str">
        <f aca="false">INDEX(Intent_Analysis!$B$5:$B$81,MATCH(B9057,Intent_Analysis!$A$5:$A$81,0))</f>
        <v>Fees &amp; charges</v>
      </c>
      <c r="D9057" s="0" t="n">
        <f aca="false">INDEX(Intent_Analysis!$E$5:$E$81,MATCH(B9057,Intent_Analysis!$A$5:$A$81,0))</f>
        <v>1</v>
      </c>
    </row>
    <row r="9058" customFormat="false" ht="15" hidden="false" customHeight="false" outlineLevel="0" collapsed="false">
      <c r="A9058" s="0" t="s">
        <v>9382</v>
      </c>
      <c r="B9058" s="0" t="s">
        <v>92</v>
      </c>
      <c r="C9058" s="0" t="str">
        <f aca="false">INDEX(Intent_Analysis!$B$5:$B$81,MATCH(B9058,Intent_Analysis!$A$5:$A$81,0))</f>
        <v>Fees &amp; charges</v>
      </c>
      <c r="D9058" s="0" t="n">
        <f aca="false">INDEX(Intent_Analysis!$E$5:$E$81,MATCH(B9058,Intent_Analysis!$A$5:$A$81,0))</f>
        <v>1</v>
      </c>
    </row>
    <row r="9059" customFormat="false" ht="15" hidden="false" customHeight="false" outlineLevel="0" collapsed="false">
      <c r="A9059" s="0" t="s">
        <v>9383</v>
      </c>
      <c r="B9059" s="0" t="s">
        <v>92</v>
      </c>
      <c r="C9059" s="0" t="str">
        <f aca="false">INDEX(Intent_Analysis!$B$5:$B$81,MATCH(B9059,Intent_Analysis!$A$5:$A$81,0))</f>
        <v>Fees &amp; charges</v>
      </c>
      <c r="D9059" s="0" t="n">
        <f aca="false">INDEX(Intent_Analysis!$E$5:$E$81,MATCH(B9059,Intent_Analysis!$A$5:$A$81,0))</f>
        <v>1</v>
      </c>
    </row>
    <row r="9060" customFormat="false" ht="15" hidden="false" customHeight="false" outlineLevel="0" collapsed="false">
      <c r="A9060" s="0" t="s">
        <v>9384</v>
      </c>
      <c r="B9060" s="0" t="s">
        <v>92</v>
      </c>
      <c r="C9060" s="0" t="str">
        <f aca="false">INDEX(Intent_Analysis!$B$5:$B$81,MATCH(B9060,Intent_Analysis!$A$5:$A$81,0))</f>
        <v>Fees &amp; charges</v>
      </c>
      <c r="D9060" s="0" t="n">
        <f aca="false">INDEX(Intent_Analysis!$E$5:$E$81,MATCH(B9060,Intent_Analysis!$A$5:$A$81,0))</f>
        <v>1</v>
      </c>
    </row>
    <row r="9061" customFormat="false" ht="15" hidden="false" customHeight="false" outlineLevel="0" collapsed="false">
      <c r="A9061" s="0" t="s">
        <v>9385</v>
      </c>
      <c r="B9061" s="0" t="s">
        <v>92</v>
      </c>
      <c r="C9061" s="0" t="str">
        <f aca="false">INDEX(Intent_Analysis!$B$5:$B$81,MATCH(B9061,Intent_Analysis!$A$5:$A$81,0))</f>
        <v>Fees &amp; charges</v>
      </c>
      <c r="D9061" s="0" t="n">
        <f aca="false">INDEX(Intent_Analysis!$E$5:$E$81,MATCH(B9061,Intent_Analysis!$A$5:$A$81,0))</f>
        <v>1</v>
      </c>
    </row>
    <row r="9062" customFormat="false" ht="15" hidden="false" customHeight="false" outlineLevel="0" collapsed="false">
      <c r="A9062" s="0" t="s">
        <v>9386</v>
      </c>
      <c r="B9062" s="0" t="s">
        <v>92</v>
      </c>
      <c r="C9062" s="0" t="str">
        <f aca="false">INDEX(Intent_Analysis!$B$5:$B$81,MATCH(B9062,Intent_Analysis!$A$5:$A$81,0))</f>
        <v>Fees &amp; charges</v>
      </c>
      <c r="D9062" s="0" t="n">
        <f aca="false">INDEX(Intent_Analysis!$E$5:$E$81,MATCH(B9062,Intent_Analysis!$A$5:$A$81,0))</f>
        <v>1</v>
      </c>
    </row>
    <row r="9063" customFormat="false" ht="15" hidden="false" customHeight="false" outlineLevel="0" collapsed="false">
      <c r="A9063" s="0" t="s">
        <v>9387</v>
      </c>
      <c r="B9063" s="0" t="s">
        <v>92</v>
      </c>
      <c r="C9063" s="0" t="str">
        <f aca="false">INDEX(Intent_Analysis!$B$5:$B$81,MATCH(B9063,Intent_Analysis!$A$5:$A$81,0))</f>
        <v>Fees &amp; charges</v>
      </c>
      <c r="D9063" s="0" t="n">
        <f aca="false">INDEX(Intent_Analysis!$E$5:$E$81,MATCH(B9063,Intent_Analysis!$A$5:$A$81,0))</f>
        <v>1</v>
      </c>
    </row>
    <row r="9064" customFormat="false" ht="15" hidden="false" customHeight="false" outlineLevel="0" collapsed="false">
      <c r="A9064" s="0" t="s">
        <v>9388</v>
      </c>
      <c r="B9064" s="0" t="s">
        <v>92</v>
      </c>
      <c r="C9064" s="0" t="str">
        <f aca="false">INDEX(Intent_Analysis!$B$5:$B$81,MATCH(B9064,Intent_Analysis!$A$5:$A$81,0))</f>
        <v>Fees &amp; charges</v>
      </c>
      <c r="D9064" s="0" t="n">
        <f aca="false">INDEX(Intent_Analysis!$E$5:$E$81,MATCH(B9064,Intent_Analysis!$A$5:$A$81,0))</f>
        <v>1</v>
      </c>
    </row>
    <row r="9065" customFormat="false" ht="15" hidden="false" customHeight="false" outlineLevel="0" collapsed="false">
      <c r="A9065" s="0" t="s">
        <v>9389</v>
      </c>
      <c r="B9065" s="0" t="s">
        <v>92</v>
      </c>
      <c r="C9065" s="0" t="str">
        <f aca="false">INDEX(Intent_Analysis!$B$5:$B$81,MATCH(B9065,Intent_Analysis!$A$5:$A$81,0))</f>
        <v>Fees &amp; charges</v>
      </c>
      <c r="D9065" s="0" t="n">
        <f aca="false">INDEX(Intent_Analysis!$E$5:$E$81,MATCH(B9065,Intent_Analysis!$A$5:$A$81,0))</f>
        <v>1</v>
      </c>
    </row>
    <row r="9066" customFormat="false" ht="15" hidden="false" customHeight="false" outlineLevel="0" collapsed="false">
      <c r="A9066" s="0" t="s">
        <v>9390</v>
      </c>
      <c r="B9066" s="0" t="s">
        <v>92</v>
      </c>
      <c r="C9066" s="0" t="str">
        <f aca="false">INDEX(Intent_Analysis!$B$5:$B$81,MATCH(B9066,Intent_Analysis!$A$5:$A$81,0))</f>
        <v>Fees &amp; charges</v>
      </c>
      <c r="D9066" s="0" t="n">
        <f aca="false">INDEX(Intent_Analysis!$E$5:$E$81,MATCH(B9066,Intent_Analysis!$A$5:$A$81,0))</f>
        <v>1</v>
      </c>
    </row>
    <row r="9067" customFormat="false" ht="15" hidden="false" customHeight="false" outlineLevel="0" collapsed="false">
      <c r="A9067" s="0" t="s">
        <v>9391</v>
      </c>
      <c r="B9067" s="0" t="s">
        <v>93</v>
      </c>
      <c r="C9067" s="0" t="str">
        <f aca="false">INDEX(Intent_Analysis!$B$5:$B$81,MATCH(B9067,Intent_Analysis!$A$5:$A$81,0))</f>
        <v>Fees &amp; charges</v>
      </c>
      <c r="D9067" s="0" t="n">
        <f aca="false">INDEX(Intent_Analysis!$E$5:$E$81,MATCH(B9067,Intent_Analysis!$A$5:$A$81,0))</f>
        <v>1</v>
      </c>
    </row>
    <row r="9068" customFormat="false" ht="15" hidden="false" customHeight="false" outlineLevel="0" collapsed="false">
      <c r="A9068" s="0" t="s">
        <v>9392</v>
      </c>
      <c r="B9068" s="0" t="s">
        <v>93</v>
      </c>
      <c r="C9068" s="0" t="str">
        <f aca="false">INDEX(Intent_Analysis!$B$5:$B$81,MATCH(B9068,Intent_Analysis!$A$5:$A$81,0))</f>
        <v>Fees &amp; charges</v>
      </c>
      <c r="D9068" s="0" t="n">
        <f aca="false">INDEX(Intent_Analysis!$E$5:$E$81,MATCH(B9068,Intent_Analysis!$A$5:$A$81,0))</f>
        <v>1</v>
      </c>
    </row>
    <row r="9069" customFormat="false" ht="15" hidden="false" customHeight="false" outlineLevel="0" collapsed="false">
      <c r="A9069" s="0" t="s">
        <v>9393</v>
      </c>
      <c r="B9069" s="0" t="s">
        <v>93</v>
      </c>
      <c r="C9069" s="0" t="str">
        <f aca="false">INDEX(Intent_Analysis!$B$5:$B$81,MATCH(B9069,Intent_Analysis!$A$5:$A$81,0))</f>
        <v>Fees &amp; charges</v>
      </c>
      <c r="D9069" s="0" t="n">
        <f aca="false">INDEX(Intent_Analysis!$E$5:$E$81,MATCH(B9069,Intent_Analysis!$A$5:$A$81,0))</f>
        <v>1</v>
      </c>
    </row>
    <row r="9070" customFormat="false" ht="15" hidden="false" customHeight="false" outlineLevel="0" collapsed="false">
      <c r="A9070" s="0" t="s">
        <v>9394</v>
      </c>
      <c r="B9070" s="0" t="s">
        <v>93</v>
      </c>
      <c r="C9070" s="0" t="str">
        <f aca="false">INDEX(Intent_Analysis!$B$5:$B$81,MATCH(B9070,Intent_Analysis!$A$5:$A$81,0))</f>
        <v>Fees &amp; charges</v>
      </c>
      <c r="D9070" s="0" t="n">
        <f aca="false">INDEX(Intent_Analysis!$E$5:$E$81,MATCH(B9070,Intent_Analysis!$A$5:$A$81,0))</f>
        <v>1</v>
      </c>
    </row>
    <row r="9071" customFormat="false" ht="15" hidden="false" customHeight="false" outlineLevel="0" collapsed="false">
      <c r="A9071" s="0" t="s">
        <v>9395</v>
      </c>
      <c r="B9071" s="0" t="s">
        <v>93</v>
      </c>
      <c r="C9071" s="0" t="str">
        <f aca="false">INDEX(Intent_Analysis!$B$5:$B$81,MATCH(B9071,Intent_Analysis!$A$5:$A$81,0))</f>
        <v>Fees &amp; charges</v>
      </c>
      <c r="D9071" s="0" t="n">
        <f aca="false">INDEX(Intent_Analysis!$E$5:$E$81,MATCH(B9071,Intent_Analysis!$A$5:$A$81,0))</f>
        <v>1</v>
      </c>
    </row>
    <row r="9072" customFormat="false" ht="15" hidden="false" customHeight="false" outlineLevel="0" collapsed="false">
      <c r="A9072" s="0" t="s">
        <v>9396</v>
      </c>
      <c r="B9072" s="0" t="s">
        <v>93</v>
      </c>
      <c r="C9072" s="0" t="str">
        <f aca="false">INDEX(Intent_Analysis!$B$5:$B$81,MATCH(B9072,Intent_Analysis!$A$5:$A$81,0))</f>
        <v>Fees &amp; charges</v>
      </c>
      <c r="D9072" s="0" t="n">
        <f aca="false">INDEX(Intent_Analysis!$E$5:$E$81,MATCH(B9072,Intent_Analysis!$A$5:$A$81,0))</f>
        <v>1</v>
      </c>
    </row>
    <row r="9073" customFormat="false" ht="15" hidden="false" customHeight="false" outlineLevel="0" collapsed="false">
      <c r="A9073" s="0" t="s">
        <v>9397</v>
      </c>
      <c r="B9073" s="0" t="s">
        <v>93</v>
      </c>
      <c r="C9073" s="0" t="str">
        <f aca="false">INDEX(Intent_Analysis!$B$5:$B$81,MATCH(B9073,Intent_Analysis!$A$5:$A$81,0))</f>
        <v>Fees &amp; charges</v>
      </c>
      <c r="D9073" s="0" t="n">
        <f aca="false">INDEX(Intent_Analysis!$E$5:$E$81,MATCH(B9073,Intent_Analysis!$A$5:$A$81,0))</f>
        <v>1</v>
      </c>
    </row>
    <row r="9074" customFormat="false" ht="15" hidden="false" customHeight="false" outlineLevel="0" collapsed="false">
      <c r="A9074" s="0" t="s">
        <v>9398</v>
      </c>
      <c r="B9074" s="0" t="s">
        <v>93</v>
      </c>
      <c r="C9074" s="0" t="str">
        <f aca="false">INDEX(Intent_Analysis!$B$5:$B$81,MATCH(B9074,Intent_Analysis!$A$5:$A$81,0))</f>
        <v>Fees &amp; charges</v>
      </c>
      <c r="D9074" s="0" t="n">
        <f aca="false">INDEX(Intent_Analysis!$E$5:$E$81,MATCH(B9074,Intent_Analysis!$A$5:$A$81,0))</f>
        <v>1</v>
      </c>
    </row>
    <row r="9075" customFormat="false" ht="15" hidden="false" customHeight="false" outlineLevel="0" collapsed="false">
      <c r="A9075" s="0" t="s">
        <v>9399</v>
      </c>
      <c r="B9075" s="0" t="s">
        <v>93</v>
      </c>
      <c r="C9075" s="0" t="str">
        <f aca="false">INDEX(Intent_Analysis!$B$5:$B$81,MATCH(B9075,Intent_Analysis!$A$5:$A$81,0))</f>
        <v>Fees &amp; charges</v>
      </c>
      <c r="D9075" s="0" t="n">
        <f aca="false">INDEX(Intent_Analysis!$E$5:$E$81,MATCH(B9075,Intent_Analysis!$A$5:$A$81,0))</f>
        <v>1</v>
      </c>
    </row>
    <row r="9076" customFormat="false" ht="15" hidden="false" customHeight="false" outlineLevel="0" collapsed="false">
      <c r="A9076" s="0" t="s">
        <v>9400</v>
      </c>
      <c r="B9076" s="0" t="s">
        <v>93</v>
      </c>
      <c r="C9076" s="0" t="str">
        <f aca="false">INDEX(Intent_Analysis!$B$5:$B$81,MATCH(B9076,Intent_Analysis!$A$5:$A$81,0))</f>
        <v>Fees &amp; charges</v>
      </c>
      <c r="D9076" s="0" t="n">
        <f aca="false">INDEX(Intent_Analysis!$E$5:$E$81,MATCH(B9076,Intent_Analysis!$A$5:$A$81,0))</f>
        <v>1</v>
      </c>
    </row>
    <row r="9077" customFormat="false" ht="15" hidden="false" customHeight="false" outlineLevel="0" collapsed="false">
      <c r="A9077" s="0" t="s">
        <v>9401</v>
      </c>
      <c r="B9077" s="0" t="s">
        <v>93</v>
      </c>
      <c r="C9077" s="0" t="str">
        <f aca="false">INDEX(Intent_Analysis!$B$5:$B$81,MATCH(B9077,Intent_Analysis!$A$5:$A$81,0))</f>
        <v>Fees &amp; charges</v>
      </c>
      <c r="D9077" s="0" t="n">
        <f aca="false">INDEX(Intent_Analysis!$E$5:$E$81,MATCH(B9077,Intent_Analysis!$A$5:$A$81,0))</f>
        <v>1</v>
      </c>
    </row>
    <row r="9078" customFormat="false" ht="15" hidden="false" customHeight="false" outlineLevel="0" collapsed="false">
      <c r="A9078" s="0" t="s">
        <v>9402</v>
      </c>
      <c r="B9078" s="0" t="s">
        <v>93</v>
      </c>
      <c r="C9078" s="0" t="str">
        <f aca="false">INDEX(Intent_Analysis!$B$5:$B$81,MATCH(B9078,Intent_Analysis!$A$5:$A$81,0))</f>
        <v>Fees &amp; charges</v>
      </c>
      <c r="D9078" s="0" t="n">
        <f aca="false">INDEX(Intent_Analysis!$E$5:$E$81,MATCH(B9078,Intent_Analysis!$A$5:$A$81,0))</f>
        <v>1</v>
      </c>
    </row>
    <row r="9079" customFormat="false" ht="15" hidden="false" customHeight="false" outlineLevel="0" collapsed="false">
      <c r="A9079" s="0" t="s">
        <v>9403</v>
      </c>
      <c r="B9079" s="0" t="s">
        <v>93</v>
      </c>
      <c r="C9079" s="0" t="str">
        <f aca="false">INDEX(Intent_Analysis!$B$5:$B$81,MATCH(B9079,Intent_Analysis!$A$5:$A$81,0))</f>
        <v>Fees &amp; charges</v>
      </c>
      <c r="D9079" s="0" t="n">
        <f aca="false">INDEX(Intent_Analysis!$E$5:$E$81,MATCH(B9079,Intent_Analysis!$A$5:$A$81,0))</f>
        <v>1</v>
      </c>
    </row>
    <row r="9080" customFormat="false" ht="15" hidden="false" customHeight="false" outlineLevel="0" collapsed="false">
      <c r="A9080" s="0" t="s">
        <v>9404</v>
      </c>
      <c r="B9080" s="0" t="s">
        <v>93</v>
      </c>
      <c r="C9080" s="0" t="str">
        <f aca="false">INDEX(Intent_Analysis!$B$5:$B$81,MATCH(B9080,Intent_Analysis!$A$5:$A$81,0))</f>
        <v>Fees &amp; charges</v>
      </c>
      <c r="D9080" s="0" t="n">
        <f aca="false">INDEX(Intent_Analysis!$E$5:$E$81,MATCH(B9080,Intent_Analysis!$A$5:$A$81,0))</f>
        <v>1</v>
      </c>
    </row>
    <row r="9081" customFormat="false" ht="15" hidden="false" customHeight="false" outlineLevel="0" collapsed="false">
      <c r="A9081" s="0" t="s">
        <v>9405</v>
      </c>
      <c r="B9081" s="0" t="s">
        <v>93</v>
      </c>
      <c r="C9081" s="0" t="str">
        <f aca="false">INDEX(Intent_Analysis!$B$5:$B$81,MATCH(B9081,Intent_Analysis!$A$5:$A$81,0))</f>
        <v>Fees &amp; charges</v>
      </c>
      <c r="D9081" s="0" t="n">
        <f aca="false">INDEX(Intent_Analysis!$E$5:$E$81,MATCH(B9081,Intent_Analysis!$A$5:$A$81,0))</f>
        <v>1</v>
      </c>
    </row>
    <row r="9082" customFormat="false" ht="15" hidden="false" customHeight="false" outlineLevel="0" collapsed="false">
      <c r="A9082" s="0" t="s">
        <v>9406</v>
      </c>
      <c r="B9082" s="0" t="s">
        <v>93</v>
      </c>
      <c r="C9082" s="0" t="str">
        <f aca="false">INDEX(Intent_Analysis!$B$5:$B$81,MATCH(B9082,Intent_Analysis!$A$5:$A$81,0))</f>
        <v>Fees &amp; charges</v>
      </c>
      <c r="D9082" s="0" t="n">
        <f aca="false">INDEX(Intent_Analysis!$E$5:$E$81,MATCH(B9082,Intent_Analysis!$A$5:$A$81,0))</f>
        <v>1</v>
      </c>
    </row>
    <row r="9083" customFormat="false" ht="15" hidden="false" customHeight="false" outlineLevel="0" collapsed="false">
      <c r="A9083" s="0" t="s">
        <v>9407</v>
      </c>
      <c r="B9083" s="0" t="s">
        <v>93</v>
      </c>
      <c r="C9083" s="0" t="str">
        <f aca="false">INDEX(Intent_Analysis!$B$5:$B$81,MATCH(B9083,Intent_Analysis!$A$5:$A$81,0))</f>
        <v>Fees &amp; charges</v>
      </c>
      <c r="D9083" s="0" t="n">
        <f aca="false">INDEX(Intent_Analysis!$E$5:$E$81,MATCH(B9083,Intent_Analysis!$A$5:$A$81,0))</f>
        <v>1</v>
      </c>
    </row>
    <row r="9084" customFormat="false" ht="15" hidden="false" customHeight="false" outlineLevel="0" collapsed="false">
      <c r="A9084" s="0" t="s">
        <v>9408</v>
      </c>
      <c r="B9084" s="0" t="s">
        <v>93</v>
      </c>
      <c r="C9084" s="0" t="str">
        <f aca="false">INDEX(Intent_Analysis!$B$5:$B$81,MATCH(B9084,Intent_Analysis!$A$5:$A$81,0))</f>
        <v>Fees &amp; charges</v>
      </c>
      <c r="D9084" s="0" t="n">
        <f aca="false">INDEX(Intent_Analysis!$E$5:$E$81,MATCH(B9084,Intent_Analysis!$A$5:$A$81,0))</f>
        <v>1</v>
      </c>
    </row>
    <row r="9085" customFormat="false" ht="15" hidden="false" customHeight="false" outlineLevel="0" collapsed="false">
      <c r="A9085" s="0" t="s">
        <v>9409</v>
      </c>
      <c r="B9085" s="0" t="s">
        <v>93</v>
      </c>
      <c r="C9085" s="0" t="str">
        <f aca="false">INDEX(Intent_Analysis!$B$5:$B$81,MATCH(B9085,Intent_Analysis!$A$5:$A$81,0))</f>
        <v>Fees &amp; charges</v>
      </c>
      <c r="D9085" s="0" t="n">
        <f aca="false">INDEX(Intent_Analysis!$E$5:$E$81,MATCH(B9085,Intent_Analysis!$A$5:$A$81,0))</f>
        <v>1</v>
      </c>
    </row>
    <row r="9086" customFormat="false" ht="15" hidden="false" customHeight="false" outlineLevel="0" collapsed="false">
      <c r="A9086" s="0" t="s">
        <v>9410</v>
      </c>
      <c r="B9086" s="0" t="s">
        <v>93</v>
      </c>
      <c r="C9086" s="0" t="str">
        <f aca="false">INDEX(Intent_Analysis!$B$5:$B$81,MATCH(B9086,Intent_Analysis!$A$5:$A$81,0))</f>
        <v>Fees &amp; charges</v>
      </c>
      <c r="D9086" s="0" t="n">
        <f aca="false">INDEX(Intent_Analysis!$E$5:$E$81,MATCH(B9086,Intent_Analysis!$A$5:$A$81,0))</f>
        <v>1</v>
      </c>
    </row>
    <row r="9087" customFormat="false" ht="15" hidden="false" customHeight="false" outlineLevel="0" collapsed="false">
      <c r="A9087" s="0" t="s">
        <v>9411</v>
      </c>
      <c r="B9087" s="0" t="s">
        <v>93</v>
      </c>
      <c r="C9087" s="0" t="str">
        <f aca="false">INDEX(Intent_Analysis!$B$5:$B$81,MATCH(B9087,Intent_Analysis!$A$5:$A$81,0))</f>
        <v>Fees &amp; charges</v>
      </c>
      <c r="D9087" s="0" t="n">
        <f aca="false">INDEX(Intent_Analysis!$E$5:$E$81,MATCH(B9087,Intent_Analysis!$A$5:$A$81,0))</f>
        <v>1</v>
      </c>
    </row>
    <row r="9088" customFormat="false" ht="15" hidden="false" customHeight="false" outlineLevel="0" collapsed="false">
      <c r="A9088" s="0" t="s">
        <v>9412</v>
      </c>
      <c r="B9088" s="0" t="s">
        <v>93</v>
      </c>
      <c r="C9088" s="0" t="str">
        <f aca="false">INDEX(Intent_Analysis!$B$5:$B$81,MATCH(B9088,Intent_Analysis!$A$5:$A$81,0))</f>
        <v>Fees &amp; charges</v>
      </c>
      <c r="D9088" s="0" t="n">
        <f aca="false">INDEX(Intent_Analysis!$E$5:$E$81,MATCH(B9088,Intent_Analysis!$A$5:$A$81,0))</f>
        <v>1</v>
      </c>
    </row>
    <row r="9089" customFormat="false" ht="15" hidden="false" customHeight="false" outlineLevel="0" collapsed="false">
      <c r="A9089" s="0" t="s">
        <v>9413</v>
      </c>
      <c r="B9089" s="0" t="s">
        <v>93</v>
      </c>
      <c r="C9089" s="0" t="str">
        <f aca="false">INDEX(Intent_Analysis!$B$5:$B$81,MATCH(B9089,Intent_Analysis!$A$5:$A$81,0))</f>
        <v>Fees &amp; charges</v>
      </c>
      <c r="D9089" s="0" t="n">
        <f aca="false">INDEX(Intent_Analysis!$E$5:$E$81,MATCH(B9089,Intent_Analysis!$A$5:$A$81,0))</f>
        <v>1</v>
      </c>
    </row>
    <row r="9090" customFormat="false" ht="15" hidden="false" customHeight="false" outlineLevel="0" collapsed="false">
      <c r="A9090" s="0" t="s">
        <v>9414</v>
      </c>
      <c r="B9090" s="0" t="s">
        <v>93</v>
      </c>
      <c r="C9090" s="0" t="str">
        <f aca="false">INDEX(Intent_Analysis!$B$5:$B$81,MATCH(B9090,Intent_Analysis!$A$5:$A$81,0))</f>
        <v>Fees &amp; charges</v>
      </c>
      <c r="D9090" s="0" t="n">
        <f aca="false">INDEX(Intent_Analysis!$E$5:$E$81,MATCH(B9090,Intent_Analysis!$A$5:$A$81,0))</f>
        <v>1</v>
      </c>
    </row>
    <row r="9091" customFormat="false" ht="15" hidden="false" customHeight="false" outlineLevel="0" collapsed="false">
      <c r="A9091" s="0" t="s">
        <v>9415</v>
      </c>
      <c r="B9091" s="0" t="s">
        <v>93</v>
      </c>
      <c r="C9091" s="0" t="str">
        <f aca="false">INDEX(Intent_Analysis!$B$5:$B$81,MATCH(B9091,Intent_Analysis!$A$5:$A$81,0))</f>
        <v>Fees &amp; charges</v>
      </c>
      <c r="D9091" s="0" t="n">
        <f aca="false">INDEX(Intent_Analysis!$E$5:$E$81,MATCH(B9091,Intent_Analysis!$A$5:$A$81,0))</f>
        <v>1</v>
      </c>
    </row>
    <row r="9092" customFormat="false" ht="15" hidden="false" customHeight="false" outlineLevel="0" collapsed="false">
      <c r="A9092" s="0" t="s">
        <v>9416</v>
      </c>
      <c r="B9092" s="0" t="s">
        <v>93</v>
      </c>
      <c r="C9092" s="0" t="str">
        <f aca="false">INDEX(Intent_Analysis!$B$5:$B$81,MATCH(B9092,Intent_Analysis!$A$5:$A$81,0))</f>
        <v>Fees &amp; charges</v>
      </c>
      <c r="D9092" s="0" t="n">
        <f aca="false">INDEX(Intent_Analysis!$E$5:$E$81,MATCH(B9092,Intent_Analysis!$A$5:$A$81,0))</f>
        <v>1</v>
      </c>
    </row>
    <row r="9093" customFormat="false" ht="15" hidden="false" customHeight="false" outlineLevel="0" collapsed="false">
      <c r="A9093" s="0" t="s">
        <v>9417</v>
      </c>
      <c r="B9093" s="0" t="s">
        <v>93</v>
      </c>
      <c r="C9093" s="0" t="str">
        <f aca="false">INDEX(Intent_Analysis!$B$5:$B$81,MATCH(B9093,Intent_Analysis!$A$5:$A$81,0))</f>
        <v>Fees &amp; charges</v>
      </c>
      <c r="D9093" s="0" t="n">
        <f aca="false">INDEX(Intent_Analysis!$E$5:$E$81,MATCH(B9093,Intent_Analysis!$A$5:$A$81,0))</f>
        <v>1</v>
      </c>
    </row>
    <row r="9094" customFormat="false" ht="15" hidden="false" customHeight="false" outlineLevel="0" collapsed="false">
      <c r="A9094" s="0" t="s">
        <v>9418</v>
      </c>
      <c r="B9094" s="0" t="s">
        <v>93</v>
      </c>
      <c r="C9094" s="0" t="str">
        <f aca="false">INDEX(Intent_Analysis!$B$5:$B$81,MATCH(B9094,Intent_Analysis!$A$5:$A$81,0))</f>
        <v>Fees &amp; charges</v>
      </c>
      <c r="D9094" s="0" t="n">
        <f aca="false">INDEX(Intent_Analysis!$E$5:$E$81,MATCH(B9094,Intent_Analysis!$A$5:$A$81,0))</f>
        <v>1</v>
      </c>
    </row>
    <row r="9095" customFormat="false" ht="15" hidden="false" customHeight="false" outlineLevel="0" collapsed="false">
      <c r="A9095" s="0" t="s">
        <v>9419</v>
      </c>
      <c r="B9095" s="0" t="s">
        <v>93</v>
      </c>
      <c r="C9095" s="0" t="str">
        <f aca="false">INDEX(Intent_Analysis!$B$5:$B$81,MATCH(B9095,Intent_Analysis!$A$5:$A$81,0))</f>
        <v>Fees &amp; charges</v>
      </c>
      <c r="D9095" s="0" t="n">
        <f aca="false">INDEX(Intent_Analysis!$E$5:$E$81,MATCH(B9095,Intent_Analysis!$A$5:$A$81,0))</f>
        <v>1</v>
      </c>
    </row>
    <row r="9096" customFormat="false" ht="15" hidden="false" customHeight="false" outlineLevel="0" collapsed="false">
      <c r="A9096" s="0" t="s">
        <v>9420</v>
      </c>
      <c r="B9096" s="0" t="s">
        <v>93</v>
      </c>
      <c r="C9096" s="0" t="str">
        <f aca="false">INDEX(Intent_Analysis!$B$5:$B$81,MATCH(B9096,Intent_Analysis!$A$5:$A$81,0))</f>
        <v>Fees &amp; charges</v>
      </c>
      <c r="D9096" s="0" t="n">
        <f aca="false">INDEX(Intent_Analysis!$E$5:$E$81,MATCH(B9096,Intent_Analysis!$A$5:$A$81,0))</f>
        <v>1</v>
      </c>
    </row>
    <row r="9097" customFormat="false" ht="15" hidden="false" customHeight="false" outlineLevel="0" collapsed="false">
      <c r="A9097" s="0" t="s">
        <v>9421</v>
      </c>
      <c r="B9097" s="0" t="s">
        <v>93</v>
      </c>
      <c r="C9097" s="0" t="str">
        <f aca="false">INDEX(Intent_Analysis!$B$5:$B$81,MATCH(B9097,Intent_Analysis!$A$5:$A$81,0))</f>
        <v>Fees &amp; charges</v>
      </c>
      <c r="D9097" s="0" t="n">
        <f aca="false">INDEX(Intent_Analysis!$E$5:$E$81,MATCH(B9097,Intent_Analysis!$A$5:$A$81,0))</f>
        <v>1</v>
      </c>
    </row>
    <row r="9098" customFormat="false" ht="15" hidden="false" customHeight="false" outlineLevel="0" collapsed="false">
      <c r="A9098" s="0" t="s">
        <v>9422</v>
      </c>
      <c r="B9098" s="0" t="s">
        <v>93</v>
      </c>
      <c r="C9098" s="0" t="str">
        <f aca="false">INDEX(Intent_Analysis!$B$5:$B$81,MATCH(B9098,Intent_Analysis!$A$5:$A$81,0))</f>
        <v>Fees &amp; charges</v>
      </c>
      <c r="D9098" s="0" t="n">
        <f aca="false">INDEX(Intent_Analysis!$E$5:$E$81,MATCH(B9098,Intent_Analysis!$A$5:$A$81,0))</f>
        <v>1</v>
      </c>
    </row>
    <row r="9099" customFormat="false" ht="15" hidden="false" customHeight="false" outlineLevel="0" collapsed="false">
      <c r="A9099" s="0" t="s">
        <v>9423</v>
      </c>
      <c r="B9099" s="0" t="s">
        <v>93</v>
      </c>
      <c r="C9099" s="0" t="str">
        <f aca="false">INDEX(Intent_Analysis!$B$5:$B$81,MATCH(B9099,Intent_Analysis!$A$5:$A$81,0))</f>
        <v>Fees &amp; charges</v>
      </c>
      <c r="D9099" s="0" t="n">
        <f aca="false">INDEX(Intent_Analysis!$E$5:$E$81,MATCH(B9099,Intent_Analysis!$A$5:$A$81,0))</f>
        <v>1</v>
      </c>
    </row>
    <row r="9100" customFormat="false" ht="15" hidden="false" customHeight="false" outlineLevel="0" collapsed="false">
      <c r="A9100" s="0" t="s">
        <v>9424</v>
      </c>
      <c r="B9100" s="0" t="s">
        <v>93</v>
      </c>
      <c r="C9100" s="0" t="str">
        <f aca="false">INDEX(Intent_Analysis!$B$5:$B$81,MATCH(B9100,Intent_Analysis!$A$5:$A$81,0))</f>
        <v>Fees &amp; charges</v>
      </c>
      <c r="D9100" s="0" t="n">
        <f aca="false">INDEX(Intent_Analysis!$E$5:$E$81,MATCH(B9100,Intent_Analysis!$A$5:$A$81,0))</f>
        <v>1</v>
      </c>
    </row>
    <row r="9101" customFormat="false" ht="15" hidden="false" customHeight="false" outlineLevel="0" collapsed="false">
      <c r="A9101" s="0" t="s">
        <v>9425</v>
      </c>
      <c r="B9101" s="0" t="s">
        <v>93</v>
      </c>
      <c r="C9101" s="0" t="str">
        <f aca="false">INDEX(Intent_Analysis!$B$5:$B$81,MATCH(B9101,Intent_Analysis!$A$5:$A$81,0))</f>
        <v>Fees &amp; charges</v>
      </c>
      <c r="D9101" s="0" t="n">
        <f aca="false">INDEX(Intent_Analysis!$E$5:$E$81,MATCH(B9101,Intent_Analysis!$A$5:$A$81,0))</f>
        <v>1</v>
      </c>
    </row>
    <row r="9102" customFormat="false" ht="15" hidden="false" customHeight="false" outlineLevel="0" collapsed="false">
      <c r="A9102" s="0" t="s">
        <v>9426</v>
      </c>
      <c r="B9102" s="0" t="s">
        <v>93</v>
      </c>
      <c r="C9102" s="0" t="str">
        <f aca="false">INDEX(Intent_Analysis!$B$5:$B$81,MATCH(B9102,Intent_Analysis!$A$5:$A$81,0))</f>
        <v>Fees &amp; charges</v>
      </c>
      <c r="D9102" s="0" t="n">
        <f aca="false">INDEX(Intent_Analysis!$E$5:$E$81,MATCH(B9102,Intent_Analysis!$A$5:$A$81,0))</f>
        <v>1</v>
      </c>
    </row>
    <row r="9103" customFormat="false" ht="15" hidden="false" customHeight="false" outlineLevel="0" collapsed="false">
      <c r="A9103" s="0" t="s">
        <v>9427</v>
      </c>
      <c r="B9103" s="0" t="s">
        <v>93</v>
      </c>
      <c r="C9103" s="0" t="str">
        <f aca="false">INDEX(Intent_Analysis!$B$5:$B$81,MATCH(B9103,Intent_Analysis!$A$5:$A$81,0))</f>
        <v>Fees &amp; charges</v>
      </c>
      <c r="D9103" s="0" t="n">
        <f aca="false">INDEX(Intent_Analysis!$E$5:$E$81,MATCH(B9103,Intent_Analysis!$A$5:$A$81,0))</f>
        <v>1</v>
      </c>
    </row>
    <row r="9104" customFormat="false" ht="15" hidden="false" customHeight="false" outlineLevel="0" collapsed="false">
      <c r="A9104" s="0" t="s">
        <v>9428</v>
      </c>
      <c r="B9104" s="0" t="s">
        <v>93</v>
      </c>
      <c r="C9104" s="0" t="str">
        <f aca="false">INDEX(Intent_Analysis!$B$5:$B$81,MATCH(B9104,Intent_Analysis!$A$5:$A$81,0))</f>
        <v>Fees &amp; charges</v>
      </c>
      <c r="D9104" s="0" t="n">
        <f aca="false">INDEX(Intent_Analysis!$E$5:$E$81,MATCH(B9104,Intent_Analysis!$A$5:$A$81,0))</f>
        <v>1</v>
      </c>
    </row>
    <row r="9105" customFormat="false" ht="15" hidden="false" customHeight="false" outlineLevel="0" collapsed="false">
      <c r="A9105" s="0" t="s">
        <v>9429</v>
      </c>
      <c r="B9105" s="0" t="s">
        <v>93</v>
      </c>
      <c r="C9105" s="0" t="str">
        <f aca="false">INDEX(Intent_Analysis!$B$5:$B$81,MATCH(B9105,Intent_Analysis!$A$5:$A$81,0))</f>
        <v>Fees &amp; charges</v>
      </c>
      <c r="D9105" s="0" t="n">
        <f aca="false">INDEX(Intent_Analysis!$E$5:$E$81,MATCH(B9105,Intent_Analysis!$A$5:$A$81,0))</f>
        <v>1</v>
      </c>
    </row>
    <row r="9106" customFormat="false" ht="15" hidden="false" customHeight="false" outlineLevel="0" collapsed="false">
      <c r="A9106" s="0" t="s">
        <v>9430</v>
      </c>
      <c r="B9106" s="0" t="s">
        <v>93</v>
      </c>
      <c r="C9106" s="0" t="str">
        <f aca="false">INDEX(Intent_Analysis!$B$5:$B$81,MATCH(B9106,Intent_Analysis!$A$5:$A$81,0))</f>
        <v>Fees &amp; charges</v>
      </c>
      <c r="D9106" s="0" t="n">
        <f aca="false">INDEX(Intent_Analysis!$E$5:$E$81,MATCH(B9106,Intent_Analysis!$A$5:$A$81,0))</f>
        <v>1</v>
      </c>
    </row>
    <row r="9107" customFormat="false" ht="15" hidden="false" customHeight="false" outlineLevel="0" collapsed="false">
      <c r="A9107" s="0" t="s">
        <v>9431</v>
      </c>
      <c r="B9107" s="0" t="s">
        <v>93</v>
      </c>
      <c r="C9107" s="0" t="str">
        <f aca="false">INDEX(Intent_Analysis!$B$5:$B$81,MATCH(B9107,Intent_Analysis!$A$5:$A$81,0))</f>
        <v>Fees &amp; charges</v>
      </c>
      <c r="D9107" s="0" t="n">
        <f aca="false">INDEX(Intent_Analysis!$E$5:$E$81,MATCH(B9107,Intent_Analysis!$A$5:$A$81,0))</f>
        <v>1</v>
      </c>
    </row>
    <row r="9108" customFormat="false" ht="15" hidden="false" customHeight="false" outlineLevel="0" collapsed="false">
      <c r="A9108" s="0" t="s">
        <v>9432</v>
      </c>
      <c r="B9108" s="0" t="s">
        <v>93</v>
      </c>
      <c r="C9108" s="0" t="str">
        <f aca="false">INDEX(Intent_Analysis!$B$5:$B$81,MATCH(B9108,Intent_Analysis!$A$5:$A$81,0))</f>
        <v>Fees &amp; charges</v>
      </c>
      <c r="D9108" s="0" t="n">
        <f aca="false">INDEX(Intent_Analysis!$E$5:$E$81,MATCH(B9108,Intent_Analysis!$A$5:$A$81,0))</f>
        <v>1</v>
      </c>
    </row>
    <row r="9109" customFormat="false" ht="15" hidden="false" customHeight="false" outlineLevel="0" collapsed="false">
      <c r="A9109" s="0" t="s">
        <v>9433</v>
      </c>
      <c r="B9109" s="0" t="s">
        <v>93</v>
      </c>
      <c r="C9109" s="0" t="str">
        <f aca="false">INDEX(Intent_Analysis!$B$5:$B$81,MATCH(B9109,Intent_Analysis!$A$5:$A$81,0))</f>
        <v>Fees &amp; charges</v>
      </c>
      <c r="D9109" s="0" t="n">
        <f aca="false">INDEX(Intent_Analysis!$E$5:$E$81,MATCH(B9109,Intent_Analysis!$A$5:$A$81,0))</f>
        <v>1</v>
      </c>
    </row>
    <row r="9110" customFormat="false" ht="15" hidden="false" customHeight="false" outlineLevel="0" collapsed="false">
      <c r="A9110" s="0" t="s">
        <v>9434</v>
      </c>
      <c r="B9110" s="0" t="s">
        <v>93</v>
      </c>
      <c r="C9110" s="0" t="str">
        <f aca="false">INDEX(Intent_Analysis!$B$5:$B$81,MATCH(B9110,Intent_Analysis!$A$5:$A$81,0))</f>
        <v>Fees &amp; charges</v>
      </c>
      <c r="D9110" s="0" t="n">
        <f aca="false">INDEX(Intent_Analysis!$E$5:$E$81,MATCH(B9110,Intent_Analysis!$A$5:$A$81,0))</f>
        <v>1</v>
      </c>
    </row>
    <row r="9111" customFormat="false" ht="15" hidden="false" customHeight="false" outlineLevel="0" collapsed="false">
      <c r="A9111" s="0" t="s">
        <v>9435</v>
      </c>
      <c r="B9111" s="0" t="s">
        <v>93</v>
      </c>
      <c r="C9111" s="0" t="str">
        <f aca="false">INDEX(Intent_Analysis!$B$5:$B$81,MATCH(B9111,Intent_Analysis!$A$5:$A$81,0))</f>
        <v>Fees &amp; charges</v>
      </c>
      <c r="D9111" s="0" t="n">
        <f aca="false">INDEX(Intent_Analysis!$E$5:$E$81,MATCH(B9111,Intent_Analysis!$A$5:$A$81,0))</f>
        <v>1</v>
      </c>
    </row>
    <row r="9112" customFormat="false" ht="15" hidden="false" customHeight="false" outlineLevel="0" collapsed="false">
      <c r="A9112" s="0" t="s">
        <v>9436</v>
      </c>
      <c r="B9112" s="0" t="s">
        <v>93</v>
      </c>
      <c r="C9112" s="0" t="str">
        <f aca="false">INDEX(Intent_Analysis!$B$5:$B$81,MATCH(B9112,Intent_Analysis!$A$5:$A$81,0))</f>
        <v>Fees &amp; charges</v>
      </c>
      <c r="D9112" s="0" t="n">
        <f aca="false">INDEX(Intent_Analysis!$E$5:$E$81,MATCH(B9112,Intent_Analysis!$A$5:$A$81,0))</f>
        <v>1</v>
      </c>
    </row>
    <row r="9113" customFormat="false" ht="15" hidden="false" customHeight="false" outlineLevel="0" collapsed="false">
      <c r="A9113" s="0" t="s">
        <v>9437</v>
      </c>
      <c r="B9113" s="0" t="s">
        <v>93</v>
      </c>
      <c r="C9113" s="0" t="str">
        <f aca="false">INDEX(Intent_Analysis!$B$5:$B$81,MATCH(B9113,Intent_Analysis!$A$5:$A$81,0))</f>
        <v>Fees &amp; charges</v>
      </c>
      <c r="D9113" s="0" t="n">
        <f aca="false">INDEX(Intent_Analysis!$E$5:$E$81,MATCH(B9113,Intent_Analysis!$A$5:$A$81,0))</f>
        <v>1</v>
      </c>
    </row>
    <row r="9114" customFormat="false" ht="15" hidden="false" customHeight="false" outlineLevel="0" collapsed="false">
      <c r="A9114" s="0" t="s">
        <v>9438</v>
      </c>
      <c r="B9114" s="0" t="s">
        <v>93</v>
      </c>
      <c r="C9114" s="0" t="str">
        <f aca="false">INDEX(Intent_Analysis!$B$5:$B$81,MATCH(B9114,Intent_Analysis!$A$5:$A$81,0))</f>
        <v>Fees &amp; charges</v>
      </c>
      <c r="D9114" s="0" t="n">
        <f aca="false">INDEX(Intent_Analysis!$E$5:$E$81,MATCH(B9114,Intent_Analysis!$A$5:$A$81,0))</f>
        <v>1</v>
      </c>
    </row>
    <row r="9115" customFormat="false" ht="15" hidden="false" customHeight="false" outlineLevel="0" collapsed="false">
      <c r="A9115" s="0" t="s">
        <v>9439</v>
      </c>
      <c r="B9115" s="0" t="s">
        <v>93</v>
      </c>
      <c r="C9115" s="0" t="str">
        <f aca="false">INDEX(Intent_Analysis!$B$5:$B$81,MATCH(B9115,Intent_Analysis!$A$5:$A$81,0))</f>
        <v>Fees &amp; charges</v>
      </c>
      <c r="D9115" s="0" t="n">
        <f aca="false">INDEX(Intent_Analysis!$E$5:$E$81,MATCH(B9115,Intent_Analysis!$A$5:$A$81,0))</f>
        <v>1</v>
      </c>
    </row>
    <row r="9116" customFormat="false" ht="15" hidden="false" customHeight="false" outlineLevel="0" collapsed="false">
      <c r="A9116" s="0" t="s">
        <v>9440</v>
      </c>
      <c r="B9116" s="0" t="s">
        <v>93</v>
      </c>
      <c r="C9116" s="0" t="str">
        <f aca="false">INDEX(Intent_Analysis!$B$5:$B$81,MATCH(B9116,Intent_Analysis!$A$5:$A$81,0))</f>
        <v>Fees &amp; charges</v>
      </c>
      <c r="D9116" s="0" t="n">
        <f aca="false">INDEX(Intent_Analysis!$E$5:$E$81,MATCH(B9116,Intent_Analysis!$A$5:$A$81,0))</f>
        <v>1</v>
      </c>
    </row>
    <row r="9117" customFormat="false" ht="15" hidden="false" customHeight="false" outlineLevel="0" collapsed="false">
      <c r="A9117" s="0" t="s">
        <v>9441</v>
      </c>
      <c r="B9117" s="0" t="s">
        <v>93</v>
      </c>
      <c r="C9117" s="0" t="str">
        <f aca="false">INDEX(Intent_Analysis!$B$5:$B$81,MATCH(B9117,Intent_Analysis!$A$5:$A$81,0))</f>
        <v>Fees &amp; charges</v>
      </c>
      <c r="D9117" s="0" t="n">
        <f aca="false">INDEX(Intent_Analysis!$E$5:$E$81,MATCH(B9117,Intent_Analysis!$A$5:$A$81,0))</f>
        <v>1</v>
      </c>
    </row>
    <row r="9118" customFormat="false" ht="15" hidden="false" customHeight="false" outlineLevel="0" collapsed="false">
      <c r="A9118" s="0" t="s">
        <v>9442</v>
      </c>
      <c r="B9118" s="0" t="s">
        <v>93</v>
      </c>
      <c r="C9118" s="0" t="str">
        <f aca="false">INDEX(Intent_Analysis!$B$5:$B$81,MATCH(B9118,Intent_Analysis!$A$5:$A$81,0))</f>
        <v>Fees &amp; charges</v>
      </c>
      <c r="D9118" s="0" t="n">
        <f aca="false">INDEX(Intent_Analysis!$E$5:$E$81,MATCH(B9118,Intent_Analysis!$A$5:$A$81,0))</f>
        <v>1</v>
      </c>
    </row>
    <row r="9119" customFormat="false" ht="15" hidden="false" customHeight="false" outlineLevel="0" collapsed="false">
      <c r="A9119" s="0" t="s">
        <v>9443</v>
      </c>
      <c r="B9119" s="0" t="s">
        <v>93</v>
      </c>
      <c r="C9119" s="0" t="str">
        <f aca="false">INDEX(Intent_Analysis!$B$5:$B$81,MATCH(B9119,Intent_Analysis!$A$5:$A$81,0))</f>
        <v>Fees &amp; charges</v>
      </c>
      <c r="D9119" s="0" t="n">
        <f aca="false">INDEX(Intent_Analysis!$E$5:$E$81,MATCH(B9119,Intent_Analysis!$A$5:$A$81,0))</f>
        <v>1</v>
      </c>
    </row>
    <row r="9120" customFormat="false" ht="15" hidden="false" customHeight="false" outlineLevel="0" collapsed="false">
      <c r="A9120" s="0" t="s">
        <v>9444</v>
      </c>
      <c r="B9120" s="0" t="s">
        <v>93</v>
      </c>
      <c r="C9120" s="0" t="str">
        <f aca="false">INDEX(Intent_Analysis!$B$5:$B$81,MATCH(B9120,Intent_Analysis!$A$5:$A$81,0))</f>
        <v>Fees &amp; charges</v>
      </c>
      <c r="D9120" s="0" t="n">
        <f aca="false">INDEX(Intent_Analysis!$E$5:$E$81,MATCH(B9120,Intent_Analysis!$A$5:$A$81,0))</f>
        <v>1</v>
      </c>
    </row>
    <row r="9121" customFormat="false" ht="15" hidden="false" customHeight="false" outlineLevel="0" collapsed="false">
      <c r="A9121" s="0" t="s">
        <v>9445</v>
      </c>
      <c r="B9121" s="0" t="s">
        <v>93</v>
      </c>
      <c r="C9121" s="0" t="str">
        <f aca="false">INDEX(Intent_Analysis!$B$5:$B$81,MATCH(B9121,Intent_Analysis!$A$5:$A$81,0))</f>
        <v>Fees &amp; charges</v>
      </c>
      <c r="D9121" s="0" t="n">
        <f aca="false">INDEX(Intent_Analysis!$E$5:$E$81,MATCH(B9121,Intent_Analysis!$A$5:$A$81,0))</f>
        <v>1</v>
      </c>
    </row>
    <row r="9122" customFormat="false" ht="15" hidden="false" customHeight="false" outlineLevel="0" collapsed="false">
      <c r="A9122" s="0" t="s">
        <v>9446</v>
      </c>
      <c r="B9122" s="0" t="s">
        <v>93</v>
      </c>
      <c r="C9122" s="0" t="str">
        <f aca="false">INDEX(Intent_Analysis!$B$5:$B$81,MATCH(B9122,Intent_Analysis!$A$5:$A$81,0))</f>
        <v>Fees &amp; charges</v>
      </c>
      <c r="D9122" s="0" t="n">
        <f aca="false">INDEX(Intent_Analysis!$E$5:$E$81,MATCH(B9122,Intent_Analysis!$A$5:$A$81,0))</f>
        <v>1</v>
      </c>
    </row>
    <row r="9123" customFormat="false" ht="15" hidden="false" customHeight="false" outlineLevel="0" collapsed="false">
      <c r="A9123" s="0" t="s">
        <v>9447</v>
      </c>
      <c r="B9123" s="0" t="s">
        <v>93</v>
      </c>
      <c r="C9123" s="0" t="str">
        <f aca="false">INDEX(Intent_Analysis!$B$5:$B$81,MATCH(B9123,Intent_Analysis!$A$5:$A$81,0))</f>
        <v>Fees &amp; charges</v>
      </c>
      <c r="D9123" s="0" t="n">
        <f aca="false">INDEX(Intent_Analysis!$E$5:$E$81,MATCH(B9123,Intent_Analysis!$A$5:$A$81,0))</f>
        <v>1</v>
      </c>
    </row>
    <row r="9124" customFormat="false" ht="15" hidden="false" customHeight="false" outlineLevel="0" collapsed="false">
      <c r="A9124" s="0" t="s">
        <v>9448</v>
      </c>
      <c r="B9124" s="0" t="s">
        <v>93</v>
      </c>
      <c r="C9124" s="0" t="str">
        <f aca="false">INDEX(Intent_Analysis!$B$5:$B$81,MATCH(B9124,Intent_Analysis!$A$5:$A$81,0))</f>
        <v>Fees &amp; charges</v>
      </c>
      <c r="D9124" s="0" t="n">
        <f aca="false">INDEX(Intent_Analysis!$E$5:$E$81,MATCH(B9124,Intent_Analysis!$A$5:$A$81,0))</f>
        <v>1</v>
      </c>
    </row>
    <row r="9125" customFormat="false" ht="15" hidden="false" customHeight="false" outlineLevel="0" collapsed="false">
      <c r="A9125" s="0" t="s">
        <v>9449</v>
      </c>
      <c r="B9125" s="0" t="s">
        <v>93</v>
      </c>
      <c r="C9125" s="0" t="str">
        <f aca="false">INDEX(Intent_Analysis!$B$5:$B$81,MATCH(B9125,Intent_Analysis!$A$5:$A$81,0))</f>
        <v>Fees &amp; charges</v>
      </c>
      <c r="D9125" s="0" t="n">
        <f aca="false">INDEX(Intent_Analysis!$E$5:$E$81,MATCH(B9125,Intent_Analysis!$A$5:$A$81,0))</f>
        <v>1</v>
      </c>
    </row>
    <row r="9126" customFormat="false" ht="15" hidden="false" customHeight="false" outlineLevel="0" collapsed="false">
      <c r="A9126" s="0" t="s">
        <v>9450</v>
      </c>
      <c r="B9126" s="0" t="s">
        <v>93</v>
      </c>
      <c r="C9126" s="0" t="str">
        <f aca="false">INDEX(Intent_Analysis!$B$5:$B$81,MATCH(B9126,Intent_Analysis!$A$5:$A$81,0))</f>
        <v>Fees &amp; charges</v>
      </c>
      <c r="D9126" s="0" t="n">
        <f aca="false">INDEX(Intent_Analysis!$E$5:$E$81,MATCH(B9126,Intent_Analysis!$A$5:$A$81,0))</f>
        <v>1</v>
      </c>
    </row>
    <row r="9127" customFormat="false" ht="15" hidden="false" customHeight="false" outlineLevel="0" collapsed="false">
      <c r="A9127" s="0" t="s">
        <v>9451</v>
      </c>
      <c r="B9127" s="0" t="s">
        <v>93</v>
      </c>
      <c r="C9127" s="0" t="str">
        <f aca="false">INDEX(Intent_Analysis!$B$5:$B$81,MATCH(B9127,Intent_Analysis!$A$5:$A$81,0))</f>
        <v>Fees &amp; charges</v>
      </c>
      <c r="D9127" s="0" t="n">
        <f aca="false">INDEX(Intent_Analysis!$E$5:$E$81,MATCH(B9127,Intent_Analysis!$A$5:$A$81,0))</f>
        <v>1</v>
      </c>
    </row>
    <row r="9128" customFormat="false" ht="15" hidden="false" customHeight="false" outlineLevel="0" collapsed="false">
      <c r="A9128" s="0" t="s">
        <v>9452</v>
      </c>
      <c r="B9128" s="0" t="s">
        <v>93</v>
      </c>
      <c r="C9128" s="0" t="str">
        <f aca="false">INDEX(Intent_Analysis!$B$5:$B$81,MATCH(B9128,Intent_Analysis!$A$5:$A$81,0))</f>
        <v>Fees &amp; charges</v>
      </c>
      <c r="D9128" s="0" t="n">
        <f aca="false">INDEX(Intent_Analysis!$E$5:$E$81,MATCH(B9128,Intent_Analysis!$A$5:$A$81,0))</f>
        <v>1</v>
      </c>
    </row>
    <row r="9129" customFormat="false" ht="15" hidden="false" customHeight="false" outlineLevel="0" collapsed="false">
      <c r="A9129" s="0" t="s">
        <v>9453</v>
      </c>
      <c r="B9129" s="0" t="s">
        <v>93</v>
      </c>
      <c r="C9129" s="0" t="str">
        <f aca="false">INDEX(Intent_Analysis!$B$5:$B$81,MATCH(B9129,Intent_Analysis!$A$5:$A$81,0))</f>
        <v>Fees &amp; charges</v>
      </c>
      <c r="D9129" s="0" t="n">
        <f aca="false">INDEX(Intent_Analysis!$E$5:$E$81,MATCH(B9129,Intent_Analysis!$A$5:$A$81,0))</f>
        <v>1</v>
      </c>
    </row>
    <row r="9130" customFormat="false" ht="15" hidden="false" customHeight="false" outlineLevel="0" collapsed="false">
      <c r="A9130" s="0" t="s">
        <v>9454</v>
      </c>
      <c r="B9130" s="0" t="s">
        <v>93</v>
      </c>
      <c r="C9130" s="0" t="str">
        <f aca="false">INDEX(Intent_Analysis!$B$5:$B$81,MATCH(B9130,Intent_Analysis!$A$5:$A$81,0))</f>
        <v>Fees &amp; charges</v>
      </c>
      <c r="D9130" s="0" t="n">
        <f aca="false">INDEX(Intent_Analysis!$E$5:$E$81,MATCH(B9130,Intent_Analysis!$A$5:$A$81,0))</f>
        <v>1</v>
      </c>
    </row>
    <row r="9131" customFormat="false" ht="15" hidden="false" customHeight="false" outlineLevel="0" collapsed="false">
      <c r="A9131" s="0" t="s">
        <v>9455</v>
      </c>
      <c r="B9131" s="0" t="s">
        <v>93</v>
      </c>
      <c r="C9131" s="0" t="str">
        <f aca="false">INDEX(Intent_Analysis!$B$5:$B$81,MATCH(B9131,Intent_Analysis!$A$5:$A$81,0))</f>
        <v>Fees &amp; charges</v>
      </c>
      <c r="D9131" s="0" t="n">
        <f aca="false">INDEX(Intent_Analysis!$E$5:$E$81,MATCH(B9131,Intent_Analysis!$A$5:$A$81,0))</f>
        <v>1</v>
      </c>
    </row>
    <row r="9132" customFormat="false" ht="15" hidden="false" customHeight="false" outlineLevel="0" collapsed="false">
      <c r="A9132" s="0" t="s">
        <v>9456</v>
      </c>
      <c r="B9132" s="0" t="s">
        <v>93</v>
      </c>
      <c r="C9132" s="0" t="str">
        <f aca="false">INDEX(Intent_Analysis!$B$5:$B$81,MATCH(B9132,Intent_Analysis!$A$5:$A$81,0))</f>
        <v>Fees &amp; charges</v>
      </c>
      <c r="D9132" s="0" t="n">
        <f aca="false">INDEX(Intent_Analysis!$E$5:$E$81,MATCH(B9132,Intent_Analysis!$A$5:$A$81,0))</f>
        <v>1</v>
      </c>
    </row>
    <row r="9133" customFormat="false" ht="15" hidden="false" customHeight="false" outlineLevel="0" collapsed="false">
      <c r="A9133" s="0" t="s">
        <v>9457</v>
      </c>
      <c r="B9133" s="0" t="s">
        <v>93</v>
      </c>
      <c r="C9133" s="0" t="str">
        <f aca="false">INDEX(Intent_Analysis!$B$5:$B$81,MATCH(B9133,Intent_Analysis!$A$5:$A$81,0))</f>
        <v>Fees &amp; charges</v>
      </c>
      <c r="D9133" s="0" t="n">
        <f aca="false">INDEX(Intent_Analysis!$E$5:$E$81,MATCH(B9133,Intent_Analysis!$A$5:$A$81,0))</f>
        <v>1</v>
      </c>
    </row>
    <row r="9134" customFormat="false" ht="15" hidden="false" customHeight="false" outlineLevel="0" collapsed="false">
      <c r="A9134" s="0" t="s">
        <v>9458</v>
      </c>
      <c r="B9134" s="0" t="s">
        <v>93</v>
      </c>
      <c r="C9134" s="0" t="str">
        <f aca="false">INDEX(Intent_Analysis!$B$5:$B$81,MATCH(B9134,Intent_Analysis!$A$5:$A$81,0))</f>
        <v>Fees &amp; charges</v>
      </c>
      <c r="D9134" s="0" t="n">
        <f aca="false">INDEX(Intent_Analysis!$E$5:$E$81,MATCH(B9134,Intent_Analysis!$A$5:$A$81,0))</f>
        <v>1</v>
      </c>
    </row>
    <row r="9135" customFormat="false" ht="15" hidden="false" customHeight="false" outlineLevel="0" collapsed="false">
      <c r="A9135" s="0" t="s">
        <v>9459</v>
      </c>
      <c r="B9135" s="0" t="s">
        <v>93</v>
      </c>
      <c r="C9135" s="0" t="str">
        <f aca="false">INDEX(Intent_Analysis!$B$5:$B$81,MATCH(B9135,Intent_Analysis!$A$5:$A$81,0))</f>
        <v>Fees &amp; charges</v>
      </c>
      <c r="D9135" s="0" t="n">
        <f aca="false">INDEX(Intent_Analysis!$E$5:$E$81,MATCH(B9135,Intent_Analysis!$A$5:$A$81,0))</f>
        <v>1</v>
      </c>
    </row>
    <row r="9136" customFormat="false" ht="15" hidden="false" customHeight="false" outlineLevel="0" collapsed="false">
      <c r="A9136" s="0" t="s">
        <v>9460</v>
      </c>
      <c r="B9136" s="0" t="s">
        <v>93</v>
      </c>
      <c r="C9136" s="0" t="str">
        <f aca="false">INDEX(Intent_Analysis!$B$5:$B$81,MATCH(B9136,Intent_Analysis!$A$5:$A$81,0))</f>
        <v>Fees &amp; charges</v>
      </c>
      <c r="D9136" s="0" t="n">
        <f aca="false">INDEX(Intent_Analysis!$E$5:$E$81,MATCH(B9136,Intent_Analysis!$A$5:$A$81,0))</f>
        <v>1</v>
      </c>
    </row>
    <row r="9137" customFormat="false" ht="15" hidden="false" customHeight="false" outlineLevel="0" collapsed="false">
      <c r="A9137" s="0" t="s">
        <v>9461</v>
      </c>
      <c r="B9137" s="0" t="s">
        <v>93</v>
      </c>
      <c r="C9137" s="0" t="str">
        <f aca="false">INDEX(Intent_Analysis!$B$5:$B$81,MATCH(B9137,Intent_Analysis!$A$5:$A$81,0))</f>
        <v>Fees &amp; charges</v>
      </c>
      <c r="D9137" s="0" t="n">
        <f aca="false">INDEX(Intent_Analysis!$E$5:$E$81,MATCH(B9137,Intent_Analysis!$A$5:$A$81,0))</f>
        <v>1</v>
      </c>
    </row>
    <row r="9138" customFormat="false" ht="15" hidden="false" customHeight="false" outlineLevel="0" collapsed="false">
      <c r="A9138" s="0" t="s">
        <v>9462</v>
      </c>
      <c r="B9138" s="0" t="s">
        <v>93</v>
      </c>
      <c r="C9138" s="0" t="str">
        <f aca="false">INDEX(Intent_Analysis!$B$5:$B$81,MATCH(B9138,Intent_Analysis!$A$5:$A$81,0))</f>
        <v>Fees &amp; charges</v>
      </c>
      <c r="D9138" s="0" t="n">
        <f aca="false">INDEX(Intent_Analysis!$E$5:$E$81,MATCH(B9138,Intent_Analysis!$A$5:$A$81,0))</f>
        <v>1</v>
      </c>
    </row>
    <row r="9139" customFormat="false" ht="15" hidden="false" customHeight="false" outlineLevel="0" collapsed="false">
      <c r="A9139" s="0" t="s">
        <v>9463</v>
      </c>
      <c r="B9139" s="0" t="s">
        <v>93</v>
      </c>
      <c r="C9139" s="0" t="str">
        <f aca="false">INDEX(Intent_Analysis!$B$5:$B$81,MATCH(B9139,Intent_Analysis!$A$5:$A$81,0))</f>
        <v>Fees &amp; charges</v>
      </c>
      <c r="D9139" s="0" t="n">
        <f aca="false">INDEX(Intent_Analysis!$E$5:$E$81,MATCH(B9139,Intent_Analysis!$A$5:$A$81,0))</f>
        <v>1</v>
      </c>
    </row>
    <row r="9140" customFormat="false" ht="15" hidden="false" customHeight="false" outlineLevel="0" collapsed="false">
      <c r="A9140" s="0" t="s">
        <v>9464</v>
      </c>
      <c r="B9140" s="0" t="s">
        <v>93</v>
      </c>
      <c r="C9140" s="0" t="str">
        <f aca="false">INDEX(Intent_Analysis!$B$5:$B$81,MATCH(B9140,Intent_Analysis!$A$5:$A$81,0))</f>
        <v>Fees &amp; charges</v>
      </c>
      <c r="D9140" s="0" t="n">
        <f aca="false">INDEX(Intent_Analysis!$E$5:$E$81,MATCH(B9140,Intent_Analysis!$A$5:$A$81,0))</f>
        <v>1</v>
      </c>
    </row>
    <row r="9141" customFormat="false" ht="15" hidden="false" customHeight="false" outlineLevel="0" collapsed="false">
      <c r="A9141" s="0" t="s">
        <v>9465</v>
      </c>
      <c r="B9141" s="0" t="s">
        <v>93</v>
      </c>
      <c r="C9141" s="0" t="str">
        <f aca="false">INDEX(Intent_Analysis!$B$5:$B$81,MATCH(B9141,Intent_Analysis!$A$5:$A$81,0))</f>
        <v>Fees &amp; charges</v>
      </c>
      <c r="D9141" s="0" t="n">
        <f aca="false">INDEX(Intent_Analysis!$E$5:$E$81,MATCH(B9141,Intent_Analysis!$A$5:$A$81,0))</f>
        <v>1</v>
      </c>
    </row>
    <row r="9142" customFormat="false" ht="15" hidden="false" customHeight="false" outlineLevel="0" collapsed="false">
      <c r="A9142" s="0" t="s">
        <v>9466</v>
      </c>
      <c r="B9142" s="0" t="s">
        <v>93</v>
      </c>
      <c r="C9142" s="0" t="str">
        <f aca="false">INDEX(Intent_Analysis!$B$5:$B$81,MATCH(B9142,Intent_Analysis!$A$5:$A$81,0))</f>
        <v>Fees &amp; charges</v>
      </c>
      <c r="D9142" s="0" t="n">
        <f aca="false">INDEX(Intent_Analysis!$E$5:$E$81,MATCH(B9142,Intent_Analysis!$A$5:$A$81,0))</f>
        <v>1</v>
      </c>
    </row>
    <row r="9143" customFormat="false" ht="15" hidden="false" customHeight="false" outlineLevel="0" collapsed="false">
      <c r="A9143" s="0" t="s">
        <v>9467</v>
      </c>
      <c r="B9143" s="0" t="s">
        <v>93</v>
      </c>
      <c r="C9143" s="0" t="str">
        <f aca="false">INDEX(Intent_Analysis!$B$5:$B$81,MATCH(B9143,Intent_Analysis!$A$5:$A$81,0))</f>
        <v>Fees &amp; charges</v>
      </c>
      <c r="D9143" s="0" t="n">
        <f aca="false">INDEX(Intent_Analysis!$E$5:$E$81,MATCH(B9143,Intent_Analysis!$A$5:$A$81,0))</f>
        <v>1</v>
      </c>
    </row>
    <row r="9144" customFormat="false" ht="15" hidden="false" customHeight="false" outlineLevel="0" collapsed="false">
      <c r="A9144" s="0" t="s">
        <v>9468</v>
      </c>
      <c r="B9144" s="0" t="s">
        <v>93</v>
      </c>
      <c r="C9144" s="0" t="str">
        <f aca="false">INDEX(Intent_Analysis!$B$5:$B$81,MATCH(B9144,Intent_Analysis!$A$5:$A$81,0))</f>
        <v>Fees &amp; charges</v>
      </c>
      <c r="D9144" s="0" t="n">
        <f aca="false">INDEX(Intent_Analysis!$E$5:$E$81,MATCH(B9144,Intent_Analysis!$A$5:$A$81,0))</f>
        <v>1</v>
      </c>
    </row>
    <row r="9145" customFormat="false" ht="15" hidden="false" customHeight="false" outlineLevel="0" collapsed="false">
      <c r="A9145" s="0" t="s">
        <v>9469</v>
      </c>
      <c r="B9145" s="0" t="s">
        <v>93</v>
      </c>
      <c r="C9145" s="0" t="str">
        <f aca="false">INDEX(Intent_Analysis!$B$5:$B$81,MATCH(B9145,Intent_Analysis!$A$5:$A$81,0))</f>
        <v>Fees &amp; charges</v>
      </c>
      <c r="D9145" s="0" t="n">
        <f aca="false">INDEX(Intent_Analysis!$E$5:$E$81,MATCH(B9145,Intent_Analysis!$A$5:$A$81,0))</f>
        <v>1</v>
      </c>
    </row>
    <row r="9146" customFormat="false" ht="15" hidden="false" customHeight="false" outlineLevel="0" collapsed="false">
      <c r="A9146" s="0" t="s">
        <v>9470</v>
      </c>
      <c r="B9146" s="0" t="s">
        <v>93</v>
      </c>
      <c r="C9146" s="0" t="str">
        <f aca="false">INDEX(Intent_Analysis!$B$5:$B$81,MATCH(B9146,Intent_Analysis!$A$5:$A$81,0))</f>
        <v>Fees &amp; charges</v>
      </c>
      <c r="D9146" s="0" t="n">
        <f aca="false">INDEX(Intent_Analysis!$E$5:$E$81,MATCH(B9146,Intent_Analysis!$A$5:$A$81,0))</f>
        <v>1</v>
      </c>
    </row>
    <row r="9147" customFormat="false" ht="15" hidden="false" customHeight="false" outlineLevel="0" collapsed="false">
      <c r="A9147" s="0" t="s">
        <v>9471</v>
      </c>
      <c r="B9147" s="0" t="s">
        <v>93</v>
      </c>
      <c r="C9147" s="0" t="str">
        <f aca="false">INDEX(Intent_Analysis!$B$5:$B$81,MATCH(B9147,Intent_Analysis!$A$5:$A$81,0))</f>
        <v>Fees &amp; charges</v>
      </c>
      <c r="D9147" s="0" t="n">
        <f aca="false">INDEX(Intent_Analysis!$E$5:$E$81,MATCH(B9147,Intent_Analysis!$A$5:$A$81,0))</f>
        <v>1</v>
      </c>
    </row>
    <row r="9148" customFormat="false" ht="15" hidden="false" customHeight="false" outlineLevel="0" collapsed="false">
      <c r="A9148" s="0" t="s">
        <v>9472</v>
      </c>
      <c r="B9148" s="0" t="s">
        <v>93</v>
      </c>
      <c r="C9148" s="0" t="str">
        <f aca="false">INDEX(Intent_Analysis!$B$5:$B$81,MATCH(B9148,Intent_Analysis!$A$5:$A$81,0))</f>
        <v>Fees &amp; charges</v>
      </c>
      <c r="D9148" s="0" t="n">
        <f aca="false">INDEX(Intent_Analysis!$E$5:$E$81,MATCH(B9148,Intent_Analysis!$A$5:$A$81,0))</f>
        <v>1</v>
      </c>
    </row>
    <row r="9149" customFormat="false" ht="15" hidden="false" customHeight="false" outlineLevel="0" collapsed="false">
      <c r="A9149" s="0" t="s">
        <v>9473</v>
      </c>
      <c r="B9149" s="0" t="s">
        <v>93</v>
      </c>
      <c r="C9149" s="0" t="str">
        <f aca="false">INDEX(Intent_Analysis!$B$5:$B$81,MATCH(B9149,Intent_Analysis!$A$5:$A$81,0))</f>
        <v>Fees &amp; charges</v>
      </c>
      <c r="D9149" s="0" t="n">
        <f aca="false">INDEX(Intent_Analysis!$E$5:$E$81,MATCH(B9149,Intent_Analysis!$A$5:$A$81,0))</f>
        <v>1</v>
      </c>
    </row>
    <row r="9150" customFormat="false" ht="15" hidden="false" customHeight="false" outlineLevel="0" collapsed="false">
      <c r="A9150" s="0" t="s">
        <v>9474</v>
      </c>
      <c r="B9150" s="0" t="s">
        <v>93</v>
      </c>
      <c r="C9150" s="0" t="str">
        <f aca="false">INDEX(Intent_Analysis!$B$5:$B$81,MATCH(B9150,Intent_Analysis!$A$5:$A$81,0))</f>
        <v>Fees &amp; charges</v>
      </c>
      <c r="D9150" s="0" t="n">
        <f aca="false">INDEX(Intent_Analysis!$E$5:$E$81,MATCH(B9150,Intent_Analysis!$A$5:$A$81,0))</f>
        <v>1</v>
      </c>
    </row>
    <row r="9151" customFormat="false" ht="15" hidden="false" customHeight="false" outlineLevel="0" collapsed="false">
      <c r="A9151" s="0" t="s">
        <v>9475</v>
      </c>
      <c r="B9151" s="0" t="s">
        <v>93</v>
      </c>
      <c r="C9151" s="0" t="str">
        <f aca="false">INDEX(Intent_Analysis!$B$5:$B$81,MATCH(B9151,Intent_Analysis!$A$5:$A$81,0))</f>
        <v>Fees &amp; charges</v>
      </c>
      <c r="D9151" s="0" t="n">
        <f aca="false">INDEX(Intent_Analysis!$E$5:$E$81,MATCH(B9151,Intent_Analysis!$A$5:$A$81,0))</f>
        <v>1</v>
      </c>
    </row>
    <row r="9152" customFormat="false" ht="15" hidden="false" customHeight="false" outlineLevel="0" collapsed="false">
      <c r="A9152" s="0" t="s">
        <v>9476</v>
      </c>
      <c r="B9152" s="0" t="s">
        <v>93</v>
      </c>
      <c r="C9152" s="0" t="str">
        <f aca="false">INDEX(Intent_Analysis!$B$5:$B$81,MATCH(B9152,Intent_Analysis!$A$5:$A$81,0))</f>
        <v>Fees &amp; charges</v>
      </c>
      <c r="D9152" s="0" t="n">
        <f aca="false">INDEX(Intent_Analysis!$E$5:$E$81,MATCH(B9152,Intent_Analysis!$A$5:$A$81,0))</f>
        <v>1</v>
      </c>
    </row>
    <row r="9153" customFormat="false" ht="15" hidden="false" customHeight="false" outlineLevel="0" collapsed="false">
      <c r="A9153" s="0" t="s">
        <v>9477</v>
      </c>
      <c r="B9153" s="0" t="s">
        <v>93</v>
      </c>
      <c r="C9153" s="0" t="str">
        <f aca="false">INDEX(Intent_Analysis!$B$5:$B$81,MATCH(B9153,Intent_Analysis!$A$5:$A$81,0))</f>
        <v>Fees &amp; charges</v>
      </c>
      <c r="D9153" s="0" t="n">
        <f aca="false">INDEX(Intent_Analysis!$E$5:$E$81,MATCH(B9153,Intent_Analysis!$A$5:$A$81,0))</f>
        <v>1</v>
      </c>
    </row>
    <row r="9154" customFormat="false" ht="15" hidden="false" customHeight="false" outlineLevel="0" collapsed="false">
      <c r="A9154" s="0" t="s">
        <v>9478</v>
      </c>
      <c r="B9154" s="0" t="s">
        <v>93</v>
      </c>
      <c r="C9154" s="0" t="str">
        <f aca="false">INDEX(Intent_Analysis!$B$5:$B$81,MATCH(B9154,Intent_Analysis!$A$5:$A$81,0))</f>
        <v>Fees &amp; charges</v>
      </c>
      <c r="D9154" s="0" t="n">
        <f aca="false">INDEX(Intent_Analysis!$E$5:$E$81,MATCH(B9154,Intent_Analysis!$A$5:$A$81,0))</f>
        <v>1</v>
      </c>
    </row>
    <row r="9155" customFormat="false" ht="15" hidden="false" customHeight="false" outlineLevel="0" collapsed="false">
      <c r="A9155" s="0" t="s">
        <v>9479</v>
      </c>
      <c r="B9155" s="0" t="s">
        <v>93</v>
      </c>
      <c r="C9155" s="0" t="str">
        <f aca="false">INDEX(Intent_Analysis!$B$5:$B$81,MATCH(B9155,Intent_Analysis!$A$5:$A$81,0))</f>
        <v>Fees &amp; charges</v>
      </c>
      <c r="D9155" s="0" t="n">
        <f aca="false">INDEX(Intent_Analysis!$E$5:$E$81,MATCH(B9155,Intent_Analysis!$A$5:$A$81,0))</f>
        <v>1</v>
      </c>
    </row>
    <row r="9156" customFormat="false" ht="15" hidden="false" customHeight="false" outlineLevel="0" collapsed="false">
      <c r="A9156" s="0" t="s">
        <v>9480</v>
      </c>
      <c r="B9156" s="0" t="s">
        <v>93</v>
      </c>
      <c r="C9156" s="0" t="str">
        <f aca="false">INDEX(Intent_Analysis!$B$5:$B$81,MATCH(B9156,Intent_Analysis!$A$5:$A$81,0))</f>
        <v>Fees &amp; charges</v>
      </c>
      <c r="D9156" s="0" t="n">
        <f aca="false">INDEX(Intent_Analysis!$E$5:$E$81,MATCH(B9156,Intent_Analysis!$A$5:$A$81,0))</f>
        <v>1</v>
      </c>
    </row>
    <row r="9157" customFormat="false" ht="15" hidden="false" customHeight="false" outlineLevel="0" collapsed="false">
      <c r="A9157" s="0" t="s">
        <v>9481</v>
      </c>
      <c r="B9157" s="0" t="s">
        <v>93</v>
      </c>
      <c r="C9157" s="0" t="str">
        <f aca="false">INDEX(Intent_Analysis!$B$5:$B$81,MATCH(B9157,Intent_Analysis!$A$5:$A$81,0))</f>
        <v>Fees &amp; charges</v>
      </c>
      <c r="D9157" s="0" t="n">
        <f aca="false">INDEX(Intent_Analysis!$E$5:$E$81,MATCH(B9157,Intent_Analysis!$A$5:$A$81,0))</f>
        <v>1</v>
      </c>
    </row>
    <row r="9158" customFormat="false" ht="15" hidden="false" customHeight="false" outlineLevel="0" collapsed="false">
      <c r="A9158" s="0" t="s">
        <v>9482</v>
      </c>
      <c r="B9158" s="0" t="s">
        <v>93</v>
      </c>
      <c r="C9158" s="0" t="str">
        <f aca="false">INDEX(Intent_Analysis!$B$5:$B$81,MATCH(B9158,Intent_Analysis!$A$5:$A$81,0))</f>
        <v>Fees &amp; charges</v>
      </c>
      <c r="D9158" s="0" t="n">
        <f aca="false">INDEX(Intent_Analysis!$E$5:$E$81,MATCH(B9158,Intent_Analysis!$A$5:$A$81,0))</f>
        <v>1</v>
      </c>
    </row>
    <row r="9159" customFormat="false" ht="15" hidden="false" customHeight="false" outlineLevel="0" collapsed="false">
      <c r="A9159" s="0" t="s">
        <v>9483</v>
      </c>
      <c r="B9159" s="0" t="s">
        <v>93</v>
      </c>
      <c r="C9159" s="0" t="str">
        <f aca="false">INDEX(Intent_Analysis!$B$5:$B$81,MATCH(B9159,Intent_Analysis!$A$5:$A$81,0))</f>
        <v>Fees &amp; charges</v>
      </c>
      <c r="D9159" s="0" t="n">
        <f aca="false">INDEX(Intent_Analysis!$E$5:$E$81,MATCH(B9159,Intent_Analysis!$A$5:$A$81,0))</f>
        <v>1</v>
      </c>
    </row>
    <row r="9160" customFormat="false" ht="15" hidden="false" customHeight="false" outlineLevel="0" collapsed="false">
      <c r="A9160" s="0" t="s">
        <v>9484</v>
      </c>
      <c r="B9160" s="0" t="s">
        <v>93</v>
      </c>
      <c r="C9160" s="0" t="str">
        <f aca="false">INDEX(Intent_Analysis!$B$5:$B$81,MATCH(B9160,Intent_Analysis!$A$5:$A$81,0))</f>
        <v>Fees &amp; charges</v>
      </c>
      <c r="D9160" s="0" t="n">
        <f aca="false">INDEX(Intent_Analysis!$E$5:$E$81,MATCH(B9160,Intent_Analysis!$A$5:$A$81,0))</f>
        <v>1</v>
      </c>
    </row>
    <row r="9161" customFormat="false" ht="15" hidden="false" customHeight="false" outlineLevel="0" collapsed="false">
      <c r="A9161" s="0" t="s">
        <v>9485</v>
      </c>
      <c r="B9161" s="0" t="s">
        <v>93</v>
      </c>
      <c r="C9161" s="0" t="str">
        <f aca="false">INDEX(Intent_Analysis!$B$5:$B$81,MATCH(B9161,Intent_Analysis!$A$5:$A$81,0))</f>
        <v>Fees &amp; charges</v>
      </c>
      <c r="D9161" s="0" t="n">
        <f aca="false">INDEX(Intent_Analysis!$E$5:$E$81,MATCH(B9161,Intent_Analysis!$A$5:$A$81,0))</f>
        <v>1</v>
      </c>
    </row>
    <row r="9162" customFormat="false" ht="15" hidden="false" customHeight="false" outlineLevel="0" collapsed="false">
      <c r="A9162" s="0" t="s">
        <v>9486</v>
      </c>
      <c r="B9162" s="0" t="s">
        <v>93</v>
      </c>
      <c r="C9162" s="0" t="str">
        <f aca="false">INDEX(Intent_Analysis!$B$5:$B$81,MATCH(B9162,Intent_Analysis!$A$5:$A$81,0))</f>
        <v>Fees &amp; charges</v>
      </c>
      <c r="D9162" s="0" t="n">
        <f aca="false">INDEX(Intent_Analysis!$E$5:$E$81,MATCH(B9162,Intent_Analysis!$A$5:$A$81,0))</f>
        <v>1</v>
      </c>
    </row>
    <row r="9163" customFormat="false" ht="15" hidden="false" customHeight="false" outlineLevel="0" collapsed="false">
      <c r="A9163" s="0" t="s">
        <v>9487</v>
      </c>
      <c r="B9163" s="0" t="s">
        <v>93</v>
      </c>
      <c r="C9163" s="0" t="str">
        <f aca="false">INDEX(Intent_Analysis!$B$5:$B$81,MATCH(B9163,Intent_Analysis!$A$5:$A$81,0))</f>
        <v>Fees &amp; charges</v>
      </c>
      <c r="D9163" s="0" t="n">
        <f aca="false">INDEX(Intent_Analysis!$E$5:$E$81,MATCH(B9163,Intent_Analysis!$A$5:$A$81,0))</f>
        <v>1</v>
      </c>
    </row>
    <row r="9164" customFormat="false" ht="15" hidden="false" customHeight="false" outlineLevel="0" collapsed="false">
      <c r="A9164" s="0" t="s">
        <v>9488</v>
      </c>
      <c r="B9164" s="0" t="s">
        <v>93</v>
      </c>
      <c r="C9164" s="0" t="str">
        <f aca="false">INDEX(Intent_Analysis!$B$5:$B$81,MATCH(B9164,Intent_Analysis!$A$5:$A$81,0))</f>
        <v>Fees &amp; charges</v>
      </c>
      <c r="D9164" s="0" t="n">
        <f aca="false">INDEX(Intent_Analysis!$E$5:$E$81,MATCH(B9164,Intent_Analysis!$A$5:$A$81,0))</f>
        <v>1</v>
      </c>
    </row>
    <row r="9165" customFormat="false" ht="15" hidden="false" customHeight="false" outlineLevel="0" collapsed="false">
      <c r="A9165" s="0" t="s">
        <v>9489</v>
      </c>
      <c r="B9165" s="0" t="s">
        <v>93</v>
      </c>
      <c r="C9165" s="0" t="str">
        <f aca="false">INDEX(Intent_Analysis!$B$5:$B$81,MATCH(B9165,Intent_Analysis!$A$5:$A$81,0))</f>
        <v>Fees &amp; charges</v>
      </c>
      <c r="D9165" s="0" t="n">
        <f aca="false">INDEX(Intent_Analysis!$E$5:$E$81,MATCH(B9165,Intent_Analysis!$A$5:$A$81,0))</f>
        <v>1</v>
      </c>
    </row>
    <row r="9166" customFormat="false" ht="15" hidden="false" customHeight="false" outlineLevel="0" collapsed="false">
      <c r="A9166" s="0" t="s">
        <v>9490</v>
      </c>
      <c r="B9166" s="0" t="s">
        <v>93</v>
      </c>
      <c r="C9166" s="0" t="str">
        <f aca="false">INDEX(Intent_Analysis!$B$5:$B$81,MATCH(B9166,Intent_Analysis!$A$5:$A$81,0))</f>
        <v>Fees &amp; charges</v>
      </c>
      <c r="D9166" s="0" t="n">
        <f aca="false">INDEX(Intent_Analysis!$E$5:$E$81,MATCH(B9166,Intent_Analysis!$A$5:$A$81,0))</f>
        <v>1</v>
      </c>
    </row>
    <row r="9167" customFormat="false" ht="15" hidden="false" customHeight="false" outlineLevel="0" collapsed="false">
      <c r="A9167" s="0" t="s">
        <v>9491</v>
      </c>
      <c r="B9167" s="0" t="s">
        <v>93</v>
      </c>
      <c r="C9167" s="0" t="str">
        <f aca="false">INDEX(Intent_Analysis!$B$5:$B$81,MATCH(B9167,Intent_Analysis!$A$5:$A$81,0))</f>
        <v>Fees &amp; charges</v>
      </c>
      <c r="D9167" s="0" t="n">
        <f aca="false">INDEX(Intent_Analysis!$E$5:$E$81,MATCH(B9167,Intent_Analysis!$A$5:$A$81,0))</f>
        <v>1</v>
      </c>
    </row>
    <row r="9168" customFormat="false" ht="15" hidden="false" customHeight="false" outlineLevel="0" collapsed="false">
      <c r="A9168" s="0" t="s">
        <v>9492</v>
      </c>
      <c r="B9168" s="0" t="s">
        <v>93</v>
      </c>
      <c r="C9168" s="0" t="str">
        <f aca="false">INDEX(Intent_Analysis!$B$5:$B$81,MATCH(B9168,Intent_Analysis!$A$5:$A$81,0))</f>
        <v>Fees &amp; charges</v>
      </c>
      <c r="D9168" s="0" t="n">
        <f aca="false">INDEX(Intent_Analysis!$E$5:$E$81,MATCH(B9168,Intent_Analysis!$A$5:$A$81,0))</f>
        <v>1</v>
      </c>
    </row>
    <row r="9169" customFormat="false" ht="15" hidden="false" customHeight="false" outlineLevel="0" collapsed="false">
      <c r="A9169" s="0" t="s">
        <v>9493</v>
      </c>
      <c r="B9169" s="0" t="s">
        <v>93</v>
      </c>
      <c r="C9169" s="0" t="str">
        <f aca="false">INDEX(Intent_Analysis!$B$5:$B$81,MATCH(B9169,Intent_Analysis!$A$5:$A$81,0))</f>
        <v>Fees &amp; charges</v>
      </c>
      <c r="D9169" s="0" t="n">
        <f aca="false">INDEX(Intent_Analysis!$E$5:$E$81,MATCH(B9169,Intent_Analysis!$A$5:$A$81,0))</f>
        <v>1</v>
      </c>
    </row>
    <row r="9170" customFormat="false" ht="15" hidden="false" customHeight="false" outlineLevel="0" collapsed="false">
      <c r="A9170" s="0" t="s">
        <v>9494</v>
      </c>
      <c r="B9170" s="0" t="s">
        <v>93</v>
      </c>
      <c r="C9170" s="0" t="str">
        <f aca="false">INDEX(Intent_Analysis!$B$5:$B$81,MATCH(B9170,Intent_Analysis!$A$5:$A$81,0))</f>
        <v>Fees &amp; charges</v>
      </c>
      <c r="D9170" s="0" t="n">
        <f aca="false">INDEX(Intent_Analysis!$E$5:$E$81,MATCH(B9170,Intent_Analysis!$A$5:$A$81,0))</f>
        <v>1</v>
      </c>
    </row>
    <row r="9171" customFormat="false" ht="15" hidden="false" customHeight="false" outlineLevel="0" collapsed="false">
      <c r="A9171" s="0" t="s">
        <v>9495</v>
      </c>
      <c r="B9171" s="0" t="s">
        <v>93</v>
      </c>
      <c r="C9171" s="0" t="str">
        <f aca="false">INDEX(Intent_Analysis!$B$5:$B$81,MATCH(B9171,Intent_Analysis!$A$5:$A$81,0))</f>
        <v>Fees &amp; charges</v>
      </c>
      <c r="D9171" s="0" t="n">
        <f aca="false">INDEX(Intent_Analysis!$E$5:$E$81,MATCH(B9171,Intent_Analysis!$A$5:$A$81,0))</f>
        <v>1</v>
      </c>
    </row>
    <row r="9172" customFormat="false" ht="15" hidden="false" customHeight="false" outlineLevel="0" collapsed="false">
      <c r="A9172" s="0" t="s">
        <v>9496</v>
      </c>
      <c r="B9172" s="0" t="s">
        <v>93</v>
      </c>
      <c r="C9172" s="0" t="str">
        <f aca="false">INDEX(Intent_Analysis!$B$5:$B$81,MATCH(B9172,Intent_Analysis!$A$5:$A$81,0))</f>
        <v>Fees &amp; charges</v>
      </c>
      <c r="D9172" s="0" t="n">
        <f aca="false">INDEX(Intent_Analysis!$E$5:$E$81,MATCH(B9172,Intent_Analysis!$A$5:$A$81,0))</f>
        <v>1</v>
      </c>
    </row>
    <row r="9173" customFormat="false" ht="15" hidden="false" customHeight="false" outlineLevel="0" collapsed="false">
      <c r="A9173" s="0" t="s">
        <v>9497</v>
      </c>
      <c r="B9173" s="0" t="s">
        <v>93</v>
      </c>
      <c r="C9173" s="0" t="str">
        <f aca="false">INDEX(Intent_Analysis!$B$5:$B$81,MATCH(B9173,Intent_Analysis!$A$5:$A$81,0))</f>
        <v>Fees &amp; charges</v>
      </c>
      <c r="D9173" s="0" t="n">
        <f aca="false">INDEX(Intent_Analysis!$E$5:$E$81,MATCH(B9173,Intent_Analysis!$A$5:$A$81,0))</f>
        <v>1</v>
      </c>
    </row>
    <row r="9174" customFormat="false" ht="15" hidden="false" customHeight="false" outlineLevel="0" collapsed="false">
      <c r="A9174" s="0" t="s">
        <v>9498</v>
      </c>
      <c r="B9174" s="0" t="s">
        <v>93</v>
      </c>
      <c r="C9174" s="0" t="str">
        <f aca="false">INDEX(Intent_Analysis!$B$5:$B$81,MATCH(B9174,Intent_Analysis!$A$5:$A$81,0))</f>
        <v>Fees &amp; charges</v>
      </c>
      <c r="D9174" s="0" t="n">
        <f aca="false">INDEX(Intent_Analysis!$E$5:$E$81,MATCH(B9174,Intent_Analysis!$A$5:$A$81,0))</f>
        <v>1</v>
      </c>
    </row>
    <row r="9175" customFormat="false" ht="15" hidden="false" customHeight="false" outlineLevel="0" collapsed="false">
      <c r="A9175" s="0" t="s">
        <v>9499</v>
      </c>
      <c r="B9175" s="0" t="s">
        <v>93</v>
      </c>
      <c r="C9175" s="0" t="str">
        <f aca="false">INDEX(Intent_Analysis!$B$5:$B$81,MATCH(B9175,Intent_Analysis!$A$5:$A$81,0))</f>
        <v>Fees &amp; charges</v>
      </c>
      <c r="D9175" s="0" t="n">
        <f aca="false">INDEX(Intent_Analysis!$E$5:$E$81,MATCH(B9175,Intent_Analysis!$A$5:$A$81,0))</f>
        <v>1</v>
      </c>
    </row>
    <row r="9176" customFormat="false" ht="15" hidden="false" customHeight="false" outlineLevel="0" collapsed="false">
      <c r="A9176" s="0" t="s">
        <v>9500</v>
      </c>
      <c r="B9176" s="0" t="s">
        <v>93</v>
      </c>
      <c r="C9176" s="0" t="str">
        <f aca="false">INDEX(Intent_Analysis!$B$5:$B$81,MATCH(B9176,Intent_Analysis!$A$5:$A$81,0))</f>
        <v>Fees &amp; charges</v>
      </c>
      <c r="D9176" s="0" t="n">
        <f aca="false">INDEX(Intent_Analysis!$E$5:$E$81,MATCH(B9176,Intent_Analysis!$A$5:$A$81,0))</f>
        <v>1</v>
      </c>
    </row>
    <row r="9177" customFormat="false" ht="15" hidden="false" customHeight="false" outlineLevel="0" collapsed="false">
      <c r="A9177" s="0" t="s">
        <v>9501</v>
      </c>
      <c r="B9177" s="0" t="s">
        <v>93</v>
      </c>
      <c r="C9177" s="0" t="str">
        <f aca="false">INDEX(Intent_Analysis!$B$5:$B$81,MATCH(B9177,Intent_Analysis!$A$5:$A$81,0))</f>
        <v>Fees &amp; charges</v>
      </c>
      <c r="D9177" s="0" t="n">
        <f aca="false">INDEX(Intent_Analysis!$E$5:$E$81,MATCH(B9177,Intent_Analysis!$A$5:$A$81,0))</f>
        <v>1</v>
      </c>
    </row>
    <row r="9178" customFormat="false" ht="15" hidden="false" customHeight="false" outlineLevel="0" collapsed="false">
      <c r="A9178" s="0" t="s">
        <v>9502</v>
      </c>
      <c r="B9178" s="0" t="s">
        <v>93</v>
      </c>
      <c r="C9178" s="0" t="str">
        <f aca="false">INDEX(Intent_Analysis!$B$5:$B$81,MATCH(B9178,Intent_Analysis!$A$5:$A$81,0))</f>
        <v>Fees &amp; charges</v>
      </c>
      <c r="D9178" s="0" t="n">
        <f aca="false">INDEX(Intent_Analysis!$E$5:$E$81,MATCH(B9178,Intent_Analysis!$A$5:$A$81,0))</f>
        <v>1</v>
      </c>
    </row>
    <row r="9179" customFormat="false" ht="15" hidden="false" customHeight="false" outlineLevel="0" collapsed="false">
      <c r="A9179" s="0" t="s">
        <v>9503</v>
      </c>
      <c r="B9179" s="0" t="s">
        <v>93</v>
      </c>
      <c r="C9179" s="0" t="str">
        <f aca="false">INDEX(Intent_Analysis!$B$5:$B$81,MATCH(B9179,Intent_Analysis!$A$5:$A$81,0))</f>
        <v>Fees &amp; charges</v>
      </c>
      <c r="D9179" s="0" t="n">
        <f aca="false">INDEX(Intent_Analysis!$E$5:$E$81,MATCH(B9179,Intent_Analysis!$A$5:$A$81,0))</f>
        <v>1</v>
      </c>
    </row>
    <row r="9180" customFormat="false" ht="15" hidden="false" customHeight="false" outlineLevel="0" collapsed="false">
      <c r="A9180" s="0" t="s">
        <v>9504</v>
      </c>
      <c r="B9180" s="0" t="s">
        <v>93</v>
      </c>
      <c r="C9180" s="0" t="str">
        <f aca="false">INDEX(Intent_Analysis!$B$5:$B$81,MATCH(B9180,Intent_Analysis!$A$5:$A$81,0))</f>
        <v>Fees &amp; charges</v>
      </c>
      <c r="D9180" s="0" t="n">
        <f aca="false">INDEX(Intent_Analysis!$E$5:$E$81,MATCH(B9180,Intent_Analysis!$A$5:$A$81,0))</f>
        <v>1</v>
      </c>
    </row>
    <row r="9181" customFormat="false" ht="15" hidden="false" customHeight="false" outlineLevel="0" collapsed="false">
      <c r="A9181" s="0" t="s">
        <v>9505</v>
      </c>
      <c r="B9181" s="0" t="s">
        <v>44</v>
      </c>
      <c r="C9181" s="0" t="str">
        <f aca="false">INDEX(Intent_Analysis!$B$5:$B$81,MATCH(B9181,Intent_Analysis!$A$5:$A$81,0))</f>
        <v>Card delivery &amp; activation</v>
      </c>
      <c r="D9181" s="0" t="n">
        <f aca="false">INDEX(Intent_Analysis!$E$5:$E$81,MATCH(B9181,Intent_Analysis!$A$5:$A$81,0))</f>
        <v>1</v>
      </c>
    </row>
    <row r="9182" customFormat="false" ht="15" hidden="false" customHeight="false" outlineLevel="0" collapsed="false">
      <c r="A9182" s="0" t="s">
        <v>9506</v>
      </c>
      <c r="B9182" s="0" t="s">
        <v>44</v>
      </c>
      <c r="C9182" s="0" t="str">
        <f aca="false">INDEX(Intent_Analysis!$B$5:$B$81,MATCH(B9182,Intent_Analysis!$A$5:$A$81,0))</f>
        <v>Card delivery &amp; activation</v>
      </c>
      <c r="D9182" s="0" t="n">
        <f aca="false">INDEX(Intent_Analysis!$E$5:$E$81,MATCH(B9182,Intent_Analysis!$A$5:$A$81,0))</f>
        <v>1</v>
      </c>
    </row>
    <row r="9183" customFormat="false" ht="15" hidden="false" customHeight="false" outlineLevel="0" collapsed="false">
      <c r="A9183" s="0" t="s">
        <v>9507</v>
      </c>
      <c r="B9183" s="0" t="s">
        <v>44</v>
      </c>
      <c r="C9183" s="0" t="str">
        <f aca="false">INDEX(Intent_Analysis!$B$5:$B$81,MATCH(B9183,Intent_Analysis!$A$5:$A$81,0))</f>
        <v>Card delivery &amp; activation</v>
      </c>
      <c r="D9183" s="0" t="n">
        <f aca="false">INDEX(Intent_Analysis!$E$5:$E$81,MATCH(B9183,Intent_Analysis!$A$5:$A$81,0))</f>
        <v>1</v>
      </c>
    </row>
    <row r="9184" customFormat="false" ht="15" hidden="false" customHeight="false" outlineLevel="0" collapsed="false">
      <c r="A9184" s="0" t="s">
        <v>9508</v>
      </c>
      <c r="B9184" s="0" t="s">
        <v>44</v>
      </c>
      <c r="C9184" s="0" t="str">
        <f aca="false">INDEX(Intent_Analysis!$B$5:$B$81,MATCH(B9184,Intent_Analysis!$A$5:$A$81,0))</f>
        <v>Card delivery &amp; activation</v>
      </c>
      <c r="D9184" s="0" t="n">
        <f aca="false">INDEX(Intent_Analysis!$E$5:$E$81,MATCH(B9184,Intent_Analysis!$A$5:$A$81,0))</f>
        <v>1</v>
      </c>
    </row>
    <row r="9185" customFormat="false" ht="15" hidden="false" customHeight="false" outlineLevel="0" collapsed="false">
      <c r="A9185" s="0" t="s">
        <v>9509</v>
      </c>
      <c r="B9185" s="0" t="s">
        <v>44</v>
      </c>
      <c r="C9185" s="0" t="str">
        <f aca="false">INDEX(Intent_Analysis!$B$5:$B$81,MATCH(B9185,Intent_Analysis!$A$5:$A$81,0))</f>
        <v>Card delivery &amp; activation</v>
      </c>
      <c r="D9185" s="0" t="n">
        <f aca="false">INDEX(Intent_Analysis!$E$5:$E$81,MATCH(B9185,Intent_Analysis!$A$5:$A$81,0))</f>
        <v>1</v>
      </c>
    </row>
    <row r="9186" customFormat="false" ht="15" hidden="false" customHeight="false" outlineLevel="0" collapsed="false">
      <c r="A9186" s="0" t="s">
        <v>9510</v>
      </c>
      <c r="B9186" s="0" t="s">
        <v>44</v>
      </c>
      <c r="C9186" s="0" t="str">
        <f aca="false">INDEX(Intent_Analysis!$B$5:$B$81,MATCH(B9186,Intent_Analysis!$A$5:$A$81,0))</f>
        <v>Card delivery &amp; activation</v>
      </c>
      <c r="D9186" s="0" t="n">
        <f aca="false">INDEX(Intent_Analysis!$E$5:$E$81,MATCH(B9186,Intent_Analysis!$A$5:$A$81,0))</f>
        <v>1</v>
      </c>
    </row>
    <row r="9187" customFormat="false" ht="15" hidden="false" customHeight="false" outlineLevel="0" collapsed="false">
      <c r="A9187" s="0" t="s">
        <v>9511</v>
      </c>
      <c r="B9187" s="0" t="s">
        <v>44</v>
      </c>
      <c r="C9187" s="0" t="str">
        <f aca="false">INDEX(Intent_Analysis!$B$5:$B$81,MATCH(B9187,Intent_Analysis!$A$5:$A$81,0))</f>
        <v>Card delivery &amp; activation</v>
      </c>
      <c r="D9187" s="0" t="n">
        <f aca="false">INDEX(Intent_Analysis!$E$5:$E$81,MATCH(B9187,Intent_Analysis!$A$5:$A$81,0))</f>
        <v>1</v>
      </c>
    </row>
    <row r="9188" customFormat="false" ht="15" hidden="false" customHeight="false" outlineLevel="0" collapsed="false">
      <c r="A9188" s="0" t="s">
        <v>9512</v>
      </c>
      <c r="B9188" s="0" t="s">
        <v>44</v>
      </c>
      <c r="C9188" s="0" t="str">
        <f aca="false">INDEX(Intent_Analysis!$B$5:$B$81,MATCH(B9188,Intent_Analysis!$A$5:$A$81,0))</f>
        <v>Card delivery &amp; activation</v>
      </c>
      <c r="D9188" s="0" t="n">
        <f aca="false">INDEX(Intent_Analysis!$E$5:$E$81,MATCH(B9188,Intent_Analysis!$A$5:$A$81,0))</f>
        <v>1</v>
      </c>
    </row>
    <row r="9189" customFormat="false" ht="15" hidden="false" customHeight="false" outlineLevel="0" collapsed="false">
      <c r="A9189" s="0" t="s">
        <v>9513</v>
      </c>
      <c r="B9189" s="0" t="s">
        <v>44</v>
      </c>
      <c r="C9189" s="0" t="str">
        <f aca="false">INDEX(Intent_Analysis!$B$5:$B$81,MATCH(B9189,Intent_Analysis!$A$5:$A$81,0))</f>
        <v>Card delivery &amp; activation</v>
      </c>
      <c r="D9189" s="0" t="n">
        <f aca="false">INDEX(Intent_Analysis!$E$5:$E$81,MATCH(B9189,Intent_Analysis!$A$5:$A$81,0))</f>
        <v>1</v>
      </c>
    </row>
    <row r="9190" customFormat="false" ht="15" hidden="false" customHeight="false" outlineLevel="0" collapsed="false">
      <c r="A9190" s="0" t="s">
        <v>9514</v>
      </c>
      <c r="B9190" s="0" t="s">
        <v>44</v>
      </c>
      <c r="C9190" s="0" t="str">
        <f aca="false">INDEX(Intent_Analysis!$B$5:$B$81,MATCH(B9190,Intent_Analysis!$A$5:$A$81,0))</f>
        <v>Card delivery &amp; activation</v>
      </c>
      <c r="D9190" s="0" t="n">
        <f aca="false">INDEX(Intent_Analysis!$E$5:$E$81,MATCH(B9190,Intent_Analysis!$A$5:$A$81,0))</f>
        <v>1</v>
      </c>
    </row>
    <row r="9191" customFormat="false" ht="15" hidden="false" customHeight="false" outlineLevel="0" collapsed="false">
      <c r="A9191" s="0" t="s">
        <v>9515</v>
      </c>
      <c r="B9191" s="0" t="s">
        <v>44</v>
      </c>
      <c r="C9191" s="0" t="str">
        <f aca="false">INDEX(Intent_Analysis!$B$5:$B$81,MATCH(B9191,Intent_Analysis!$A$5:$A$81,0))</f>
        <v>Card delivery &amp; activation</v>
      </c>
      <c r="D9191" s="0" t="n">
        <f aca="false">INDEX(Intent_Analysis!$E$5:$E$81,MATCH(B9191,Intent_Analysis!$A$5:$A$81,0))</f>
        <v>1</v>
      </c>
    </row>
    <row r="9192" customFormat="false" ht="15" hidden="false" customHeight="false" outlineLevel="0" collapsed="false">
      <c r="A9192" s="0" t="s">
        <v>9516</v>
      </c>
      <c r="B9192" s="0" t="s">
        <v>44</v>
      </c>
      <c r="C9192" s="0" t="str">
        <f aca="false">INDEX(Intent_Analysis!$B$5:$B$81,MATCH(B9192,Intent_Analysis!$A$5:$A$81,0))</f>
        <v>Card delivery &amp; activation</v>
      </c>
      <c r="D9192" s="0" t="n">
        <f aca="false">INDEX(Intent_Analysis!$E$5:$E$81,MATCH(B9192,Intent_Analysis!$A$5:$A$81,0))</f>
        <v>1</v>
      </c>
    </row>
    <row r="9193" customFormat="false" ht="15" hidden="false" customHeight="false" outlineLevel="0" collapsed="false">
      <c r="A9193" s="0" t="s">
        <v>9517</v>
      </c>
      <c r="B9193" s="0" t="s">
        <v>44</v>
      </c>
      <c r="C9193" s="0" t="str">
        <f aca="false">INDEX(Intent_Analysis!$B$5:$B$81,MATCH(B9193,Intent_Analysis!$A$5:$A$81,0))</f>
        <v>Card delivery &amp; activation</v>
      </c>
      <c r="D9193" s="0" t="n">
        <f aca="false">INDEX(Intent_Analysis!$E$5:$E$81,MATCH(B9193,Intent_Analysis!$A$5:$A$81,0))</f>
        <v>1</v>
      </c>
    </row>
    <row r="9194" customFormat="false" ht="15" hidden="false" customHeight="false" outlineLevel="0" collapsed="false">
      <c r="A9194" s="0" t="s">
        <v>9518</v>
      </c>
      <c r="B9194" s="0" t="s">
        <v>44</v>
      </c>
      <c r="C9194" s="0" t="str">
        <f aca="false">INDEX(Intent_Analysis!$B$5:$B$81,MATCH(B9194,Intent_Analysis!$A$5:$A$81,0))</f>
        <v>Card delivery &amp; activation</v>
      </c>
      <c r="D9194" s="0" t="n">
        <f aca="false">INDEX(Intent_Analysis!$E$5:$E$81,MATCH(B9194,Intent_Analysis!$A$5:$A$81,0))</f>
        <v>1</v>
      </c>
    </row>
    <row r="9195" customFormat="false" ht="15" hidden="false" customHeight="false" outlineLevel="0" collapsed="false">
      <c r="A9195" s="0" t="s">
        <v>9519</v>
      </c>
      <c r="B9195" s="0" t="s">
        <v>44</v>
      </c>
      <c r="C9195" s="0" t="str">
        <f aca="false">INDEX(Intent_Analysis!$B$5:$B$81,MATCH(B9195,Intent_Analysis!$A$5:$A$81,0))</f>
        <v>Card delivery &amp; activation</v>
      </c>
      <c r="D9195" s="0" t="n">
        <f aca="false">INDEX(Intent_Analysis!$E$5:$E$81,MATCH(B9195,Intent_Analysis!$A$5:$A$81,0))</f>
        <v>1</v>
      </c>
    </row>
    <row r="9196" customFormat="false" ht="15" hidden="false" customHeight="false" outlineLevel="0" collapsed="false">
      <c r="A9196" s="0" t="s">
        <v>9520</v>
      </c>
      <c r="B9196" s="0" t="s">
        <v>44</v>
      </c>
      <c r="C9196" s="0" t="str">
        <f aca="false">INDEX(Intent_Analysis!$B$5:$B$81,MATCH(B9196,Intent_Analysis!$A$5:$A$81,0))</f>
        <v>Card delivery &amp; activation</v>
      </c>
      <c r="D9196" s="0" t="n">
        <f aca="false">INDEX(Intent_Analysis!$E$5:$E$81,MATCH(B9196,Intent_Analysis!$A$5:$A$81,0))</f>
        <v>1</v>
      </c>
    </row>
    <row r="9197" customFormat="false" ht="15" hidden="false" customHeight="false" outlineLevel="0" collapsed="false">
      <c r="A9197" s="0" t="s">
        <v>9521</v>
      </c>
      <c r="B9197" s="0" t="s">
        <v>44</v>
      </c>
      <c r="C9197" s="0" t="str">
        <f aca="false">INDEX(Intent_Analysis!$B$5:$B$81,MATCH(B9197,Intent_Analysis!$A$5:$A$81,0))</f>
        <v>Card delivery &amp; activation</v>
      </c>
      <c r="D9197" s="0" t="n">
        <f aca="false">INDEX(Intent_Analysis!$E$5:$E$81,MATCH(B9197,Intent_Analysis!$A$5:$A$81,0))</f>
        <v>1</v>
      </c>
    </row>
    <row r="9198" customFormat="false" ht="15" hidden="false" customHeight="false" outlineLevel="0" collapsed="false">
      <c r="A9198" s="0" t="s">
        <v>9522</v>
      </c>
      <c r="B9198" s="0" t="s">
        <v>44</v>
      </c>
      <c r="C9198" s="0" t="str">
        <f aca="false">INDEX(Intent_Analysis!$B$5:$B$81,MATCH(B9198,Intent_Analysis!$A$5:$A$81,0))</f>
        <v>Card delivery &amp; activation</v>
      </c>
      <c r="D9198" s="0" t="n">
        <f aca="false">INDEX(Intent_Analysis!$E$5:$E$81,MATCH(B9198,Intent_Analysis!$A$5:$A$81,0))</f>
        <v>1</v>
      </c>
    </row>
    <row r="9199" customFormat="false" ht="15" hidden="false" customHeight="false" outlineLevel="0" collapsed="false">
      <c r="A9199" s="0" t="s">
        <v>9523</v>
      </c>
      <c r="B9199" s="0" t="s">
        <v>44</v>
      </c>
      <c r="C9199" s="0" t="str">
        <f aca="false">INDEX(Intent_Analysis!$B$5:$B$81,MATCH(B9199,Intent_Analysis!$A$5:$A$81,0))</f>
        <v>Card delivery &amp; activation</v>
      </c>
      <c r="D9199" s="0" t="n">
        <f aca="false">INDEX(Intent_Analysis!$E$5:$E$81,MATCH(B9199,Intent_Analysis!$A$5:$A$81,0))</f>
        <v>1</v>
      </c>
    </row>
    <row r="9200" customFormat="false" ht="15" hidden="false" customHeight="false" outlineLevel="0" collapsed="false">
      <c r="A9200" s="0" t="s">
        <v>9524</v>
      </c>
      <c r="B9200" s="0" t="s">
        <v>44</v>
      </c>
      <c r="C9200" s="0" t="str">
        <f aca="false">INDEX(Intent_Analysis!$B$5:$B$81,MATCH(B9200,Intent_Analysis!$A$5:$A$81,0))</f>
        <v>Card delivery &amp; activation</v>
      </c>
      <c r="D9200" s="0" t="n">
        <f aca="false">INDEX(Intent_Analysis!$E$5:$E$81,MATCH(B9200,Intent_Analysis!$A$5:$A$81,0))</f>
        <v>1</v>
      </c>
    </row>
    <row r="9201" customFormat="false" ht="15" hidden="false" customHeight="false" outlineLevel="0" collapsed="false">
      <c r="A9201" s="0" t="s">
        <v>9525</v>
      </c>
      <c r="B9201" s="0" t="s">
        <v>44</v>
      </c>
      <c r="C9201" s="0" t="str">
        <f aca="false">INDEX(Intent_Analysis!$B$5:$B$81,MATCH(B9201,Intent_Analysis!$A$5:$A$81,0))</f>
        <v>Card delivery &amp; activation</v>
      </c>
      <c r="D9201" s="0" t="n">
        <f aca="false">INDEX(Intent_Analysis!$E$5:$E$81,MATCH(B9201,Intent_Analysis!$A$5:$A$81,0))</f>
        <v>1</v>
      </c>
    </row>
    <row r="9202" customFormat="false" ht="15" hidden="false" customHeight="false" outlineLevel="0" collapsed="false">
      <c r="A9202" s="0" t="s">
        <v>9526</v>
      </c>
      <c r="B9202" s="0" t="s">
        <v>44</v>
      </c>
      <c r="C9202" s="0" t="str">
        <f aca="false">INDEX(Intent_Analysis!$B$5:$B$81,MATCH(B9202,Intent_Analysis!$A$5:$A$81,0))</f>
        <v>Card delivery &amp; activation</v>
      </c>
      <c r="D9202" s="0" t="n">
        <f aca="false">INDEX(Intent_Analysis!$E$5:$E$81,MATCH(B9202,Intent_Analysis!$A$5:$A$81,0))</f>
        <v>1</v>
      </c>
    </row>
    <row r="9203" customFormat="false" ht="15" hidden="false" customHeight="false" outlineLevel="0" collapsed="false">
      <c r="A9203" s="0" t="s">
        <v>9527</v>
      </c>
      <c r="B9203" s="0" t="s">
        <v>44</v>
      </c>
      <c r="C9203" s="0" t="str">
        <f aca="false">INDEX(Intent_Analysis!$B$5:$B$81,MATCH(B9203,Intent_Analysis!$A$5:$A$81,0))</f>
        <v>Card delivery &amp; activation</v>
      </c>
      <c r="D9203" s="0" t="n">
        <f aca="false">INDEX(Intent_Analysis!$E$5:$E$81,MATCH(B9203,Intent_Analysis!$A$5:$A$81,0))</f>
        <v>1</v>
      </c>
    </row>
    <row r="9204" customFormat="false" ht="15" hidden="false" customHeight="false" outlineLevel="0" collapsed="false">
      <c r="A9204" s="0" t="s">
        <v>9528</v>
      </c>
      <c r="B9204" s="0" t="s">
        <v>44</v>
      </c>
      <c r="C9204" s="0" t="str">
        <f aca="false">INDEX(Intent_Analysis!$B$5:$B$81,MATCH(B9204,Intent_Analysis!$A$5:$A$81,0))</f>
        <v>Card delivery &amp; activation</v>
      </c>
      <c r="D9204" s="0" t="n">
        <f aca="false">INDEX(Intent_Analysis!$E$5:$E$81,MATCH(B9204,Intent_Analysis!$A$5:$A$81,0))</f>
        <v>1</v>
      </c>
    </row>
    <row r="9205" customFormat="false" ht="15" hidden="false" customHeight="false" outlineLevel="0" collapsed="false">
      <c r="A9205" s="0" t="s">
        <v>9529</v>
      </c>
      <c r="B9205" s="0" t="s">
        <v>44</v>
      </c>
      <c r="C9205" s="0" t="str">
        <f aca="false">INDEX(Intent_Analysis!$B$5:$B$81,MATCH(B9205,Intent_Analysis!$A$5:$A$81,0))</f>
        <v>Card delivery &amp; activation</v>
      </c>
      <c r="D9205" s="0" t="n">
        <f aca="false">INDEX(Intent_Analysis!$E$5:$E$81,MATCH(B9205,Intent_Analysis!$A$5:$A$81,0))</f>
        <v>1</v>
      </c>
    </row>
    <row r="9206" customFormat="false" ht="15" hidden="false" customHeight="false" outlineLevel="0" collapsed="false">
      <c r="A9206" s="0" t="s">
        <v>9530</v>
      </c>
      <c r="B9206" s="0" t="s">
        <v>44</v>
      </c>
      <c r="C9206" s="0" t="str">
        <f aca="false">INDEX(Intent_Analysis!$B$5:$B$81,MATCH(B9206,Intent_Analysis!$A$5:$A$81,0))</f>
        <v>Card delivery &amp; activation</v>
      </c>
      <c r="D9206" s="0" t="n">
        <f aca="false">INDEX(Intent_Analysis!$E$5:$E$81,MATCH(B9206,Intent_Analysis!$A$5:$A$81,0))</f>
        <v>1</v>
      </c>
    </row>
    <row r="9207" customFormat="false" ht="15" hidden="false" customHeight="false" outlineLevel="0" collapsed="false">
      <c r="A9207" s="0" t="s">
        <v>9531</v>
      </c>
      <c r="B9207" s="0" t="s">
        <v>44</v>
      </c>
      <c r="C9207" s="0" t="str">
        <f aca="false">INDEX(Intent_Analysis!$B$5:$B$81,MATCH(B9207,Intent_Analysis!$A$5:$A$81,0))</f>
        <v>Card delivery &amp; activation</v>
      </c>
      <c r="D9207" s="0" t="n">
        <f aca="false">INDEX(Intent_Analysis!$E$5:$E$81,MATCH(B9207,Intent_Analysis!$A$5:$A$81,0))</f>
        <v>1</v>
      </c>
    </row>
    <row r="9208" customFormat="false" ht="15" hidden="false" customHeight="false" outlineLevel="0" collapsed="false">
      <c r="A9208" s="0" t="s">
        <v>9532</v>
      </c>
      <c r="B9208" s="0" t="s">
        <v>44</v>
      </c>
      <c r="C9208" s="0" t="str">
        <f aca="false">INDEX(Intent_Analysis!$B$5:$B$81,MATCH(B9208,Intent_Analysis!$A$5:$A$81,0))</f>
        <v>Card delivery &amp; activation</v>
      </c>
      <c r="D9208" s="0" t="n">
        <f aca="false">INDEX(Intent_Analysis!$E$5:$E$81,MATCH(B9208,Intent_Analysis!$A$5:$A$81,0))</f>
        <v>1</v>
      </c>
    </row>
    <row r="9209" customFormat="false" ht="15" hidden="false" customHeight="false" outlineLevel="0" collapsed="false">
      <c r="A9209" s="0" t="s">
        <v>9533</v>
      </c>
      <c r="B9209" s="0" t="s">
        <v>44</v>
      </c>
      <c r="C9209" s="0" t="str">
        <f aca="false">INDEX(Intent_Analysis!$B$5:$B$81,MATCH(B9209,Intent_Analysis!$A$5:$A$81,0))</f>
        <v>Card delivery &amp; activation</v>
      </c>
      <c r="D9209" s="0" t="n">
        <f aca="false">INDEX(Intent_Analysis!$E$5:$E$81,MATCH(B9209,Intent_Analysis!$A$5:$A$81,0))</f>
        <v>1</v>
      </c>
    </row>
    <row r="9210" customFormat="false" ht="15" hidden="false" customHeight="false" outlineLevel="0" collapsed="false">
      <c r="A9210" s="0" t="s">
        <v>9534</v>
      </c>
      <c r="B9210" s="0" t="s">
        <v>44</v>
      </c>
      <c r="C9210" s="0" t="str">
        <f aca="false">INDEX(Intent_Analysis!$B$5:$B$81,MATCH(B9210,Intent_Analysis!$A$5:$A$81,0))</f>
        <v>Card delivery &amp; activation</v>
      </c>
      <c r="D9210" s="0" t="n">
        <f aca="false">INDEX(Intent_Analysis!$E$5:$E$81,MATCH(B9210,Intent_Analysis!$A$5:$A$81,0))</f>
        <v>1</v>
      </c>
    </row>
    <row r="9211" customFormat="false" ht="15" hidden="false" customHeight="false" outlineLevel="0" collapsed="false">
      <c r="A9211" s="0" t="s">
        <v>9535</v>
      </c>
      <c r="B9211" s="0" t="s">
        <v>44</v>
      </c>
      <c r="C9211" s="0" t="str">
        <f aca="false">INDEX(Intent_Analysis!$B$5:$B$81,MATCH(B9211,Intent_Analysis!$A$5:$A$81,0))</f>
        <v>Card delivery &amp; activation</v>
      </c>
      <c r="D9211" s="0" t="n">
        <f aca="false">INDEX(Intent_Analysis!$E$5:$E$81,MATCH(B9211,Intent_Analysis!$A$5:$A$81,0))</f>
        <v>1</v>
      </c>
    </row>
    <row r="9212" customFormat="false" ht="15" hidden="false" customHeight="false" outlineLevel="0" collapsed="false">
      <c r="A9212" s="0" t="s">
        <v>9536</v>
      </c>
      <c r="B9212" s="0" t="s">
        <v>44</v>
      </c>
      <c r="C9212" s="0" t="str">
        <f aca="false">INDEX(Intent_Analysis!$B$5:$B$81,MATCH(B9212,Intent_Analysis!$A$5:$A$81,0))</f>
        <v>Card delivery &amp; activation</v>
      </c>
      <c r="D9212" s="0" t="n">
        <f aca="false">INDEX(Intent_Analysis!$E$5:$E$81,MATCH(B9212,Intent_Analysis!$A$5:$A$81,0))</f>
        <v>1</v>
      </c>
    </row>
    <row r="9213" customFormat="false" ht="15" hidden="false" customHeight="false" outlineLevel="0" collapsed="false">
      <c r="A9213" s="0" t="s">
        <v>9537</v>
      </c>
      <c r="B9213" s="0" t="s">
        <v>44</v>
      </c>
      <c r="C9213" s="0" t="str">
        <f aca="false">INDEX(Intent_Analysis!$B$5:$B$81,MATCH(B9213,Intent_Analysis!$A$5:$A$81,0))</f>
        <v>Card delivery &amp; activation</v>
      </c>
      <c r="D9213" s="0" t="n">
        <f aca="false">INDEX(Intent_Analysis!$E$5:$E$81,MATCH(B9213,Intent_Analysis!$A$5:$A$81,0))</f>
        <v>1</v>
      </c>
    </row>
    <row r="9214" customFormat="false" ht="15" hidden="false" customHeight="false" outlineLevel="0" collapsed="false">
      <c r="A9214" s="0" t="s">
        <v>9538</v>
      </c>
      <c r="B9214" s="0" t="s">
        <v>44</v>
      </c>
      <c r="C9214" s="0" t="str">
        <f aca="false">INDEX(Intent_Analysis!$B$5:$B$81,MATCH(B9214,Intent_Analysis!$A$5:$A$81,0))</f>
        <v>Card delivery &amp; activation</v>
      </c>
      <c r="D9214" s="0" t="n">
        <f aca="false">INDEX(Intent_Analysis!$E$5:$E$81,MATCH(B9214,Intent_Analysis!$A$5:$A$81,0))</f>
        <v>1</v>
      </c>
    </row>
    <row r="9215" customFormat="false" ht="15" hidden="false" customHeight="false" outlineLevel="0" collapsed="false">
      <c r="A9215" s="0" t="s">
        <v>9539</v>
      </c>
      <c r="B9215" s="0" t="s">
        <v>44</v>
      </c>
      <c r="C9215" s="0" t="str">
        <f aca="false">INDEX(Intent_Analysis!$B$5:$B$81,MATCH(B9215,Intent_Analysis!$A$5:$A$81,0))</f>
        <v>Card delivery &amp; activation</v>
      </c>
      <c r="D9215" s="0" t="n">
        <f aca="false">INDEX(Intent_Analysis!$E$5:$E$81,MATCH(B9215,Intent_Analysis!$A$5:$A$81,0))</f>
        <v>1</v>
      </c>
    </row>
    <row r="9216" customFormat="false" ht="15" hidden="false" customHeight="false" outlineLevel="0" collapsed="false">
      <c r="A9216" s="0" t="s">
        <v>9540</v>
      </c>
      <c r="B9216" s="0" t="s">
        <v>44</v>
      </c>
      <c r="C9216" s="0" t="str">
        <f aca="false">INDEX(Intent_Analysis!$B$5:$B$81,MATCH(B9216,Intent_Analysis!$A$5:$A$81,0))</f>
        <v>Card delivery &amp; activation</v>
      </c>
      <c r="D9216" s="0" t="n">
        <f aca="false">INDEX(Intent_Analysis!$E$5:$E$81,MATCH(B9216,Intent_Analysis!$A$5:$A$81,0))</f>
        <v>1</v>
      </c>
    </row>
    <row r="9217" customFormat="false" ht="15" hidden="false" customHeight="false" outlineLevel="0" collapsed="false">
      <c r="A9217" s="0" t="s">
        <v>9541</v>
      </c>
      <c r="B9217" s="0" t="s">
        <v>44</v>
      </c>
      <c r="C9217" s="0" t="str">
        <f aca="false">INDEX(Intent_Analysis!$B$5:$B$81,MATCH(B9217,Intent_Analysis!$A$5:$A$81,0))</f>
        <v>Card delivery &amp; activation</v>
      </c>
      <c r="D9217" s="0" t="n">
        <f aca="false">INDEX(Intent_Analysis!$E$5:$E$81,MATCH(B9217,Intent_Analysis!$A$5:$A$81,0))</f>
        <v>1</v>
      </c>
    </row>
    <row r="9218" customFormat="false" ht="15" hidden="false" customHeight="false" outlineLevel="0" collapsed="false">
      <c r="A9218" s="0" t="s">
        <v>9542</v>
      </c>
      <c r="B9218" s="0" t="s">
        <v>44</v>
      </c>
      <c r="C9218" s="0" t="str">
        <f aca="false">INDEX(Intent_Analysis!$B$5:$B$81,MATCH(B9218,Intent_Analysis!$A$5:$A$81,0))</f>
        <v>Card delivery &amp; activation</v>
      </c>
      <c r="D9218" s="0" t="n">
        <f aca="false">INDEX(Intent_Analysis!$E$5:$E$81,MATCH(B9218,Intent_Analysis!$A$5:$A$81,0))</f>
        <v>1</v>
      </c>
    </row>
    <row r="9219" customFormat="false" ht="15" hidden="false" customHeight="false" outlineLevel="0" collapsed="false">
      <c r="A9219" s="0" t="s">
        <v>9543</v>
      </c>
      <c r="B9219" s="0" t="s">
        <v>44</v>
      </c>
      <c r="C9219" s="0" t="str">
        <f aca="false">INDEX(Intent_Analysis!$B$5:$B$81,MATCH(B9219,Intent_Analysis!$A$5:$A$81,0))</f>
        <v>Card delivery &amp; activation</v>
      </c>
      <c r="D9219" s="0" t="n">
        <f aca="false">INDEX(Intent_Analysis!$E$5:$E$81,MATCH(B9219,Intent_Analysis!$A$5:$A$81,0))</f>
        <v>1</v>
      </c>
    </row>
    <row r="9220" customFormat="false" ht="15" hidden="false" customHeight="false" outlineLevel="0" collapsed="false">
      <c r="A9220" s="0" t="s">
        <v>9544</v>
      </c>
      <c r="B9220" s="0" t="s">
        <v>44</v>
      </c>
      <c r="C9220" s="0" t="str">
        <f aca="false">INDEX(Intent_Analysis!$B$5:$B$81,MATCH(B9220,Intent_Analysis!$A$5:$A$81,0))</f>
        <v>Card delivery &amp; activation</v>
      </c>
      <c r="D9220" s="0" t="n">
        <f aca="false">INDEX(Intent_Analysis!$E$5:$E$81,MATCH(B9220,Intent_Analysis!$A$5:$A$81,0))</f>
        <v>1</v>
      </c>
    </row>
    <row r="9221" customFormat="false" ht="15" hidden="false" customHeight="false" outlineLevel="0" collapsed="false">
      <c r="A9221" s="0" t="s">
        <v>9545</v>
      </c>
      <c r="B9221" s="0" t="s">
        <v>44</v>
      </c>
      <c r="C9221" s="0" t="str">
        <f aca="false">INDEX(Intent_Analysis!$B$5:$B$81,MATCH(B9221,Intent_Analysis!$A$5:$A$81,0))</f>
        <v>Card delivery &amp; activation</v>
      </c>
      <c r="D9221" s="0" t="n">
        <f aca="false">INDEX(Intent_Analysis!$E$5:$E$81,MATCH(B9221,Intent_Analysis!$A$5:$A$81,0))</f>
        <v>1</v>
      </c>
    </row>
    <row r="9222" customFormat="false" ht="15" hidden="false" customHeight="false" outlineLevel="0" collapsed="false">
      <c r="A9222" s="0" t="s">
        <v>9546</v>
      </c>
      <c r="B9222" s="0" t="s">
        <v>44</v>
      </c>
      <c r="C9222" s="0" t="str">
        <f aca="false">INDEX(Intent_Analysis!$B$5:$B$81,MATCH(B9222,Intent_Analysis!$A$5:$A$81,0))</f>
        <v>Card delivery &amp; activation</v>
      </c>
      <c r="D9222" s="0" t="n">
        <f aca="false">INDEX(Intent_Analysis!$E$5:$E$81,MATCH(B9222,Intent_Analysis!$A$5:$A$81,0))</f>
        <v>1</v>
      </c>
    </row>
    <row r="9223" customFormat="false" ht="15" hidden="false" customHeight="false" outlineLevel="0" collapsed="false">
      <c r="A9223" s="0" t="s">
        <v>9547</v>
      </c>
      <c r="B9223" s="0" t="s">
        <v>44</v>
      </c>
      <c r="C9223" s="0" t="str">
        <f aca="false">INDEX(Intent_Analysis!$B$5:$B$81,MATCH(B9223,Intent_Analysis!$A$5:$A$81,0))</f>
        <v>Card delivery &amp; activation</v>
      </c>
      <c r="D9223" s="0" t="n">
        <f aca="false">INDEX(Intent_Analysis!$E$5:$E$81,MATCH(B9223,Intent_Analysis!$A$5:$A$81,0))</f>
        <v>1</v>
      </c>
    </row>
    <row r="9224" customFormat="false" ht="15" hidden="false" customHeight="false" outlineLevel="0" collapsed="false">
      <c r="A9224" s="0" t="s">
        <v>9548</v>
      </c>
      <c r="B9224" s="0" t="s">
        <v>44</v>
      </c>
      <c r="C9224" s="0" t="str">
        <f aca="false">INDEX(Intent_Analysis!$B$5:$B$81,MATCH(B9224,Intent_Analysis!$A$5:$A$81,0))</f>
        <v>Card delivery &amp; activation</v>
      </c>
      <c r="D9224" s="0" t="n">
        <f aca="false">INDEX(Intent_Analysis!$E$5:$E$81,MATCH(B9224,Intent_Analysis!$A$5:$A$81,0))</f>
        <v>1</v>
      </c>
    </row>
    <row r="9225" customFormat="false" ht="15" hidden="false" customHeight="false" outlineLevel="0" collapsed="false">
      <c r="A9225" s="0" t="s">
        <v>9549</v>
      </c>
      <c r="B9225" s="0" t="s">
        <v>44</v>
      </c>
      <c r="C9225" s="0" t="str">
        <f aca="false">INDEX(Intent_Analysis!$B$5:$B$81,MATCH(B9225,Intent_Analysis!$A$5:$A$81,0))</f>
        <v>Card delivery &amp; activation</v>
      </c>
      <c r="D9225" s="0" t="n">
        <f aca="false">INDEX(Intent_Analysis!$E$5:$E$81,MATCH(B9225,Intent_Analysis!$A$5:$A$81,0))</f>
        <v>1</v>
      </c>
    </row>
    <row r="9226" customFormat="false" ht="15" hidden="false" customHeight="false" outlineLevel="0" collapsed="false">
      <c r="A9226" s="0" t="s">
        <v>9550</v>
      </c>
      <c r="B9226" s="0" t="s">
        <v>44</v>
      </c>
      <c r="C9226" s="0" t="str">
        <f aca="false">INDEX(Intent_Analysis!$B$5:$B$81,MATCH(B9226,Intent_Analysis!$A$5:$A$81,0))</f>
        <v>Card delivery &amp; activation</v>
      </c>
      <c r="D9226" s="0" t="n">
        <f aca="false">INDEX(Intent_Analysis!$E$5:$E$81,MATCH(B9226,Intent_Analysis!$A$5:$A$81,0))</f>
        <v>1</v>
      </c>
    </row>
    <row r="9227" customFormat="false" ht="15" hidden="false" customHeight="false" outlineLevel="0" collapsed="false">
      <c r="A9227" s="0" t="s">
        <v>9551</v>
      </c>
      <c r="B9227" s="0" t="s">
        <v>44</v>
      </c>
      <c r="C9227" s="0" t="str">
        <f aca="false">INDEX(Intent_Analysis!$B$5:$B$81,MATCH(B9227,Intent_Analysis!$A$5:$A$81,0))</f>
        <v>Card delivery &amp; activation</v>
      </c>
      <c r="D9227" s="0" t="n">
        <f aca="false">INDEX(Intent_Analysis!$E$5:$E$81,MATCH(B9227,Intent_Analysis!$A$5:$A$81,0))</f>
        <v>1</v>
      </c>
    </row>
    <row r="9228" customFormat="false" ht="15" hidden="false" customHeight="false" outlineLevel="0" collapsed="false">
      <c r="A9228" s="0" t="s">
        <v>9552</v>
      </c>
      <c r="B9228" s="0" t="s">
        <v>44</v>
      </c>
      <c r="C9228" s="0" t="str">
        <f aca="false">INDEX(Intent_Analysis!$B$5:$B$81,MATCH(B9228,Intent_Analysis!$A$5:$A$81,0))</f>
        <v>Card delivery &amp; activation</v>
      </c>
      <c r="D9228" s="0" t="n">
        <f aca="false">INDEX(Intent_Analysis!$E$5:$E$81,MATCH(B9228,Intent_Analysis!$A$5:$A$81,0))</f>
        <v>1</v>
      </c>
    </row>
    <row r="9229" customFormat="false" ht="15" hidden="false" customHeight="false" outlineLevel="0" collapsed="false">
      <c r="A9229" s="0" t="s">
        <v>9553</v>
      </c>
      <c r="B9229" s="0" t="s">
        <v>44</v>
      </c>
      <c r="C9229" s="0" t="str">
        <f aca="false">INDEX(Intent_Analysis!$B$5:$B$81,MATCH(B9229,Intent_Analysis!$A$5:$A$81,0))</f>
        <v>Card delivery &amp; activation</v>
      </c>
      <c r="D9229" s="0" t="n">
        <f aca="false">INDEX(Intent_Analysis!$E$5:$E$81,MATCH(B9229,Intent_Analysis!$A$5:$A$81,0))</f>
        <v>1</v>
      </c>
    </row>
    <row r="9230" customFormat="false" ht="15" hidden="false" customHeight="false" outlineLevel="0" collapsed="false">
      <c r="A9230" s="0" t="s">
        <v>9554</v>
      </c>
      <c r="B9230" s="0" t="s">
        <v>44</v>
      </c>
      <c r="C9230" s="0" t="str">
        <f aca="false">INDEX(Intent_Analysis!$B$5:$B$81,MATCH(B9230,Intent_Analysis!$A$5:$A$81,0))</f>
        <v>Card delivery &amp; activation</v>
      </c>
      <c r="D9230" s="0" t="n">
        <f aca="false">INDEX(Intent_Analysis!$E$5:$E$81,MATCH(B9230,Intent_Analysis!$A$5:$A$81,0))</f>
        <v>1</v>
      </c>
    </row>
    <row r="9231" customFormat="false" ht="15" hidden="false" customHeight="false" outlineLevel="0" collapsed="false">
      <c r="A9231" s="0" t="s">
        <v>9555</v>
      </c>
      <c r="B9231" s="0" t="s">
        <v>44</v>
      </c>
      <c r="C9231" s="0" t="str">
        <f aca="false">INDEX(Intent_Analysis!$B$5:$B$81,MATCH(B9231,Intent_Analysis!$A$5:$A$81,0))</f>
        <v>Card delivery &amp; activation</v>
      </c>
      <c r="D9231" s="0" t="n">
        <f aca="false">INDEX(Intent_Analysis!$E$5:$E$81,MATCH(B9231,Intent_Analysis!$A$5:$A$81,0))</f>
        <v>1</v>
      </c>
    </row>
    <row r="9232" customFormat="false" ht="15" hidden="false" customHeight="false" outlineLevel="0" collapsed="false">
      <c r="A9232" s="0" t="s">
        <v>9556</v>
      </c>
      <c r="B9232" s="0" t="s">
        <v>44</v>
      </c>
      <c r="C9232" s="0" t="str">
        <f aca="false">INDEX(Intent_Analysis!$B$5:$B$81,MATCH(B9232,Intent_Analysis!$A$5:$A$81,0))</f>
        <v>Card delivery &amp; activation</v>
      </c>
      <c r="D9232" s="0" t="n">
        <f aca="false">INDEX(Intent_Analysis!$E$5:$E$81,MATCH(B9232,Intent_Analysis!$A$5:$A$81,0))</f>
        <v>1</v>
      </c>
    </row>
    <row r="9233" customFormat="false" ht="15" hidden="false" customHeight="false" outlineLevel="0" collapsed="false">
      <c r="A9233" s="0" t="s">
        <v>9557</v>
      </c>
      <c r="B9233" s="0" t="s">
        <v>44</v>
      </c>
      <c r="C9233" s="0" t="str">
        <f aca="false">INDEX(Intent_Analysis!$B$5:$B$81,MATCH(B9233,Intent_Analysis!$A$5:$A$81,0))</f>
        <v>Card delivery &amp; activation</v>
      </c>
      <c r="D9233" s="0" t="n">
        <f aca="false">INDEX(Intent_Analysis!$E$5:$E$81,MATCH(B9233,Intent_Analysis!$A$5:$A$81,0))</f>
        <v>1</v>
      </c>
    </row>
    <row r="9234" customFormat="false" ht="15" hidden="false" customHeight="false" outlineLevel="0" collapsed="false">
      <c r="A9234" s="0" t="s">
        <v>9558</v>
      </c>
      <c r="B9234" s="0" t="s">
        <v>44</v>
      </c>
      <c r="C9234" s="0" t="str">
        <f aca="false">INDEX(Intent_Analysis!$B$5:$B$81,MATCH(B9234,Intent_Analysis!$A$5:$A$81,0))</f>
        <v>Card delivery &amp; activation</v>
      </c>
      <c r="D9234" s="0" t="n">
        <f aca="false">INDEX(Intent_Analysis!$E$5:$E$81,MATCH(B9234,Intent_Analysis!$A$5:$A$81,0))</f>
        <v>1</v>
      </c>
    </row>
    <row r="9235" customFormat="false" ht="15" hidden="false" customHeight="false" outlineLevel="0" collapsed="false">
      <c r="A9235" s="0" t="s">
        <v>9559</v>
      </c>
      <c r="B9235" s="0" t="s">
        <v>44</v>
      </c>
      <c r="C9235" s="0" t="str">
        <f aca="false">INDEX(Intent_Analysis!$B$5:$B$81,MATCH(B9235,Intent_Analysis!$A$5:$A$81,0))</f>
        <v>Card delivery &amp; activation</v>
      </c>
      <c r="D9235" s="0" t="n">
        <f aca="false">INDEX(Intent_Analysis!$E$5:$E$81,MATCH(B9235,Intent_Analysis!$A$5:$A$81,0))</f>
        <v>1</v>
      </c>
    </row>
    <row r="9236" customFormat="false" ht="15" hidden="false" customHeight="false" outlineLevel="0" collapsed="false">
      <c r="A9236" s="0" t="s">
        <v>9560</v>
      </c>
      <c r="B9236" s="0" t="s">
        <v>44</v>
      </c>
      <c r="C9236" s="0" t="str">
        <f aca="false">INDEX(Intent_Analysis!$B$5:$B$81,MATCH(B9236,Intent_Analysis!$A$5:$A$81,0))</f>
        <v>Card delivery &amp; activation</v>
      </c>
      <c r="D9236" s="0" t="n">
        <f aca="false">INDEX(Intent_Analysis!$E$5:$E$81,MATCH(B9236,Intent_Analysis!$A$5:$A$81,0))</f>
        <v>1</v>
      </c>
    </row>
    <row r="9237" customFormat="false" ht="15" hidden="false" customHeight="false" outlineLevel="0" collapsed="false">
      <c r="A9237" s="0" t="s">
        <v>9561</v>
      </c>
      <c r="B9237" s="0" t="s">
        <v>44</v>
      </c>
      <c r="C9237" s="0" t="str">
        <f aca="false">INDEX(Intent_Analysis!$B$5:$B$81,MATCH(B9237,Intent_Analysis!$A$5:$A$81,0))</f>
        <v>Card delivery &amp; activation</v>
      </c>
      <c r="D9237" s="0" t="n">
        <f aca="false">INDEX(Intent_Analysis!$E$5:$E$81,MATCH(B9237,Intent_Analysis!$A$5:$A$81,0))</f>
        <v>1</v>
      </c>
    </row>
    <row r="9238" customFormat="false" ht="15" hidden="false" customHeight="false" outlineLevel="0" collapsed="false">
      <c r="A9238" s="0" t="s">
        <v>9562</v>
      </c>
      <c r="B9238" s="0" t="s">
        <v>44</v>
      </c>
      <c r="C9238" s="0" t="str">
        <f aca="false">INDEX(Intent_Analysis!$B$5:$B$81,MATCH(B9238,Intent_Analysis!$A$5:$A$81,0))</f>
        <v>Card delivery &amp; activation</v>
      </c>
      <c r="D9238" s="0" t="n">
        <f aca="false">INDEX(Intent_Analysis!$E$5:$E$81,MATCH(B9238,Intent_Analysis!$A$5:$A$81,0))</f>
        <v>1</v>
      </c>
    </row>
    <row r="9239" customFormat="false" ht="15" hidden="false" customHeight="false" outlineLevel="0" collapsed="false">
      <c r="A9239" s="0" t="s">
        <v>9563</v>
      </c>
      <c r="B9239" s="0" t="s">
        <v>44</v>
      </c>
      <c r="C9239" s="0" t="str">
        <f aca="false">INDEX(Intent_Analysis!$B$5:$B$81,MATCH(B9239,Intent_Analysis!$A$5:$A$81,0))</f>
        <v>Card delivery &amp; activation</v>
      </c>
      <c r="D9239" s="0" t="n">
        <f aca="false">INDEX(Intent_Analysis!$E$5:$E$81,MATCH(B9239,Intent_Analysis!$A$5:$A$81,0))</f>
        <v>1</v>
      </c>
    </row>
    <row r="9240" customFormat="false" ht="15" hidden="false" customHeight="false" outlineLevel="0" collapsed="false">
      <c r="A9240" s="0" t="s">
        <v>9564</v>
      </c>
      <c r="B9240" s="0" t="s">
        <v>44</v>
      </c>
      <c r="C9240" s="0" t="str">
        <f aca="false">INDEX(Intent_Analysis!$B$5:$B$81,MATCH(B9240,Intent_Analysis!$A$5:$A$81,0))</f>
        <v>Card delivery &amp; activation</v>
      </c>
      <c r="D9240" s="0" t="n">
        <f aca="false">INDEX(Intent_Analysis!$E$5:$E$81,MATCH(B9240,Intent_Analysis!$A$5:$A$81,0))</f>
        <v>1</v>
      </c>
    </row>
    <row r="9241" customFormat="false" ht="15" hidden="false" customHeight="false" outlineLevel="0" collapsed="false">
      <c r="A9241" s="0" t="s">
        <v>9565</v>
      </c>
      <c r="B9241" s="0" t="s">
        <v>44</v>
      </c>
      <c r="C9241" s="0" t="str">
        <f aca="false">INDEX(Intent_Analysis!$B$5:$B$81,MATCH(B9241,Intent_Analysis!$A$5:$A$81,0))</f>
        <v>Card delivery &amp; activation</v>
      </c>
      <c r="D9241" s="0" t="n">
        <f aca="false">INDEX(Intent_Analysis!$E$5:$E$81,MATCH(B9241,Intent_Analysis!$A$5:$A$81,0))</f>
        <v>1</v>
      </c>
    </row>
    <row r="9242" customFormat="false" ht="15" hidden="false" customHeight="false" outlineLevel="0" collapsed="false">
      <c r="A9242" s="0" t="s">
        <v>9566</v>
      </c>
      <c r="B9242" s="0" t="s">
        <v>44</v>
      </c>
      <c r="C9242" s="0" t="str">
        <f aca="false">INDEX(Intent_Analysis!$B$5:$B$81,MATCH(B9242,Intent_Analysis!$A$5:$A$81,0))</f>
        <v>Card delivery &amp; activation</v>
      </c>
      <c r="D9242" s="0" t="n">
        <f aca="false">INDEX(Intent_Analysis!$E$5:$E$81,MATCH(B9242,Intent_Analysis!$A$5:$A$81,0))</f>
        <v>1</v>
      </c>
    </row>
    <row r="9243" customFormat="false" ht="15" hidden="false" customHeight="false" outlineLevel="0" collapsed="false">
      <c r="A9243" s="0" t="s">
        <v>9567</v>
      </c>
      <c r="B9243" s="0" t="s">
        <v>44</v>
      </c>
      <c r="C9243" s="0" t="str">
        <f aca="false">INDEX(Intent_Analysis!$B$5:$B$81,MATCH(B9243,Intent_Analysis!$A$5:$A$81,0))</f>
        <v>Card delivery &amp; activation</v>
      </c>
      <c r="D9243" s="0" t="n">
        <f aca="false">INDEX(Intent_Analysis!$E$5:$E$81,MATCH(B9243,Intent_Analysis!$A$5:$A$81,0))</f>
        <v>1</v>
      </c>
    </row>
    <row r="9244" customFormat="false" ht="15" hidden="false" customHeight="false" outlineLevel="0" collapsed="false">
      <c r="A9244" s="0" t="s">
        <v>9568</v>
      </c>
      <c r="B9244" s="0" t="s">
        <v>44</v>
      </c>
      <c r="C9244" s="0" t="str">
        <f aca="false">INDEX(Intent_Analysis!$B$5:$B$81,MATCH(B9244,Intent_Analysis!$A$5:$A$81,0))</f>
        <v>Card delivery &amp; activation</v>
      </c>
      <c r="D9244" s="0" t="n">
        <f aca="false">INDEX(Intent_Analysis!$E$5:$E$81,MATCH(B9244,Intent_Analysis!$A$5:$A$81,0))</f>
        <v>1</v>
      </c>
    </row>
    <row r="9245" customFormat="false" ht="15" hidden="false" customHeight="false" outlineLevel="0" collapsed="false">
      <c r="A9245" s="0" t="s">
        <v>9569</v>
      </c>
      <c r="B9245" s="0" t="s">
        <v>44</v>
      </c>
      <c r="C9245" s="0" t="str">
        <f aca="false">INDEX(Intent_Analysis!$B$5:$B$81,MATCH(B9245,Intent_Analysis!$A$5:$A$81,0))</f>
        <v>Card delivery &amp; activation</v>
      </c>
      <c r="D9245" s="0" t="n">
        <f aca="false">INDEX(Intent_Analysis!$E$5:$E$81,MATCH(B9245,Intent_Analysis!$A$5:$A$81,0))</f>
        <v>1</v>
      </c>
    </row>
    <row r="9246" customFormat="false" ht="15" hidden="false" customHeight="false" outlineLevel="0" collapsed="false">
      <c r="A9246" s="0" t="s">
        <v>9570</v>
      </c>
      <c r="B9246" s="0" t="s">
        <v>44</v>
      </c>
      <c r="C9246" s="0" t="str">
        <f aca="false">INDEX(Intent_Analysis!$B$5:$B$81,MATCH(B9246,Intent_Analysis!$A$5:$A$81,0))</f>
        <v>Card delivery &amp; activation</v>
      </c>
      <c r="D9246" s="0" t="n">
        <f aca="false">INDEX(Intent_Analysis!$E$5:$E$81,MATCH(B9246,Intent_Analysis!$A$5:$A$81,0))</f>
        <v>1</v>
      </c>
    </row>
    <row r="9247" customFormat="false" ht="15" hidden="false" customHeight="false" outlineLevel="0" collapsed="false">
      <c r="A9247" s="0" t="s">
        <v>9571</v>
      </c>
      <c r="B9247" s="0" t="s">
        <v>44</v>
      </c>
      <c r="C9247" s="0" t="str">
        <f aca="false">INDEX(Intent_Analysis!$B$5:$B$81,MATCH(B9247,Intent_Analysis!$A$5:$A$81,0))</f>
        <v>Card delivery &amp; activation</v>
      </c>
      <c r="D9247" s="0" t="n">
        <f aca="false">INDEX(Intent_Analysis!$E$5:$E$81,MATCH(B9247,Intent_Analysis!$A$5:$A$81,0))</f>
        <v>1</v>
      </c>
    </row>
    <row r="9248" customFormat="false" ht="15" hidden="false" customHeight="false" outlineLevel="0" collapsed="false">
      <c r="A9248" s="0" t="s">
        <v>9572</v>
      </c>
      <c r="B9248" s="0" t="s">
        <v>44</v>
      </c>
      <c r="C9248" s="0" t="str">
        <f aca="false">INDEX(Intent_Analysis!$B$5:$B$81,MATCH(B9248,Intent_Analysis!$A$5:$A$81,0))</f>
        <v>Card delivery &amp; activation</v>
      </c>
      <c r="D9248" s="0" t="n">
        <f aca="false">INDEX(Intent_Analysis!$E$5:$E$81,MATCH(B9248,Intent_Analysis!$A$5:$A$81,0))</f>
        <v>1</v>
      </c>
    </row>
    <row r="9249" customFormat="false" ht="15" hidden="false" customHeight="false" outlineLevel="0" collapsed="false">
      <c r="A9249" s="0" t="s">
        <v>9573</v>
      </c>
      <c r="B9249" s="0" t="s">
        <v>44</v>
      </c>
      <c r="C9249" s="0" t="str">
        <f aca="false">INDEX(Intent_Analysis!$B$5:$B$81,MATCH(B9249,Intent_Analysis!$A$5:$A$81,0))</f>
        <v>Card delivery &amp; activation</v>
      </c>
      <c r="D9249" s="0" t="n">
        <f aca="false">INDEX(Intent_Analysis!$E$5:$E$81,MATCH(B9249,Intent_Analysis!$A$5:$A$81,0))</f>
        <v>1</v>
      </c>
    </row>
    <row r="9250" customFormat="false" ht="15" hidden="false" customHeight="false" outlineLevel="0" collapsed="false">
      <c r="A9250" s="0" t="s">
        <v>9574</v>
      </c>
      <c r="B9250" s="0" t="s">
        <v>44</v>
      </c>
      <c r="C9250" s="0" t="str">
        <f aca="false">INDEX(Intent_Analysis!$B$5:$B$81,MATCH(B9250,Intent_Analysis!$A$5:$A$81,0))</f>
        <v>Card delivery &amp; activation</v>
      </c>
      <c r="D9250" s="0" t="n">
        <f aca="false">INDEX(Intent_Analysis!$E$5:$E$81,MATCH(B9250,Intent_Analysis!$A$5:$A$81,0))</f>
        <v>1</v>
      </c>
    </row>
    <row r="9251" customFormat="false" ht="15" hidden="false" customHeight="false" outlineLevel="0" collapsed="false">
      <c r="A9251" s="0" t="s">
        <v>9575</v>
      </c>
      <c r="B9251" s="0" t="s">
        <v>44</v>
      </c>
      <c r="C9251" s="0" t="str">
        <f aca="false">INDEX(Intent_Analysis!$B$5:$B$81,MATCH(B9251,Intent_Analysis!$A$5:$A$81,0))</f>
        <v>Card delivery &amp; activation</v>
      </c>
      <c r="D9251" s="0" t="n">
        <f aca="false">INDEX(Intent_Analysis!$E$5:$E$81,MATCH(B9251,Intent_Analysis!$A$5:$A$81,0))</f>
        <v>1</v>
      </c>
    </row>
    <row r="9252" customFormat="false" ht="15" hidden="false" customHeight="false" outlineLevel="0" collapsed="false">
      <c r="A9252" s="0" t="s">
        <v>9576</v>
      </c>
      <c r="B9252" s="0" t="s">
        <v>44</v>
      </c>
      <c r="C9252" s="0" t="str">
        <f aca="false">INDEX(Intent_Analysis!$B$5:$B$81,MATCH(B9252,Intent_Analysis!$A$5:$A$81,0))</f>
        <v>Card delivery &amp; activation</v>
      </c>
      <c r="D9252" s="0" t="n">
        <f aca="false">INDEX(Intent_Analysis!$E$5:$E$81,MATCH(B9252,Intent_Analysis!$A$5:$A$81,0))</f>
        <v>1</v>
      </c>
    </row>
    <row r="9253" customFormat="false" ht="15" hidden="false" customHeight="false" outlineLevel="0" collapsed="false">
      <c r="A9253" s="0" t="s">
        <v>9577</v>
      </c>
      <c r="B9253" s="0" t="s">
        <v>44</v>
      </c>
      <c r="C9253" s="0" t="str">
        <f aca="false">INDEX(Intent_Analysis!$B$5:$B$81,MATCH(B9253,Intent_Analysis!$A$5:$A$81,0))</f>
        <v>Card delivery &amp; activation</v>
      </c>
      <c r="D9253" s="0" t="n">
        <f aca="false">INDEX(Intent_Analysis!$E$5:$E$81,MATCH(B9253,Intent_Analysis!$A$5:$A$81,0))</f>
        <v>1</v>
      </c>
    </row>
    <row r="9254" customFormat="false" ht="15" hidden="false" customHeight="false" outlineLevel="0" collapsed="false">
      <c r="A9254" s="0" t="s">
        <v>9578</v>
      </c>
      <c r="B9254" s="0" t="s">
        <v>44</v>
      </c>
      <c r="C9254" s="0" t="str">
        <f aca="false">INDEX(Intent_Analysis!$B$5:$B$81,MATCH(B9254,Intent_Analysis!$A$5:$A$81,0))</f>
        <v>Card delivery &amp; activation</v>
      </c>
      <c r="D9254" s="0" t="n">
        <f aca="false">INDEX(Intent_Analysis!$E$5:$E$81,MATCH(B9254,Intent_Analysis!$A$5:$A$81,0))</f>
        <v>1</v>
      </c>
    </row>
    <row r="9255" customFormat="false" ht="15" hidden="false" customHeight="false" outlineLevel="0" collapsed="false">
      <c r="A9255" s="0" t="s">
        <v>9579</v>
      </c>
      <c r="B9255" s="0" t="s">
        <v>44</v>
      </c>
      <c r="C9255" s="0" t="str">
        <f aca="false">INDEX(Intent_Analysis!$B$5:$B$81,MATCH(B9255,Intent_Analysis!$A$5:$A$81,0))</f>
        <v>Card delivery &amp; activation</v>
      </c>
      <c r="D9255" s="0" t="n">
        <f aca="false">INDEX(Intent_Analysis!$E$5:$E$81,MATCH(B9255,Intent_Analysis!$A$5:$A$81,0))</f>
        <v>1</v>
      </c>
    </row>
    <row r="9256" customFormat="false" ht="15" hidden="false" customHeight="false" outlineLevel="0" collapsed="false">
      <c r="A9256" s="0" t="s">
        <v>9580</v>
      </c>
      <c r="B9256" s="0" t="s">
        <v>44</v>
      </c>
      <c r="C9256" s="0" t="str">
        <f aca="false">INDEX(Intent_Analysis!$B$5:$B$81,MATCH(B9256,Intent_Analysis!$A$5:$A$81,0))</f>
        <v>Card delivery &amp; activation</v>
      </c>
      <c r="D9256" s="0" t="n">
        <f aca="false">INDEX(Intent_Analysis!$E$5:$E$81,MATCH(B9256,Intent_Analysis!$A$5:$A$81,0))</f>
        <v>1</v>
      </c>
    </row>
    <row r="9257" customFormat="false" ht="15" hidden="false" customHeight="false" outlineLevel="0" collapsed="false">
      <c r="A9257" s="0" t="s">
        <v>9581</v>
      </c>
      <c r="B9257" s="0" t="s">
        <v>44</v>
      </c>
      <c r="C9257" s="0" t="str">
        <f aca="false">INDEX(Intent_Analysis!$B$5:$B$81,MATCH(B9257,Intent_Analysis!$A$5:$A$81,0))</f>
        <v>Card delivery &amp; activation</v>
      </c>
      <c r="D9257" s="0" t="n">
        <f aca="false">INDEX(Intent_Analysis!$E$5:$E$81,MATCH(B9257,Intent_Analysis!$A$5:$A$81,0))</f>
        <v>1</v>
      </c>
    </row>
    <row r="9258" customFormat="false" ht="15" hidden="false" customHeight="false" outlineLevel="0" collapsed="false">
      <c r="A9258" s="0" t="s">
        <v>9582</v>
      </c>
      <c r="B9258" s="0" t="s">
        <v>44</v>
      </c>
      <c r="C9258" s="0" t="str">
        <f aca="false">INDEX(Intent_Analysis!$B$5:$B$81,MATCH(B9258,Intent_Analysis!$A$5:$A$81,0))</f>
        <v>Card delivery &amp; activation</v>
      </c>
      <c r="D9258" s="0" t="n">
        <f aca="false">INDEX(Intent_Analysis!$E$5:$E$81,MATCH(B9258,Intent_Analysis!$A$5:$A$81,0))</f>
        <v>1</v>
      </c>
    </row>
    <row r="9259" customFormat="false" ht="15" hidden="false" customHeight="false" outlineLevel="0" collapsed="false">
      <c r="A9259" s="0" t="s">
        <v>9583</v>
      </c>
      <c r="B9259" s="0" t="s">
        <v>44</v>
      </c>
      <c r="C9259" s="0" t="str">
        <f aca="false">INDEX(Intent_Analysis!$B$5:$B$81,MATCH(B9259,Intent_Analysis!$A$5:$A$81,0))</f>
        <v>Card delivery &amp; activation</v>
      </c>
      <c r="D9259" s="0" t="n">
        <f aca="false">INDEX(Intent_Analysis!$E$5:$E$81,MATCH(B9259,Intent_Analysis!$A$5:$A$81,0))</f>
        <v>1</v>
      </c>
    </row>
    <row r="9260" customFormat="false" ht="15" hidden="false" customHeight="false" outlineLevel="0" collapsed="false">
      <c r="A9260" s="0" t="s">
        <v>9584</v>
      </c>
      <c r="B9260" s="0" t="s">
        <v>44</v>
      </c>
      <c r="C9260" s="0" t="str">
        <f aca="false">INDEX(Intent_Analysis!$B$5:$B$81,MATCH(B9260,Intent_Analysis!$A$5:$A$81,0))</f>
        <v>Card delivery &amp; activation</v>
      </c>
      <c r="D9260" s="0" t="n">
        <f aca="false">INDEX(Intent_Analysis!$E$5:$E$81,MATCH(B9260,Intent_Analysis!$A$5:$A$81,0))</f>
        <v>1</v>
      </c>
    </row>
    <row r="9261" customFormat="false" ht="15" hidden="false" customHeight="false" outlineLevel="0" collapsed="false">
      <c r="A9261" s="0" t="s">
        <v>9585</v>
      </c>
      <c r="B9261" s="0" t="s">
        <v>44</v>
      </c>
      <c r="C9261" s="0" t="str">
        <f aca="false">INDEX(Intent_Analysis!$B$5:$B$81,MATCH(B9261,Intent_Analysis!$A$5:$A$81,0))</f>
        <v>Card delivery &amp; activation</v>
      </c>
      <c r="D9261" s="0" t="n">
        <f aca="false">INDEX(Intent_Analysis!$E$5:$E$81,MATCH(B9261,Intent_Analysis!$A$5:$A$81,0))</f>
        <v>1</v>
      </c>
    </row>
    <row r="9262" customFormat="false" ht="15" hidden="false" customHeight="false" outlineLevel="0" collapsed="false">
      <c r="A9262" s="0" t="s">
        <v>9586</v>
      </c>
      <c r="B9262" s="0" t="s">
        <v>44</v>
      </c>
      <c r="C9262" s="0" t="str">
        <f aca="false">INDEX(Intent_Analysis!$B$5:$B$81,MATCH(B9262,Intent_Analysis!$A$5:$A$81,0))</f>
        <v>Card delivery &amp; activation</v>
      </c>
      <c r="D9262" s="0" t="n">
        <f aca="false">INDEX(Intent_Analysis!$E$5:$E$81,MATCH(B9262,Intent_Analysis!$A$5:$A$81,0))</f>
        <v>1</v>
      </c>
    </row>
    <row r="9263" customFormat="false" ht="15" hidden="false" customHeight="false" outlineLevel="0" collapsed="false">
      <c r="A9263" s="0" t="s">
        <v>9587</v>
      </c>
      <c r="B9263" s="0" t="s">
        <v>44</v>
      </c>
      <c r="C9263" s="0" t="str">
        <f aca="false">INDEX(Intent_Analysis!$B$5:$B$81,MATCH(B9263,Intent_Analysis!$A$5:$A$81,0))</f>
        <v>Card delivery &amp; activation</v>
      </c>
      <c r="D9263" s="0" t="n">
        <f aca="false">INDEX(Intent_Analysis!$E$5:$E$81,MATCH(B9263,Intent_Analysis!$A$5:$A$81,0))</f>
        <v>1</v>
      </c>
    </row>
    <row r="9264" customFormat="false" ht="15" hidden="false" customHeight="false" outlineLevel="0" collapsed="false">
      <c r="A9264" s="0" t="s">
        <v>9588</v>
      </c>
      <c r="B9264" s="0" t="s">
        <v>44</v>
      </c>
      <c r="C9264" s="0" t="str">
        <f aca="false">INDEX(Intent_Analysis!$B$5:$B$81,MATCH(B9264,Intent_Analysis!$A$5:$A$81,0))</f>
        <v>Card delivery &amp; activation</v>
      </c>
      <c r="D9264" s="0" t="n">
        <f aca="false">INDEX(Intent_Analysis!$E$5:$E$81,MATCH(B9264,Intent_Analysis!$A$5:$A$81,0))</f>
        <v>1</v>
      </c>
    </row>
    <row r="9265" customFormat="false" ht="15" hidden="false" customHeight="false" outlineLevel="0" collapsed="false">
      <c r="A9265" s="0" t="s">
        <v>9589</v>
      </c>
      <c r="B9265" s="0" t="s">
        <v>44</v>
      </c>
      <c r="C9265" s="0" t="str">
        <f aca="false">INDEX(Intent_Analysis!$B$5:$B$81,MATCH(B9265,Intent_Analysis!$A$5:$A$81,0))</f>
        <v>Card delivery &amp; activation</v>
      </c>
      <c r="D9265" s="0" t="n">
        <f aca="false">INDEX(Intent_Analysis!$E$5:$E$81,MATCH(B9265,Intent_Analysis!$A$5:$A$81,0))</f>
        <v>1</v>
      </c>
    </row>
    <row r="9266" customFormat="false" ht="15" hidden="false" customHeight="false" outlineLevel="0" collapsed="false">
      <c r="A9266" s="0" t="s">
        <v>9590</v>
      </c>
      <c r="B9266" s="0" t="s">
        <v>44</v>
      </c>
      <c r="C9266" s="0" t="str">
        <f aca="false">INDEX(Intent_Analysis!$B$5:$B$81,MATCH(B9266,Intent_Analysis!$A$5:$A$81,0))</f>
        <v>Card delivery &amp; activation</v>
      </c>
      <c r="D9266" s="0" t="n">
        <f aca="false">INDEX(Intent_Analysis!$E$5:$E$81,MATCH(B9266,Intent_Analysis!$A$5:$A$81,0))</f>
        <v>1</v>
      </c>
    </row>
    <row r="9267" customFormat="false" ht="15" hidden="false" customHeight="false" outlineLevel="0" collapsed="false">
      <c r="A9267" s="0" t="s">
        <v>9591</v>
      </c>
      <c r="B9267" s="0" t="s">
        <v>44</v>
      </c>
      <c r="C9267" s="0" t="str">
        <f aca="false">INDEX(Intent_Analysis!$B$5:$B$81,MATCH(B9267,Intent_Analysis!$A$5:$A$81,0))</f>
        <v>Card delivery &amp; activation</v>
      </c>
      <c r="D9267" s="0" t="n">
        <f aca="false">INDEX(Intent_Analysis!$E$5:$E$81,MATCH(B9267,Intent_Analysis!$A$5:$A$81,0))</f>
        <v>1</v>
      </c>
    </row>
    <row r="9268" customFormat="false" ht="15" hidden="false" customHeight="false" outlineLevel="0" collapsed="false">
      <c r="A9268" s="0" t="s">
        <v>9592</v>
      </c>
      <c r="B9268" s="0" t="s">
        <v>44</v>
      </c>
      <c r="C9268" s="0" t="str">
        <f aca="false">INDEX(Intent_Analysis!$B$5:$B$81,MATCH(B9268,Intent_Analysis!$A$5:$A$81,0))</f>
        <v>Card delivery &amp; activation</v>
      </c>
      <c r="D9268" s="0" t="n">
        <f aca="false">INDEX(Intent_Analysis!$E$5:$E$81,MATCH(B9268,Intent_Analysis!$A$5:$A$81,0))</f>
        <v>1</v>
      </c>
    </row>
    <row r="9269" customFormat="false" ht="15" hidden="false" customHeight="false" outlineLevel="0" collapsed="false">
      <c r="A9269" s="0" t="s">
        <v>9593</v>
      </c>
      <c r="B9269" s="0" t="s">
        <v>44</v>
      </c>
      <c r="C9269" s="0" t="str">
        <f aca="false">INDEX(Intent_Analysis!$B$5:$B$81,MATCH(B9269,Intent_Analysis!$A$5:$A$81,0))</f>
        <v>Card delivery &amp; activation</v>
      </c>
      <c r="D9269" s="0" t="n">
        <f aca="false">INDEX(Intent_Analysis!$E$5:$E$81,MATCH(B9269,Intent_Analysis!$A$5:$A$81,0))</f>
        <v>1</v>
      </c>
    </row>
    <row r="9270" customFormat="false" ht="15" hidden="false" customHeight="false" outlineLevel="0" collapsed="false">
      <c r="A9270" s="0" t="s">
        <v>9594</v>
      </c>
      <c r="B9270" s="0" t="s">
        <v>44</v>
      </c>
      <c r="C9270" s="0" t="str">
        <f aca="false">INDEX(Intent_Analysis!$B$5:$B$81,MATCH(B9270,Intent_Analysis!$A$5:$A$81,0))</f>
        <v>Card delivery &amp; activation</v>
      </c>
      <c r="D9270" s="0" t="n">
        <f aca="false">INDEX(Intent_Analysis!$E$5:$E$81,MATCH(B9270,Intent_Analysis!$A$5:$A$81,0))</f>
        <v>1</v>
      </c>
    </row>
    <row r="9271" customFormat="false" ht="15" hidden="false" customHeight="false" outlineLevel="0" collapsed="false">
      <c r="A9271" s="0" t="s">
        <v>9595</v>
      </c>
      <c r="B9271" s="0" t="s">
        <v>44</v>
      </c>
      <c r="C9271" s="0" t="str">
        <f aca="false">INDEX(Intent_Analysis!$B$5:$B$81,MATCH(B9271,Intent_Analysis!$A$5:$A$81,0))</f>
        <v>Card delivery &amp; activation</v>
      </c>
      <c r="D9271" s="0" t="n">
        <f aca="false">INDEX(Intent_Analysis!$E$5:$E$81,MATCH(B9271,Intent_Analysis!$A$5:$A$81,0))</f>
        <v>1</v>
      </c>
    </row>
    <row r="9272" customFormat="false" ht="15" hidden="false" customHeight="false" outlineLevel="0" collapsed="false">
      <c r="A9272" s="0" t="s">
        <v>9596</v>
      </c>
      <c r="B9272" s="0" t="s">
        <v>44</v>
      </c>
      <c r="C9272" s="0" t="str">
        <f aca="false">INDEX(Intent_Analysis!$B$5:$B$81,MATCH(B9272,Intent_Analysis!$A$5:$A$81,0))</f>
        <v>Card delivery &amp; activation</v>
      </c>
      <c r="D9272" s="0" t="n">
        <f aca="false">INDEX(Intent_Analysis!$E$5:$E$81,MATCH(B9272,Intent_Analysis!$A$5:$A$81,0))</f>
        <v>1</v>
      </c>
    </row>
    <row r="9273" customFormat="false" ht="15" hidden="false" customHeight="false" outlineLevel="0" collapsed="false">
      <c r="A9273" s="0" t="s">
        <v>9597</v>
      </c>
      <c r="B9273" s="0" t="s">
        <v>44</v>
      </c>
      <c r="C9273" s="0" t="str">
        <f aca="false">INDEX(Intent_Analysis!$B$5:$B$81,MATCH(B9273,Intent_Analysis!$A$5:$A$81,0))</f>
        <v>Card delivery &amp; activation</v>
      </c>
      <c r="D9273" s="0" t="n">
        <f aca="false">INDEX(Intent_Analysis!$E$5:$E$81,MATCH(B9273,Intent_Analysis!$A$5:$A$81,0))</f>
        <v>1</v>
      </c>
    </row>
    <row r="9274" customFormat="false" ht="15" hidden="false" customHeight="false" outlineLevel="0" collapsed="false">
      <c r="A9274" s="0" t="s">
        <v>9598</v>
      </c>
      <c r="B9274" s="0" t="s">
        <v>44</v>
      </c>
      <c r="C9274" s="0" t="str">
        <f aca="false">INDEX(Intent_Analysis!$B$5:$B$81,MATCH(B9274,Intent_Analysis!$A$5:$A$81,0))</f>
        <v>Card delivery &amp; activation</v>
      </c>
      <c r="D9274" s="0" t="n">
        <f aca="false">INDEX(Intent_Analysis!$E$5:$E$81,MATCH(B9274,Intent_Analysis!$A$5:$A$81,0))</f>
        <v>1</v>
      </c>
    </row>
    <row r="9275" customFormat="false" ht="15" hidden="false" customHeight="false" outlineLevel="0" collapsed="false">
      <c r="A9275" s="0" t="s">
        <v>9599</v>
      </c>
      <c r="B9275" s="0" t="s">
        <v>44</v>
      </c>
      <c r="C9275" s="0" t="str">
        <f aca="false">INDEX(Intent_Analysis!$B$5:$B$81,MATCH(B9275,Intent_Analysis!$A$5:$A$81,0))</f>
        <v>Card delivery &amp; activation</v>
      </c>
      <c r="D9275" s="0" t="n">
        <f aca="false">INDEX(Intent_Analysis!$E$5:$E$81,MATCH(B9275,Intent_Analysis!$A$5:$A$81,0))</f>
        <v>1</v>
      </c>
    </row>
    <row r="9276" customFormat="false" ht="15" hidden="false" customHeight="false" outlineLevel="0" collapsed="false">
      <c r="A9276" s="0" t="s">
        <v>9600</v>
      </c>
      <c r="B9276" s="0" t="s">
        <v>44</v>
      </c>
      <c r="C9276" s="0" t="str">
        <f aca="false">INDEX(Intent_Analysis!$B$5:$B$81,MATCH(B9276,Intent_Analysis!$A$5:$A$81,0))</f>
        <v>Card delivery &amp; activation</v>
      </c>
      <c r="D9276" s="0" t="n">
        <f aca="false">INDEX(Intent_Analysis!$E$5:$E$81,MATCH(B9276,Intent_Analysis!$A$5:$A$81,0))</f>
        <v>1</v>
      </c>
    </row>
    <row r="9277" customFormat="false" ht="15" hidden="false" customHeight="false" outlineLevel="0" collapsed="false">
      <c r="A9277" s="0" t="s">
        <v>9601</v>
      </c>
      <c r="B9277" s="0" t="s">
        <v>44</v>
      </c>
      <c r="C9277" s="0" t="str">
        <f aca="false">INDEX(Intent_Analysis!$B$5:$B$81,MATCH(B9277,Intent_Analysis!$A$5:$A$81,0))</f>
        <v>Card delivery &amp; activation</v>
      </c>
      <c r="D9277" s="0" t="n">
        <f aca="false">INDEX(Intent_Analysis!$E$5:$E$81,MATCH(B9277,Intent_Analysis!$A$5:$A$81,0))</f>
        <v>1</v>
      </c>
    </row>
    <row r="9278" customFormat="false" ht="15" hidden="false" customHeight="false" outlineLevel="0" collapsed="false">
      <c r="A9278" s="0" t="s">
        <v>9602</v>
      </c>
      <c r="B9278" s="0" t="s">
        <v>44</v>
      </c>
      <c r="C9278" s="0" t="str">
        <f aca="false">INDEX(Intent_Analysis!$B$5:$B$81,MATCH(B9278,Intent_Analysis!$A$5:$A$81,0))</f>
        <v>Card delivery &amp; activation</v>
      </c>
      <c r="D9278" s="0" t="n">
        <f aca="false">INDEX(Intent_Analysis!$E$5:$E$81,MATCH(B9278,Intent_Analysis!$A$5:$A$81,0))</f>
        <v>1</v>
      </c>
    </row>
    <row r="9279" customFormat="false" ht="15" hidden="false" customHeight="false" outlineLevel="0" collapsed="false">
      <c r="A9279" s="0" t="s">
        <v>9603</v>
      </c>
      <c r="B9279" s="0" t="s">
        <v>44</v>
      </c>
      <c r="C9279" s="0" t="str">
        <f aca="false">INDEX(Intent_Analysis!$B$5:$B$81,MATCH(B9279,Intent_Analysis!$A$5:$A$81,0))</f>
        <v>Card delivery &amp; activation</v>
      </c>
      <c r="D9279" s="0" t="n">
        <f aca="false">INDEX(Intent_Analysis!$E$5:$E$81,MATCH(B9279,Intent_Analysis!$A$5:$A$81,0))</f>
        <v>1</v>
      </c>
    </row>
    <row r="9280" customFormat="false" ht="15" hidden="false" customHeight="false" outlineLevel="0" collapsed="false">
      <c r="A9280" s="0" t="s">
        <v>9604</v>
      </c>
      <c r="B9280" s="0" t="s">
        <v>44</v>
      </c>
      <c r="C9280" s="0" t="str">
        <f aca="false">INDEX(Intent_Analysis!$B$5:$B$81,MATCH(B9280,Intent_Analysis!$A$5:$A$81,0))</f>
        <v>Card delivery &amp; activation</v>
      </c>
      <c r="D9280" s="0" t="n">
        <f aca="false">INDEX(Intent_Analysis!$E$5:$E$81,MATCH(B9280,Intent_Analysis!$A$5:$A$81,0))</f>
        <v>1</v>
      </c>
    </row>
    <row r="9281" customFormat="false" ht="15" hidden="false" customHeight="false" outlineLevel="0" collapsed="false">
      <c r="A9281" s="0" t="s">
        <v>9605</v>
      </c>
      <c r="B9281" s="0" t="s">
        <v>44</v>
      </c>
      <c r="C9281" s="0" t="str">
        <f aca="false">INDEX(Intent_Analysis!$B$5:$B$81,MATCH(B9281,Intent_Analysis!$A$5:$A$81,0))</f>
        <v>Card delivery &amp; activation</v>
      </c>
      <c r="D9281" s="0" t="n">
        <f aca="false">INDEX(Intent_Analysis!$E$5:$E$81,MATCH(B9281,Intent_Analysis!$A$5:$A$81,0))</f>
        <v>1</v>
      </c>
    </row>
    <row r="9282" customFormat="false" ht="15" hidden="false" customHeight="false" outlineLevel="0" collapsed="false">
      <c r="A9282" s="0" t="s">
        <v>9606</v>
      </c>
      <c r="B9282" s="0" t="s">
        <v>44</v>
      </c>
      <c r="C9282" s="0" t="str">
        <f aca="false">INDEX(Intent_Analysis!$B$5:$B$81,MATCH(B9282,Intent_Analysis!$A$5:$A$81,0))</f>
        <v>Card delivery &amp; activation</v>
      </c>
      <c r="D9282" s="0" t="n">
        <f aca="false">INDEX(Intent_Analysis!$E$5:$E$81,MATCH(B9282,Intent_Analysis!$A$5:$A$81,0))</f>
        <v>1</v>
      </c>
    </row>
    <row r="9283" customFormat="false" ht="15" hidden="false" customHeight="false" outlineLevel="0" collapsed="false">
      <c r="A9283" s="0" t="s">
        <v>9607</v>
      </c>
      <c r="B9283" s="0" t="s">
        <v>44</v>
      </c>
      <c r="C9283" s="0" t="str">
        <f aca="false">INDEX(Intent_Analysis!$B$5:$B$81,MATCH(B9283,Intent_Analysis!$A$5:$A$81,0))</f>
        <v>Card delivery &amp; activation</v>
      </c>
      <c r="D9283" s="0" t="n">
        <f aca="false">INDEX(Intent_Analysis!$E$5:$E$81,MATCH(B9283,Intent_Analysis!$A$5:$A$81,0))</f>
        <v>1</v>
      </c>
    </row>
    <row r="9284" customFormat="false" ht="15" hidden="false" customHeight="false" outlineLevel="0" collapsed="false">
      <c r="A9284" s="0" t="s">
        <v>9608</v>
      </c>
      <c r="B9284" s="0" t="s">
        <v>44</v>
      </c>
      <c r="C9284" s="0" t="str">
        <f aca="false">INDEX(Intent_Analysis!$B$5:$B$81,MATCH(B9284,Intent_Analysis!$A$5:$A$81,0))</f>
        <v>Card delivery &amp; activation</v>
      </c>
      <c r="D9284" s="0" t="n">
        <f aca="false">INDEX(Intent_Analysis!$E$5:$E$81,MATCH(B9284,Intent_Analysis!$A$5:$A$81,0))</f>
        <v>1</v>
      </c>
    </row>
    <row r="9285" customFormat="false" ht="15" hidden="false" customHeight="false" outlineLevel="0" collapsed="false">
      <c r="A9285" s="0" t="s">
        <v>9609</v>
      </c>
      <c r="B9285" s="0" t="s">
        <v>44</v>
      </c>
      <c r="C9285" s="0" t="str">
        <f aca="false">INDEX(Intent_Analysis!$B$5:$B$81,MATCH(B9285,Intent_Analysis!$A$5:$A$81,0))</f>
        <v>Card delivery &amp; activation</v>
      </c>
      <c r="D9285" s="0" t="n">
        <f aca="false">INDEX(Intent_Analysis!$E$5:$E$81,MATCH(B9285,Intent_Analysis!$A$5:$A$81,0))</f>
        <v>1</v>
      </c>
    </row>
    <row r="9286" customFormat="false" ht="15" hidden="false" customHeight="false" outlineLevel="0" collapsed="false">
      <c r="A9286" s="0" t="s">
        <v>9610</v>
      </c>
      <c r="B9286" s="0" t="s">
        <v>44</v>
      </c>
      <c r="C9286" s="0" t="str">
        <f aca="false">INDEX(Intent_Analysis!$B$5:$B$81,MATCH(B9286,Intent_Analysis!$A$5:$A$81,0))</f>
        <v>Card delivery &amp; activation</v>
      </c>
      <c r="D9286" s="0" t="n">
        <f aca="false">INDEX(Intent_Analysis!$E$5:$E$81,MATCH(B9286,Intent_Analysis!$A$5:$A$81,0))</f>
        <v>1</v>
      </c>
    </row>
    <row r="9287" customFormat="false" ht="15" hidden="false" customHeight="false" outlineLevel="0" collapsed="false">
      <c r="A9287" s="0" t="s">
        <v>9611</v>
      </c>
      <c r="B9287" s="0" t="s">
        <v>44</v>
      </c>
      <c r="C9287" s="0" t="str">
        <f aca="false">INDEX(Intent_Analysis!$B$5:$B$81,MATCH(B9287,Intent_Analysis!$A$5:$A$81,0))</f>
        <v>Card delivery &amp; activation</v>
      </c>
      <c r="D9287" s="0" t="n">
        <f aca="false">INDEX(Intent_Analysis!$E$5:$E$81,MATCH(B9287,Intent_Analysis!$A$5:$A$81,0))</f>
        <v>1</v>
      </c>
    </row>
    <row r="9288" customFormat="false" ht="15" hidden="false" customHeight="false" outlineLevel="0" collapsed="false">
      <c r="A9288" s="0" t="s">
        <v>9612</v>
      </c>
      <c r="B9288" s="0" t="s">
        <v>44</v>
      </c>
      <c r="C9288" s="0" t="str">
        <f aca="false">INDEX(Intent_Analysis!$B$5:$B$81,MATCH(B9288,Intent_Analysis!$A$5:$A$81,0))</f>
        <v>Card delivery &amp; activation</v>
      </c>
      <c r="D9288" s="0" t="n">
        <f aca="false">INDEX(Intent_Analysis!$E$5:$E$81,MATCH(B9288,Intent_Analysis!$A$5:$A$81,0))</f>
        <v>1</v>
      </c>
    </row>
    <row r="9289" customFormat="false" ht="15" hidden="false" customHeight="false" outlineLevel="0" collapsed="false">
      <c r="A9289" s="0" t="s">
        <v>9613</v>
      </c>
      <c r="B9289" s="0" t="s">
        <v>44</v>
      </c>
      <c r="C9289" s="0" t="str">
        <f aca="false">INDEX(Intent_Analysis!$B$5:$B$81,MATCH(B9289,Intent_Analysis!$A$5:$A$81,0))</f>
        <v>Card delivery &amp; activation</v>
      </c>
      <c r="D9289" s="0" t="n">
        <f aca="false">INDEX(Intent_Analysis!$E$5:$E$81,MATCH(B9289,Intent_Analysis!$A$5:$A$81,0))</f>
        <v>1</v>
      </c>
    </row>
    <row r="9290" customFormat="false" ht="15" hidden="false" customHeight="false" outlineLevel="0" collapsed="false">
      <c r="A9290" s="0" t="s">
        <v>9614</v>
      </c>
      <c r="B9290" s="0" t="s">
        <v>44</v>
      </c>
      <c r="C9290" s="0" t="str">
        <f aca="false">INDEX(Intent_Analysis!$B$5:$B$81,MATCH(B9290,Intent_Analysis!$A$5:$A$81,0))</f>
        <v>Card delivery &amp; activation</v>
      </c>
      <c r="D9290" s="0" t="n">
        <f aca="false">INDEX(Intent_Analysis!$E$5:$E$81,MATCH(B9290,Intent_Analysis!$A$5:$A$81,0))</f>
        <v>1</v>
      </c>
    </row>
    <row r="9291" customFormat="false" ht="15" hidden="false" customHeight="false" outlineLevel="0" collapsed="false">
      <c r="A9291" s="0" t="s">
        <v>9615</v>
      </c>
      <c r="B9291" s="0" t="s">
        <v>44</v>
      </c>
      <c r="C9291" s="0" t="str">
        <f aca="false">INDEX(Intent_Analysis!$B$5:$B$81,MATCH(B9291,Intent_Analysis!$A$5:$A$81,0))</f>
        <v>Card delivery &amp; activation</v>
      </c>
      <c r="D9291" s="0" t="n">
        <f aca="false">INDEX(Intent_Analysis!$E$5:$E$81,MATCH(B9291,Intent_Analysis!$A$5:$A$81,0))</f>
        <v>1</v>
      </c>
    </row>
    <row r="9292" customFormat="false" ht="15" hidden="false" customHeight="false" outlineLevel="0" collapsed="false">
      <c r="A9292" s="0" t="s">
        <v>9616</v>
      </c>
      <c r="B9292" s="0" t="s">
        <v>44</v>
      </c>
      <c r="C9292" s="0" t="str">
        <f aca="false">INDEX(Intent_Analysis!$B$5:$B$81,MATCH(B9292,Intent_Analysis!$A$5:$A$81,0))</f>
        <v>Card delivery &amp; activation</v>
      </c>
      <c r="D9292" s="0" t="n">
        <f aca="false">INDEX(Intent_Analysis!$E$5:$E$81,MATCH(B9292,Intent_Analysis!$A$5:$A$81,0))</f>
        <v>1</v>
      </c>
    </row>
    <row r="9293" customFormat="false" ht="15" hidden="false" customHeight="false" outlineLevel="0" collapsed="false">
      <c r="A9293" s="0" t="s">
        <v>9617</v>
      </c>
      <c r="B9293" s="0" t="s">
        <v>44</v>
      </c>
      <c r="C9293" s="0" t="str">
        <f aca="false">INDEX(Intent_Analysis!$B$5:$B$81,MATCH(B9293,Intent_Analysis!$A$5:$A$81,0))</f>
        <v>Card delivery &amp; activation</v>
      </c>
      <c r="D9293" s="0" t="n">
        <f aca="false">INDEX(Intent_Analysis!$E$5:$E$81,MATCH(B9293,Intent_Analysis!$A$5:$A$81,0))</f>
        <v>1</v>
      </c>
    </row>
    <row r="9294" customFormat="false" ht="15" hidden="false" customHeight="false" outlineLevel="0" collapsed="false">
      <c r="A9294" s="0" t="s">
        <v>9618</v>
      </c>
      <c r="B9294" s="0" t="s">
        <v>44</v>
      </c>
      <c r="C9294" s="0" t="str">
        <f aca="false">INDEX(Intent_Analysis!$B$5:$B$81,MATCH(B9294,Intent_Analysis!$A$5:$A$81,0))</f>
        <v>Card delivery &amp; activation</v>
      </c>
      <c r="D9294" s="0" t="n">
        <f aca="false">INDEX(Intent_Analysis!$E$5:$E$81,MATCH(B9294,Intent_Analysis!$A$5:$A$81,0))</f>
        <v>1</v>
      </c>
    </row>
    <row r="9295" customFormat="false" ht="15" hidden="false" customHeight="false" outlineLevel="0" collapsed="false">
      <c r="A9295" s="0" t="s">
        <v>9619</v>
      </c>
      <c r="B9295" s="0" t="s">
        <v>44</v>
      </c>
      <c r="C9295" s="0" t="str">
        <f aca="false">INDEX(Intent_Analysis!$B$5:$B$81,MATCH(B9295,Intent_Analysis!$A$5:$A$81,0))</f>
        <v>Card delivery &amp; activation</v>
      </c>
      <c r="D9295" s="0" t="n">
        <f aca="false">INDEX(Intent_Analysis!$E$5:$E$81,MATCH(B9295,Intent_Analysis!$A$5:$A$81,0))</f>
        <v>1</v>
      </c>
    </row>
    <row r="9296" customFormat="false" ht="15" hidden="false" customHeight="false" outlineLevel="0" collapsed="false">
      <c r="A9296" s="0" t="s">
        <v>9620</v>
      </c>
      <c r="B9296" s="0" t="s">
        <v>44</v>
      </c>
      <c r="C9296" s="0" t="str">
        <f aca="false">INDEX(Intent_Analysis!$B$5:$B$81,MATCH(B9296,Intent_Analysis!$A$5:$A$81,0))</f>
        <v>Card delivery &amp; activation</v>
      </c>
      <c r="D9296" s="0" t="n">
        <f aca="false">INDEX(Intent_Analysis!$E$5:$E$81,MATCH(B9296,Intent_Analysis!$A$5:$A$81,0))</f>
        <v>1</v>
      </c>
    </row>
    <row r="9297" customFormat="false" ht="15" hidden="false" customHeight="false" outlineLevel="0" collapsed="false">
      <c r="A9297" s="0" t="s">
        <v>9621</v>
      </c>
      <c r="B9297" s="0" t="s">
        <v>44</v>
      </c>
      <c r="C9297" s="0" t="str">
        <f aca="false">INDEX(Intent_Analysis!$B$5:$B$81,MATCH(B9297,Intent_Analysis!$A$5:$A$81,0))</f>
        <v>Card delivery &amp; activation</v>
      </c>
      <c r="D9297" s="0" t="n">
        <f aca="false">INDEX(Intent_Analysis!$E$5:$E$81,MATCH(B9297,Intent_Analysis!$A$5:$A$81,0))</f>
        <v>1</v>
      </c>
    </row>
    <row r="9298" customFormat="false" ht="15" hidden="false" customHeight="false" outlineLevel="0" collapsed="false">
      <c r="A9298" s="0" t="s">
        <v>9622</v>
      </c>
      <c r="B9298" s="0" t="s">
        <v>44</v>
      </c>
      <c r="C9298" s="0" t="str">
        <f aca="false">INDEX(Intent_Analysis!$B$5:$B$81,MATCH(B9298,Intent_Analysis!$A$5:$A$81,0))</f>
        <v>Card delivery &amp; activation</v>
      </c>
      <c r="D9298" s="0" t="n">
        <f aca="false">INDEX(Intent_Analysis!$E$5:$E$81,MATCH(B9298,Intent_Analysis!$A$5:$A$81,0))</f>
        <v>1</v>
      </c>
    </row>
    <row r="9299" customFormat="false" ht="15" hidden="false" customHeight="false" outlineLevel="0" collapsed="false">
      <c r="A9299" s="0" t="s">
        <v>9623</v>
      </c>
      <c r="B9299" s="0" t="s">
        <v>44</v>
      </c>
      <c r="C9299" s="0" t="str">
        <f aca="false">INDEX(Intent_Analysis!$B$5:$B$81,MATCH(B9299,Intent_Analysis!$A$5:$A$81,0))</f>
        <v>Card delivery &amp; activation</v>
      </c>
      <c r="D9299" s="0" t="n">
        <f aca="false">INDEX(Intent_Analysis!$E$5:$E$81,MATCH(B9299,Intent_Analysis!$A$5:$A$81,0))</f>
        <v>1</v>
      </c>
    </row>
    <row r="9300" customFormat="false" ht="15" hidden="false" customHeight="false" outlineLevel="0" collapsed="false">
      <c r="A9300" s="0" t="s">
        <v>9624</v>
      </c>
      <c r="B9300" s="0" t="s">
        <v>44</v>
      </c>
      <c r="C9300" s="0" t="str">
        <f aca="false">INDEX(Intent_Analysis!$B$5:$B$81,MATCH(B9300,Intent_Analysis!$A$5:$A$81,0))</f>
        <v>Card delivery &amp; activation</v>
      </c>
      <c r="D9300" s="0" t="n">
        <f aca="false">INDEX(Intent_Analysis!$E$5:$E$81,MATCH(B9300,Intent_Analysis!$A$5:$A$81,0))</f>
        <v>1</v>
      </c>
    </row>
    <row r="9301" customFormat="false" ht="15" hidden="false" customHeight="false" outlineLevel="0" collapsed="false">
      <c r="A9301" s="0" t="s">
        <v>9625</v>
      </c>
      <c r="B9301" s="0" t="s">
        <v>44</v>
      </c>
      <c r="C9301" s="0" t="str">
        <f aca="false">INDEX(Intent_Analysis!$B$5:$B$81,MATCH(B9301,Intent_Analysis!$A$5:$A$81,0))</f>
        <v>Card delivery &amp; activation</v>
      </c>
      <c r="D9301" s="0" t="n">
        <f aca="false">INDEX(Intent_Analysis!$E$5:$E$81,MATCH(B9301,Intent_Analysis!$A$5:$A$81,0))</f>
        <v>1</v>
      </c>
    </row>
    <row r="9302" customFormat="false" ht="15" hidden="false" customHeight="false" outlineLevel="0" collapsed="false">
      <c r="A9302" s="0" t="s">
        <v>9626</v>
      </c>
      <c r="B9302" s="0" t="s">
        <v>44</v>
      </c>
      <c r="C9302" s="0" t="str">
        <f aca="false">INDEX(Intent_Analysis!$B$5:$B$81,MATCH(B9302,Intent_Analysis!$A$5:$A$81,0))</f>
        <v>Card delivery &amp; activation</v>
      </c>
      <c r="D9302" s="0" t="n">
        <f aca="false">INDEX(Intent_Analysis!$E$5:$E$81,MATCH(B9302,Intent_Analysis!$A$5:$A$81,0))</f>
        <v>1</v>
      </c>
    </row>
    <row r="9303" customFormat="false" ht="15" hidden="false" customHeight="false" outlineLevel="0" collapsed="false">
      <c r="A9303" s="0" t="s">
        <v>9627</v>
      </c>
      <c r="B9303" s="0" t="s">
        <v>44</v>
      </c>
      <c r="C9303" s="0" t="str">
        <f aca="false">INDEX(Intent_Analysis!$B$5:$B$81,MATCH(B9303,Intent_Analysis!$A$5:$A$81,0))</f>
        <v>Card delivery &amp; activation</v>
      </c>
      <c r="D9303" s="0" t="n">
        <f aca="false">INDEX(Intent_Analysis!$E$5:$E$81,MATCH(B9303,Intent_Analysis!$A$5:$A$81,0))</f>
        <v>1</v>
      </c>
    </row>
    <row r="9304" customFormat="false" ht="15" hidden="false" customHeight="false" outlineLevel="0" collapsed="false">
      <c r="A9304" s="0" t="s">
        <v>9628</v>
      </c>
      <c r="B9304" s="0" t="s">
        <v>44</v>
      </c>
      <c r="C9304" s="0" t="str">
        <f aca="false">INDEX(Intent_Analysis!$B$5:$B$81,MATCH(B9304,Intent_Analysis!$A$5:$A$81,0))</f>
        <v>Card delivery &amp; activation</v>
      </c>
      <c r="D9304" s="0" t="n">
        <f aca="false">INDEX(Intent_Analysis!$E$5:$E$81,MATCH(B9304,Intent_Analysis!$A$5:$A$81,0))</f>
        <v>1</v>
      </c>
    </row>
    <row r="9305" customFormat="false" ht="15" hidden="false" customHeight="false" outlineLevel="0" collapsed="false">
      <c r="A9305" s="0" t="s">
        <v>9629</v>
      </c>
      <c r="B9305" s="0" t="s">
        <v>44</v>
      </c>
      <c r="C9305" s="0" t="str">
        <f aca="false">INDEX(Intent_Analysis!$B$5:$B$81,MATCH(B9305,Intent_Analysis!$A$5:$A$81,0))</f>
        <v>Card delivery &amp; activation</v>
      </c>
      <c r="D9305" s="0" t="n">
        <f aca="false">INDEX(Intent_Analysis!$E$5:$E$81,MATCH(B9305,Intent_Analysis!$A$5:$A$81,0))</f>
        <v>1</v>
      </c>
    </row>
    <row r="9306" customFormat="false" ht="15" hidden="false" customHeight="false" outlineLevel="0" collapsed="false">
      <c r="A9306" s="0" t="s">
        <v>9630</v>
      </c>
      <c r="B9306" s="0" t="s">
        <v>44</v>
      </c>
      <c r="C9306" s="0" t="str">
        <f aca="false">INDEX(Intent_Analysis!$B$5:$B$81,MATCH(B9306,Intent_Analysis!$A$5:$A$81,0))</f>
        <v>Card delivery &amp; activation</v>
      </c>
      <c r="D9306" s="0" t="n">
        <f aca="false">INDEX(Intent_Analysis!$E$5:$E$81,MATCH(B9306,Intent_Analysis!$A$5:$A$81,0))</f>
        <v>1</v>
      </c>
    </row>
    <row r="9307" customFormat="false" ht="15" hidden="false" customHeight="false" outlineLevel="0" collapsed="false">
      <c r="A9307" s="0" t="s">
        <v>9631</v>
      </c>
      <c r="B9307" s="0" t="s">
        <v>44</v>
      </c>
      <c r="C9307" s="0" t="str">
        <f aca="false">INDEX(Intent_Analysis!$B$5:$B$81,MATCH(B9307,Intent_Analysis!$A$5:$A$81,0))</f>
        <v>Card delivery &amp; activation</v>
      </c>
      <c r="D9307" s="0" t="n">
        <f aca="false">INDEX(Intent_Analysis!$E$5:$E$81,MATCH(B9307,Intent_Analysis!$A$5:$A$81,0))</f>
        <v>1</v>
      </c>
    </row>
    <row r="9308" customFormat="false" ht="15" hidden="false" customHeight="false" outlineLevel="0" collapsed="false">
      <c r="A9308" s="0" t="s">
        <v>9632</v>
      </c>
      <c r="B9308" s="0" t="s">
        <v>44</v>
      </c>
      <c r="C9308" s="0" t="str">
        <f aca="false">INDEX(Intent_Analysis!$B$5:$B$81,MATCH(B9308,Intent_Analysis!$A$5:$A$81,0))</f>
        <v>Card delivery &amp; activation</v>
      </c>
      <c r="D9308" s="0" t="n">
        <f aca="false">INDEX(Intent_Analysis!$E$5:$E$81,MATCH(B9308,Intent_Analysis!$A$5:$A$81,0))</f>
        <v>1</v>
      </c>
    </row>
    <row r="9309" customFormat="false" ht="15" hidden="false" customHeight="false" outlineLevel="0" collapsed="false">
      <c r="A9309" s="0" t="s">
        <v>9633</v>
      </c>
      <c r="B9309" s="0" t="s">
        <v>44</v>
      </c>
      <c r="C9309" s="0" t="str">
        <f aca="false">INDEX(Intent_Analysis!$B$5:$B$81,MATCH(B9309,Intent_Analysis!$A$5:$A$81,0))</f>
        <v>Card delivery &amp; activation</v>
      </c>
      <c r="D9309" s="0" t="n">
        <f aca="false">INDEX(Intent_Analysis!$E$5:$E$81,MATCH(B9309,Intent_Analysis!$A$5:$A$81,0))</f>
        <v>1</v>
      </c>
    </row>
    <row r="9310" customFormat="false" ht="15" hidden="false" customHeight="false" outlineLevel="0" collapsed="false">
      <c r="A9310" s="0" t="s">
        <v>9634</v>
      </c>
      <c r="B9310" s="0" t="s">
        <v>44</v>
      </c>
      <c r="C9310" s="0" t="str">
        <f aca="false">INDEX(Intent_Analysis!$B$5:$B$81,MATCH(B9310,Intent_Analysis!$A$5:$A$81,0))</f>
        <v>Card delivery &amp; activation</v>
      </c>
      <c r="D9310" s="0" t="n">
        <f aca="false">INDEX(Intent_Analysis!$E$5:$E$81,MATCH(B9310,Intent_Analysis!$A$5:$A$81,0))</f>
        <v>1</v>
      </c>
    </row>
    <row r="9311" customFormat="false" ht="15" hidden="false" customHeight="false" outlineLevel="0" collapsed="false">
      <c r="A9311" s="0" t="s">
        <v>9635</v>
      </c>
      <c r="B9311" s="0" t="s">
        <v>44</v>
      </c>
      <c r="C9311" s="0" t="str">
        <f aca="false">INDEX(Intent_Analysis!$B$5:$B$81,MATCH(B9311,Intent_Analysis!$A$5:$A$81,0))</f>
        <v>Card delivery &amp; activation</v>
      </c>
      <c r="D9311" s="0" t="n">
        <f aca="false">INDEX(Intent_Analysis!$E$5:$E$81,MATCH(B9311,Intent_Analysis!$A$5:$A$81,0))</f>
        <v>1</v>
      </c>
    </row>
    <row r="9312" customFormat="false" ht="15" hidden="false" customHeight="false" outlineLevel="0" collapsed="false">
      <c r="A9312" s="0" t="s">
        <v>9636</v>
      </c>
      <c r="B9312" s="0" t="s">
        <v>44</v>
      </c>
      <c r="C9312" s="0" t="str">
        <f aca="false">INDEX(Intent_Analysis!$B$5:$B$81,MATCH(B9312,Intent_Analysis!$A$5:$A$81,0))</f>
        <v>Card delivery &amp; activation</v>
      </c>
      <c r="D9312" s="0" t="n">
        <f aca="false">INDEX(Intent_Analysis!$E$5:$E$81,MATCH(B9312,Intent_Analysis!$A$5:$A$81,0))</f>
        <v>1</v>
      </c>
    </row>
    <row r="9313" customFormat="false" ht="15" hidden="false" customHeight="false" outlineLevel="0" collapsed="false">
      <c r="A9313" s="0" t="s">
        <v>9637</v>
      </c>
      <c r="B9313" s="0" t="s">
        <v>44</v>
      </c>
      <c r="C9313" s="0" t="str">
        <f aca="false">INDEX(Intent_Analysis!$B$5:$B$81,MATCH(B9313,Intent_Analysis!$A$5:$A$81,0))</f>
        <v>Card delivery &amp; activation</v>
      </c>
      <c r="D9313" s="0" t="n">
        <f aca="false">INDEX(Intent_Analysis!$E$5:$E$81,MATCH(B9313,Intent_Analysis!$A$5:$A$81,0))</f>
        <v>1</v>
      </c>
    </row>
    <row r="9314" customFormat="false" ht="15" hidden="false" customHeight="false" outlineLevel="0" collapsed="false">
      <c r="A9314" s="0" t="s">
        <v>9638</v>
      </c>
      <c r="B9314" s="0" t="s">
        <v>44</v>
      </c>
      <c r="C9314" s="0" t="str">
        <f aca="false">INDEX(Intent_Analysis!$B$5:$B$81,MATCH(B9314,Intent_Analysis!$A$5:$A$81,0))</f>
        <v>Card delivery &amp; activation</v>
      </c>
      <c r="D9314" s="0" t="n">
        <f aca="false">INDEX(Intent_Analysis!$E$5:$E$81,MATCH(B9314,Intent_Analysis!$A$5:$A$81,0))</f>
        <v>1</v>
      </c>
    </row>
    <row r="9315" customFormat="false" ht="15" hidden="false" customHeight="false" outlineLevel="0" collapsed="false">
      <c r="A9315" s="0" t="s">
        <v>9639</v>
      </c>
      <c r="B9315" s="0" t="s">
        <v>44</v>
      </c>
      <c r="C9315" s="0" t="str">
        <f aca="false">INDEX(Intent_Analysis!$B$5:$B$81,MATCH(B9315,Intent_Analysis!$A$5:$A$81,0))</f>
        <v>Card delivery &amp; activation</v>
      </c>
      <c r="D9315" s="0" t="n">
        <f aca="false">INDEX(Intent_Analysis!$E$5:$E$81,MATCH(B9315,Intent_Analysis!$A$5:$A$81,0))</f>
        <v>1</v>
      </c>
    </row>
    <row r="9316" customFormat="false" ht="15" hidden="false" customHeight="false" outlineLevel="0" collapsed="false">
      <c r="A9316" s="0" t="s">
        <v>9640</v>
      </c>
      <c r="B9316" s="0" t="s">
        <v>44</v>
      </c>
      <c r="C9316" s="0" t="str">
        <f aca="false">INDEX(Intent_Analysis!$B$5:$B$81,MATCH(B9316,Intent_Analysis!$A$5:$A$81,0))</f>
        <v>Card delivery &amp; activation</v>
      </c>
      <c r="D9316" s="0" t="n">
        <f aca="false">INDEX(Intent_Analysis!$E$5:$E$81,MATCH(B9316,Intent_Analysis!$A$5:$A$81,0))</f>
        <v>1</v>
      </c>
    </row>
    <row r="9317" customFormat="false" ht="15" hidden="false" customHeight="false" outlineLevel="0" collapsed="false">
      <c r="A9317" s="0" t="s">
        <v>9641</v>
      </c>
      <c r="B9317" s="0" t="s">
        <v>44</v>
      </c>
      <c r="C9317" s="0" t="str">
        <f aca="false">INDEX(Intent_Analysis!$B$5:$B$81,MATCH(B9317,Intent_Analysis!$A$5:$A$81,0))</f>
        <v>Card delivery &amp; activation</v>
      </c>
      <c r="D9317" s="0" t="n">
        <f aca="false">INDEX(Intent_Analysis!$E$5:$E$81,MATCH(B9317,Intent_Analysis!$A$5:$A$81,0))</f>
        <v>1</v>
      </c>
    </row>
    <row r="9318" customFormat="false" ht="15" hidden="false" customHeight="false" outlineLevel="0" collapsed="false">
      <c r="A9318" s="0" t="s">
        <v>9642</v>
      </c>
      <c r="B9318" s="0" t="s">
        <v>44</v>
      </c>
      <c r="C9318" s="0" t="str">
        <f aca="false">INDEX(Intent_Analysis!$B$5:$B$81,MATCH(B9318,Intent_Analysis!$A$5:$A$81,0))</f>
        <v>Card delivery &amp; activation</v>
      </c>
      <c r="D9318" s="0" t="n">
        <f aca="false">INDEX(Intent_Analysis!$E$5:$E$81,MATCH(B9318,Intent_Analysis!$A$5:$A$81,0))</f>
        <v>1</v>
      </c>
    </row>
    <row r="9319" customFormat="false" ht="15" hidden="false" customHeight="false" outlineLevel="0" collapsed="false">
      <c r="A9319" s="0" t="s">
        <v>9643</v>
      </c>
      <c r="B9319" s="0" t="s">
        <v>44</v>
      </c>
      <c r="C9319" s="0" t="str">
        <f aca="false">INDEX(Intent_Analysis!$B$5:$B$81,MATCH(B9319,Intent_Analysis!$A$5:$A$81,0))</f>
        <v>Card delivery &amp; activation</v>
      </c>
      <c r="D9319" s="0" t="n">
        <f aca="false">INDEX(Intent_Analysis!$E$5:$E$81,MATCH(B9319,Intent_Analysis!$A$5:$A$81,0))</f>
        <v>1</v>
      </c>
    </row>
    <row r="9320" customFormat="false" ht="15" hidden="false" customHeight="false" outlineLevel="0" collapsed="false">
      <c r="A9320" s="0" t="s">
        <v>9644</v>
      </c>
      <c r="B9320" s="0" t="s">
        <v>44</v>
      </c>
      <c r="C9320" s="0" t="str">
        <f aca="false">INDEX(Intent_Analysis!$B$5:$B$81,MATCH(B9320,Intent_Analysis!$A$5:$A$81,0))</f>
        <v>Card delivery &amp; activation</v>
      </c>
      <c r="D9320" s="0" t="n">
        <f aca="false">INDEX(Intent_Analysis!$E$5:$E$81,MATCH(B9320,Intent_Analysis!$A$5:$A$81,0))</f>
        <v>1</v>
      </c>
    </row>
    <row r="9321" customFormat="false" ht="15" hidden="false" customHeight="false" outlineLevel="0" collapsed="false">
      <c r="A9321" s="0" t="s">
        <v>9645</v>
      </c>
      <c r="B9321" s="0" t="s">
        <v>44</v>
      </c>
      <c r="C9321" s="0" t="str">
        <f aca="false">INDEX(Intent_Analysis!$B$5:$B$81,MATCH(B9321,Intent_Analysis!$A$5:$A$81,0))</f>
        <v>Card delivery &amp; activation</v>
      </c>
      <c r="D9321" s="0" t="n">
        <f aca="false">INDEX(Intent_Analysis!$E$5:$E$81,MATCH(B9321,Intent_Analysis!$A$5:$A$81,0))</f>
        <v>1</v>
      </c>
    </row>
    <row r="9322" customFormat="false" ht="15" hidden="false" customHeight="false" outlineLevel="0" collapsed="false">
      <c r="A9322" s="0" t="s">
        <v>9646</v>
      </c>
      <c r="B9322" s="0" t="s">
        <v>44</v>
      </c>
      <c r="C9322" s="0" t="str">
        <f aca="false">INDEX(Intent_Analysis!$B$5:$B$81,MATCH(B9322,Intent_Analysis!$A$5:$A$81,0))</f>
        <v>Card delivery &amp; activation</v>
      </c>
      <c r="D9322" s="0" t="n">
        <f aca="false">INDEX(Intent_Analysis!$E$5:$E$81,MATCH(B9322,Intent_Analysis!$A$5:$A$81,0))</f>
        <v>1</v>
      </c>
    </row>
    <row r="9323" customFormat="false" ht="15" hidden="false" customHeight="false" outlineLevel="0" collapsed="false">
      <c r="A9323" s="0" t="s">
        <v>9647</v>
      </c>
      <c r="B9323" s="0" t="s">
        <v>44</v>
      </c>
      <c r="C9323" s="0" t="str">
        <f aca="false">INDEX(Intent_Analysis!$B$5:$B$81,MATCH(B9323,Intent_Analysis!$A$5:$A$81,0))</f>
        <v>Card delivery &amp; activation</v>
      </c>
      <c r="D9323" s="0" t="n">
        <f aca="false">INDEX(Intent_Analysis!$E$5:$E$81,MATCH(B9323,Intent_Analysis!$A$5:$A$81,0))</f>
        <v>1</v>
      </c>
    </row>
    <row r="9324" customFormat="false" ht="15" hidden="false" customHeight="false" outlineLevel="0" collapsed="false">
      <c r="A9324" s="0" t="s">
        <v>9648</v>
      </c>
      <c r="B9324" s="0" t="s">
        <v>44</v>
      </c>
      <c r="C9324" s="0" t="str">
        <f aca="false">INDEX(Intent_Analysis!$B$5:$B$81,MATCH(B9324,Intent_Analysis!$A$5:$A$81,0))</f>
        <v>Card delivery &amp; activation</v>
      </c>
      <c r="D9324" s="0" t="n">
        <f aca="false">INDEX(Intent_Analysis!$E$5:$E$81,MATCH(B9324,Intent_Analysis!$A$5:$A$81,0))</f>
        <v>1</v>
      </c>
    </row>
    <row r="9325" customFormat="false" ht="15" hidden="false" customHeight="false" outlineLevel="0" collapsed="false">
      <c r="A9325" s="0" t="s">
        <v>9649</v>
      </c>
      <c r="B9325" s="0" t="s">
        <v>44</v>
      </c>
      <c r="C9325" s="0" t="str">
        <f aca="false">INDEX(Intent_Analysis!$B$5:$B$81,MATCH(B9325,Intent_Analysis!$A$5:$A$81,0))</f>
        <v>Card delivery &amp; activation</v>
      </c>
      <c r="D9325" s="0" t="n">
        <f aca="false">INDEX(Intent_Analysis!$E$5:$E$81,MATCH(B9325,Intent_Analysis!$A$5:$A$81,0))</f>
        <v>1</v>
      </c>
    </row>
    <row r="9326" customFormat="false" ht="15" hidden="false" customHeight="false" outlineLevel="0" collapsed="false">
      <c r="A9326" s="0" t="s">
        <v>9650</v>
      </c>
      <c r="B9326" s="0" t="s">
        <v>44</v>
      </c>
      <c r="C9326" s="0" t="str">
        <f aca="false">INDEX(Intent_Analysis!$B$5:$B$81,MATCH(B9326,Intent_Analysis!$A$5:$A$81,0))</f>
        <v>Card delivery &amp; activation</v>
      </c>
      <c r="D9326" s="0" t="n">
        <f aca="false">INDEX(Intent_Analysis!$E$5:$E$81,MATCH(B9326,Intent_Analysis!$A$5:$A$81,0))</f>
        <v>1</v>
      </c>
    </row>
    <row r="9327" customFormat="false" ht="15" hidden="false" customHeight="false" outlineLevel="0" collapsed="false">
      <c r="A9327" s="0" t="s">
        <v>9651</v>
      </c>
      <c r="B9327" s="0" t="s">
        <v>44</v>
      </c>
      <c r="C9327" s="0" t="str">
        <f aca="false">INDEX(Intent_Analysis!$B$5:$B$81,MATCH(B9327,Intent_Analysis!$A$5:$A$81,0))</f>
        <v>Card delivery &amp; activation</v>
      </c>
      <c r="D9327" s="0" t="n">
        <f aca="false">INDEX(Intent_Analysis!$E$5:$E$81,MATCH(B9327,Intent_Analysis!$A$5:$A$81,0))</f>
        <v>1</v>
      </c>
    </row>
    <row r="9328" customFormat="false" ht="15" hidden="false" customHeight="false" outlineLevel="0" collapsed="false">
      <c r="A9328" s="0" t="s">
        <v>9652</v>
      </c>
      <c r="B9328" s="0" t="s">
        <v>44</v>
      </c>
      <c r="C9328" s="0" t="str">
        <f aca="false">INDEX(Intent_Analysis!$B$5:$B$81,MATCH(B9328,Intent_Analysis!$A$5:$A$81,0))</f>
        <v>Card delivery &amp; activation</v>
      </c>
      <c r="D9328" s="0" t="n">
        <f aca="false">INDEX(Intent_Analysis!$E$5:$E$81,MATCH(B9328,Intent_Analysis!$A$5:$A$81,0))</f>
        <v>1</v>
      </c>
    </row>
    <row r="9329" customFormat="false" ht="15" hidden="false" customHeight="false" outlineLevel="0" collapsed="false">
      <c r="A9329" s="0" t="s">
        <v>9653</v>
      </c>
      <c r="B9329" s="0" t="s">
        <v>44</v>
      </c>
      <c r="C9329" s="0" t="str">
        <f aca="false">INDEX(Intent_Analysis!$B$5:$B$81,MATCH(B9329,Intent_Analysis!$A$5:$A$81,0))</f>
        <v>Card delivery &amp; activation</v>
      </c>
      <c r="D9329" s="0" t="n">
        <f aca="false">INDEX(Intent_Analysis!$E$5:$E$81,MATCH(B9329,Intent_Analysis!$A$5:$A$81,0))</f>
        <v>1</v>
      </c>
    </row>
    <row r="9330" customFormat="false" ht="15" hidden="false" customHeight="false" outlineLevel="0" collapsed="false">
      <c r="A9330" s="0" t="s">
        <v>9654</v>
      </c>
      <c r="B9330" s="0" t="s">
        <v>44</v>
      </c>
      <c r="C9330" s="0" t="str">
        <f aca="false">INDEX(Intent_Analysis!$B$5:$B$81,MATCH(B9330,Intent_Analysis!$A$5:$A$81,0))</f>
        <v>Card delivery &amp; activation</v>
      </c>
      <c r="D9330" s="0" t="n">
        <f aca="false">INDEX(Intent_Analysis!$E$5:$E$81,MATCH(B9330,Intent_Analysis!$A$5:$A$81,0))</f>
        <v>1</v>
      </c>
    </row>
    <row r="9331" customFormat="false" ht="15" hidden="false" customHeight="false" outlineLevel="0" collapsed="false">
      <c r="A9331" s="0" t="s">
        <v>9655</v>
      </c>
      <c r="B9331" s="0" t="s">
        <v>44</v>
      </c>
      <c r="C9331" s="0" t="str">
        <f aca="false">INDEX(Intent_Analysis!$B$5:$B$81,MATCH(B9331,Intent_Analysis!$A$5:$A$81,0))</f>
        <v>Card delivery &amp; activation</v>
      </c>
      <c r="D9331" s="0" t="n">
        <f aca="false">INDEX(Intent_Analysis!$E$5:$E$81,MATCH(B9331,Intent_Analysis!$A$5:$A$81,0))</f>
        <v>1</v>
      </c>
    </row>
    <row r="9332" customFormat="false" ht="15" hidden="false" customHeight="false" outlineLevel="0" collapsed="false">
      <c r="A9332" s="0" t="s">
        <v>9656</v>
      </c>
      <c r="B9332" s="0" t="s">
        <v>44</v>
      </c>
      <c r="C9332" s="0" t="str">
        <f aca="false">INDEX(Intent_Analysis!$B$5:$B$81,MATCH(B9332,Intent_Analysis!$A$5:$A$81,0))</f>
        <v>Card delivery &amp; activation</v>
      </c>
      <c r="D9332" s="0" t="n">
        <f aca="false">INDEX(Intent_Analysis!$E$5:$E$81,MATCH(B9332,Intent_Analysis!$A$5:$A$81,0))</f>
        <v>1</v>
      </c>
    </row>
    <row r="9333" customFormat="false" ht="15" hidden="false" customHeight="false" outlineLevel="0" collapsed="false">
      <c r="A9333" s="0" t="s">
        <v>9657</v>
      </c>
      <c r="B9333" s="0" t="s">
        <v>44</v>
      </c>
      <c r="C9333" s="0" t="str">
        <f aca="false">INDEX(Intent_Analysis!$B$5:$B$81,MATCH(B9333,Intent_Analysis!$A$5:$A$81,0))</f>
        <v>Card delivery &amp; activation</v>
      </c>
      <c r="D9333" s="0" t="n">
        <f aca="false">INDEX(Intent_Analysis!$E$5:$E$81,MATCH(B9333,Intent_Analysis!$A$5:$A$81,0))</f>
        <v>1</v>
      </c>
    </row>
    <row r="9334" customFormat="false" ht="15" hidden="false" customHeight="false" outlineLevel="0" collapsed="false">
      <c r="A9334" s="0" t="s">
        <v>9658</v>
      </c>
      <c r="B9334" s="0" t="s">
        <v>44</v>
      </c>
      <c r="C9334" s="0" t="str">
        <f aca="false">INDEX(Intent_Analysis!$B$5:$B$81,MATCH(B9334,Intent_Analysis!$A$5:$A$81,0))</f>
        <v>Card delivery &amp; activation</v>
      </c>
      <c r="D9334" s="0" t="n">
        <f aca="false">INDEX(Intent_Analysis!$E$5:$E$81,MATCH(B9334,Intent_Analysis!$A$5:$A$81,0))</f>
        <v>1</v>
      </c>
    </row>
    <row r="9335" customFormat="false" ht="15" hidden="false" customHeight="false" outlineLevel="0" collapsed="false">
      <c r="A9335" s="0" t="s">
        <v>9659</v>
      </c>
      <c r="B9335" s="0" t="s">
        <v>44</v>
      </c>
      <c r="C9335" s="0" t="str">
        <f aca="false">INDEX(Intent_Analysis!$B$5:$B$81,MATCH(B9335,Intent_Analysis!$A$5:$A$81,0))</f>
        <v>Card delivery &amp; activation</v>
      </c>
      <c r="D9335" s="0" t="n">
        <f aca="false">INDEX(Intent_Analysis!$E$5:$E$81,MATCH(B9335,Intent_Analysis!$A$5:$A$81,0))</f>
        <v>1</v>
      </c>
    </row>
    <row r="9336" customFormat="false" ht="15" hidden="false" customHeight="false" outlineLevel="0" collapsed="false">
      <c r="A9336" s="0" t="s">
        <v>9660</v>
      </c>
      <c r="B9336" s="0" t="s">
        <v>44</v>
      </c>
      <c r="C9336" s="0" t="str">
        <f aca="false">INDEX(Intent_Analysis!$B$5:$B$81,MATCH(B9336,Intent_Analysis!$A$5:$A$81,0))</f>
        <v>Card delivery &amp; activation</v>
      </c>
      <c r="D9336" s="0" t="n">
        <f aca="false">INDEX(Intent_Analysis!$E$5:$E$81,MATCH(B9336,Intent_Analysis!$A$5:$A$81,0))</f>
        <v>1</v>
      </c>
    </row>
    <row r="9337" customFormat="false" ht="15" hidden="false" customHeight="false" outlineLevel="0" collapsed="false">
      <c r="A9337" s="0" t="s">
        <v>9661</v>
      </c>
      <c r="B9337" s="0" t="s">
        <v>44</v>
      </c>
      <c r="C9337" s="0" t="str">
        <f aca="false">INDEX(Intent_Analysis!$B$5:$B$81,MATCH(B9337,Intent_Analysis!$A$5:$A$81,0))</f>
        <v>Card delivery &amp; activation</v>
      </c>
      <c r="D9337" s="0" t="n">
        <f aca="false">INDEX(Intent_Analysis!$E$5:$E$81,MATCH(B9337,Intent_Analysis!$A$5:$A$81,0))</f>
        <v>1</v>
      </c>
    </row>
    <row r="9338" customFormat="false" ht="15" hidden="false" customHeight="false" outlineLevel="0" collapsed="false">
      <c r="A9338" s="0" t="s">
        <v>9662</v>
      </c>
      <c r="B9338" s="0" t="s">
        <v>44</v>
      </c>
      <c r="C9338" s="0" t="str">
        <f aca="false">INDEX(Intent_Analysis!$B$5:$B$81,MATCH(B9338,Intent_Analysis!$A$5:$A$81,0))</f>
        <v>Card delivery &amp; activation</v>
      </c>
      <c r="D9338" s="0" t="n">
        <f aca="false">INDEX(Intent_Analysis!$E$5:$E$81,MATCH(B9338,Intent_Analysis!$A$5:$A$81,0))</f>
        <v>1</v>
      </c>
    </row>
    <row r="9339" customFormat="false" ht="15" hidden="false" customHeight="false" outlineLevel="0" collapsed="false">
      <c r="A9339" s="0" t="s">
        <v>9663</v>
      </c>
      <c r="B9339" s="0" t="s">
        <v>44</v>
      </c>
      <c r="C9339" s="0" t="str">
        <f aca="false">INDEX(Intent_Analysis!$B$5:$B$81,MATCH(B9339,Intent_Analysis!$A$5:$A$81,0))</f>
        <v>Card delivery &amp; activation</v>
      </c>
      <c r="D9339" s="0" t="n">
        <f aca="false">INDEX(Intent_Analysis!$E$5:$E$81,MATCH(B9339,Intent_Analysis!$A$5:$A$81,0))</f>
        <v>1</v>
      </c>
    </row>
    <row r="9340" customFormat="false" ht="15" hidden="false" customHeight="false" outlineLevel="0" collapsed="false">
      <c r="A9340" s="0" t="s">
        <v>9664</v>
      </c>
      <c r="B9340" s="0" t="s">
        <v>89</v>
      </c>
      <c r="C9340" s="0" t="str">
        <f aca="false">INDEX(Intent_Analysis!$B$5:$B$81,MATCH(B9340,Intent_Analysis!$A$5:$A$81,0))</f>
        <v>Fees &amp; charges</v>
      </c>
      <c r="D9340" s="0" t="n">
        <f aca="false">INDEX(Intent_Analysis!$E$5:$E$81,MATCH(B9340,Intent_Analysis!$A$5:$A$81,0))</f>
        <v>1</v>
      </c>
    </row>
    <row r="9341" customFormat="false" ht="15" hidden="false" customHeight="false" outlineLevel="0" collapsed="false">
      <c r="A9341" s="0" t="s">
        <v>9665</v>
      </c>
      <c r="B9341" s="0" t="s">
        <v>89</v>
      </c>
      <c r="C9341" s="0" t="str">
        <f aca="false">INDEX(Intent_Analysis!$B$5:$B$81,MATCH(B9341,Intent_Analysis!$A$5:$A$81,0))</f>
        <v>Fees &amp; charges</v>
      </c>
      <c r="D9341" s="0" t="n">
        <f aca="false">INDEX(Intent_Analysis!$E$5:$E$81,MATCH(B9341,Intent_Analysis!$A$5:$A$81,0))</f>
        <v>1</v>
      </c>
    </row>
    <row r="9342" customFormat="false" ht="15" hidden="false" customHeight="false" outlineLevel="0" collapsed="false">
      <c r="A9342" s="0" t="s">
        <v>9666</v>
      </c>
      <c r="B9342" s="0" t="s">
        <v>89</v>
      </c>
      <c r="C9342" s="0" t="str">
        <f aca="false">INDEX(Intent_Analysis!$B$5:$B$81,MATCH(B9342,Intent_Analysis!$A$5:$A$81,0))</f>
        <v>Fees &amp; charges</v>
      </c>
      <c r="D9342" s="0" t="n">
        <f aca="false">INDEX(Intent_Analysis!$E$5:$E$81,MATCH(B9342,Intent_Analysis!$A$5:$A$81,0))</f>
        <v>1</v>
      </c>
    </row>
    <row r="9343" customFormat="false" ht="15" hidden="false" customHeight="false" outlineLevel="0" collapsed="false">
      <c r="A9343" s="0" t="s">
        <v>9667</v>
      </c>
      <c r="B9343" s="0" t="s">
        <v>89</v>
      </c>
      <c r="C9343" s="0" t="str">
        <f aca="false">INDEX(Intent_Analysis!$B$5:$B$81,MATCH(B9343,Intent_Analysis!$A$5:$A$81,0))</f>
        <v>Fees &amp; charges</v>
      </c>
      <c r="D9343" s="0" t="n">
        <f aca="false">INDEX(Intent_Analysis!$E$5:$E$81,MATCH(B9343,Intent_Analysis!$A$5:$A$81,0))</f>
        <v>1</v>
      </c>
    </row>
    <row r="9344" customFormat="false" ht="15" hidden="false" customHeight="false" outlineLevel="0" collapsed="false">
      <c r="A9344" s="0" t="s">
        <v>9668</v>
      </c>
      <c r="B9344" s="0" t="s">
        <v>89</v>
      </c>
      <c r="C9344" s="0" t="str">
        <f aca="false">INDEX(Intent_Analysis!$B$5:$B$81,MATCH(B9344,Intent_Analysis!$A$5:$A$81,0))</f>
        <v>Fees &amp; charges</v>
      </c>
      <c r="D9344" s="0" t="n">
        <f aca="false">INDEX(Intent_Analysis!$E$5:$E$81,MATCH(B9344,Intent_Analysis!$A$5:$A$81,0))</f>
        <v>1</v>
      </c>
    </row>
    <row r="9345" customFormat="false" ht="15" hidden="false" customHeight="false" outlineLevel="0" collapsed="false">
      <c r="A9345" s="0" t="s">
        <v>9669</v>
      </c>
      <c r="B9345" s="0" t="s">
        <v>89</v>
      </c>
      <c r="C9345" s="0" t="str">
        <f aca="false">INDEX(Intent_Analysis!$B$5:$B$81,MATCH(B9345,Intent_Analysis!$A$5:$A$81,0))</f>
        <v>Fees &amp; charges</v>
      </c>
      <c r="D9345" s="0" t="n">
        <f aca="false">INDEX(Intent_Analysis!$E$5:$E$81,MATCH(B9345,Intent_Analysis!$A$5:$A$81,0))</f>
        <v>1</v>
      </c>
    </row>
    <row r="9346" customFormat="false" ht="15" hidden="false" customHeight="false" outlineLevel="0" collapsed="false">
      <c r="A9346" s="0" t="s">
        <v>9670</v>
      </c>
      <c r="B9346" s="0" t="s">
        <v>89</v>
      </c>
      <c r="C9346" s="0" t="str">
        <f aca="false">INDEX(Intent_Analysis!$B$5:$B$81,MATCH(B9346,Intent_Analysis!$A$5:$A$81,0))</f>
        <v>Fees &amp; charges</v>
      </c>
      <c r="D9346" s="0" t="n">
        <f aca="false">INDEX(Intent_Analysis!$E$5:$E$81,MATCH(B9346,Intent_Analysis!$A$5:$A$81,0))</f>
        <v>1</v>
      </c>
    </row>
    <row r="9347" customFormat="false" ht="15" hidden="false" customHeight="false" outlineLevel="0" collapsed="false">
      <c r="A9347" s="0" t="s">
        <v>9671</v>
      </c>
      <c r="B9347" s="0" t="s">
        <v>89</v>
      </c>
      <c r="C9347" s="0" t="str">
        <f aca="false">INDEX(Intent_Analysis!$B$5:$B$81,MATCH(B9347,Intent_Analysis!$A$5:$A$81,0))</f>
        <v>Fees &amp; charges</v>
      </c>
      <c r="D9347" s="0" t="n">
        <f aca="false">INDEX(Intent_Analysis!$E$5:$E$81,MATCH(B9347,Intent_Analysis!$A$5:$A$81,0))</f>
        <v>1</v>
      </c>
    </row>
    <row r="9348" customFormat="false" ht="15" hidden="false" customHeight="false" outlineLevel="0" collapsed="false">
      <c r="A9348" s="0" t="s">
        <v>9672</v>
      </c>
      <c r="B9348" s="0" t="s">
        <v>89</v>
      </c>
      <c r="C9348" s="0" t="str">
        <f aca="false">INDEX(Intent_Analysis!$B$5:$B$81,MATCH(B9348,Intent_Analysis!$A$5:$A$81,0))</f>
        <v>Fees &amp; charges</v>
      </c>
      <c r="D9348" s="0" t="n">
        <f aca="false">INDEX(Intent_Analysis!$E$5:$E$81,MATCH(B9348,Intent_Analysis!$A$5:$A$81,0))</f>
        <v>1</v>
      </c>
    </row>
    <row r="9349" customFormat="false" ht="15" hidden="false" customHeight="false" outlineLevel="0" collapsed="false">
      <c r="A9349" s="0" t="s">
        <v>9673</v>
      </c>
      <c r="B9349" s="0" t="s">
        <v>89</v>
      </c>
      <c r="C9349" s="0" t="str">
        <f aca="false">INDEX(Intent_Analysis!$B$5:$B$81,MATCH(B9349,Intent_Analysis!$A$5:$A$81,0))</f>
        <v>Fees &amp; charges</v>
      </c>
      <c r="D9349" s="0" t="n">
        <f aca="false">INDEX(Intent_Analysis!$E$5:$E$81,MATCH(B9349,Intent_Analysis!$A$5:$A$81,0))</f>
        <v>1</v>
      </c>
    </row>
    <row r="9350" customFormat="false" ht="15" hidden="false" customHeight="false" outlineLevel="0" collapsed="false">
      <c r="A9350" s="0" t="s">
        <v>9674</v>
      </c>
      <c r="B9350" s="0" t="s">
        <v>89</v>
      </c>
      <c r="C9350" s="0" t="str">
        <f aca="false">INDEX(Intent_Analysis!$B$5:$B$81,MATCH(B9350,Intent_Analysis!$A$5:$A$81,0))</f>
        <v>Fees &amp; charges</v>
      </c>
      <c r="D9350" s="0" t="n">
        <f aca="false">INDEX(Intent_Analysis!$E$5:$E$81,MATCH(B9350,Intent_Analysis!$A$5:$A$81,0))</f>
        <v>1</v>
      </c>
    </row>
    <row r="9351" customFormat="false" ht="15" hidden="false" customHeight="false" outlineLevel="0" collapsed="false">
      <c r="A9351" s="0" t="s">
        <v>9675</v>
      </c>
      <c r="B9351" s="0" t="s">
        <v>89</v>
      </c>
      <c r="C9351" s="0" t="str">
        <f aca="false">INDEX(Intent_Analysis!$B$5:$B$81,MATCH(B9351,Intent_Analysis!$A$5:$A$81,0))</f>
        <v>Fees &amp; charges</v>
      </c>
      <c r="D9351" s="0" t="n">
        <f aca="false">INDEX(Intent_Analysis!$E$5:$E$81,MATCH(B9351,Intent_Analysis!$A$5:$A$81,0))</f>
        <v>1</v>
      </c>
    </row>
    <row r="9352" customFormat="false" ht="15" hidden="false" customHeight="false" outlineLevel="0" collapsed="false">
      <c r="A9352" s="0" t="s">
        <v>9676</v>
      </c>
      <c r="B9352" s="0" t="s">
        <v>89</v>
      </c>
      <c r="C9352" s="0" t="str">
        <f aca="false">INDEX(Intent_Analysis!$B$5:$B$81,MATCH(B9352,Intent_Analysis!$A$5:$A$81,0))</f>
        <v>Fees &amp; charges</v>
      </c>
      <c r="D9352" s="0" t="n">
        <f aca="false">INDEX(Intent_Analysis!$E$5:$E$81,MATCH(B9352,Intent_Analysis!$A$5:$A$81,0))</f>
        <v>1</v>
      </c>
    </row>
    <row r="9353" customFormat="false" ht="15" hidden="false" customHeight="false" outlineLevel="0" collapsed="false">
      <c r="A9353" s="0" t="s">
        <v>9677</v>
      </c>
      <c r="B9353" s="0" t="s">
        <v>89</v>
      </c>
      <c r="C9353" s="0" t="str">
        <f aca="false">INDEX(Intent_Analysis!$B$5:$B$81,MATCH(B9353,Intent_Analysis!$A$5:$A$81,0))</f>
        <v>Fees &amp; charges</v>
      </c>
      <c r="D9353" s="0" t="n">
        <f aca="false">INDEX(Intent_Analysis!$E$5:$E$81,MATCH(B9353,Intent_Analysis!$A$5:$A$81,0))</f>
        <v>1</v>
      </c>
    </row>
    <row r="9354" customFormat="false" ht="15" hidden="false" customHeight="false" outlineLevel="0" collapsed="false">
      <c r="A9354" s="0" t="s">
        <v>9678</v>
      </c>
      <c r="B9354" s="0" t="s">
        <v>89</v>
      </c>
      <c r="C9354" s="0" t="str">
        <f aca="false">INDEX(Intent_Analysis!$B$5:$B$81,MATCH(B9354,Intent_Analysis!$A$5:$A$81,0))</f>
        <v>Fees &amp; charges</v>
      </c>
      <c r="D9354" s="0" t="n">
        <f aca="false">INDEX(Intent_Analysis!$E$5:$E$81,MATCH(B9354,Intent_Analysis!$A$5:$A$81,0))</f>
        <v>1</v>
      </c>
    </row>
    <row r="9355" customFormat="false" ht="15" hidden="false" customHeight="false" outlineLevel="0" collapsed="false">
      <c r="A9355" s="0" t="s">
        <v>9679</v>
      </c>
      <c r="B9355" s="0" t="s">
        <v>89</v>
      </c>
      <c r="C9355" s="0" t="str">
        <f aca="false">INDEX(Intent_Analysis!$B$5:$B$81,MATCH(B9355,Intent_Analysis!$A$5:$A$81,0))</f>
        <v>Fees &amp; charges</v>
      </c>
      <c r="D9355" s="0" t="n">
        <f aca="false">INDEX(Intent_Analysis!$E$5:$E$81,MATCH(B9355,Intent_Analysis!$A$5:$A$81,0))</f>
        <v>1</v>
      </c>
    </row>
    <row r="9356" customFormat="false" ht="15" hidden="false" customHeight="false" outlineLevel="0" collapsed="false">
      <c r="A9356" s="0" t="s">
        <v>9680</v>
      </c>
      <c r="B9356" s="0" t="s">
        <v>89</v>
      </c>
      <c r="C9356" s="0" t="str">
        <f aca="false">INDEX(Intent_Analysis!$B$5:$B$81,MATCH(B9356,Intent_Analysis!$A$5:$A$81,0))</f>
        <v>Fees &amp; charges</v>
      </c>
      <c r="D9356" s="0" t="n">
        <f aca="false">INDEX(Intent_Analysis!$E$5:$E$81,MATCH(B9356,Intent_Analysis!$A$5:$A$81,0))</f>
        <v>1</v>
      </c>
    </row>
    <row r="9357" customFormat="false" ht="15" hidden="false" customHeight="false" outlineLevel="0" collapsed="false">
      <c r="A9357" s="0" t="s">
        <v>9681</v>
      </c>
      <c r="B9357" s="0" t="s">
        <v>89</v>
      </c>
      <c r="C9357" s="0" t="str">
        <f aca="false">INDEX(Intent_Analysis!$B$5:$B$81,MATCH(B9357,Intent_Analysis!$A$5:$A$81,0))</f>
        <v>Fees &amp; charges</v>
      </c>
      <c r="D9357" s="0" t="n">
        <f aca="false">INDEX(Intent_Analysis!$E$5:$E$81,MATCH(B9357,Intent_Analysis!$A$5:$A$81,0))</f>
        <v>1</v>
      </c>
    </row>
    <row r="9358" customFormat="false" ht="15" hidden="false" customHeight="false" outlineLevel="0" collapsed="false">
      <c r="A9358" s="0" t="s">
        <v>9682</v>
      </c>
      <c r="B9358" s="0" t="s">
        <v>89</v>
      </c>
      <c r="C9358" s="0" t="str">
        <f aca="false">INDEX(Intent_Analysis!$B$5:$B$81,MATCH(B9358,Intent_Analysis!$A$5:$A$81,0))</f>
        <v>Fees &amp; charges</v>
      </c>
      <c r="D9358" s="0" t="n">
        <f aca="false">INDEX(Intent_Analysis!$E$5:$E$81,MATCH(B9358,Intent_Analysis!$A$5:$A$81,0))</f>
        <v>1</v>
      </c>
    </row>
    <row r="9359" customFormat="false" ht="15" hidden="false" customHeight="false" outlineLevel="0" collapsed="false">
      <c r="A9359" s="0" t="s">
        <v>9683</v>
      </c>
      <c r="B9359" s="0" t="s">
        <v>89</v>
      </c>
      <c r="C9359" s="0" t="str">
        <f aca="false">INDEX(Intent_Analysis!$B$5:$B$81,MATCH(B9359,Intent_Analysis!$A$5:$A$81,0))</f>
        <v>Fees &amp; charges</v>
      </c>
      <c r="D9359" s="0" t="n">
        <f aca="false">INDEX(Intent_Analysis!$E$5:$E$81,MATCH(B9359,Intent_Analysis!$A$5:$A$81,0))</f>
        <v>1</v>
      </c>
    </row>
    <row r="9360" customFormat="false" ht="15" hidden="false" customHeight="false" outlineLevel="0" collapsed="false">
      <c r="A9360" s="0" t="s">
        <v>9684</v>
      </c>
      <c r="B9360" s="0" t="s">
        <v>89</v>
      </c>
      <c r="C9360" s="0" t="str">
        <f aca="false">INDEX(Intent_Analysis!$B$5:$B$81,MATCH(B9360,Intent_Analysis!$A$5:$A$81,0))</f>
        <v>Fees &amp; charges</v>
      </c>
      <c r="D9360" s="0" t="n">
        <f aca="false">INDEX(Intent_Analysis!$E$5:$E$81,MATCH(B9360,Intent_Analysis!$A$5:$A$81,0))</f>
        <v>1</v>
      </c>
    </row>
    <row r="9361" customFormat="false" ht="15" hidden="false" customHeight="false" outlineLevel="0" collapsed="false">
      <c r="A9361" s="0" t="s">
        <v>9685</v>
      </c>
      <c r="B9361" s="0" t="s">
        <v>89</v>
      </c>
      <c r="C9361" s="0" t="str">
        <f aca="false">INDEX(Intent_Analysis!$B$5:$B$81,MATCH(B9361,Intent_Analysis!$A$5:$A$81,0))</f>
        <v>Fees &amp; charges</v>
      </c>
      <c r="D9361" s="0" t="n">
        <f aca="false">INDEX(Intent_Analysis!$E$5:$E$81,MATCH(B9361,Intent_Analysis!$A$5:$A$81,0))</f>
        <v>1</v>
      </c>
    </row>
    <row r="9362" customFormat="false" ht="15" hidden="false" customHeight="false" outlineLevel="0" collapsed="false">
      <c r="A9362" s="0" t="s">
        <v>9686</v>
      </c>
      <c r="B9362" s="0" t="s">
        <v>89</v>
      </c>
      <c r="C9362" s="0" t="str">
        <f aca="false">INDEX(Intent_Analysis!$B$5:$B$81,MATCH(B9362,Intent_Analysis!$A$5:$A$81,0))</f>
        <v>Fees &amp; charges</v>
      </c>
      <c r="D9362" s="0" t="n">
        <f aca="false">INDEX(Intent_Analysis!$E$5:$E$81,MATCH(B9362,Intent_Analysis!$A$5:$A$81,0))</f>
        <v>1</v>
      </c>
    </row>
    <row r="9363" customFormat="false" ht="15" hidden="false" customHeight="false" outlineLevel="0" collapsed="false">
      <c r="A9363" s="0" t="s">
        <v>9687</v>
      </c>
      <c r="B9363" s="0" t="s">
        <v>89</v>
      </c>
      <c r="C9363" s="0" t="str">
        <f aca="false">INDEX(Intent_Analysis!$B$5:$B$81,MATCH(B9363,Intent_Analysis!$A$5:$A$81,0))</f>
        <v>Fees &amp; charges</v>
      </c>
      <c r="D9363" s="0" t="n">
        <f aca="false">INDEX(Intent_Analysis!$E$5:$E$81,MATCH(B9363,Intent_Analysis!$A$5:$A$81,0))</f>
        <v>1</v>
      </c>
    </row>
    <row r="9364" customFormat="false" ht="15" hidden="false" customHeight="false" outlineLevel="0" collapsed="false">
      <c r="A9364" s="0" t="s">
        <v>9688</v>
      </c>
      <c r="B9364" s="0" t="s">
        <v>89</v>
      </c>
      <c r="C9364" s="0" t="str">
        <f aca="false">INDEX(Intent_Analysis!$B$5:$B$81,MATCH(B9364,Intent_Analysis!$A$5:$A$81,0))</f>
        <v>Fees &amp; charges</v>
      </c>
      <c r="D9364" s="0" t="n">
        <f aca="false">INDEX(Intent_Analysis!$E$5:$E$81,MATCH(B9364,Intent_Analysis!$A$5:$A$81,0))</f>
        <v>1</v>
      </c>
    </row>
    <row r="9365" customFormat="false" ht="15" hidden="false" customHeight="false" outlineLevel="0" collapsed="false">
      <c r="A9365" s="0" t="s">
        <v>9689</v>
      </c>
      <c r="B9365" s="0" t="s">
        <v>89</v>
      </c>
      <c r="C9365" s="0" t="str">
        <f aca="false">INDEX(Intent_Analysis!$B$5:$B$81,MATCH(B9365,Intent_Analysis!$A$5:$A$81,0))</f>
        <v>Fees &amp; charges</v>
      </c>
      <c r="D9365" s="0" t="n">
        <f aca="false">INDEX(Intent_Analysis!$E$5:$E$81,MATCH(B9365,Intent_Analysis!$A$5:$A$81,0))</f>
        <v>1</v>
      </c>
    </row>
    <row r="9366" customFormat="false" ht="15" hidden="false" customHeight="false" outlineLevel="0" collapsed="false">
      <c r="A9366" s="0" t="s">
        <v>9690</v>
      </c>
      <c r="B9366" s="0" t="s">
        <v>89</v>
      </c>
      <c r="C9366" s="0" t="str">
        <f aca="false">INDEX(Intent_Analysis!$B$5:$B$81,MATCH(B9366,Intent_Analysis!$A$5:$A$81,0))</f>
        <v>Fees &amp; charges</v>
      </c>
      <c r="D9366" s="0" t="n">
        <f aca="false">INDEX(Intent_Analysis!$E$5:$E$81,MATCH(B9366,Intent_Analysis!$A$5:$A$81,0))</f>
        <v>1</v>
      </c>
    </row>
    <row r="9367" customFormat="false" ht="15" hidden="false" customHeight="false" outlineLevel="0" collapsed="false">
      <c r="A9367" s="0" t="s">
        <v>9691</v>
      </c>
      <c r="B9367" s="0" t="s">
        <v>89</v>
      </c>
      <c r="C9367" s="0" t="str">
        <f aca="false">INDEX(Intent_Analysis!$B$5:$B$81,MATCH(B9367,Intent_Analysis!$A$5:$A$81,0))</f>
        <v>Fees &amp; charges</v>
      </c>
      <c r="D9367" s="0" t="n">
        <f aca="false">INDEX(Intent_Analysis!$E$5:$E$81,MATCH(B9367,Intent_Analysis!$A$5:$A$81,0))</f>
        <v>1</v>
      </c>
    </row>
    <row r="9368" customFormat="false" ht="15" hidden="false" customHeight="false" outlineLevel="0" collapsed="false">
      <c r="A9368" s="0" t="s">
        <v>9692</v>
      </c>
      <c r="B9368" s="0" t="s">
        <v>89</v>
      </c>
      <c r="C9368" s="0" t="str">
        <f aca="false">INDEX(Intent_Analysis!$B$5:$B$81,MATCH(B9368,Intent_Analysis!$A$5:$A$81,0))</f>
        <v>Fees &amp; charges</v>
      </c>
      <c r="D9368" s="0" t="n">
        <f aca="false">INDEX(Intent_Analysis!$E$5:$E$81,MATCH(B9368,Intent_Analysis!$A$5:$A$81,0))</f>
        <v>1</v>
      </c>
    </row>
    <row r="9369" customFormat="false" ht="15" hidden="false" customHeight="false" outlineLevel="0" collapsed="false">
      <c r="A9369" s="0" t="s">
        <v>9693</v>
      </c>
      <c r="B9369" s="0" t="s">
        <v>89</v>
      </c>
      <c r="C9369" s="0" t="str">
        <f aca="false">INDEX(Intent_Analysis!$B$5:$B$81,MATCH(B9369,Intent_Analysis!$A$5:$A$81,0))</f>
        <v>Fees &amp; charges</v>
      </c>
      <c r="D9369" s="0" t="n">
        <f aca="false">INDEX(Intent_Analysis!$E$5:$E$81,MATCH(B9369,Intent_Analysis!$A$5:$A$81,0))</f>
        <v>1</v>
      </c>
    </row>
    <row r="9370" customFormat="false" ht="15" hidden="false" customHeight="false" outlineLevel="0" collapsed="false">
      <c r="A9370" s="0" t="s">
        <v>9694</v>
      </c>
      <c r="B9370" s="0" t="s">
        <v>89</v>
      </c>
      <c r="C9370" s="0" t="str">
        <f aca="false">INDEX(Intent_Analysis!$B$5:$B$81,MATCH(B9370,Intent_Analysis!$A$5:$A$81,0))</f>
        <v>Fees &amp; charges</v>
      </c>
      <c r="D9370" s="0" t="n">
        <f aca="false">INDEX(Intent_Analysis!$E$5:$E$81,MATCH(B9370,Intent_Analysis!$A$5:$A$81,0))</f>
        <v>1</v>
      </c>
    </row>
    <row r="9371" customFormat="false" ht="15" hidden="false" customHeight="false" outlineLevel="0" collapsed="false">
      <c r="A9371" s="0" t="s">
        <v>9695</v>
      </c>
      <c r="B9371" s="0" t="s">
        <v>89</v>
      </c>
      <c r="C9371" s="0" t="str">
        <f aca="false">INDEX(Intent_Analysis!$B$5:$B$81,MATCH(B9371,Intent_Analysis!$A$5:$A$81,0))</f>
        <v>Fees &amp; charges</v>
      </c>
      <c r="D9371" s="0" t="n">
        <f aca="false">INDEX(Intent_Analysis!$E$5:$E$81,MATCH(B9371,Intent_Analysis!$A$5:$A$81,0))</f>
        <v>1</v>
      </c>
    </row>
    <row r="9372" customFormat="false" ht="15" hidden="false" customHeight="false" outlineLevel="0" collapsed="false">
      <c r="A9372" s="0" t="s">
        <v>9696</v>
      </c>
      <c r="B9372" s="0" t="s">
        <v>89</v>
      </c>
      <c r="C9372" s="0" t="str">
        <f aca="false">INDEX(Intent_Analysis!$B$5:$B$81,MATCH(B9372,Intent_Analysis!$A$5:$A$81,0))</f>
        <v>Fees &amp; charges</v>
      </c>
      <c r="D9372" s="0" t="n">
        <f aca="false">INDEX(Intent_Analysis!$E$5:$E$81,MATCH(B9372,Intent_Analysis!$A$5:$A$81,0))</f>
        <v>1</v>
      </c>
    </row>
    <row r="9373" customFormat="false" ht="15" hidden="false" customHeight="false" outlineLevel="0" collapsed="false">
      <c r="A9373" s="0" t="s">
        <v>9697</v>
      </c>
      <c r="B9373" s="0" t="s">
        <v>89</v>
      </c>
      <c r="C9373" s="0" t="str">
        <f aca="false">INDEX(Intent_Analysis!$B$5:$B$81,MATCH(B9373,Intent_Analysis!$A$5:$A$81,0))</f>
        <v>Fees &amp; charges</v>
      </c>
      <c r="D9373" s="0" t="n">
        <f aca="false">INDEX(Intent_Analysis!$E$5:$E$81,MATCH(B9373,Intent_Analysis!$A$5:$A$81,0))</f>
        <v>1</v>
      </c>
    </row>
    <row r="9374" customFormat="false" ht="15" hidden="false" customHeight="false" outlineLevel="0" collapsed="false">
      <c r="A9374" s="0" t="s">
        <v>9698</v>
      </c>
      <c r="B9374" s="0" t="s">
        <v>89</v>
      </c>
      <c r="C9374" s="0" t="str">
        <f aca="false">INDEX(Intent_Analysis!$B$5:$B$81,MATCH(B9374,Intent_Analysis!$A$5:$A$81,0))</f>
        <v>Fees &amp; charges</v>
      </c>
      <c r="D9374" s="0" t="n">
        <f aca="false">INDEX(Intent_Analysis!$E$5:$E$81,MATCH(B9374,Intent_Analysis!$A$5:$A$81,0))</f>
        <v>1</v>
      </c>
    </row>
    <row r="9375" customFormat="false" ht="15" hidden="false" customHeight="false" outlineLevel="0" collapsed="false">
      <c r="A9375" s="0" t="s">
        <v>9699</v>
      </c>
      <c r="B9375" s="0" t="s">
        <v>89</v>
      </c>
      <c r="C9375" s="0" t="str">
        <f aca="false">INDEX(Intent_Analysis!$B$5:$B$81,MATCH(B9375,Intent_Analysis!$A$5:$A$81,0))</f>
        <v>Fees &amp; charges</v>
      </c>
      <c r="D9375" s="0" t="n">
        <f aca="false">INDEX(Intent_Analysis!$E$5:$E$81,MATCH(B9375,Intent_Analysis!$A$5:$A$81,0))</f>
        <v>1</v>
      </c>
    </row>
    <row r="9376" customFormat="false" ht="15" hidden="false" customHeight="false" outlineLevel="0" collapsed="false">
      <c r="A9376" s="0" t="s">
        <v>9700</v>
      </c>
      <c r="B9376" s="0" t="s">
        <v>89</v>
      </c>
      <c r="C9376" s="0" t="str">
        <f aca="false">INDEX(Intent_Analysis!$B$5:$B$81,MATCH(B9376,Intent_Analysis!$A$5:$A$81,0))</f>
        <v>Fees &amp; charges</v>
      </c>
      <c r="D9376" s="0" t="n">
        <f aca="false">INDEX(Intent_Analysis!$E$5:$E$81,MATCH(B9376,Intent_Analysis!$A$5:$A$81,0))</f>
        <v>1</v>
      </c>
    </row>
    <row r="9377" customFormat="false" ht="15" hidden="false" customHeight="false" outlineLevel="0" collapsed="false">
      <c r="A9377" s="0" t="s">
        <v>9701</v>
      </c>
      <c r="B9377" s="0" t="s">
        <v>89</v>
      </c>
      <c r="C9377" s="0" t="str">
        <f aca="false">INDEX(Intent_Analysis!$B$5:$B$81,MATCH(B9377,Intent_Analysis!$A$5:$A$81,0))</f>
        <v>Fees &amp; charges</v>
      </c>
      <c r="D9377" s="0" t="n">
        <f aca="false">INDEX(Intent_Analysis!$E$5:$E$81,MATCH(B9377,Intent_Analysis!$A$5:$A$81,0))</f>
        <v>1</v>
      </c>
    </row>
    <row r="9378" customFormat="false" ht="15" hidden="false" customHeight="false" outlineLevel="0" collapsed="false">
      <c r="A9378" s="0" t="s">
        <v>9702</v>
      </c>
      <c r="B9378" s="0" t="s">
        <v>89</v>
      </c>
      <c r="C9378" s="0" t="str">
        <f aca="false">INDEX(Intent_Analysis!$B$5:$B$81,MATCH(B9378,Intent_Analysis!$A$5:$A$81,0))</f>
        <v>Fees &amp; charges</v>
      </c>
      <c r="D9378" s="0" t="n">
        <f aca="false">INDEX(Intent_Analysis!$E$5:$E$81,MATCH(B9378,Intent_Analysis!$A$5:$A$81,0))</f>
        <v>1</v>
      </c>
    </row>
    <row r="9379" customFormat="false" ht="15" hidden="false" customHeight="false" outlineLevel="0" collapsed="false">
      <c r="A9379" s="0" t="s">
        <v>9703</v>
      </c>
      <c r="B9379" s="0" t="s">
        <v>89</v>
      </c>
      <c r="C9379" s="0" t="str">
        <f aca="false">INDEX(Intent_Analysis!$B$5:$B$81,MATCH(B9379,Intent_Analysis!$A$5:$A$81,0))</f>
        <v>Fees &amp; charges</v>
      </c>
      <c r="D9379" s="0" t="n">
        <f aca="false">INDEX(Intent_Analysis!$E$5:$E$81,MATCH(B9379,Intent_Analysis!$A$5:$A$81,0))</f>
        <v>1</v>
      </c>
    </row>
    <row r="9380" customFormat="false" ht="15" hidden="false" customHeight="false" outlineLevel="0" collapsed="false">
      <c r="A9380" s="0" t="s">
        <v>9704</v>
      </c>
      <c r="B9380" s="0" t="s">
        <v>89</v>
      </c>
      <c r="C9380" s="0" t="str">
        <f aca="false">INDEX(Intent_Analysis!$B$5:$B$81,MATCH(B9380,Intent_Analysis!$A$5:$A$81,0))</f>
        <v>Fees &amp; charges</v>
      </c>
      <c r="D9380" s="0" t="n">
        <f aca="false">INDEX(Intent_Analysis!$E$5:$E$81,MATCH(B9380,Intent_Analysis!$A$5:$A$81,0))</f>
        <v>1</v>
      </c>
    </row>
    <row r="9381" customFormat="false" ht="15" hidden="false" customHeight="false" outlineLevel="0" collapsed="false">
      <c r="A9381" s="0" t="s">
        <v>9705</v>
      </c>
      <c r="B9381" s="0" t="s">
        <v>89</v>
      </c>
      <c r="C9381" s="0" t="str">
        <f aca="false">INDEX(Intent_Analysis!$B$5:$B$81,MATCH(B9381,Intent_Analysis!$A$5:$A$81,0))</f>
        <v>Fees &amp; charges</v>
      </c>
      <c r="D9381" s="0" t="n">
        <f aca="false">INDEX(Intent_Analysis!$E$5:$E$81,MATCH(B9381,Intent_Analysis!$A$5:$A$81,0))</f>
        <v>1</v>
      </c>
    </row>
    <row r="9382" customFormat="false" ht="15" hidden="false" customHeight="false" outlineLevel="0" collapsed="false">
      <c r="A9382" s="0" t="s">
        <v>9706</v>
      </c>
      <c r="B9382" s="0" t="s">
        <v>89</v>
      </c>
      <c r="C9382" s="0" t="str">
        <f aca="false">INDEX(Intent_Analysis!$B$5:$B$81,MATCH(B9382,Intent_Analysis!$A$5:$A$81,0))</f>
        <v>Fees &amp; charges</v>
      </c>
      <c r="D9382" s="0" t="n">
        <f aca="false">INDEX(Intent_Analysis!$E$5:$E$81,MATCH(B9382,Intent_Analysis!$A$5:$A$81,0))</f>
        <v>1</v>
      </c>
    </row>
    <row r="9383" customFormat="false" ht="15" hidden="false" customHeight="false" outlineLevel="0" collapsed="false">
      <c r="A9383" s="0" t="s">
        <v>9707</v>
      </c>
      <c r="B9383" s="0" t="s">
        <v>89</v>
      </c>
      <c r="C9383" s="0" t="str">
        <f aca="false">INDEX(Intent_Analysis!$B$5:$B$81,MATCH(B9383,Intent_Analysis!$A$5:$A$81,0))</f>
        <v>Fees &amp; charges</v>
      </c>
      <c r="D9383" s="0" t="n">
        <f aca="false">INDEX(Intent_Analysis!$E$5:$E$81,MATCH(B9383,Intent_Analysis!$A$5:$A$81,0))</f>
        <v>1</v>
      </c>
    </row>
    <row r="9384" customFormat="false" ht="15" hidden="false" customHeight="false" outlineLevel="0" collapsed="false">
      <c r="A9384" s="0" t="s">
        <v>9708</v>
      </c>
      <c r="B9384" s="0" t="s">
        <v>89</v>
      </c>
      <c r="C9384" s="0" t="str">
        <f aca="false">INDEX(Intent_Analysis!$B$5:$B$81,MATCH(B9384,Intent_Analysis!$A$5:$A$81,0))</f>
        <v>Fees &amp; charges</v>
      </c>
      <c r="D9384" s="0" t="n">
        <f aca="false">INDEX(Intent_Analysis!$E$5:$E$81,MATCH(B9384,Intent_Analysis!$A$5:$A$81,0))</f>
        <v>1</v>
      </c>
    </row>
    <row r="9385" customFormat="false" ht="15" hidden="false" customHeight="false" outlineLevel="0" collapsed="false">
      <c r="A9385" s="0" t="s">
        <v>9709</v>
      </c>
      <c r="B9385" s="0" t="s">
        <v>89</v>
      </c>
      <c r="C9385" s="0" t="str">
        <f aca="false">INDEX(Intent_Analysis!$B$5:$B$81,MATCH(B9385,Intent_Analysis!$A$5:$A$81,0))</f>
        <v>Fees &amp; charges</v>
      </c>
      <c r="D9385" s="0" t="n">
        <f aca="false">INDEX(Intent_Analysis!$E$5:$E$81,MATCH(B9385,Intent_Analysis!$A$5:$A$81,0))</f>
        <v>1</v>
      </c>
    </row>
    <row r="9386" customFormat="false" ht="15" hidden="false" customHeight="false" outlineLevel="0" collapsed="false">
      <c r="A9386" s="0" t="s">
        <v>9710</v>
      </c>
      <c r="B9386" s="0" t="s">
        <v>89</v>
      </c>
      <c r="C9386" s="0" t="str">
        <f aca="false">INDEX(Intent_Analysis!$B$5:$B$81,MATCH(B9386,Intent_Analysis!$A$5:$A$81,0))</f>
        <v>Fees &amp; charges</v>
      </c>
      <c r="D9386" s="0" t="n">
        <f aca="false">INDEX(Intent_Analysis!$E$5:$E$81,MATCH(B9386,Intent_Analysis!$A$5:$A$81,0))</f>
        <v>1</v>
      </c>
    </row>
    <row r="9387" customFormat="false" ht="15" hidden="false" customHeight="false" outlineLevel="0" collapsed="false">
      <c r="A9387" s="0" t="s">
        <v>9711</v>
      </c>
      <c r="B9387" s="0" t="s">
        <v>89</v>
      </c>
      <c r="C9387" s="0" t="str">
        <f aca="false">INDEX(Intent_Analysis!$B$5:$B$81,MATCH(B9387,Intent_Analysis!$A$5:$A$81,0))</f>
        <v>Fees &amp; charges</v>
      </c>
      <c r="D9387" s="0" t="n">
        <f aca="false">INDEX(Intent_Analysis!$E$5:$E$81,MATCH(B9387,Intent_Analysis!$A$5:$A$81,0))</f>
        <v>1</v>
      </c>
    </row>
    <row r="9388" customFormat="false" ht="15" hidden="false" customHeight="false" outlineLevel="0" collapsed="false">
      <c r="A9388" s="0" t="s">
        <v>9712</v>
      </c>
      <c r="B9388" s="0" t="s">
        <v>89</v>
      </c>
      <c r="C9388" s="0" t="str">
        <f aca="false">INDEX(Intent_Analysis!$B$5:$B$81,MATCH(B9388,Intent_Analysis!$A$5:$A$81,0))</f>
        <v>Fees &amp; charges</v>
      </c>
      <c r="D9388" s="0" t="n">
        <f aca="false">INDEX(Intent_Analysis!$E$5:$E$81,MATCH(B9388,Intent_Analysis!$A$5:$A$81,0))</f>
        <v>1</v>
      </c>
    </row>
    <row r="9389" customFormat="false" ht="15" hidden="false" customHeight="false" outlineLevel="0" collapsed="false">
      <c r="A9389" s="0" t="s">
        <v>9713</v>
      </c>
      <c r="B9389" s="0" t="s">
        <v>89</v>
      </c>
      <c r="C9389" s="0" t="str">
        <f aca="false">INDEX(Intent_Analysis!$B$5:$B$81,MATCH(B9389,Intent_Analysis!$A$5:$A$81,0))</f>
        <v>Fees &amp; charges</v>
      </c>
      <c r="D9389" s="0" t="n">
        <f aca="false">INDEX(Intent_Analysis!$E$5:$E$81,MATCH(B9389,Intent_Analysis!$A$5:$A$81,0))</f>
        <v>1</v>
      </c>
    </row>
    <row r="9390" customFormat="false" ht="15" hidden="false" customHeight="false" outlineLevel="0" collapsed="false">
      <c r="A9390" s="0" t="s">
        <v>9714</v>
      </c>
      <c r="B9390" s="0" t="s">
        <v>89</v>
      </c>
      <c r="C9390" s="0" t="str">
        <f aca="false">INDEX(Intent_Analysis!$B$5:$B$81,MATCH(B9390,Intent_Analysis!$A$5:$A$81,0))</f>
        <v>Fees &amp; charges</v>
      </c>
      <c r="D9390" s="0" t="n">
        <f aca="false">INDEX(Intent_Analysis!$E$5:$E$81,MATCH(B9390,Intent_Analysis!$A$5:$A$81,0))</f>
        <v>1</v>
      </c>
    </row>
    <row r="9391" customFormat="false" ht="15" hidden="false" customHeight="false" outlineLevel="0" collapsed="false">
      <c r="A9391" s="0" t="s">
        <v>9715</v>
      </c>
      <c r="B9391" s="0" t="s">
        <v>89</v>
      </c>
      <c r="C9391" s="0" t="str">
        <f aca="false">INDEX(Intent_Analysis!$B$5:$B$81,MATCH(B9391,Intent_Analysis!$A$5:$A$81,0))</f>
        <v>Fees &amp; charges</v>
      </c>
      <c r="D9391" s="0" t="n">
        <f aca="false">INDEX(Intent_Analysis!$E$5:$E$81,MATCH(B9391,Intent_Analysis!$A$5:$A$81,0))</f>
        <v>1</v>
      </c>
    </row>
    <row r="9392" customFormat="false" ht="15" hidden="false" customHeight="false" outlineLevel="0" collapsed="false">
      <c r="A9392" s="0" t="s">
        <v>9716</v>
      </c>
      <c r="B9392" s="0" t="s">
        <v>89</v>
      </c>
      <c r="C9392" s="0" t="str">
        <f aca="false">INDEX(Intent_Analysis!$B$5:$B$81,MATCH(B9392,Intent_Analysis!$A$5:$A$81,0))</f>
        <v>Fees &amp; charges</v>
      </c>
      <c r="D9392" s="0" t="n">
        <f aca="false">INDEX(Intent_Analysis!$E$5:$E$81,MATCH(B9392,Intent_Analysis!$A$5:$A$81,0))</f>
        <v>1</v>
      </c>
    </row>
    <row r="9393" customFormat="false" ht="15" hidden="false" customHeight="false" outlineLevel="0" collapsed="false">
      <c r="A9393" s="0" t="s">
        <v>9717</v>
      </c>
      <c r="B9393" s="0" t="s">
        <v>89</v>
      </c>
      <c r="C9393" s="0" t="str">
        <f aca="false">INDEX(Intent_Analysis!$B$5:$B$81,MATCH(B9393,Intent_Analysis!$A$5:$A$81,0))</f>
        <v>Fees &amp; charges</v>
      </c>
      <c r="D9393" s="0" t="n">
        <f aca="false">INDEX(Intent_Analysis!$E$5:$E$81,MATCH(B9393,Intent_Analysis!$A$5:$A$81,0))</f>
        <v>1</v>
      </c>
    </row>
    <row r="9394" customFormat="false" ht="15" hidden="false" customHeight="false" outlineLevel="0" collapsed="false">
      <c r="A9394" s="0" t="s">
        <v>9718</v>
      </c>
      <c r="B9394" s="0" t="s">
        <v>89</v>
      </c>
      <c r="C9394" s="0" t="str">
        <f aca="false">INDEX(Intent_Analysis!$B$5:$B$81,MATCH(B9394,Intent_Analysis!$A$5:$A$81,0))</f>
        <v>Fees &amp; charges</v>
      </c>
      <c r="D9394" s="0" t="n">
        <f aca="false">INDEX(Intent_Analysis!$E$5:$E$81,MATCH(B9394,Intent_Analysis!$A$5:$A$81,0))</f>
        <v>1</v>
      </c>
    </row>
    <row r="9395" customFormat="false" ht="15" hidden="false" customHeight="false" outlineLevel="0" collapsed="false">
      <c r="A9395" s="0" t="s">
        <v>9719</v>
      </c>
      <c r="B9395" s="0" t="s">
        <v>89</v>
      </c>
      <c r="C9395" s="0" t="str">
        <f aca="false">INDEX(Intent_Analysis!$B$5:$B$81,MATCH(B9395,Intent_Analysis!$A$5:$A$81,0))</f>
        <v>Fees &amp; charges</v>
      </c>
      <c r="D9395" s="0" t="n">
        <f aca="false">INDEX(Intent_Analysis!$E$5:$E$81,MATCH(B9395,Intent_Analysis!$A$5:$A$81,0))</f>
        <v>1</v>
      </c>
    </row>
    <row r="9396" customFormat="false" ht="15" hidden="false" customHeight="false" outlineLevel="0" collapsed="false">
      <c r="A9396" s="0" t="s">
        <v>9720</v>
      </c>
      <c r="B9396" s="0" t="s">
        <v>89</v>
      </c>
      <c r="C9396" s="0" t="str">
        <f aca="false">INDEX(Intent_Analysis!$B$5:$B$81,MATCH(B9396,Intent_Analysis!$A$5:$A$81,0))</f>
        <v>Fees &amp; charges</v>
      </c>
      <c r="D9396" s="0" t="n">
        <f aca="false">INDEX(Intent_Analysis!$E$5:$E$81,MATCH(B9396,Intent_Analysis!$A$5:$A$81,0))</f>
        <v>1</v>
      </c>
    </row>
    <row r="9397" customFormat="false" ht="15" hidden="false" customHeight="false" outlineLevel="0" collapsed="false">
      <c r="A9397" s="0" t="s">
        <v>9721</v>
      </c>
      <c r="B9397" s="0" t="s">
        <v>89</v>
      </c>
      <c r="C9397" s="0" t="str">
        <f aca="false">INDEX(Intent_Analysis!$B$5:$B$81,MATCH(B9397,Intent_Analysis!$A$5:$A$81,0))</f>
        <v>Fees &amp; charges</v>
      </c>
      <c r="D9397" s="0" t="n">
        <f aca="false">INDEX(Intent_Analysis!$E$5:$E$81,MATCH(B9397,Intent_Analysis!$A$5:$A$81,0))</f>
        <v>1</v>
      </c>
    </row>
    <row r="9398" customFormat="false" ht="15" hidden="false" customHeight="false" outlineLevel="0" collapsed="false">
      <c r="A9398" s="0" t="s">
        <v>9722</v>
      </c>
      <c r="B9398" s="0" t="s">
        <v>89</v>
      </c>
      <c r="C9398" s="0" t="str">
        <f aca="false">INDEX(Intent_Analysis!$B$5:$B$81,MATCH(B9398,Intent_Analysis!$A$5:$A$81,0))</f>
        <v>Fees &amp; charges</v>
      </c>
      <c r="D9398" s="0" t="n">
        <f aca="false">INDEX(Intent_Analysis!$E$5:$E$81,MATCH(B9398,Intent_Analysis!$A$5:$A$81,0))</f>
        <v>1</v>
      </c>
    </row>
    <row r="9399" customFormat="false" ht="15" hidden="false" customHeight="false" outlineLevel="0" collapsed="false">
      <c r="A9399" s="0" t="s">
        <v>9723</v>
      </c>
      <c r="B9399" s="0" t="s">
        <v>89</v>
      </c>
      <c r="C9399" s="0" t="str">
        <f aca="false">INDEX(Intent_Analysis!$B$5:$B$81,MATCH(B9399,Intent_Analysis!$A$5:$A$81,0))</f>
        <v>Fees &amp; charges</v>
      </c>
      <c r="D9399" s="0" t="n">
        <f aca="false">INDEX(Intent_Analysis!$E$5:$E$81,MATCH(B9399,Intent_Analysis!$A$5:$A$81,0))</f>
        <v>1</v>
      </c>
    </row>
    <row r="9400" customFormat="false" ht="15" hidden="false" customHeight="false" outlineLevel="0" collapsed="false">
      <c r="A9400" s="0" t="s">
        <v>9724</v>
      </c>
      <c r="B9400" s="0" t="s">
        <v>89</v>
      </c>
      <c r="C9400" s="0" t="str">
        <f aca="false">INDEX(Intent_Analysis!$B$5:$B$81,MATCH(B9400,Intent_Analysis!$A$5:$A$81,0))</f>
        <v>Fees &amp; charges</v>
      </c>
      <c r="D9400" s="0" t="n">
        <f aca="false">INDEX(Intent_Analysis!$E$5:$E$81,MATCH(B9400,Intent_Analysis!$A$5:$A$81,0))</f>
        <v>1</v>
      </c>
    </row>
    <row r="9401" customFormat="false" ht="15" hidden="false" customHeight="false" outlineLevel="0" collapsed="false">
      <c r="A9401" s="0" t="s">
        <v>9725</v>
      </c>
      <c r="B9401" s="0" t="s">
        <v>89</v>
      </c>
      <c r="C9401" s="0" t="str">
        <f aca="false">INDEX(Intent_Analysis!$B$5:$B$81,MATCH(B9401,Intent_Analysis!$A$5:$A$81,0))</f>
        <v>Fees &amp; charges</v>
      </c>
      <c r="D9401" s="0" t="n">
        <f aca="false">INDEX(Intent_Analysis!$E$5:$E$81,MATCH(B9401,Intent_Analysis!$A$5:$A$81,0))</f>
        <v>1</v>
      </c>
    </row>
    <row r="9402" customFormat="false" ht="15" hidden="false" customHeight="false" outlineLevel="0" collapsed="false">
      <c r="A9402" s="0" t="s">
        <v>9726</v>
      </c>
      <c r="B9402" s="0" t="s">
        <v>89</v>
      </c>
      <c r="C9402" s="0" t="str">
        <f aca="false">INDEX(Intent_Analysis!$B$5:$B$81,MATCH(B9402,Intent_Analysis!$A$5:$A$81,0))</f>
        <v>Fees &amp; charges</v>
      </c>
      <c r="D9402" s="0" t="n">
        <f aca="false">INDEX(Intent_Analysis!$E$5:$E$81,MATCH(B9402,Intent_Analysis!$A$5:$A$81,0))</f>
        <v>1</v>
      </c>
    </row>
    <row r="9403" customFormat="false" ht="15" hidden="false" customHeight="false" outlineLevel="0" collapsed="false">
      <c r="A9403" s="0" t="s">
        <v>9727</v>
      </c>
      <c r="B9403" s="0" t="s">
        <v>89</v>
      </c>
      <c r="C9403" s="0" t="str">
        <f aca="false">INDEX(Intent_Analysis!$B$5:$B$81,MATCH(B9403,Intent_Analysis!$A$5:$A$81,0))</f>
        <v>Fees &amp; charges</v>
      </c>
      <c r="D9403" s="0" t="n">
        <f aca="false">INDEX(Intent_Analysis!$E$5:$E$81,MATCH(B9403,Intent_Analysis!$A$5:$A$81,0))</f>
        <v>1</v>
      </c>
    </row>
    <row r="9404" customFormat="false" ht="15" hidden="false" customHeight="false" outlineLevel="0" collapsed="false">
      <c r="A9404" s="0" t="s">
        <v>9728</v>
      </c>
      <c r="B9404" s="0" t="s">
        <v>89</v>
      </c>
      <c r="C9404" s="0" t="str">
        <f aca="false">INDEX(Intent_Analysis!$B$5:$B$81,MATCH(B9404,Intent_Analysis!$A$5:$A$81,0))</f>
        <v>Fees &amp; charges</v>
      </c>
      <c r="D9404" s="0" t="n">
        <f aca="false">INDEX(Intent_Analysis!$E$5:$E$81,MATCH(B9404,Intent_Analysis!$A$5:$A$81,0))</f>
        <v>1</v>
      </c>
    </row>
    <row r="9405" customFormat="false" ht="15" hidden="false" customHeight="false" outlineLevel="0" collapsed="false">
      <c r="A9405" s="0" t="s">
        <v>9729</v>
      </c>
      <c r="B9405" s="0" t="s">
        <v>89</v>
      </c>
      <c r="C9405" s="0" t="str">
        <f aca="false">INDEX(Intent_Analysis!$B$5:$B$81,MATCH(B9405,Intent_Analysis!$A$5:$A$81,0))</f>
        <v>Fees &amp; charges</v>
      </c>
      <c r="D9405" s="0" t="n">
        <f aca="false">INDEX(Intent_Analysis!$E$5:$E$81,MATCH(B9405,Intent_Analysis!$A$5:$A$81,0))</f>
        <v>1</v>
      </c>
    </row>
    <row r="9406" customFormat="false" ht="15" hidden="false" customHeight="false" outlineLevel="0" collapsed="false">
      <c r="A9406" s="0" t="s">
        <v>9730</v>
      </c>
      <c r="B9406" s="0" t="s">
        <v>89</v>
      </c>
      <c r="C9406" s="0" t="str">
        <f aca="false">INDEX(Intent_Analysis!$B$5:$B$81,MATCH(B9406,Intent_Analysis!$A$5:$A$81,0))</f>
        <v>Fees &amp; charges</v>
      </c>
      <c r="D9406" s="0" t="n">
        <f aca="false">INDEX(Intent_Analysis!$E$5:$E$81,MATCH(B9406,Intent_Analysis!$A$5:$A$81,0))</f>
        <v>1</v>
      </c>
    </row>
    <row r="9407" customFormat="false" ht="15" hidden="false" customHeight="false" outlineLevel="0" collapsed="false">
      <c r="A9407" s="0" t="s">
        <v>9731</v>
      </c>
      <c r="B9407" s="0" t="s">
        <v>89</v>
      </c>
      <c r="C9407" s="0" t="str">
        <f aca="false">INDEX(Intent_Analysis!$B$5:$B$81,MATCH(B9407,Intent_Analysis!$A$5:$A$81,0))</f>
        <v>Fees &amp; charges</v>
      </c>
      <c r="D9407" s="0" t="n">
        <f aca="false">INDEX(Intent_Analysis!$E$5:$E$81,MATCH(B9407,Intent_Analysis!$A$5:$A$81,0))</f>
        <v>1</v>
      </c>
    </row>
    <row r="9408" customFormat="false" ht="15" hidden="false" customHeight="false" outlineLevel="0" collapsed="false">
      <c r="A9408" s="0" t="s">
        <v>9732</v>
      </c>
      <c r="B9408" s="0" t="s">
        <v>89</v>
      </c>
      <c r="C9408" s="0" t="str">
        <f aca="false">INDEX(Intent_Analysis!$B$5:$B$81,MATCH(B9408,Intent_Analysis!$A$5:$A$81,0))</f>
        <v>Fees &amp; charges</v>
      </c>
      <c r="D9408" s="0" t="n">
        <f aca="false">INDEX(Intent_Analysis!$E$5:$E$81,MATCH(B9408,Intent_Analysis!$A$5:$A$81,0))</f>
        <v>1</v>
      </c>
    </row>
    <row r="9409" customFormat="false" ht="15" hidden="false" customHeight="false" outlineLevel="0" collapsed="false">
      <c r="A9409" s="0" t="s">
        <v>9733</v>
      </c>
      <c r="B9409" s="0" t="s">
        <v>89</v>
      </c>
      <c r="C9409" s="0" t="str">
        <f aca="false">INDEX(Intent_Analysis!$B$5:$B$81,MATCH(B9409,Intent_Analysis!$A$5:$A$81,0))</f>
        <v>Fees &amp; charges</v>
      </c>
      <c r="D9409" s="0" t="n">
        <f aca="false">INDEX(Intent_Analysis!$E$5:$E$81,MATCH(B9409,Intent_Analysis!$A$5:$A$81,0))</f>
        <v>1</v>
      </c>
    </row>
    <row r="9410" customFormat="false" ht="15" hidden="false" customHeight="false" outlineLevel="0" collapsed="false">
      <c r="A9410" s="0" t="s">
        <v>9734</v>
      </c>
      <c r="B9410" s="0" t="s">
        <v>89</v>
      </c>
      <c r="C9410" s="0" t="str">
        <f aca="false">INDEX(Intent_Analysis!$B$5:$B$81,MATCH(B9410,Intent_Analysis!$A$5:$A$81,0))</f>
        <v>Fees &amp; charges</v>
      </c>
      <c r="D9410" s="0" t="n">
        <f aca="false">INDEX(Intent_Analysis!$E$5:$E$81,MATCH(B9410,Intent_Analysis!$A$5:$A$81,0))</f>
        <v>1</v>
      </c>
    </row>
    <row r="9411" customFormat="false" ht="15" hidden="false" customHeight="false" outlineLevel="0" collapsed="false">
      <c r="A9411" s="0" t="s">
        <v>9735</v>
      </c>
      <c r="B9411" s="0" t="s">
        <v>89</v>
      </c>
      <c r="C9411" s="0" t="str">
        <f aca="false">INDEX(Intent_Analysis!$B$5:$B$81,MATCH(B9411,Intent_Analysis!$A$5:$A$81,0))</f>
        <v>Fees &amp; charges</v>
      </c>
      <c r="D9411" s="0" t="n">
        <f aca="false">INDEX(Intent_Analysis!$E$5:$E$81,MATCH(B9411,Intent_Analysis!$A$5:$A$81,0))</f>
        <v>1</v>
      </c>
    </row>
    <row r="9412" customFormat="false" ht="15" hidden="false" customHeight="false" outlineLevel="0" collapsed="false">
      <c r="A9412" s="0" t="s">
        <v>9736</v>
      </c>
      <c r="B9412" s="0" t="s">
        <v>89</v>
      </c>
      <c r="C9412" s="0" t="str">
        <f aca="false">INDEX(Intent_Analysis!$B$5:$B$81,MATCH(B9412,Intent_Analysis!$A$5:$A$81,0))</f>
        <v>Fees &amp; charges</v>
      </c>
      <c r="D9412" s="0" t="n">
        <f aca="false">INDEX(Intent_Analysis!$E$5:$E$81,MATCH(B9412,Intent_Analysis!$A$5:$A$81,0))</f>
        <v>1</v>
      </c>
    </row>
    <row r="9413" customFormat="false" ht="15" hidden="false" customHeight="false" outlineLevel="0" collapsed="false">
      <c r="A9413" s="0" t="s">
        <v>9737</v>
      </c>
      <c r="B9413" s="0" t="s">
        <v>89</v>
      </c>
      <c r="C9413" s="0" t="str">
        <f aca="false">INDEX(Intent_Analysis!$B$5:$B$81,MATCH(B9413,Intent_Analysis!$A$5:$A$81,0))</f>
        <v>Fees &amp; charges</v>
      </c>
      <c r="D9413" s="0" t="n">
        <f aca="false">INDEX(Intent_Analysis!$E$5:$E$81,MATCH(B9413,Intent_Analysis!$A$5:$A$81,0))</f>
        <v>1</v>
      </c>
    </row>
    <row r="9414" customFormat="false" ht="15" hidden="false" customHeight="false" outlineLevel="0" collapsed="false">
      <c r="A9414" s="0" t="s">
        <v>9738</v>
      </c>
      <c r="B9414" s="0" t="s">
        <v>89</v>
      </c>
      <c r="C9414" s="0" t="str">
        <f aca="false">INDEX(Intent_Analysis!$B$5:$B$81,MATCH(B9414,Intent_Analysis!$A$5:$A$81,0))</f>
        <v>Fees &amp; charges</v>
      </c>
      <c r="D9414" s="0" t="n">
        <f aca="false">INDEX(Intent_Analysis!$E$5:$E$81,MATCH(B9414,Intent_Analysis!$A$5:$A$81,0))</f>
        <v>1</v>
      </c>
    </row>
    <row r="9415" customFormat="false" ht="15" hidden="false" customHeight="false" outlineLevel="0" collapsed="false">
      <c r="A9415" s="0" t="s">
        <v>9739</v>
      </c>
      <c r="B9415" s="0" t="s">
        <v>89</v>
      </c>
      <c r="C9415" s="0" t="str">
        <f aca="false">INDEX(Intent_Analysis!$B$5:$B$81,MATCH(B9415,Intent_Analysis!$A$5:$A$81,0))</f>
        <v>Fees &amp; charges</v>
      </c>
      <c r="D9415" s="0" t="n">
        <f aca="false">INDEX(Intent_Analysis!$E$5:$E$81,MATCH(B9415,Intent_Analysis!$A$5:$A$81,0))</f>
        <v>1</v>
      </c>
    </row>
    <row r="9416" customFormat="false" ht="15" hidden="false" customHeight="false" outlineLevel="0" collapsed="false">
      <c r="A9416" s="0" t="s">
        <v>9740</v>
      </c>
      <c r="B9416" s="0" t="s">
        <v>89</v>
      </c>
      <c r="C9416" s="0" t="str">
        <f aca="false">INDEX(Intent_Analysis!$B$5:$B$81,MATCH(B9416,Intent_Analysis!$A$5:$A$81,0))</f>
        <v>Fees &amp; charges</v>
      </c>
      <c r="D9416" s="0" t="n">
        <f aca="false">INDEX(Intent_Analysis!$E$5:$E$81,MATCH(B9416,Intent_Analysis!$A$5:$A$81,0))</f>
        <v>1</v>
      </c>
    </row>
    <row r="9417" customFormat="false" ht="15" hidden="false" customHeight="false" outlineLevel="0" collapsed="false">
      <c r="A9417" s="0" t="s">
        <v>9741</v>
      </c>
      <c r="B9417" s="0" t="s">
        <v>89</v>
      </c>
      <c r="C9417" s="0" t="str">
        <f aca="false">INDEX(Intent_Analysis!$B$5:$B$81,MATCH(B9417,Intent_Analysis!$A$5:$A$81,0))</f>
        <v>Fees &amp; charges</v>
      </c>
      <c r="D9417" s="0" t="n">
        <f aca="false">INDEX(Intent_Analysis!$E$5:$E$81,MATCH(B9417,Intent_Analysis!$A$5:$A$81,0))</f>
        <v>1</v>
      </c>
    </row>
    <row r="9418" customFormat="false" ht="15" hidden="false" customHeight="false" outlineLevel="0" collapsed="false">
      <c r="A9418" s="0" t="s">
        <v>9742</v>
      </c>
      <c r="B9418" s="0" t="s">
        <v>89</v>
      </c>
      <c r="C9418" s="0" t="str">
        <f aca="false">INDEX(Intent_Analysis!$B$5:$B$81,MATCH(B9418,Intent_Analysis!$A$5:$A$81,0))</f>
        <v>Fees &amp; charges</v>
      </c>
      <c r="D9418" s="0" t="n">
        <f aca="false">INDEX(Intent_Analysis!$E$5:$E$81,MATCH(B9418,Intent_Analysis!$A$5:$A$81,0))</f>
        <v>1</v>
      </c>
    </row>
    <row r="9419" customFormat="false" ht="15" hidden="false" customHeight="false" outlineLevel="0" collapsed="false">
      <c r="A9419" s="0" t="s">
        <v>9743</v>
      </c>
      <c r="B9419" s="0" t="s">
        <v>89</v>
      </c>
      <c r="C9419" s="0" t="str">
        <f aca="false">INDEX(Intent_Analysis!$B$5:$B$81,MATCH(B9419,Intent_Analysis!$A$5:$A$81,0))</f>
        <v>Fees &amp; charges</v>
      </c>
      <c r="D9419" s="0" t="n">
        <f aca="false">INDEX(Intent_Analysis!$E$5:$E$81,MATCH(B9419,Intent_Analysis!$A$5:$A$81,0))</f>
        <v>1</v>
      </c>
    </row>
    <row r="9420" customFormat="false" ht="15" hidden="false" customHeight="false" outlineLevel="0" collapsed="false">
      <c r="A9420" s="0" t="s">
        <v>9744</v>
      </c>
      <c r="B9420" s="0" t="s">
        <v>89</v>
      </c>
      <c r="C9420" s="0" t="str">
        <f aca="false">INDEX(Intent_Analysis!$B$5:$B$81,MATCH(B9420,Intent_Analysis!$A$5:$A$81,0))</f>
        <v>Fees &amp; charges</v>
      </c>
      <c r="D9420" s="0" t="n">
        <f aca="false">INDEX(Intent_Analysis!$E$5:$E$81,MATCH(B9420,Intent_Analysis!$A$5:$A$81,0))</f>
        <v>1</v>
      </c>
    </row>
    <row r="9421" customFormat="false" ht="15" hidden="false" customHeight="false" outlineLevel="0" collapsed="false">
      <c r="A9421" s="0" t="s">
        <v>9745</v>
      </c>
      <c r="B9421" s="0" t="s">
        <v>89</v>
      </c>
      <c r="C9421" s="0" t="str">
        <f aca="false">INDEX(Intent_Analysis!$B$5:$B$81,MATCH(B9421,Intent_Analysis!$A$5:$A$81,0))</f>
        <v>Fees &amp; charges</v>
      </c>
      <c r="D9421" s="0" t="n">
        <f aca="false">INDEX(Intent_Analysis!$E$5:$E$81,MATCH(B9421,Intent_Analysis!$A$5:$A$81,0))</f>
        <v>1</v>
      </c>
    </row>
    <row r="9422" customFormat="false" ht="15" hidden="false" customHeight="false" outlineLevel="0" collapsed="false">
      <c r="A9422" s="0" t="s">
        <v>9746</v>
      </c>
      <c r="B9422" s="0" t="s">
        <v>89</v>
      </c>
      <c r="C9422" s="0" t="str">
        <f aca="false">INDEX(Intent_Analysis!$B$5:$B$81,MATCH(B9422,Intent_Analysis!$A$5:$A$81,0))</f>
        <v>Fees &amp; charges</v>
      </c>
      <c r="D9422" s="0" t="n">
        <f aca="false">INDEX(Intent_Analysis!$E$5:$E$81,MATCH(B9422,Intent_Analysis!$A$5:$A$81,0))</f>
        <v>1</v>
      </c>
    </row>
    <row r="9423" customFormat="false" ht="15" hidden="false" customHeight="false" outlineLevel="0" collapsed="false">
      <c r="A9423" s="0" t="s">
        <v>9747</v>
      </c>
      <c r="B9423" s="0" t="s">
        <v>89</v>
      </c>
      <c r="C9423" s="0" t="str">
        <f aca="false">INDEX(Intent_Analysis!$B$5:$B$81,MATCH(B9423,Intent_Analysis!$A$5:$A$81,0))</f>
        <v>Fees &amp; charges</v>
      </c>
      <c r="D9423" s="0" t="n">
        <f aca="false">INDEX(Intent_Analysis!$E$5:$E$81,MATCH(B9423,Intent_Analysis!$A$5:$A$81,0))</f>
        <v>1</v>
      </c>
    </row>
    <row r="9424" customFormat="false" ht="15" hidden="false" customHeight="false" outlineLevel="0" collapsed="false">
      <c r="A9424" s="0" t="s">
        <v>9748</v>
      </c>
      <c r="B9424" s="0" t="s">
        <v>89</v>
      </c>
      <c r="C9424" s="0" t="str">
        <f aca="false">INDEX(Intent_Analysis!$B$5:$B$81,MATCH(B9424,Intent_Analysis!$A$5:$A$81,0))</f>
        <v>Fees &amp; charges</v>
      </c>
      <c r="D9424" s="0" t="n">
        <f aca="false">INDEX(Intent_Analysis!$E$5:$E$81,MATCH(B9424,Intent_Analysis!$A$5:$A$81,0))</f>
        <v>1</v>
      </c>
    </row>
    <row r="9425" customFormat="false" ht="15" hidden="false" customHeight="false" outlineLevel="0" collapsed="false">
      <c r="A9425" s="0" t="s">
        <v>9749</v>
      </c>
      <c r="B9425" s="0" t="s">
        <v>89</v>
      </c>
      <c r="C9425" s="0" t="str">
        <f aca="false">INDEX(Intent_Analysis!$B$5:$B$81,MATCH(B9425,Intent_Analysis!$A$5:$A$81,0))</f>
        <v>Fees &amp; charges</v>
      </c>
      <c r="D9425" s="0" t="n">
        <f aca="false">INDEX(Intent_Analysis!$E$5:$E$81,MATCH(B9425,Intent_Analysis!$A$5:$A$81,0))</f>
        <v>1</v>
      </c>
    </row>
    <row r="9426" customFormat="false" ht="15" hidden="false" customHeight="false" outlineLevel="0" collapsed="false">
      <c r="A9426" s="0" t="s">
        <v>9750</v>
      </c>
      <c r="B9426" s="0" t="s">
        <v>89</v>
      </c>
      <c r="C9426" s="0" t="str">
        <f aca="false">INDEX(Intent_Analysis!$B$5:$B$81,MATCH(B9426,Intent_Analysis!$A$5:$A$81,0))</f>
        <v>Fees &amp; charges</v>
      </c>
      <c r="D9426" s="0" t="n">
        <f aca="false">INDEX(Intent_Analysis!$E$5:$E$81,MATCH(B9426,Intent_Analysis!$A$5:$A$81,0))</f>
        <v>1</v>
      </c>
    </row>
    <row r="9427" customFormat="false" ht="15" hidden="false" customHeight="false" outlineLevel="0" collapsed="false">
      <c r="A9427" s="0" t="s">
        <v>9751</v>
      </c>
      <c r="B9427" s="0" t="s">
        <v>89</v>
      </c>
      <c r="C9427" s="0" t="str">
        <f aca="false">INDEX(Intent_Analysis!$B$5:$B$81,MATCH(B9427,Intent_Analysis!$A$5:$A$81,0))</f>
        <v>Fees &amp; charges</v>
      </c>
      <c r="D9427" s="0" t="n">
        <f aca="false">INDEX(Intent_Analysis!$E$5:$E$81,MATCH(B9427,Intent_Analysis!$A$5:$A$81,0))</f>
        <v>1</v>
      </c>
    </row>
    <row r="9428" customFormat="false" ht="15" hidden="false" customHeight="false" outlineLevel="0" collapsed="false">
      <c r="A9428" s="0" t="s">
        <v>9752</v>
      </c>
      <c r="B9428" s="0" t="s">
        <v>89</v>
      </c>
      <c r="C9428" s="0" t="str">
        <f aca="false">INDEX(Intent_Analysis!$B$5:$B$81,MATCH(B9428,Intent_Analysis!$A$5:$A$81,0))</f>
        <v>Fees &amp; charges</v>
      </c>
      <c r="D9428" s="0" t="n">
        <f aca="false">INDEX(Intent_Analysis!$E$5:$E$81,MATCH(B9428,Intent_Analysis!$A$5:$A$81,0))</f>
        <v>1</v>
      </c>
    </row>
    <row r="9429" customFormat="false" ht="15" hidden="false" customHeight="false" outlineLevel="0" collapsed="false">
      <c r="A9429" s="0" t="s">
        <v>9753</v>
      </c>
      <c r="B9429" s="0" t="s">
        <v>89</v>
      </c>
      <c r="C9429" s="0" t="str">
        <f aca="false">INDEX(Intent_Analysis!$B$5:$B$81,MATCH(B9429,Intent_Analysis!$A$5:$A$81,0))</f>
        <v>Fees &amp; charges</v>
      </c>
      <c r="D9429" s="0" t="n">
        <f aca="false">INDEX(Intent_Analysis!$E$5:$E$81,MATCH(B9429,Intent_Analysis!$A$5:$A$81,0))</f>
        <v>1</v>
      </c>
    </row>
    <row r="9430" customFormat="false" ht="15" hidden="false" customHeight="false" outlineLevel="0" collapsed="false">
      <c r="A9430" s="0" t="s">
        <v>9754</v>
      </c>
      <c r="B9430" s="0" t="s">
        <v>89</v>
      </c>
      <c r="C9430" s="0" t="str">
        <f aca="false">INDEX(Intent_Analysis!$B$5:$B$81,MATCH(B9430,Intent_Analysis!$A$5:$A$81,0))</f>
        <v>Fees &amp; charges</v>
      </c>
      <c r="D9430" s="0" t="n">
        <f aca="false">INDEX(Intent_Analysis!$E$5:$E$81,MATCH(B9430,Intent_Analysis!$A$5:$A$81,0))</f>
        <v>1</v>
      </c>
    </row>
    <row r="9431" customFormat="false" ht="15" hidden="false" customHeight="false" outlineLevel="0" collapsed="false">
      <c r="A9431" s="0" t="s">
        <v>9755</v>
      </c>
      <c r="B9431" s="0" t="s">
        <v>89</v>
      </c>
      <c r="C9431" s="0" t="str">
        <f aca="false">INDEX(Intent_Analysis!$B$5:$B$81,MATCH(B9431,Intent_Analysis!$A$5:$A$81,0))</f>
        <v>Fees &amp; charges</v>
      </c>
      <c r="D9431" s="0" t="n">
        <f aca="false">INDEX(Intent_Analysis!$E$5:$E$81,MATCH(B9431,Intent_Analysis!$A$5:$A$81,0))</f>
        <v>1</v>
      </c>
    </row>
    <row r="9432" customFormat="false" ht="15" hidden="false" customHeight="false" outlineLevel="0" collapsed="false">
      <c r="A9432" s="0" t="s">
        <v>9756</v>
      </c>
      <c r="B9432" s="0" t="s">
        <v>89</v>
      </c>
      <c r="C9432" s="0" t="str">
        <f aca="false">INDEX(Intent_Analysis!$B$5:$B$81,MATCH(B9432,Intent_Analysis!$A$5:$A$81,0))</f>
        <v>Fees &amp; charges</v>
      </c>
      <c r="D9432" s="0" t="n">
        <f aca="false">INDEX(Intent_Analysis!$E$5:$E$81,MATCH(B9432,Intent_Analysis!$A$5:$A$81,0))</f>
        <v>1</v>
      </c>
    </row>
    <row r="9433" customFormat="false" ht="15" hidden="false" customHeight="false" outlineLevel="0" collapsed="false">
      <c r="A9433" s="0" t="s">
        <v>9757</v>
      </c>
      <c r="B9433" s="0" t="s">
        <v>89</v>
      </c>
      <c r="C9433" s="0" t="str">
        <f aca="false">INDEX(Intent_Analysis!$B$5:$B$81,MATCH(B9433,Intent_Analysis!$A$5:$A$81,0))</f>
        <v>Fees &amp; charges</v>
      </c>
      <c r="D9433" s="0" t="n">
        <f aca="false">INDEX(Intent_Analysis!$E$5:$E$81,MATCH(B9433,Intent_Analysis!$A$5:$A$81,0))</f>
        <v>1</v>
      </c>
    </row>
    <row r="9434" customFormat="false" ht="15" hidden="false" customHeight="false" outlineLevel="0" collapsed="false">
      <c r="A9434" s="0" t="s">
        <v>9758</v>
      </c>
      <c r="B9434" s="0" t="s">
        <v>89</v>
      </c>
      <c r="C9434" s="0" t="str">
        <f aca="false">INDEX(Intent_Analysis!$B$5:$B$81,MATCH(B9434,Intent_Analysis!$A$5:$A$81,0))</f>
        <v>Fees &amp; charges</v>
      </c>
      <c r="D9434" s="0" t="n">
        <f aca="false">INDEX(Intent_Analysis!$E$5:$E$81,MATCH(B9434,Intent_Analysis!$A$5:$A$81,0))</f>
        <v>1</v>
      </c>
    </row>
    <row r="9435" customFormat="false" ht="15" hidden="false" customHeight="false" outlineLevel="0" collapsed="false">
      <c r="A9435" s="0" t="s">
        <v>9759</v>
      </c>
      <c r="B9435" s="0" t="s">
        <v>89</v>
      </c>
      <c r="C9435" s="0" t="str">
        <f aca="false">INDEX(Intent_Analysis!$B$5:$B$81,MATCH(B9435,Intent_Analysis!$A$5:$A$81,0))</f>
        <v>Fees &amp; charges</v>
      </c>
      <c r="D9435" s="0" t="n">
        <f aca="false">INDEX(Intent_Analysis!$E$5:$E$81,MATCH(B9435,Intent_Analysis!$A$5:$A$81,0))</f>
        <v>1</v>
      </c>
    </row>
    <row r="9436" customFormat="false" ht="15" hidden="false" customHeight="false" outlineLevel="0" collapsed="false">
      <c r="A9436" s="0" t="s">
        <v>9760</v>
      </c>
      <c r="B9436" s="0" t="s">
        <v>89</v>
      </c>
      <c r="C9436" s="0" t="str">
        <f aca="false">INDEX(Intent_Analysis!$B$5:$B$81,MATCH(B9436,Intent_Analysis!$A$5:$A$81,0))</f>
        <v>Fees &amp; charges</v>
      </c>
      <c r="D9436" s="0" t="n">
        <f aca="false">INDEX(Intent_Analysis!$E$5:$E$81,MATCH(B9436,Intent_Analysis!$A$5:$A$81,0))</f>
        <v>1</v>
      </c>
    </row>
    <row r="9437" customFormat="false" ht="15" hidden="false" customHeight="false" outlineLevel="0" collapsed="false">
      <c r="A9437" s="0" t="s">
        <v>9761</v>
      </c>
      <c r="B9437" s="0" t="s">
        <v>89</v>
      </c>
      <c r="C9437" s="0" t="str">
        <f aca="false">INDEX(Intent_Analysis!$B$5:$B$81,MATCH(B9437,Intent_Analysis!$A$5:$A$81,0))</f>
        <v>Fees &amp; charges</v>
      </c>
      <c r="D9437" s="0" t="n">
        <f aca="false">INDEX(Intent_Analysis!$E$5:$E$81,MATCH(B9437,Intent_Analysis!$A$5:$A$81,0))</f>
        <v>1</v>
      </c>
    </row>
    <row r="9438" customFormat="false" ht="15" hidden="false" customHeight="false" outlineLevel="0" collapsed="false">
      <c r="A9438" s="0" t="s">
        <v>9762</v>
      </c>
      <c r="B9438" s="0" t="s">
        <v>89</v>
      </c>
      <c r="C9438" s="0" t="str">
        <f aca="false">INDEX(Intent_Analysis!$B$5:$B$81,MATCH(B9438,Intent_Analysis!$A$5:$A$81,0))</f>
        <v>Fees &amp; charges</v>
      </c>
      <c r="D9438" s="0" t="n">
        <f aca="false">INDEX(Intent_Analysis!$E$5:$E$81,MATCH(B9438,Intent_Analysis!$A$5:$A$81,0))</f>
        <v>1</v>
      </c>
    </row>
    <row r="9439" customFormat="false" ht="15" hidden="false" customHeight="false" outlineLevel="0" collapsed="false">
      <c r="A9439" s="0" t="s">
        <v>9763</v>
      </c>
      <c r="B9439" s="0" t="s">
        <v>89</v>
      </c>
      <c r="C9439" s="0" t="str">
        <f aca="false">INDEX(Intent_Analysis!$B$5:$B$81,MATCH(B9439,Intent_Analysis!$A$5:$A$81,0))</f>
        <v>Fees &amp; charges</v>
      </c>
      <c r="D9439" s="0" t="n">
        <f aca="false">INDEX(Intent_Analysis!$E$5:$E$81,MATCH(B9439,Intent_Analysis!$A$5:$A$81,0))</f>
        <v>1</v>
      </c>
    </row>
    <row r="9440" customFormat="false" ht="15" hidden="false" customHeight="false" outlineLevel="0" collapsed="false">
      <c r="A9440" s="0" t="s">
        <v>9764</v>
      </c>
      <c r="B9440" s="0" t="s">
        <v>89</v>
      </c>
      <c r="C9440" s="0" t="str">
        <f aca="false">INDEX(Intent_Analysis!$B$5:$B$81,MATCH(B9440,Intent_Analysis!$A$5:$A$81,0))</f>
        <v>Fees &amp; charges</v>
      </c>
      <c r="D9440" s="0" t="n">
        <f aca="false">INDEX(Intent_Analysis!$E$5:$E$81,MATCH(B9440,Intent_Analysis!$A$5:$A$81,0))</f>
        <v>1</v>
      </c>
    </row>
    <row r="9441" customFormat="false" ht="15" hidden="false" customHeight="false" outlineLevel="0" collapsed="false">
      <c r="A9441" s="0" t="s">
        <v>9765</v>
      </c>
      <c r="B9441" s="0" t="s">
        <v>89</v>
      </c>
      <c r="C9441" s="0" t="str">
        <f aca="false">INDEX(Intent_Analysis!$B$5:$B$81,MATCH(B9441,Intent_Analysis!$A$5:$A$81,0))</f>
        <v>Fees &amp; charges</v>
      </c>
      <c r="D9441" s="0" t="n">
        <f aca="false">INDEX(Intent_Analysis!$E$5:$E$81,MATCH(B9441,Intent_Analysis!$A$5:$A$81,0))</f>
        <v>1</v>
      </c>
    </row>
    <row r="9442" customFormat="false" ht="15" hidden="false" customHeight="false" outlineLevel="0" collapsed="false">
      <c r="A9442" s="0" t="s">
        <v>9766</v>
      </c>
      <c r="B9442" s="0" t="s">
        <v>89</v>
      </c>
      <c r="C9442" s="0" t="str">
        <f aca="false">INDEX(Intent_Analysis!$B$5:$B$81,MATCH(B9442,Intent_Analysis!$A$5:$A$81,0))</f>
        <v>Fees &amp; charges</v>
      </c>
      <c r="D9442" s="0" t="n">
        <f aca="false">INDEX(Intent_Analysis!$E$5:$E$81,MATCH(B9442,Intent_Analysis!$A$5:$A$81,0))</f>
        <v>1</v>
      </c>
    </row>
    <row r="9443" customFormat="false" ht="15" hidden="false" customHeight="false" outlineLevel="0" collapsed="false">
      <c r="A9443" s="0" t="s">
        <v>9767</v>
      </c>
      <c r="B9443" s="0" t="s">
        <v>89</v>
      </c>
      <c r="C9443" s="0" t="str">
        <f aca="false">INDEX(Intent_Analysis!$B$5:$B$81,MATCH(B9443,Intent_Analysis!$A$5:$A$81,0))</f>
        <v>Fees &amp; charges</v>
      </c>
      <c r="D9443" s="0" t="n">
        <f aca="false">INDEX(Intent_Analysis!$E$5:$E$81,MATCH(B9443,Intent_Analysis!$A$5:$A$81,0))</f>
        <v>1</v>
      </c>
    </row>
    <row r="9444" customFormat="false" ht="15" hidden="false" customHeight="false" outlineLevel="0" collapsed="false">
      <c r="A9444" s="0" t="s">
        <v>9768</v>
      </c>
      <c r="B9444" s="0" t="s">
        <v>89</v>
      </c>
      <c r="C9444" s="0" t="str">
        <f aca="false">INDEX(Intent_Analysis!$B$5:$B$81,MATCH(B9444,Intent_Analysis!$A$5:$A$81,0))</f>
        <v>Fees &amp; charges</v>
      </c>
      <c r="D9444" s="0" t="n">
        <f aca="false">INDEX(Intent_Analysis!$E$5:$E$81,MATCH(B9444,Intent_Analysis!$A$5:$A$81,0))</f>
        <v>1</v>
      </c>
    </row>
    <row r="9445" customFormat="false" ht="15" hidden="false" customHeight="false" outlineLevel="0" collapsed="false">
      <c r="A9445" s="0" t="s">
        <v>9769</v>
      </c>
      <c r="B9445" s="0" t="s">
        <v>89</v>
      </c>
      <c r="C9445" s="0" t="str">
        <f aca="false">INDEX(Intent_Analysis!$B$5:$B$81,MATCH(B9445,Intent_Analysis!$A$5:$A$81,0))</f>
        <v>Fees &amp; charges</v>
      </c>
      <c r="D9445" s="0" t="n">
        <f aca="false">INDEX(Intent_Analysis!$E$5:$E$81,MATCH(B9445,Intent_Analysis!$A$5:$A$81,0))</f>
        <v>1</v>
      </c>
    </row>
    <row r="9446" customFormat="false" ht="15" hidden="false" customHeight="false" outlineLevel="0" collapsed="false">
      <c r="A9446" s="0" t="s">
        <v>9770</v>
      </c>
      <c r="B9446" s="0" t="s">
        <v>89</v>
      </c>
      <c r="C9446" s="0" t="str">
        <f aca="false">INDEX(Intent_Analysis!$B$5:$B$81,MATCH(B9446,Intent_Analysis!$A$5:$A$81,0))</f>
        <v>Fees &amp; charges</v>
      </c>
      <c r="D9446" s="0" t="n">
        <f aca="false">INDEX(Intent_Analysis!$E$5:$E$81,MATCH(B9446,Intent_Analysis!$A$5:$A$81,0))</f>
        <v>1</v>
      </c>
    </row>
    <row r="9447" customFormat="false" ht="15" hidden="false" customHeight="false" outlineLevel="0" collapsed="false">
      <c r="A9447" s="0" t="s">
        <v>9771</v>
      </c>
      <c r="B9447" s="0" t="s">
        <v>89</v>
      </c>
      <c r="C9447" s="0" t="str">
        <f aca="false">INDEX(Intent_Analysis!$B$5:$B$81,MATCH(B9447,Intent_Analysis!$A$5:$A$81,0))</f>
        <v>Fees &amp; charges</v>
      </c>
      <c r="D9447" s="0" t="n">
        <f aca="false">INDEX(Intent_Analysis!$E$5:$E$81,MATCH(B9447,Intent_Analysis!$A$5:$A$81,0))</f>
        <v>1</v>
      </c>
    </row>
    <row r="9448" customFormat="false" ht="15" hidden="false" customHeight="false" outlineLevel="0" collapsed="false">
      <c r="A9448" s="0" t="s">
        <v>9772</v>
      </c>
      <c r="B9448" s="0" t="s">
        <v>89</v>
      </c>
      <c r="C9448" s="0" t="str">
        <f aca="false">INDEX(Intent_Analysis!$B$5:$B$81,MATCH(B9448,Intent_Analysis!$A$5:$A$81,0))</f>
        <v>Fees &amp; charges</v>
      </c>
      <c r="D9448" s="0" t="n">
        <f aca="false">INDEX(Intent_Analysis!$E$5:$E$81,MATCH(B9448,Intent_Analysis!$A$5:$A$81,0))</f>
        <v>1</v>
      </c>
    </row>
    <row r="9449" customFormat="false" ht="15" hidden="false" customHeight="false" outlineLevel="0" collapsed="false">
      <c r="A9449" s="0" t="s">
        <v>9773</v>
      </c>
      <c r="B9449" s="0" t="s">
        <v>89</v>
      </c>
      <c r="C9449" s="0" t="str">
        <f aca="false">INDEX(Intent_Analysis!$B$5:$B$81,MATCH(B9449,Intent_Analysis!$A$5:$A$81,0))</f>
        <v>Fees &amp; charges</v>
      </c>
      <c r="D9449" s="0" t="n">
        <f aca="false">INDEX(Intent_Analysis!$E$5:$E$81,MATCH(B9449,Intent_Analysis!$A$5:$A$81,0))</f>
        <v>1</v>
      </c>
    </row>
    <row r="9450" customFormat="false" ht="15" hidden="false" customHeight="false" outlineLevel="0" collapsed="false">
      <c r="A9450" s="0" t="s">
        <v>9774</v>
      </c>
      <c r="B9450" s="0" t="s">
        <v>89</v>
      </c>
      <c r="C9450" s="0" t="str">
        <f aca="false">INDEX(Intent_Analysis!$B$5:$B$81,MATCH(B9450,Intent_Analysis!$A$5:$A$81,0))</f>
        <v>Fees &amp; charges</v>
      </c>
      <c r="D9450" s="0" t="n">
        <f aca="false">INDEX(Intent_Analysis!$E$5:$E$81,MATCH(B9450,Intent_Analysis!$A$5:$A$81,0))</f>
        <v>1</v>
      </c>
    </row>
    <row r="9451" customFormat="false" ht="15" hidden="false" customHeight="false" outlineLevel="0" collapsed="false">
      <c r="A9451" s="0" t="s">
        <v>9775</v>
      </c>
      <c r="B9451" s="0" t="s">
        <v>89</v>
      </c>
      <c r="C9451" s="0" t="str">
        <f aca="false">INDEX(Intent_Analysis!$B$5:$B$81,MATCH(B9451,Intent_Analysis!$A$5:$A$81,0))</f>
        <v>Fees &amp; charges</v>
      </c>
      <c r="D9451" s="0" t="n">
        <f aca="false">INDEX(Intent_Analysis!$E$5:$E$81,MATCH(B9451,Intent_Analysis!$A$5:$A$81,0))</f>
        <v>1</v>
      </c>
    </row>
    <row r="9452" customFormat="false" ht="15" hidden="false" customHeight="false" outlineLevel="0" collapsed="false">
      <c r="A9452" s="0" t="s">
        <v>9776</v>
      </c>
      <c r="B9452" s="0" t="s">
        <v>89</v>
      </c>
      <c r="C9452" s="0" t="str">
        <f aca="false">INDEX(Intent_Analysis!$B$5:$B$81,MATCH(B9452,Intent_Analysis!$A$5:$A$81,0))</f>
        <v>Fees &amp; charges</v>
      </c>
      <c r="D9452" s="0" t="n">
        <f aca="false">INDEX(Intent_Analysis!$E$5:$E$81,MATCH(B9452,Intent_Analysis!$A$5:$A$81,0))</f>
        <v>1</v>
      </c>
    </row>
    <row r="9453" customFormat="false" ht="15" hidden="false" customHeight="false" outlineLevel="0" collapsed="false">
      <c r="A9453" s="0" t="s">
        <v>9777</v>
      </c>
      <c r="B9453" s="0" t="s">
        <v>89</v>
      </c>
      <c r="C9453" s="0" t="str">
        <f aca="false">INDEX(Intent_Analysis!$B$5:$B$81,MATCH(B9453,Intent_Analysis!$A$5:$A$81,0))</f>
        <v>Fees &amp; charges</v>
      </c>
      <c r="D9453" s="0" t="n">
        <f aca="false">INDEX(Intent_Analysis!$E$5:$E$81,MATCH(B9453,Intent_Analysis!$A$5:$A$81,0))</f>
        <v>1</v>
      </c>
    </row>
    <row r="9454" customFormat="false" ht="15" hidden="false" customHeight="false" outlineLevel="0" collapsed="false">
      <c r="A9454" s="0" t="s">
        <v>9778</v>
      </c>
      <c r="B9454" s="0" t="s">
        <v>89</v>
      </c>
      <c r="C9454" s="0" t="str">
        <f aca="false">INDEX(Intent_Analysis!$B$5:$B$81,MATCH(B9454,Intent_Analysis!$A$5:$A$81,0))</f>
        <v>Fees &amp; charges</v>
      </c>
      <c r="D9454" s="0" t="n">
        <f aca="false">INDEX(Intent_Analysis!$E$5:$E$81,MATCH(B9454,Intent_Analysis!$A$5:$A$81,0))</f>
        <v>1</v>
      </c>
    </row>
    <row r="9455" customFormat="false" ht="15" hidden="false" customHeight="false" outlineLevel="0" collapsed="false">
      <c r="A9455" s="0" t="s">
        <v>9779</v>
      </c>
      <c r="B9455" s="0" t="s">
        <v>89</v>
      </c>
      <c r="C9455" s="0" t="str">
        <f aca="false">INDEX(Intent_Analysis!$B$5:$B$81,MATCH(B9455,Intent_Analysis!$A$5:$A$81,0))</f>
        <v>Fees &amp; charges</v>
      </c>
      <c r="D9455" s="0" t="n">
        <f aca="false">INDEX(Intent_Analysis!$E$5:$E$81,MATCH(B9455,Intent_Analysis!$A$5:$A$81,0))</f>
        <v>1</v>
      </c>
    </row>
    <row r="9456" customFormat="false" ht="15" hidden="false" customHeight="false" outlineLevel="0" collapsed="false">
      <c r="A9456" s="0" t="s">
        <v>9780</v>
      </c>
      <c r="B9456" s="0" t="s">
        <v>89</v>
      </c>
      <c r="C9456" s="0" t="str">
        <f aca="false">INDEX(Intent_Analysis!$B$5:$B$81,MATCH(B9456,Intent_Analysis!$A$5:$A$81,0))</f>
        <v>Fees &amp; charges</v>
      </c>
      <c r="D9456" s="0" t="n">
        <f aca="false">INDEX(Intent_Analysis!$E$5:$E$81,MATCH(B9456,Intent_Analysis!$A$5:$A$81,0))</f>
        <v>1</v>
      </c>
    </row>
    <row r="9457" customFormat="false" ht="15" hidden="false" customHeight="false" outlineLevel="0" collapsed="false">
      <c r="A9457" s="0" t="s">
        <v>9781</v>
      </c>
      <c r="B9457" s="0" t="s">
        <v>89</v>
      </c>
      <c r="C9457" s="0" t="str">
        <f aca="false">INDEX(Intent_Analysis!$B$5:$B$81,MATCH(B9457,Intent_Analysis!$A$5:$A$81,0))</f>
        <v>Fees &amp; charges</v>
      </c>
      <c r="D9457" s="0" t="n">
        <f aca="false">INDEX(Intent_Analysis!$E$5:$E$81,MATCH(B9457,Intent_Analysis!$A$5:$A$81,0))</f>
        <v>1</v>
      </c>
    </row>
    <row r="9458" customFormat="false" ht="15" hidden="false" customHeight="false" outlineLevel="0" collapsed="false">
      <c r="A9458" s="0" t="s">
        <v>9782</v>
      </c>
      <c r="B9458" s="0" t="s">
        <v>89</v>
      </c>
      <c r="C9458" s="0" t="str">
        <f aca="false">INDEX(Intent_Analysis!$B$5:$B$81,MATCH(B9458,Intent_Analysis!$A$5:$A$81,0))</f>
        <v>Fees &amp; charges</v>
      </c>
      <c r="D9458" s="0" t="n">
        <f aca="false">INDEX(Intent_Analysis!$E$5:$E$81,MATCH(B9458,Intent_Analysis!$A$5:$A$81,0))</f>
        <v>1</v>
      </c>
    </row>
    <row r="9459" customFormat="false" ht="15" hidden="false" customHeight="false" outlineLevel="0" collapsed="false">
      <c r="A9459" s="0" t="s">
        <v>9783</v>
      </c>
      <c r="B9459" s="0" t="s">
        <v>89</v>
      </c>
      <c r="C9459" s="0" t="str">
        <f aca="false">INDEX(Intent_Analysis!$B$5:$B$81,MATCH(B9459,Intent_Analysis!$A$5:$A$81,0))</f>
        <v>Fees &amp; charges</v>
      </c>
      <c r="D9459" s="0" t="n">
        <f aca="false">INDEX(Intent_Analysis!$E$5:$E$81,MATCH(B9459,Intent_Analysis!$A$5:$A$81,0))</f>
        <v>1</v>
      </c>
    </row>
    <row r="9460" customFormat="false" ht="15" hidden="false" customHeight="false" outlineLevel="0" collapsed="false">
      <c r="A9460" s="0" t="s">
        <v>9784</v>
      </c>
      <c r="B9460" s="0" t="s">
        <v>89</v>
      </c>
      <c r="C9460" s="0" t="str">
        <f aca="false">INDEX(Intent_Analysis!$B$5:$B$81,MATCH(B9460,Intent_Analysis!$A$5:$A$81,0))</f>
        <v>Fees &amp; charges</v>
      </c>
      <c r="D9460" s="0" t="n">
        <f aca="false">INDEX(Intent_Analysis!$E$5:$E$81,MATCH(B9460,Intent_Analysis!$A$5:$A$81,0))</f>
        <v>1</v>
      </c>
    </row>
    <row r="9461" customFormat="false" ht="15" hidden="false" customHeight="false" outlineLevel="0" collapsed="false">
      <c r="A9461" s="0" t="s">
        <v>9785</v>
      </c>
      <c r="B9461" s="0" t="s">
        <v>89</v>
      </c>
      <c r="C9461" s="0" t="str">
        <f aca="false">INDEX(Intent_Analysis!$B$5:$B$81,MATCH(B9461,Intent_Analysis!$A$5:$A$81,0))</f>
        <v>Fees &amp; charges</v>
      </c>
      <c r="D9461" s="0" t="n">
        <f aca="false">INDEX(Intent_Analysis!$E$5:$E$81,MATCH(B9461,Intent_Analysis!$A$5:$A$81,0))</f>
        <v>1</v>
      </c>
    </row>
    <row r="9462" customFormat="false" ht="15" hidden="false" customHeight="false" outlineLevel="0" collapsed="false">
      <c r="A9462" s="0" t="s">
        <v>9786</v>
      </c>
      <c r="B9462" s="0" t="s">
        <v>89</v>
      </c>
      <c r="C9462" s="0" t="str">
        <f aca="false">INDEX(Intent_Analysis!$B$5:$B$81,MATCH(B9462,Intent_Analysis!$A$5:$A$81,0))</f>
        <v>Fees &amp; charges</v>
      </c>
      <c r="D9462" s="0" t="n">
        <f aca="false">INDEX(Intent_Analysis!$E$5:$E$81,MATCH(B9462,Intent_Analysis!$A$5:$A$81,0))</f>
        <v>1</v>
      </c>
    </row>
    <row r="9463" customFormat="false" ht="15" hidden="false" customHeight="false" outlineLevel="0" collapsed="false">
      <c r="A9463" s="0" t="s">
        <v>9787</v>
      </c>
      <c r="B9463" s="0" t="s">
        <v>89</v>
      </c>
      <c r="C9463" s="0" t="str">
        <f aca="false">INDEX(Intent_Analysis!$B$5:$B$81,MATCH(B9463,Intent_Analysis!$A$5:$A$81,0))</f>
        <v>Fees &amp; charges</v>
      </c>
      <c r="D9463" s="0" t="n">
        <f aca="false">INDEX(Intent_Analysis!$E$5:$E$81,MATCH(B9463,Intent_Analysis!$A$5:$A$81,0))</f>
        <v>1</v>
      </c>
    </row>
    <row r="9464" customFormat="false" ht="15" hidden="false" customHeight="false" outlineLevel="0" collapsed="false">
      <c r="A9464" s="0" t="s">
        <v>9788</v>
      </c>
      <c r="B9464" s="0" t="s">
        <v>89</v>
      </c>
      <c r="C9464" s="0" t="str">
        <f aca="false">INDEX(Intent_Analysis!$B$5:$B$81,MATCH(B9464,Intent_Analysis!$A$5:$A$81,0))</f>
        <v>Fees &amp; charges</v>
      </c>
      <c r="D9464" s="0" t="n">
        <f aca="false">INDEX(Intent_Analysis!$E$5:$E$81,MATCH(B9464,Intent_Analysis!$A$5:$A$81,0))</f>
        <v>1</v>
      </c>
    </row>
    <row r="9465" customFormat="false" ht="15" hidden="false" customHeight="false" outlineLevel="0" collapsed="false">
      <c r="A9465" s="0" t="s">
        <v>9789</v>
      </c>
      <c r="B9465" s="0" t="s">
        <v>89</v>
      </c>
      <c r="C9465" s="0" t="str">
        <f aca="false">INDEX(Intent_Analysis!$B$5:$B$81,MATCH(B9465,Intent_Analysis!$A$5:$A$81,0))</f>
        <v>Fees &amp; charges</v>
      </c>
      <c r="D9465" s="0" t="n">
        <f aca="false">INDEX(Intent_Analysis!$E$5:$E$81,MATCH(B9465,Intent_Analysis!$A$5:$A$81,0))</f>
        <v>1</v>
      </c>
    </row>
    <row r="9466" customFormat="false" ht="15" hidden="false" customHeight="false" outlineLevel="0" collapsed="false">
      <c r="A9466" s="0" t="s">
        <v>9790</v>
      </c>
      <c r="B9466" s="0" t="s">
        <v>89</v>
      </c>
      <c r="C9466" s="0" t="str">
        <f aca="false">INDEX(Intent_Analysis!$B$5:$B$81,MATCH(B9466,Intent_Analysis!$A$5:$A$81,0))</f>
        <v>Fees &amp; charges</v>
      </c>
      <c r="D9466" s="0" t="n">
        <f aca="false">INDEX(Intent_Analysis!$E$5:$E$81,MATCH(B9466,Intent_Analysis!$A$5:$A$81,0))</f>
        <v>1</v>
      </c>
    </row>
    <row r="9467" customFormat="false" ht="15" hidden="false" customHeight="false" outlineLevel="0" collapsed="false">
      <c r="A9467" s="0" t="s">
        <v>9791</v>
      </c>
      <c r="B9467" s="0" t="s">
        <v>89</v>
      </c>
      <c r="C9467" s="0" t="str">
        <f aca="false">INDEX(Intent_Analysis!$B$5:$B$81,MATCH(B9467,Intent_Analysis!$A$5:$A$81,0))</f>
        <v>Fees &amp; charges</v>
      </c>
      <c r="D9467" s="0" t="n">
        <f aca="false">INDEX(Intent_Analysis!$E$5:$E$81,MATCH(B9467,Intent_Analysis!$A$5:$A$81,0))</f>
        <v>1</v>
      </c>
    </row>
    <row r="9468" customFormat="false" ht="15" hidden="false" customHeight="false" outlineLevel="0" collapsed="false">
      <c r="A9468" s="0" t="s">
        <v>9792</v>
      </c>
      <c r="B9468" s="0" t="s">
        <v>89</v>
      </c>
      <c r="C9468" s="0" t="str">
        <f aca="false">INDEX(Intent_Analysis!$B$5:$B$81,MATCH(B9468,Intent_Analysis!$A$5:$A$81,0))</f>
        <v>Fees &amp; charges</v>
      </c>
      <c r="D9468" s="0" t="n">
        <f aca="false">INDEX(Intent_Analysis!$E$5:$E$81,MATCH(B9468,Intent_Analysis!$A$5:$A$81,0))</f>
        <v>1</v>
      </c>
    </row>
    <row r="9469" customFormat="false" ht="15" hidden="false" customHeight="false" outlineLevel="0" collapsed="false">
      <c r="A9469" s="0" t="s">
        <v>9793</v>
      </c>
      <c r="B9469" s="0" t="s">
        <v>89</v>
      </c>
      <c r="C9469" s="0" t="str">
        <f aca="false">INDEX(Intent_Analysis!$B$5:$B$81,MATCH(B9469,Intent_Analysis!$A$5:$A$81,0))</f>
        <v>Fees &amp; charges</v>
      </c>
      <c r="D9469" s="0" t="n">
        <f aca="false">INDEX(Intent_Analysis!$E$5:$E$81,MATCH(B9469,Intent_Analysis!$A$5:$A$81,0))</f>
        <v>1</v>
      </c>
    </row>
    <row r="9470" customFormat="false" ht="15" hidden="false" customHeight="false" outlineLevel="0" collapsed="false">
      <c r="A9470" s="0" t="s">
        <v>9794</v>
      </c>
      <c r="B9470" s="0" t="s">
        <v>89</v>
      </c>
      <c r="C9470" s="0" t="str">
        <f aca="false">INDEX(Intent_Analysis!$B$5:$B$81,MATCH(B9470,Intent_Analysis!$A$5:$A$81,0))</f>
        <v>Fees &amp; charges</v>
      </c>
      <c r="D9470" s="0" t="n">
        <f aca="false">INDEX(Intent_Analysis!$E$5:$E$81,MATCH(B9470,Intent_Analysis!$A$5:$A$81,0))</f>
        <v>1</v>
      </c>
    </row>
    <row r="9471" customFormat="false" ht="15" hidden="false" customHeight="false" outlineLevel="0" collapsed="false">
      <c r="A9471" s="0" t="s">
        <v>9795</v>
      </c>
      <c r="B9471" s="0" t="s">
        <v>89</v>
      </c>
      <c r="C9471" s="0" t="str">
        <f aca="false">INDEX(Intent_Analysis!$B$5:$B$81,MATCH(B9471,Intent_Analysis!$A$5:$A$81,0))</f>
        <v>Fees &amp; charges</v>
      </c>
      <c r="D9471" s="0" t="n">
        <f aca="false">INDEX(Intent_Analysis!$E$5:$E$81,MATCH(B9471,Intent_Analysis!$A$5:$A$81,0))</f>
        <v>1</v>
      </c>
    </row>
    <row r="9472" customFormat="false" ht="15" hidden="false" customHeight="false" outlineLevel="0" collapsed="false">
      <c r="A9472" s="0" t="s">
        <v>9796</v>
      </c>
      <c r="B9472" s="0" t="s">
        <v>89</v>
      </c>
      <c r="C9472" s="0" t="str">
        <f aca="false">INDEX(Intent_Analysis!$B$5:$B$81,MATCH(B9472,Intent_Analysis!$A$5:$A$81,0))</f>
        <v>Fees &amp; charges</v>
      </c>
      <c r="D9472" s="0" t="n">
        <f aca="false">INDEX(Intent_Analysis!$E$5:$E$81,MATCH(B9472,Intent_Analysis!$A$5:$A$81,0))</f>
        <v>1</v>
      </c>
    </row>
    <row r="9473" customFormat="false" ht="15" hidden="false" customHeight="false" outlineLevel="0" collapsed="false">
      <c r="A9473" s="0" t="s">
        <v>9797</v>
      </c>
      <c r="B9473" s="0" t="s">
        <v>89</v>
      </c>
      <c r="C9473" s="0" t="str">
        <f aca="false">INDEX(Intent_Analysis!$B$5:$B$81,MATCH(B9473,Intent_Analysis!$A$5:$A$81,0))</f>
        <v>Fees &amp; charges</v>
      </c>
      <c r="D9473" s="0" t="n">
        <f aca="false">INDEX(Intent_Analysis!$E$5:$E$81,MATCH(B9473,Intent_Analysis!$A$5:$A$81,0))</f>
        <v>1</v>
      </c>
    </row>
    <row r="9474" customFormat="false" ht="15" hidden="false" customHeight="false" outlineLevel="0" collapsed="false">
      <c r="A9474" s="0" t="s">
        <v>9798</v>
      </c>
      <c r="B9474" s="0" t="s">
        <v>89</v>
      </c>
      <c r="C9474" s="0" t="str">
        <f aca="false">INDEX(Intent_Analysis!$B$5:$B$81,MATCH(B9474,Intent_Analysis!$A$5:$A$81,0))</f>
        <v>Fees &amp; charges</v>
      </c>
      <c r="D9474" s="0" t="n">
        <f aca="false">INDEX(Intent_Analysis!$E$5:$E$81,MATCH(B9474,Intent_Analysis!$A$5:$A$81,0))</f>
        <v>1</v>
      </c>
    </row>
    <row r="9475" customFormat="false" ht="15" hidden="false" customHeight="false" outlineLevel="0" collapsed="false">
      <c r="A9475" s="0" t="s">
        <v>9799</v>
      </c>
      <c r="B9475" s="0" t="s">
        <v>89</v>
      </c>
      <c r="C9475" s="0" t="str">
        <f aca="false">INDEX(Intent_Analysis!$B$5:$B$81,MATCH(B9475,Intent_Analysis!$A$5:$A$81,0))</f>
        <v>Fees &amp; charges</v>
      </c>
      <c r="D9475" s="0" t="n">
        <f aca="false">INDEX(Intent_Analysis!$E$5:$E$81,MATCH(B9475,Intent_Analysis!$A$5:$A$81,0))</f>
        <v>1</v>
      </c>
    </row>
    <row r="9476" customFormat="false" ht="15" hidden="false" customHeight="false" outlineLevel="0" collapsed="false">
      <c r="A9476" s="0" t="s">
        <v>9800</v>
      </c>
      <c r="B9476" s="0" t="s">
        <v>89</v>
      </c>
      <c r="C9476" s="0" t="str">
        <f aca="false">INDEX(Intent_Analysis!$B$5:$B$81,MATCH(B9476,Intent_Analysis!$A$5:$A$81,0))</f>
        <v>Fees &amp; charges</v>
      </c>
      <c r="D9476" s="0" t="n">
        <f aca="false">INDEX(Intent_Analysis!$E$5:$E$81,MATCH(B9476,Intent_Analysis!$A$5:$A$81,0))</f>
        <v>1</v>
      </c>
    </row>
    <row r="9477" customFormat="false" ht="15" hidden="false" customHeight="false" outlineLevel="0" collapsed="false">
      <c r="A9477" s="0" t="s">
        <v>9801</v>
      </c>
      <c r="B9477" s="0" t="s">
        <v>89</v>
      </c>
      <c r="C9477" s="0" t="str">
        <f aca="false">INDEX(Intent_Analysis!$B$5:$B$81,MATCH(B9477,Intent_Analysis!$A$5:$A$81,0))</f>
        <v>Fees &amp; charges</v>
      </c>
      <c r="D9477" s="0" t="n">
        <f aca="false">INDEX(Intent_Analysis!$E$5:$E$81,MATCH(B9477,Intent_Analysis!$A$5:$A$81,0))</f>
        <v>1</v>
      </c>
    </row>
    <row r="9478" customFormat="false" ht="15" hidden="false" customHeight="false" outlineLevel="0" collapsed="false">
      <c r="A9478" s="0" t="s">
        <v>9802</v>
      </c>
      <c r="B9478" s="0" t="s">
        <v>89</v>
      </c>
      <c r="C9478" s="0" t="str">
        <f aca="false">INDEX(Intent_Analysis!$B$5:$B$81,MATCH(B9478,Intent_Analysis!$A$5:$A$81,0))</f>
        <v>Fees &amp; charges</v>
      </c>
      <c r="D9478" s="0" t="n">
        <f aca="false">INDEX(Intent_Analysis!$E$5:$E$81,MATCH(B9478,Intent_Analysis!$A$5:$A$81,0))</f>
        <v>1</v>
      </c>
    </row>
    <row r="9479" customFormat="false" ht="15" hidden="false" customHeight="false" outlineLevel="0" collapsed="false">
      <c r="A9479" s="0" t="s">
        <v>9803</v>
      </c>
      <c r="B9479" s="0" t="s">
        <v>89</v>
      </c>
      <c r="C9479" s="0" t="str">
        <f aca="false">INDEX(Intent_Analysis!$B$5:$B$81,MATCH(B9479,Intent_Analysis!$A$5:$A$81,0))</f>
        <v>Fees &amp; charges</v>
      </c>
      <c r="D9479" s="0" t="n">
        <f aca="false">INDEX(Intent_Analysis!$E$5:$E$81,MATCH(B9479,Intent_Analysis!$A$5:$A$81,0))</f>
        <v>1</v>
      </c>
    </row>
    <row r="9480" customFormat="false" ht="15" hidden="false" customHeight="false" outlineLevel="0" collapsed="false">
      <c r="A9480" s="0" t="s">
        <v>9804</v>
      </c>
      <c r="B9480" s="0" t="s">
        <v>89</v>
      </c>
      <c r="C9480" s="0" t="str">
        <f aca="false">INDEX(Intent_Analysis!$B$5:$B$81,MATCH(B9480,Intent_Analysis!$A$5:$A$81,0))</f>
        <v>Fees &amp; charges</v>
      </c>
      <c r="D9480" s="0" t="n">
        <f aca="false">INDEX(Intent_Analysis!$E$5:$E$81,MATCH(B9480,Intent_Analysis!$A$5:$A$81,0))</f>
        <v>1</v>
      </c>
    </row>
    <row r="9481" customFormat="false" ht="15" hidden="false" customHeight="false" outlineLevel="0" collapsed="false">
      <c r="A9481" s="0" t="s">
        <v>9805</v>
      </c>
      <c r="B9481" s="0" t="s">
        <v>89</v>
      </c>
      <c r="C9481" s="0" t="str">
        <f aca="false">INDEX(Intent_Analysis!$B$5:$B$81,MATCH(B9481,Intent_Analysis!$A$5:$A$81,0))</f>
        <v>Fees &amp; charges</v>
      </c>
      <c r="D9481" s="0" t="n">
        <f aca="false">INDEX(Intent_Analysis!$E$5:$E$81,MATCH(B9481,Intent_Analysis!$A$5:$A$81,0))</f>
        <v>1</v>
      </c>
    </row>
    <row r="9482" customFormat="false" ht="15" hidden="false" customHeight="false" outlineLevel="0" collapsed="false">
      <c r="A9482" s="0" t="s">
        <v>9806</v>
      </c>
      <c r="B9482" s="0" t="s">
        <v>89</v>
      </c>
      <c r="C9482" s="0" t="str">
        <f aca="false">INDEX(Intent_Analysis!$B$5:$B$81,MATCH(B9482,Intent_Analysis!$A$5:$A$81,0))</f>
        <v>Fees &amp; charges</v>
      </c>
      <c r="D9482" s="0" t="n">
        <f aca="false">INDEX(Intent_Analysis!$E$5:$E$81,MATCH(B9482,Intent_Analysis!$A$5:$A$81,0))</f>
        <v>1</v>
      </c>
    </row>
    <row r="9483" customFormat="false" ht="15" hidden="false" customHeight="false" outlineLevel="0" collapsed="false">
      <c r="A9483" s="0" t="s">
        <v>9807</v>
      </c>
      <c r="B9483" s="0" t="s">
        <v>89</v>
      </c>
      <c r="C9483" s="0" t="str">
        <f aca="false">INDEX(Intent_Analysis!$B$5:$B$81,MATCH(B9483,Intent_Analysis!$A$5:$A$81,0))</f>
        <v>Fees &amp; charges</v>
      </c>
      <c r="D9483" s="0" t="n">
        <f aca="false">INDEX(Intent_Analysis!$E$5:$E$81,MATCH(B9483,Intent_Analysis!$A$5:$A$81,0))</f>
        <v>1</v>
      </c>
    </row>
    <row r="9484" customFormat="false" ht="15" hidden="false" customHeight="false" outlineLevel="0" collapsed="false">
      <c r="A9484" s="0" t="s">
        <v>9808</v>
      </c>
      <c r="B9484" s="0" t="s">
        <v>89</v>
      </c>
      <c r="C9484" s="0" t="str">
        <f aca="false">INDEX(Intent_Analysis!$B$5:$B$81,MATCH(B9484,Intent_Analysis!$A$5:$A$81,0))</f>
        <v>Fees &amp; charges</v>
      </c>
      <c r="D9484" s="0" t="n">
        <f aca="false">INDEX(Intent_Analysis!$E$5:$E$81,MATCH(B9484,Intent_Analysis!$A$5:$A$81,0))</f>
        <v>1</v>
      </c>
    </row>
    <row r="9485" customFormat="false" ht="15" hidden="false" customHeight="false" outlineLevel="0" collapsed="false">
      <c r="A9485" s="0" t="s">
        <v>9809</v>
      </c>
      <c r="B9485" s="0" t="s">
        <v>89</v>
      </c>
      <c r="C9485" s="0" t="str">
        <f aca="false">INDEX(Intent_Analysis!$B$5:$B$81,MATCH(B9485,Intent_Analysis!$A$5:$A$81,0))</f>
        <v>Fees &amp; charges</v>
      </c>
      <c r="D9485" s="0" t="n">
        <f aca="false">INDEX(Intent_Analysis!$E$5:$E$81,MATCH(B9485,Intent_Analysis!$A$5:$A$81,0))</f>
        <v>1</v>
      </c>
    </row>
    <row r="9486" customFormat="false" ht="15" hidden="false" customHeight="false" outlineLevel="0" collapsed="false">
      <c r="A9486" s="0" t="s">
        <v>9810</v>
      </c>
      <c r="B9486" s="0" t="s">
        <v>89</v>
      </c>
      <c r="C9486" s="0" t="str">
        <f aca="false">INDEX(Intent_Analysis!$B$5:$B$81,MATCH(B9486,Intent_Analysis!$A$5:$A$81,0))</f>
        <v>Fees &amp; charges</v>
      </c>
      <c r="D9486" s="0" t="n">
        <f aca="false">INDEX(Intent_Analysis!$E$5:$E$81,MATCH(B9486,Intent_Analysis!$A$5:$A$81,0))</f>
        <v>1</v>
      </c>
    </row>
    <row r="9487" customFormat="false" ht="15" hidden="false" customHeight="false" outlineLevel="0" collapsed="false">
      <c r="A9487" s="0" t="s">
        <v>9811</v>
      </c>
      <c r="B9487" s="0" t="s">
        <v>89</v>
      </c>
      <c r="C9487" s="0" t="str">
        <f aca="false">INDEX(Intent_Analysis!$B$5:$B$81,MATCH(B9487,Intent_Analysis!$A$5:$A$81,0))</f>
        <v>Fees &amp; charges</v>
      </c>
      <c r="D9487" s="0" t="n">
        <f aca="false">INDEX(Intent_Analysis!$E$5:$E$81,MATCH(B9487,Intent_Analysis!$A$5:$A$81,0))</f>
        <v>1</v>
      </c>
    </row>
    <row r="9488" customFormat="false" ht="15" hidden="false" customHeight="false" outlineLevel="0" collapsed="false">
      <c r="A9488" s="0" t="s">
        <v>9812</v>
      </c>
      <c r="B9488" s="0" t="s">
        <v>89</v>
      </c>
      <c r="C9488" s="0" t="str">
        <f aca="false">INDEX(Intent_Analysis!$B$5:$B$81,MATCH(B9488,Intent_Analysis!$A$5:$A$81,0))</f>
        <v>Fees &amp; charges</v>
      </c>
      <c r="D9488" s="0" t="n">
        <f aca="false">INDEX(Intent_Analysis!$E$5:$E$81,MATCH(B9488,Intent_Analysis!$A$5:$A$81,0))</f>
        <v>1</v>
      </c>
    </row>
    <row r="9489" customFormat="false" ht="15" hidden="false" customHeight="false" outlineLevel="0" collapsed="false">
      <c r="A9489" s="0" t="s">
        <v>9813</v>
      </c>
      <c r="B9489" s="0" t="s">
        <v>89</v>
      </c>
      <c r="C9489" s="0" t="str">
        <f aca="false">INDEX(Intent_Analysis!$B$5:$B$81,MATCH(B9489,Intent_Analysis!$A$5:$A$81,0))</f>
        <v>Fees &amp; charges</v>
      </c>
      <c r="D9489" s="0" t="n">
        <f aca="false">INDEX(Intent_Analysis!$E$5:$E$81,MATCH(B9489,Intent_Analysis!$A$5:$A$81,0))</f>
        <v>1</v>
      </c>
    </row>
    <row r="9490" customFormat="false" ht="15" hidden="false" customHeight="false" outlineLevel="0" collapsed="false">
      <c r="A9490" s="0" t="s">
        <v>9814</v>
      </c>
      <c r="B9490" s="0" t="s">
        <v>89</v>
      </c>
      <c r="C9490" s="0" t="str">
        <f aca="false">INDEX(Intent_Analysis!$B$5:$B$81,MATCH(B9490,Intent_Analysis!$A$5:$A$81,0))</f>
        <v>Fees &amp; charges</v>
      </c>
      <c r="D9490" s="0" t="n">
        <f aca="false">INDEX(Intent_Analysis!$E$5:$E$81,MATCH(B9490,Intent_Analysis!$A$5:$A$81,0))</f>
        <v>1</v>
      </c>
    </row>
    <row r="9491" customFormat="false" ht="15" hidden="false" customHeight="false" outlineLevel="0" collapsed="false">
      <c r="A9491" s="0" t="s">
        <v>9815</v>
      </c>
      <c r="B9491" s="0" t="s">
        <v>89</v>
      </c>
      <c r="C9491" s="0" t="str">
        <f aca="false">INDEX(Intent_Analysis!$B$5:$B$81,MATCH(B9491,Intent_Analysis!$A$5:$A$81,0))</f>
        <v>Fees &amp; charges</v>
      </c>
      <c r="D9491" s="0" t="n">
        <f aca="false">INDEX(Intent_Analysis!$E$5:$E$81,MATCH(B9491,Intent_Analysis!$A$5:$A$81,0))</f>
        <v>1</v>
      </c>
    </row>
    <row r="9492" customFormat="false" ht="15" hidden="false" customHeight="false" outlineLevel="0" collapsed="false">
      <c r="A9492" s="0" t="s">
        <v>9816</v>
      </c>
      <c r="B9492" s="0" t="s">
        <v>89</v>
      </c>
      <c r="C9492" s="0" t="str">
        <f aca="false">INDEX(Intent_Analysis!$B$5:$B$81,MATCH(B9492,Intent_Analysis!$A$5:$A$81,0))</f>
        <v>Fees &amp; charges</v>
      </c>
      <c r="D9492" s="0" t="n">
        <f aca="false">INDEX(Intent_Analysis!$E$5:$E$81,MATCH(B9492,Intent_Analysis!$A$5:$A$81,0))</f>
        <v>1</v>
      </c>
    </row>
    <row r="9493" customFormat="false" ht="15" hidden="false" customHeight="false" outlineLevel="0" collapsed="false">
      <c r="A9493" s="0" t="s">
        <v>9817</v>
      </c>
      <c r="B9493" s="0" t="s">
        <v>89</v>
      </c>
      <c r="C9493" s="0" t="str">
        <f aca="false">INDEX(Intent_Analysis!$B$5:$B$81,MATCH(B9493,Intent_Analysis!$A$5:$A$81,0))</f>
        <v>Fees &amp; charges</v>
      </c>
      <c r="D9493" s="0" t="n">
        <f aca="false">INDEX(Intent_Analysis!$E$5:$E$81,MATCH(B9493,Intent_Analysis!$A$5:$A$81,0))</f>
        <v>1</v>
      </c>
    </row>
    <row r="9494" customFormat="false" ht="15" hidden="false" customHeight="false" outlineLevel="0" collapsed="false">
      <c r="A9494" s="0" t="s">
        <v>9818</v>
      </c>
      <c r="B9494" s="0" t="s">
        <v>89</v>
      </c>
      <c r="C9494" s="0" t="str">
        <f aca="false">INDEX(Intent_Analysis!$B$5:$B$81,MATCH(B9494,Intent_Analysis!$A$5:$A$81,0))</f>
        <v>Fees &amp; charges</v>
      </c>
      <c r="D9494" s="0" t="n">
        <f aca="false">INDEX(Intent_Analysis!$E$5:$E$81,MATCH(B9494,Intent_Analysis!$A$5:$A$81,0))</f>
        <v>1</v>
      </c>
    </row>
    <row r="9495" customFormat="false" ht="15" hidden="false" customHeight="false" outlineLevel="0" collapsed="false">
      <c r="A9495" s="0" t="s">
        <v>9819</v>
      </c>
      <c r="B9495" s="0" t="s">
        <v>89</v>
      </c>
      <c r="C9495" s="0" t="str">
        <f aca="false">INDEX(Intent_Analysis!$B$5:$B$81,MATCH(B9495,Intent_Analysis!$A$5:$A$81,0))</f>
        <v>Fees &amp; charges</v>
      </c>
      <c r="D9495" s="0" t="n">
        <f aca="false">INDEX(Intent_Analysis!$E$5:$E$81,MATCH(B9495,Intent_Analysis!$A$5:$A$81,0))</f>
        <v>1</v>
      </c>
    </row>
    <row r="9496" customFormat="false" ht="15" hidden="false" customHeight="false" outlineLevel="0" collapsed="false">
      <c r="A9496" s="0" t="s">
        <v>9820</v>
      </c>
      <c r="B9496" s="0" t="s">
        <v>89</v>
      </c>
      <c r="C9496" s="0" t="str">
        <f aca="false">INDEX(Intent_Analysis!$B$5:$B$81,MATCH(B9496,Intent_Analysis!$A$5:$A$81,0))</f>
        <v>Fees &amp; charges</v>
      </c>
      <c r="D9496" s="0" t="n">
        <f aca="false">INDEX(Intent_Analysis!$E$5:$E$81,MATCH(B9496,Intent_Analysis!$A$5:$A$81,0))</f>
        <v>1</v>
      </c>
    </row>
    <row r="9497" customFormat="false" ht="15" hidden="false" customHeight="false" outlineLevel="0" collapsed="false">
      <c r="A9497" s="0" t="s">
        <v>9821</v>
      </c>
      <c r="B9497" s="0" t="s">
        <v>89</v>
      </c>
      <c r="C9497" s="0" t="str">
        <f aca="false">INDEX(Intent_Analysis!$B$5:$B$81,MATCH(B9497,Intent_Analysis!$A$5:$A$81,0))</f>
        <v>Fees &amp; charges</v>
      </c>
      <c r="D9497" s="0" t="n">
        <f aca="false">INDEX(Intent_Analysis!$E$5:$E$81,MATCH(B9497,Intent_Analysis!$A$5:$A$81,0))</f>
        <v>1</v>
      </c>
    </row>
    <row r="9498" customFormat="false" ht="15" hidden="false" customHeight="false" outlineLevel="0" collapsed="false">
      <c r="A9498" s="0" t="s">
        <v>9822</v>
      </c>
      <c r="B9498" s="0" t="s">
        <v>89</v>
      </c>
      <c r="C9498" s="0" t="str">
        <f aca="false">INDEX(Intent_Analysis!$B$5:$B$81,MATCH(B9498,Intent_Analysis!$A$5:$A$81,0))</f>
        <v>Fees &amp; charges</v>
      </c>
      <c r="D9498" s="0" t="n">
        <f aca="false">INDEX(Intent_Analysis!$E$5:$E$81,MATCH(B9498,Intent_Analysis!$A$5:$A$81,0))</f>
        <v>1</v>
      </c>
    </row>
    <row r="9499" customFormat="false" ht="15" hidden="false" customHeight="false" outlineLevel="0" collapsed="false">
      <c r="A9499" s="0" t="s">
        <v>9823</v>
      </c>
      <c r="B9499" s="0" t="s">
        <v>89</v>
      </c>
      <c r="C9499" s="0" t="str">
        <f aca="false">INDEX(Intent_Analysis!$B$5:$B$81,MATCH(B9499,Intent_Analysis!$A$5:$A$81,0))</f>
        <v>Fees &amp; charges</v>
      </c>
      <c r="D9499" s="0" t="n">
        <f aca="false">INDEX(Intent_Analysis!$E$5:$E$81,MATCH(B9499,Intent_Analysis!$A$5:$A$81,0))</f>
        <v>1</v>
      </c>
    </row>
    <row r="9500" customFormat="false" ht="15" hidden="false" customHeight="false" outlineLevel="0" collapsed="false">
      <c r="A9500" s="0" t="s">
        <v>9824</v>
      </c>
      <c r="B9500" s="0" t="s">
        <v>89</v>
      </c>
      <c r="C9500" s="0" t="str">
        <f aca="false">INDEX(Intent_Analysis!$B$5:$B$81,MATCH(B9500,Intent_Analysis!$A$5:$A$81,0))</f>
        <v>Fees &amp; charges</v>
      </c>
      <c r="D9500" s="0" t="n">
        <f aca="false">INDEX(Intent_Analysis!$E$5:$E$81,MATCH(B9500,Intent_Analysis!$A$5:$A$81,0))</f>
        <v>1</v>
      </c>
    </row>
    <row r="9501" customFormat="false" ht="15" hidden="false" customHeight="false" outlineLevel="0" collapsed="false">
      <c r="A9501" s="0" t="s">
        <v>9825</v>
      </c>
      <c r="B9501" s="0" t="s">
        <v>89</v>
      </c>
      <c r="C9501" s="0" t="str">
        <f aca="false">INDEX(Intent_Analysis!$B$5:$B$81,MATCH(B9501,Intent_Analysis!$A$5:$A$81,0))</f>
        <v>Fees &amp; charges</v>
      </c>
      <c r="D9501" s="0" t="n">
        <f aca="false">INDEX(Intent_Analysis!$E$5:$E$81,MATCH(B9501,Intent_Analysis!$A$5:$A$81,0))</f>
        <v>1</v>
      </c>
    </row>
    <row r="9502" customFormat="false" ht="15" hidden="false" customHeight="false" outlineLevel="0" collapsed="false">
      <c r="A9502" s="0" t="s">
        <v>9826</v>
      </c>
      <c r="B9502" s="0" t="s">
        <v>89</v>
      </c>
      <c r="C9502" s="0" t="str">
        <f aca="false">INDEX(Intent_Analysis!$B$5:$B$81,MATCH(B9502,Intent_Analysis!$A$5:$A$81,0))</f>
        <v>Fees &amp; charges</v>
      </c>
      <c r="D9502" s="0" t="n">
        <f aca="false">INDEX(Intent_Analysis!$E$5:$E$81,MATCH(B9502,Intent_Analysis!$A$5:$A$81,0))</f>
        <v>1</v>
      </c>
    </row>
    <row r="9503" customFormat="false" ht="15" hidden="false" customHeight="false" outlineLevel="0" collapsed="false">
      <c r="A9503" s="0" t="s">
        <v>9827</v>
      </c>
      <c r="B9503" s="0" t="s">
        <v>89</v>
      </c>
      <c r="C9503" s="0" t="str">
        <f aca="false">INDEX(Intent_Analysis!$B$5:$B$81,MATCH(B9503,Intent_Analysis!$A$5:$A$81,0))</f>
        <v>Fees &amp; charges</v>
      </c>
      <c r="D9503" s="0" t="n">
        <f aca="false">INDEX(Intent_Analysis!$E$5:$E$81,MATCH(B9503,Intent_Analysis!$A$5:$A$81,0))</f>
        <v>1</v>
      </c>
    </row>
    <row r="9504" customFormat="false" ht="15" hidden="false" customHeight="false" outlineLevel="0" collapsed="false">
      <c r="A9504" s="0" t="s">
        <v>9828</v>
      </c>
      <c r="B9504" s="0" t="s">
        <v>89</v>
      </c>
      <c r="C9504" s="0" t="str">
        <f aca="false">INDEX(Intent_Analysis!$B$5:$B$81,MATCH(B9504,Intent_Analysis!$A$5:$A$81,0))</f>
        <v>Fees &amp; charges</v>
      </c>
      <c r="D9504" s="0" t="n">
        <f aca="false">INDEX(Intent_Analysis!$E$5:$E$81,MATCH(B9504,Intent_Analysis!$A$5:$A$81,0))</f>
        <v>1</v>
      </c>
    </row>
    <row r="9505" customFormat="false" ht="15" hidden="false" customHeight="false" outlineLevel="0" collapsed="false">
      <c r="A9505" s="0" t="s">
        <v>9829</v>
      </c>
      <c r="B9505" s="0" t="s">
        <v>89</v>
      </c>
      <c r="C9505" s="0" t="str">
        <f aca="false">INDEX(Intent_Analysis!$B$5:$B$81,MATCH(B9505,Intent_Analysis!$A$5:$A$81,0))</f>
        <v>Fees &amp; charges</v>
      </c>
      <c r="D9505" s="0" t="n">
        <f aca="false">INDEX(Intent_Analysis!$E$5:$E$81,MATCH(B9505,Intent_Analysis!$A$5:$A$81,0))</f>
        <v>1</v>
      </c>
    </row>
    <row r="9506" customFormat="false" ht="15" hidden="false" customHeight="false" outlineLevel="0" collapsed="false">
      <c r="A9506" s="0" t="s">
        <v>9830</v>
      </c>
      <c r="B9506" s="0" t="s">
        <v>89</v>
      </c>
      <c r="C9506" s="0" t="str">
        <f aca="false">INDEX(Intent_Analysis!$B$5:$B$81,MATCH(B9506,Intent_Analysis!$A$5:$A$81,0))</f>
        <v>Fees &amp; charges</v>
      </c>
      <c r="D9506" s="0" t="n">
        <f aca="false">INDEX(Intent_Analysis!$E$5:$E$81,MATCH(B9506,Intent_Analysis!$A$5:$A$81,0))</f>
        <v>1</v>
      </c>
    </row>
    <row r="9507" customFormat="false" ht="15" hidden="false" customHeight="false" outlineLevel="0" collapsed="false">
      <c r="A9507" s="0" t="s">
        <v>9831</v>
      </c>
      <c r="B9507" s="0" t="s">
        <v>89</v>
      </c>
      <c r="C9507" s="0" t="str">
        <f aca="false">INDEX(Intent_Analysis!$B$5:$B$81,MATCH(B9507,Intent_Analysis!$A$5:$A$81,0))</f>
        <v>Fees &amp; charges</v>
      </c>
      <c r="D9507" s="0" t="n">
        <f aca="false">INDEX(Intent_Analysis!$E$5:$E$81,MATCH(B9507,Intent_Analysis!$A$5:$A$81,0))</f>
        <v>1</v>
      </c>
    </row>
    <row r="9508" customFormat="false" ht="15" hidden="false" customHeight="false" outlineLevel="0" collapsed="false">
      <c r="A9508" s="0" t="s">
        <v>9832</v>
      </c>
      <c r="B9508" s="0" t="s">
        <v>89</v>
      </c>
      <c r="C9508" s="0" t="str">
        <f aca="false">INDEX(Intent_Analysis!$B$5:$B$81,MATCH(B9508,Intent_Analysis!$A$5:$A$81,0))</f>
        <v>Fees &amp; charges</v>
      </c>
      <c r="D9508" s="0" t="n">
        <f aca="false">INDEX(Intent_Analysis!$E$5:$E$81,MATCH(B9508,Intent_Analysis!$A$5:$A$81,0))</f>
        <v>1</v>
      </c>
    </row>
    <row r="9509" customFormat="false" ht="15" hidden="false" customHeight="false" outlineLevel="0" collapsed="false">
      <c r="A9509" s="0" t="s">
        <v>9833</v>
      </c>
      <c r="B9509" s="0" t="s">
        <v>89</v>
      </c>
      <c r="C9509" s="0" t="str">
        <f aca="false">INDEX(Intent_Analysis!$B$5:$B$81,MATCH(B9509,Intent_Analysis!$A$5:$A$81,0))</f>
        <v>Fees &amp; charges</v>
      </c>
      <c r="D9509" s="0" t="n">
        <f aca="false">INDEX(Intent_Analysis!$E$5:$E$81,MATCH(B9509,Intent_Analysis!$A$5:$A$81,0))</f>
        <v>1</v>
      </c>
    </row>
    <row r="9510" customFormat="false" ht="15" hidden="false" customHeight="false" outlineLevel="0" collapsed="false">
      <c r="A9510" s="0" t="s">
        <v>9834</v>
      </c>
      <c r="B9510" s="0" t="s">
        <v>89</v>
      </c>
      <c r="C9510" s="0" t="str">
        <f aca="false">INDEX(Intent_Analysis!$B$5:$B$81,MATCH(B9510,Intent_Analysis!$A$5:$A$81,0))</f>
        <v>Fees &amp; charges</v>
      </c>
      <c r="D9510" s="0" t="n">
        <f aca="false">INDEX(Intent_Analysis!$E$5:$E$81,MATCH(B9510,Intent_Analysis!$A$5:$A$81,0))</f>
        <v>1</v>
      </c>
    </row>
    <row r="9511" customFormat="false" ht="15" hidden="false" customHeight="false" outlineLevel="0" collapsed="false">
      <c r="A9511" s="0" t="s">
        <v>9835</v>
      </c>
      <c r="B9511" s="0" t="s">
        <v>89</v>
      </c>
      <c r="C9511" s="0" t="str">
        <f aca="false">INDEX(Intent_Analysis!$B$5:$B$81,MATCH(B9511,Intent_Analysis!$A$5:$A$81,0))</f>
        <v>Fees &amp; charges</v>
      </c>
      <c r="D9511" s="0" t="n">
        <f aca="false">INDEX(Intent_Analysis!$E$5:$E$81,MATCH(B9511,Intent_Analysis!$A$5:$A$81,0))</f>
        <v>1</v>
      </c>
    </row>
    <row r="9512" customFormat="false" ht="15" hidden="false" customHeight="false" outlineLevel="0" collapsed="false">
      <c r="A9512" s="0" t="s">
        <v>9836</v>
      </c>
      <c r="B9512" s="0" t="s">
        <v>89</v>
      </c>
      <c r="C9512" s="0" t="str">
        <f aca="false">INDEX(Intent_Analysis!$B$5:$B$81,MATCH(B9512,Intent_Analysis!$A$5:$A$81,0))</f>
        <v>Fees &amp; charges</v>
      </c>
      <c r="D9512" s="0" t="n">
        <f aca="false">INDEX(Intent_Analysis!$E$5:$E$81,MATCH(B9512,Intent_Analysis!$A$5:$A$81,0))</f>
        <v>1</v>
      </c>
    </row>
    <row r="9513" customFormat="false" ht="15" hidden="false" customHeight="false" outlineLevel="0" collapsed="false">
      <c r="A9513" s="0" t="s">
        <v>9837</v>
      </c>
      <c r="B9513" s="0" t="s">
        <v>89</v>
      </c>
      <c r="C9513" s="0" t="str">
        <f aca="false">INDEX(Intent_Analysis!$B$5:$B$81,MATCH(B9513,Intent_Analysis!$A$5:$A$81,0))</f>
        <v>Fees &amp; charges</v>
      </c>
      <c r="D9513" s="0" t="n">
        <f aca="false">INDEX(Intent_Analysis!$E$5:$E$81,MATCH(B9513,Intent_Analysis!$A$5:$A$81,0))</f>
        <v>1</v>
      </c>
    </row>
    <row r="9514" customFormat="false" ht="15" hidden="false" customHeight="false" outlineLevel="0" collapsed="false">
      <c r="A9514" s="0" t="s">
        <v>9838</v>
      </c>
      <c r="B9514" s="0" t="s">
        <v>89</v>
      </c>
      <c r="C9514" s="0" t="str">
        <f aca="false">INDEX(Intent_Analysis!$B$5:$B$81,MATCH(B9514,Intent_Analysis!$A$5:$A$81,0))</f>
        <v>Fees &amp; charges</v>
      </c>
      <c r="D9514" s="0" t="n">
        <f aca="false">INDEX(Intent_Analysis!$E$5:$E$81,MATCH(B9514,Intent_Analysis!$A$5:$A$81,0))</f>
        <v>1</v>
      </c>
    </row>
    <row r="9515" customFormat="false" ht="15" hidden="false" customHeight="false" outlineLevel="0" collapsed="false">
      <c r="A9515" s="0" t="s">
        <v>9839</v>
      </c>
      <c r="B9515" s="0" t="s">
        <v>89</v>
      </c>
      <c r="C9515" s="0" t="str">
        <f aca="false">INDEX(Intent_Analysis!$B$5:$B$81,MATCH(B9515,Intent_Analysis!$A$5:$A$81,0))</f>
        <v>Fees &amp; charges</v>
      </c>
      <c r="D9515" s="0" t="n">
        <f aca="false">INDEX(Intent_Analysis!$E$5:$E$81,MATCH(B9515,Intent_Analysis!$A$5:$A$81,0))</f>
        <v>1</v>
      </c>
    </row>
    <row r="9516" customFormat="false" ht="15" hidden="false" customHeight="false" outlineLevel="0" collapsed="false">
      <c r="A9516" s="0" t="s">
        <v>9840</v>
      </c>
      <c r="B9516" s="0" t="s">
        <v>89</v>
      </c>
      <c r="C9516" s="0" t="str">
        <f aca="false">INDEX(Intent_Analysis!$B$5:$B$81,MATCH(B9516,Intent_Analysis!$A$5:$A$81,0))</f>
        <v>Fees &amp; charges</v>
      </c>
      <c r="D9516" s="0" t="n">
        <f aca="false">INDEX(Intent_Analysis!$E$5:$E$81,MATCH(B9516,Intent_Analysis!$A$5:$A$81,0))</f>
        <v>1</v>
      </c>
    </row>
    <row r="9517" customFormat="false" ht="15" hidden="false" customHeight="false" outlineLevel="0" collapsed="false">
      <c r="A9517" s="0" t="s">
        <v>9841</v>
      </c>
      <c r="B9517" s="0" t="s">
        <v>49</v>
      </c>
      <c r="C9517" s="0" t="str">
        <f aca="false">INDEX(Intent_Analysis!$B$5:$B$81,MATCH(B9517,Intent_Analysis!$A$5:$A$81,0))</f>
        <v>Card delivery &amp; activation</v>
      </c>
      <c r="D9517" s="0" t="n">
        <f aca="false">INDEX(Intent_Analysis!$E$5:$E$81,MATCH(B9517,Intent_Analysis!$A$5:$A$81,0))</f>
        <v>1</v>
      </c>
    </row>
    <row r="9518" customFormat="false" ht="15" hidden="false" customHeight="false" outlineLevel="0" collapsed="false">
      <c r="A9518" s="0" t="s">
        <v>9842</v>
      </c>
      <c r="B9518" s="0" t="s">
        <v>49</v>
      </c>
      <c r="C9518" s="0" t="str">
        <f aca="false">INDEX(Intent_Analysis!$B$5:$B$81,MATCH(B9518,Intent_Analysis!$A$5:$A$81,0))</f>
        <v>Card delivery &amp; activation</v>
      </c>
      <c r="D9518" s="0" t="n">
        <f aca="false">INDEX(Intent_Analysis!$E$5:$E$81,MATCH(B9518,Intent_Analysis!$A$5:$A$81,0))</f>
        <v>1</v>
      </c>
    </row>
    <row r="9519" customFormat="false" ht="15" hidden="false" customHeight="false" outlineLevel="0" collapsed="false">
      <c r="A9519" s="0" t="s">
        <v>9843</v>
      </c>
      <c r="B9519" s="0" t="s">
        <v>49</v>
      </c>
      <c r="C9519" s="0" t="str">
        <f aca="false">INDEX(Intent_Analysis!$B$5:$B$81,MATCH(B9519,Intent_Analysis!$A$5:$A$81,0))</f>
        <v>Card delivery &amp; activation</v>
      </c>
      <c r="D9519" s="0" t="n">
        <f aca="false">INDEX(Intent_Analysis!$E$5:$E$81,MATCH(B9519,Intent_Analysis!$A$5:$A$81,0))</f>
        <v>1</v>
      </c>
    </row>
    <row r="9520" customFormat="false" ht="15" hidden="false" customHeight="false" outlineLevel="0" collapsed="false">
      <c r="A9520" s="0" t="s">
        <v>9844</v>
      </c>
      <c r="B9520" s="0" t="s">
        <v>49</v>
      </c>
      <c r="C9520" s="0" t="str">
        <f aca="false">INDEX(Intent_Analysis!$B$5:$B$81,MATCH(B9520,Intent_Analysis!$A$5:$A$81,0))</f>
        <v>Card delivery &amp; activation</v>
      </c>
      <c r="D9520" s="0" t="n">
        <f aca="false">INDEX(Intent_Analysis!$E$5:$E$81,MATCH(B9520,Intent_Analysis!$A$5:$A$81,0))</f>
        <v>1</v>
      </c>
    </row>
    <row r="9521" customFormat="false" ht="15" hidden="false" customHeight="false" outlineLevel="0" collapsed="false">
      <c r="A9521" s="0" t="s">
        <v>9845</v>
      </c>
      <c r="B9521" s="0" t="s">
        <v>49</v>
      </c>
      <c r="C9521" s="0" t="str">
        <f aca="false">INDEX(Intent_Analysis!$B$5:$B$81,MATCH(B9521,Intent_Analysis!$A$5:$A$81,0))</f>
        <v>Card delivery &amp; activation</v>
      </c>
      <c r="D9521" s="0" t="n">
        <f aca="false">INDEX(Intent_Analysis!$E$5:$E$81,MATCH(B9521,Intent_Analysis!$A$5:$A$81,0))</f>
        <v>1</v>
      </c>
    </row>
    <row r="9522" customFormat="false" ht="15" hidden="false" customHeight="false" outlineLevel="0" collapsed="false">
      <c r="A9522" s="0" t="s">
        <v>9846</v>
      </c>
      <c r="B9522" s="0" t="s">
        <v>49</v>
      </c>
      <c r="C9522" s="0" t="str">
        <f aca="false">INDEX(Intent_Analysis!$B$5:$B$81,MATCH(B9522,Intent_Analysis!$A$5:$A$81,0))</f>
        <v>Card delivery &amp; activation</v>
      </c>
      <c r="D9522" s="0" t="n">
        <f aca="false">INDEX(Intent_Analysis!$E$5:$E$81,MATCH(B9522,Intent_Analysis!$A$5:$A$81,0))</f>
        <v>1</v>
      </c>
    </row>
    <row r="9523" customFormat="false" ht="15" hidden="false" customHeight="false" outlineLevel="0" collapsed="false">
      <c r="A9523" s="0" t="s">
        <v>9847</v>
      </c>
      <c r="B9523" s="0" t="s">
        <v>49</v>
      </c>
      <c r="C9523" s="0" t="str">
        <f aca="false">INDEX(Intent_Analysis!$B$5:$B$81,MATCH(B9523,Intent_Analysis!$A$5:$A$81,0))</f>
        <v>Card delivery &amp; activation</v>
      </c>
      <c r="D9523" s="0" t="n">
        <f aca="false">INDEX(Intent_Analysis!$E$5:$E$81,MATCH(B9523,Intent_Analysis!$A$5:$A$81,0))</f>
        <v>1</v>
      </c>
    </row>
    <row r="9524" customFormat="false" ht="15" hidden="false" customHeight="false" outlineLevel="0" collapsed="false">
      <c r="A9524" s="0" t="s">
        <v>9848</v>
      </c>
      <c r="B9524" s="0" t="s">
        <v>49</v>
      </c>
      <c r="C9524" s="0" t="str">
        <f aca="false">INDEX(Intent_Analysis!$B$5:$B$81,MATCH(B9524,Intent_Analysis!$A$5:$A$81,0))</f>
        <v>Card delivery &amp; activation</v>
      </c>
      <c r="D9524" s="0" t="n">
        <f aca="false">INDEX(Intent_Analysis!$E$5:$E$81,MATCH(B9524,Intent_Analysis!$A$5:$A$81,0))</f>
        <v>1</v>
      </c>
    </row>
    <row r="9525" customFormat="false" ht="15" hidden="false" customHeight="false" outlineLevel="0" collapsed="false">
      <c r="A9525" s="0" t="s">
        <v>9849</v>
      </c>
      <c r="B9525" s="0" t="s">
        <v>49</v>
      </c>
      <c r="C9525" s="0" t="str">
        <f aca="false">INDEX(Intent_Analysis!$B$5:$B$81,MATCH(B9525,Intent_Analysis!$A$5:$A$81,0))</f>
        <v>Card delivery &amp; activation</v>
      </c>
      <c r="D9525" s="0" t="n">
        <f aca="false">INDEX(Intent_Analysis!$E$5:$E$81,MATCH(B9525,Intent_Analysis!$A$5:$A$81,0))</f>
        <v>1</v>
      </c>
    </row>
    <row r="9526" customFormat="false" ht="15" hidden="false" customHeight="false" outlineLevel="0" collapsed="false">
      <c r="A9526" s="0" t="s">
        <v>9850</v>
      </c>
      <c r="B9526" s="0" t="s">
        <v>49</v>
      </c>
      <c r="C9526" s="0" t="str">
        <f aca="false">INDEX(Intent_Analysis!$B$5:$B$81,MATCH(B9526,Intent_Analysis!$A$5:$A$81,0))</f>
        <v>Card delivery &amp; activation</v>
      </c>
      <c r="D9526" s="0" t="n">
        <f aca="false">INDEX(Intent_Analysis!$E$5:$E$81,MATCH(B9526,Intent_Analysis!$A$5:$A$81,0))</f>
        <v>1</v>
      </c>
    </row>
    <row r="9527" customFormat="false" ht="15" hidden="false" customHeight="false" outlineLevel="0" collapsed="false">
      <c r="A9527" s="0" t="s">
        <v>9851</v>
      </c>
      <c r="B9527" s="0" t="s">
        <v>49</v>
      </c>
      <c r="C9527" s="0" t="str">
        <f aca="false">INDEX(Intent_Analysis!$B$5:$B$81,MATCH(B9527,Intent_Analysis!$A$5:$A$81,0))</f>
        <v>Card delivery &amp; activation</v>
      </c>
      <c r="D9527" s="0" t="n">
        <f aca="false">INDEX(Intent_Analysis!$E$5:$E$81,MATCH(B9527,Intent_Analysis!$A$5:$A$81,0))</f>
        <v>1</v>
      </c>
    </row>
    <row r="9528" customFormat="false" ht="15" hidden="false" customHeight="false" outlineLevel="0" collapsed="false">
      <c r="A9528" s="0" t="s">
        <v>9852</v>
      </c>
      <c r="B9528" s="0" t="s">
        <v>49</v>
      </c>
      <c r="C9528" s="0" t="str">
        <f aca="false">INDEX(Intent_Analysis!$B$5:$B$81,MATCH(B9528,Intent_Analysis!$A$5:$A$81,0))</f>
        <v>Card delivery &amp; activation</v>
      </c>
      <c r="D9528" s="0" t="n">
        <f aca="false">INDEX(Intent_Analysis!$E$5:$E$81,MATCH(B9528,Intent_Analysis!$A$5:$A$81,0))</f>
        <v>1</v>
      </c>
    </row>
    <row r="9529" customFormat="false" ht="15" hidden="false" customHeight="false" outlineLevel="0" collapsed="false">
      <c r="A9529" s="0" t="s">
        <v>9853</v>
      </c>
      <c r="B9529" s="0" t="s">
        <v>49</v>
      </c>
      <c r="C9529" s="0" t="str">
        <f aca="false">INDEX(Intent_Analysis!$B$5:$B$81,MATCH(B9529,Intent_Analysis!$A$5:$A$81,0))</f>
        <v>Card delivery &amp; activation</v>
      </c>
      <c r="D9529" s="0" t="n">
        <f aca="false">INDEX(Intent_Analysis!$E$5:$E$81,MATCH(B9529,Intent_Analysis!$A$5:$A$81,0))</f>
        <v>1</v>
      </c>
    </row>
    <row r="9530" customFormat="false" ht="15" hidden="false" customHeight="false" outlineLevel="0" collapsed="false">
      <c r="A9530" s="0" t="s">
        <v>9854</v>
      </c>
      <c r="B9530" s="0" t="s">
        <v>49</v>
      </c>
      <c r="C9530" s="0" t="str">
        <f aca="false">INDEX(Intent_Analysis!$B$5:$B$81,MATCH(B9530,Intent_Analysis!$A$5:$A$81,0))</f>
        <v>Card delivery &amp; activation</v>
      </c>
      <c r="D9530" s="0" t="n">
        <f aca="false">INDEX(Intent_Analysis!$E$5:$E$81,MATCH(B9530,Intent_Analysis!$A$5:$A$81,0))</f>
        <v>1</v>
      </c>
    </row>
    <row r="9531" customFormat="false" ht="15" hidden="false" customHeight="false" outlineLevel="0" collapsed="false">
      <c r="A9531" s="0" t="s">
        <v>9855</v>
      </c>
      <c r="B9531" s="0" t="s">
        <v>49</v>
      </c>
      <c r="C9531" s="0" t="str">
        <f aca="false">INDEX(Intent_Analysis!$B$5:$B$81,MATCH(B9531,Intent_Analysis!$A$5:$A$81,0))</f>
        <v>Card delivery &amp; activation</v>
      </c>
      <c r="D9531" s="0" t="n">
        <f aca="false">INDEX(Intent_Analysis!$E$5:$E$81,MATCH(B9531,Intent_Analysis!$A$5:$A$81,0))</f>
        <v>1</v>
      </c>
    </row>
    <row r="9532" customFormat="false" ht="15" hidden="false" customHeight="false" outlineLevel="0" collapsed="false">
      <c r="A9532" s="0" t="s">
        <v>9856</v>
      </c>
      <c r="B9532" s="0" t="s">
        <v>49</v>
      </c>
      <c r="C9532" s="0" t="str">
        <f aca="false">INDEX(Intent_Analysis!$B$5:$B$81,MATCH(B9532,Intent_Analysis!$A$5:$A$81,0))</f>
        <v>Card delivery &amp; activation</v>
      </c>
      <c r="D9532" s="0" t="n">
        <f aca="false">INDEX(Intent_Analysis!$E$5:$E$81,MATCH(B9532,Intent_Analysis!$A$5:$A$81,0))</f>
        <v>1</v>
      </c>
    </row>
    <row r="9533" customFormat="false" ht="15" hidden="false" customHeight="false" outlineLevel="0" collapsed="false">
      <c r="A9533" s="0" t="s">
        <v>9857</v>
      </c>
      <c r="B9533" s="0" t="s">
        <v>49</v>
      </c>
      <c r="C9533" s="0" t="str">
        <f aca="false">INDEX(Intent_Analysis!$B$5:$B$81,MATCH(B9533,Intent_Analysis!$A$5:$A$81,0))</f>
        <v>Card delivery &amp; activation</v>
      </c>
      <c r="D9533" s="0" t="n">
        <f aca="false">INDEX(Intent_Analysis!$E$5:$E$81,MATCH(B9533,Intent_Analysis!$A$5:$A$81,0))</f>
        <v>1</v>
      </c>
    </row>
    <row r="9534" customFormat="false" ht="15" hidden="false" customHeight="false" outlineLevel="0" collapsed="false">
      <c r="A9534" s="0" t="s">
        <v>9858</v>
      </c>
      <c r="B9534" s="0" t="s">
        <v>49</v>
      </c>
      <c r="C9534" s="0" t="str">
        <f aca="false">INDEX(Intent_Analysis!$B$5:$B$81,MATCH(B9534,Intent_Analysis!$A$5:$A$81,0))</f>
        <v>Card delivery &amp; activation</v>
      </c>
      <c r="D9534" s="0" t="n">
        <f aca="false">INDEX(Intent_Analysis!$E$5:$E$81,MATCH(B9534,Intent_Analysis!$A$5:$A$81,0))</f>
        <v>1</v>
      </c>
    </row>
    <row r="9535" customFormat="false" ht="15" hidden="false" customHeight="false" outlineLevel="0" collapsed="false">
      <c r="A9535" s="0" t="s">
        <v>9859</v>
      </c>
      <c r="B9535" s="0" t="s">
        <v>49</v>
      </c>
      <c r="C9535" s="0" t="str">
        <f aca="false">INDEX(Intent_Analysis!$B$5:$B$81,MATCH(B9535,Intent_Analysis!$A$5:$A$81,0))</f>
        <v>Card delivery &amp; activation</v>
      </c>
      <c r="D9535" s="0" t="n">
        <f aca="false">INDEX(Intent_Analysis!$E$5:$E$81,MATCH(B9535,Intent_Analysis!$A$5:$A$81,0))</f>
        <v>1</v>
      </c>
    </row>
    <row r="9536" customFormat="false" ht="15" hidden="false" customHeight="false" outlineLevel="0" collapsed="false">
      <c r="A9536" s="0" t="s">
        <v>9860</v>
      </c>
      <c r="B9536" s="0" t="s">
        <v>49</v>
      </c>
      <c r="C9536" s="0" t="str">
        <f aca="false">INDEX(Intent_Analysis!$B$5:$B$81,MATCH(B9536,Intent_Analysis!$A$5:$A$81,0))</f>
        <v>Card delivery &amp; activation</v>
      </c>
      <c r="D9536" s="0" t="n">
        <f aca="false">INDEX(Intent_Analysis!$E$5:$E$81,MATCH(B9536,Intent_Analysis!$A$5:$A$81,0))</f>
        <v>1</v>
      </c>
    </row>
    <row r="9537" customFormat="false" ht="15" hidden="false" customHeight="false" outlineLevel="0" collapsed="false">
      <c r="A9537" s="0" t="s">
        <v>9861</v>
      </c>
      <c r="B9537" s="0" t="s">
        <v>49</v>
      </c>
      <c r="C9537" s="0" t="str">
        <f aca="false">INDEX(Intent_Analysis!$B$5:$B$81,MATCH(B9537,Intent_Analysis!$A$5:$A$81,0))</f>
        <v>Card delivery &amp; activation</v>
      </c>
      <c r="D9537" s="0" t="n">
        <f aca="false">INDEX(Intent_Analysis!$E$5:$E$81,MATCH(B9537,Intent_Analysis!$A$5:$A$81,0))</f>
        <v>1</v>
      </c>
    </row>
    <row r="9538" customFormat="false" ht="15" hidden="false" customHeight="false" outlineLevel="0" collapsed="false">
      <c r="A9538" s="0" t="s">
        <v>9862</v>
      </c>
      <c r="B9538" s="0" t="s">
        <v>49</v>
      </c>
      <c r="C9538" s="0" t="str">
        <f aca="false">INDEX(Intent_Analysis!$B$5:$B$81,MATCH(B9538,Intent_Analysis!$A$5:$A$81,0))</f>
        <v>Card delivery &amp; activation</v>
      </c>
      <c r="D9538" s="0" t="n">
        <f aca="false">INDEX(Intent_Analysis!$E$5:$E$81,MATCH(B9538,Intent_Analysis!$A$5:$A$81,0))</f>
        <v>1</v>
      </c>
    </row>
    <row r="9539" customFormat="false" ht="15" hidden="false" customHeight="false" outlineLevel="0" collapsed="false">
      <c r="A9539" s="0" t="s">
        <v>9863</v>
      </c>
      <c r="B9539" s="0" t="s">
        <v>49</v>
      </c>
      <c r="C9539" s="0" t="str">
        <f aca="false">INDEX(Intent_Analysis!$B$5:$B$81,MATCH(B9539,Intent_Analysis!$A$5:$A$81,0))</f>
        <v>Card delivery &amp; activation</v>
      </c>
      <c r="D9539" s="0" t="n">
        <f aca="false">INDEX(Intent_Analysis!$E$5:$E$81,MATCH(B9539,Intent_Analysis!$A$5:$A$81,0))</f>
        <v>1</v>
      </c>
    </row>
    <row r="9540" customFormat="false" ht="15" hidden="false" customHeight="false" outlineLevel="0" collapsed="false">
      <c r="A9540" s="0" t="s">
        <v>9864</v>
      </c>
      <c r="B9540" s="0" t="s">
        <v>49</v>
      </c>
      <c r="C9540" s="0" t="str">
        <f aca="false">INDEX(Intent_Analysis!$B$5:$B$81,MATCH(B9540,Intent_Analysis!$A$5:$A$81,0))</f>
        <v>Card delivery &amp; activation</v>
      </c>
      <c r="D9540" s="0" t="n">
        <f aca="false">INDEX(Intent_Analysis!$E$5:$E$81,MATCH(B9540,Intent_Analysis!$A$5:$A$81,0))</f>
        <v>1</v>
      </c>
    </row>
    <row r="9541" customFormat="false" ht="15" hidden="false" customHeight="false" outlineLevel="0" collapsed="false">
      <c r="A9541" s="0" t="s">
        <v>9865</v>
      </c>
      <c r="B9541" s="0" t="s">
        <v>49</v>
      </c>
      <c r="C9541" s="0" t="str">
        <f aca="false">INDEX(Intent_Analysis!$B$5:$B$81,MATCH(B9541,Intent_Analysis!$A$5:$A$81,0))</f>
        <v>Card delivery &amp; activation</v>
      </c>
      <c r="D9541" s="0" t="n">
        <f aca="false">INDEX(Intent_Analysis!$E$5:$E$81,MATCH(B9541,Intent_Analysis!$A$5:$A$81,0))</f>
        <v>1</v>
      </c>
    </row>
    <row r="9542" customFormat="false" ht="15" hidden="false" customHeight="false" outlineLevel="0" collapsed="false">
      <c r="A9542" s="0" t="s">
        <v>9866</v>
      </c>
      <c r="B9542" s="0" t="s">
        <v>49</v>
      </c>
      <c r="C9542" s="0" t="str">
        <f aca="false">INDEX(Intent_Analysis!$B$5:$B$81,MATCH(B9542,Intent_Analysis!$A$5:$A$81,0))</f>
        <v>Card delivery &amp; activation</v>
      </c>
      <c r="D9542" s="0" t="n">
        <f aca="false">INDEX(Intent_Analysis!$E$5:$E$81,MATCH(B9542,Intent_Analysis!$A$5:$A$81,0))</f>
        <v>1</v>
      </c>
    </row>
    <row r="9543" customFormat="false" ht="15" hidden="false" customHeight="false" outlineLevel="0" collapsed="false">
      <c r="A9543" s="0" t="s">
        <v>9867</v>
      </c>
      <c r="B9543" s="0" t="s">
        <v>49</v>
      </c>
      <c r="C9543" s="0" t="str">
        <f aca="false">INDEX(Intent_Analysis!$B$5:$B$81,MATCH(B9543,Intent_Analysis!$A$5:$A$81,0))</f>
        <v>Card delivery &amp; activation</v>
      </c>
      <c r="D9543" s="0" t="n">
        <f aca="false">INDEX(Intent_Analysis!$E$5:$E$81,MATCH(B9543,Intent_Analysis!$A$5:$A$81,0))</f>
        <v>1</v>
      </c>
    </row>
    <row r="9544" customFormat="false" ht="15" hidden="false" customHeight="false" outlineLevel="0" collapsed="false">
      <c r="A9544" s="0" t="s">
        <v>9868</v>
      </c>
      <c r="B9544" s="0" t="s">
        <v>49</v>
      </c>
      <c r="C9544" s="0" t="str">
        <f aca="false">INDEX(Intent_Analysis!$B$5:$B$81,MATCH(B9544,Intent_Analysis!$A$5:$A$81,0))</f>
        <v>Card delivery &amp; activation</v>
      </c>
      <c r="D9544" s="0" t="n">
        <f aca="false">INDEX(Intent_Analysis!$E$5:$E$81,MATCH(B9544,Intent_Analysis!$A$5:$A$81,0))</f>
        <v>1</v>
      </c>
    </row>
    <row r="9545" customFormat="false" ht="15" hidden="false" customHeight="false" outlineLevel="0" collapsed="false">
      <c r="A9545" s="0" t="s">
        <v>9869</v>
      </c>
      <c r="B9545" s="0" t="s">
        <v>49</v>
      </c>
      <c r="C9545" s="0" t="str">
        <f aca="false">INDEX(Intent_Analysis!$B$5:$B$81,MATCH(B9545,Intent_Analysis!$A$5:$A$81,0))</f>
        <v>Card delivery &amp; activation</v>
      </c>
      <c r="D9545" s="0" t="n">
        <f aca="false">INDEX(Intent_Analysis!$E$5:$E$81,MATCH(B9545,Intent_Analysis!$A$5:$A$81,0))</f>
        <v>1</v>
      </c>
    </row>
    <row r="9546" customFormat="false" ht="15" hidden="false" customHeight="false" outlineLevel="0" collapsed="false">
      <c r="A9546" s="0" t="s">
        <v>9870</v>
      </c>
      <c r="B9546" s="0" t="s">
        <v>49</v>
      </c>
      <c r="C9546" s="0" t="str">
        <f aca="false">INDEX(Intent_Analysis!$B$5:$B$81,MATCH(B9546,Intent_Analysis!$A$5:$A$81,0))</f>
        <v>Card delivery &amp; activation</v>
      </c>
      <c r="D9546" s="0" t="n">
        <f aca="false">INDEX(Intent_Analysis!$E$5:$E$81,MATCH(B9546,Intent_Analysis!$A$5:$A$81,0))</f>
        <v>1</v>
      </c>
    </row>
    <row r="9547" customFormat="false" ht="15" hidden="false" customHeight="false" outlineLevel="0" collapsed="false">
      <c r="A9547" s="0" t="s">
        <v>9871</v>
      </c>
      <c r="B9547" s="0" t="s">
        <v>49</v>
      </c>
      <c r="C9547" s="0" t="str">
        <f aca="false">INDEX(Intent_Analysis!$B$5:$B$81,MATCH(B9547,Intent_Analysis!$A$5:$A$81,0))</f>
        <v>Card delivery &amp; activation</v>
      </c>
      <c r="D9547" s="0" t="n">
        <f aca="false">INDEX(Intent_Analysis!$E$5:$E$81,MATCH(B9547,Intent_Analysis!$A$5:$A$81,0))</f>
        <v>1</v>
      </c>
    </row>
    <row r="9548" customFormat="false" ht="15" hidden="false" customHeight="false" outlineLevel="0" collapsed="false">
      <c r="A9548" s="0" t="s">
        <v>9872</v>
      </c>
      <c r="B9548" s="0" t="s">
        <v>49</v>
      </c>
      <c r="C9548" s="0" t="str">
        <f aca="false">INDEX(Intent_Analysis!$B$5:$B$81,MATCH(B9548,Intent_Analysis!$A$5:$A$81,0))</f>
        <v>Card delivery &amp; activation</v>
      </c>
      <c r="D9548" s="0" t="n">
        <f aca="false">INDEX(Intent_Analysis!$E$5:$E$81,MATCH(B9548,Intent_Analysis!$A$5:$A$81,0))</f>
        <v>1</v>
      </c>
    </row>
    <row r="9549" customFormat="false" ht="15" hidden="false" customHeight="false" outlineLevel="0" collapsed="false">
      <c r="A9549" s="0" t="s">
        <v>9873</v>
      </c>
      <c r="B9549" s="0" t="s">
        <v>49</v>
      </c>
      <c r="C9549" s="0" t="str">
        <f aca="false">INDEX(Intent_Analysis!$B$5:$B$81,MATCH(B9549,Intent_Analysis!$A$5:$A$81,0))</f>
        <v>Card delivery &amp; activation</v>
      </c>
      <c r="D9549" s="0" t="n">
        <f aca="false">INDEX(Intent_Analysis!$E$5:$E$81,MATCH(B9549,Intent_Analysis!$A$5:$A$81,0))</f>
        <v>1</v>
      </c>
    </row>
    <row r="9550" customFormat="false" ht="15" hidden="false" customHeight="false" outlineLevel="0" collapsed="false">
      <c r="A9550" s="0" t="s">
        <v>9874</v>
      </c>
      <c r="B9550" s="0" t="s">
        <v>49</v>
      </c>
      <c r="C9550" s="0" t="str">
        <f aca="false">INDEX(Intent_Analysis!$B$5:$B$81,MATCH(B9550,Intent_Analysis!$A$5:$A$81,0))</f>
        <v>Card delivery &amp; activation</v>
      </c>
      <c r="D9550" s="0" t="n">
        <f aca="false">INDEX(Intent_Analysis!$E$5:$E$81,MATCH(B9550,Intent_Analysis!$A$5:$A$81,0))</f>
        <v>1</v>
      </c>
    </row>
    <row r="9551" customFormat="false" ht="15" hidden="false" customHeight="false" outlineLevel="0" collapsed="false">
      <c r="A9551" s="0" t="s">
        <v>9875</v>
      </c>
      <c r="B9551" s="0" t="s">
        <v>49</v>
      </c>
      <c r="C9551" s="0" t="str">
        <f aca="false">INDEX(Intent_Analysis!$B$5:$B$81,MATCH(B9551,Intent_Analysis!$A$5:$A$81,0))</f>
        <v>Card delivery &amp; activation</v>
      </c>
      <c r="D9551" s="0" t="n">
        <f aca="false">INDEX(Intent_Analysis!$E$5:$E$81,MATCH(B9551,Intent_Analysis!$A$5:$A$81,0))</f>
        <v>1</v>
      </c>
    </row>
    <row r="9552" customFormat="false" ht="15" hidden="false" customHeight="false" outlineLevel="0" collapsed="false">
      <c r="A9552" s="0" t="s">
        <v>9876</v>
      </c>
      <c r="B9552" s="0" t="s">
        <v>49</v>
      </c>
      <c r="C9552" s="0" t="str">
        <f aca="false">INDEX(Intent_Analysis!$B$5:$B$81,MATCH(B9552,Intent_Analysis!$A$5:$A$81,0))</f>
        <v>Card delivery &amp; activation</v>
      </c>
      <c r="D9552" s="0" t="n">
        <f aca="false">INDEX(Intent_Analysis!$E$5:$E$81,MATCH(B9552,Intent_Analysis!$A$5:$A$81,0))</f>
        <v>1</v>
      </c>
    </row>
    <row r="9553" customFormat="false" ht="15" hidden="false" customHeight="false" outlineLevel="0" collapsed="false">
      <c r="A9553" s="0" t="s">
        <v>9877</v>
      </c>
      <c r="B9553" s="0" t="s">
        <v>49</v>
      </c>
      <c r="C9553" s="0" t="str">
        <f aca="false">INDEX(Intent_Analysis!$B$5:$B$81,MATCH(B9553,Intent_Analysis!$A$5:$A$81,0))</f>
        <v>Card delivery &amp; activation</v>
      </c>
      <c r="D9553" s="0" t="n">
        <f aca="false">INDEX(Intent_Analysis!$E$5:$E$81,MATCH(B9553,Intent_Analysis!$A$5:$A$81,0))</f>
        <v>1</v>
      </c>
    </row>
    <row r="9554" customFormat="false" ht="15" hidden="false" customHeight="false" outlineLevel="0" collapsed="false">
      <c r="A9554" s="0" t="s">
        <v>9878</v>
      </c>
      <c r="B9554" s="0" t="s">
        <v>49</v>
      </c>
      <c r="C9554" s="0" t="str">
        <f aca="false">INDEX(Intent_Analysis!$B$5:$B$81,MATCH(B9554,Intent_Analysis!$A$5:$A$81,0))</f>
        <v>Card delivery &amp; activation</v>
      </c>
      <c r="D9554" s="0" t="n">
        <f aca="false">INDEX(Intent_Analysis!$E$5:$E$81,MATCH(B9554,Intent_Analysis!$A$5:$A$81,0))</f>
        <v>1</v>
      </c>
    </row>
    <row r="9555" customFormat="false" ht="15" hidden="false" customHeight="false" outlineLevel="0" collapsed="false">
      <c r="A9555" s="0" t="s">
        <v>9879</v>
      </c>
      <c r="B9555" s="0" t="s">
        <v>49</v>
      </c>
      <c r="C9555" s="0" t="str">
        <f aca="false">INDEX(Intent_Analysis!$B$5:$B$81,MATCH(B9555,Intent_Analysis!$A$5:$A$81,0))</f>
        <v>Card delivery &amp; activation</v>
      </c>
      <c r="D9555" s="0" t="n">
        <f aca="false">INDEX(Intent_Analysis!$E$5:$E$81,MATCH(B9555,Intent_Analysis!$A$5:$A$81,0))</f>
        <v>1</v>
      </c>
    </row>
    <row r="9556" customFormat="false" ht="15" hidden="false" customHeight="false" outlineLevel="0" collapsed="false">
      <c r="A9556" s="0" t="s">
        <v>9880</v>
      </c>
      <c r="B9556" s="0" t="s">
        <v>49</v>
      </c>
      <c r="C9556" s="0" t="str">
        <f aca="false">INDEX(Intent_Analysis!$B$5:$B$81,MATCH(B9556,Intent_Analysis!$A$5:$A$81,0))</f>
        <v>Card delivery &amp; activation</v>
      </c>
      <c r="D9556" s="0" t="n">
        <f aca="false">INDEX(Intent_Analysis!$E$5:$E$81,MATCH(B9556,Intent_Analysis!$A$5:$A$81,0))</f>
        <v>1</v>
      </c>
    </row>
    <row r="9557" customFormat="false" ht="15" hidden="false" customHeight="false" outlineLevel="0" collapsed="false">
      <c r="A9557" s="0" t="s">
        <v>9881</v>
      </c>
      <c r="B9557" s="0" t="s">
        <v>49</v>
      </c>
      <c r="C9557" s="0" t="str">
        <f aca="false">INDEX(Intent_Analysis!$B$5:$B$81,MATCH(B9557,Intent_Analysis!$A$5:$A$81,0))</f>
        <v>Card delivery &amp; activation</v>
      </c>
      <c r="D9557" s="0" t="n">
        <f aca="false">INDEX(Intent_Analysis!$E$5:$E$81,MATCH(B9557,Intent_Analysis!$A$5:$A$81,0))</f>
        <v>1</v>
      </c>
    </row>
    <row r="9558" customFormat="false" ht="15" hidden="false" customHeight="false" outlineLevel="0" collapsed="false">
      <c r="A9558" s="0" t="s">
        <v>9882</v>
      </c>
      <c r="B9558" s="0" t="s">
        <v>49</v>
      </c>
      <c r="C9558" s="0" t="str">
        <f aca="false">INDEX(Intent_Analysis!$B$5:$B$81,MATCH(B9558,Intent_Analysis!$A$5:$A$81,0))</f>
        <v>Card delivery &amp; activation</v>
      </c>
      <c r="D9558" s="0" t="n">
        <f aca="false">INDEX(Intent_Analysis!$E$5:$E$81,MATCH(B9558,Intent_Analysis!$A$5:$A$81,0))</f>
        <v>1</v>
      </c>
    </row>
    <row r="9559" customFormat="false" ht="15" hidden="false" customHeight="false" outlineLevel="0" collapsed="false">
      <c r="A9559" s="0" t="s">
        <v>9883</v>
      </c>
      <c r="B9559" s="0" t="s">
        <v>49</v>
      </c>
      <c r="C9559" s="0" t="str">
        <f aca="false">INDEX(Intent_Analysis!$B$5:$B$81,MATCH(B9559,Intent_Analysis!$A$5:$A$81,0))</f>
        <v>Card delivery &amp; activation</v>
      </c>
      <c r="D9559" s="0" t="n">
        <f aca="false">INDEX(Intent_Analysis!$E$5:$E$81,MATCH(B9559,Intent_Analysis!$A$5:$A$81,0))</f>
        <v>1</v>
      </c>
    </row>
    <row r="9560" customFormat="false" ht="15" hidden="false" customHeight="false" outlineLevel="0" collapsed="false">
      <c r="A9560" s="0" t="s">
        <v>9884</v>
      </c>
      <c r="B9560" s="0" t="s">
        <v>49</v>
      </c>
      <c r="C9560" s="0" t="str">
        <f aca="false">INDEX(Intent_Analysis!$B$5:$B$81,MATCH(B9560,Intent_Analysis!$A$5:$A$81,0))</f>
        <v>Card delivery &amp; activation</v>
      </c>
      <c r="D9560" s="0" t="n">
        <f aca="false">INDEX(Intent_Analysis!$E$5:$E$81,MATCH(B9560,Intent_Analysis!$A$5:$A$81,0))</f>
        <v>1</v>
      </c>
    </row>
    <row r="9561" customFormat="false" ht="15" hidden="false" customHeight="false" outlineLevel="0" collapsed="false">
      <c r="A9561" s="0" t="s">
        <v>9885</v>
      </c>
      <c r="B9561" s="0" t="s">
        <v>49</v>
      </c>
      <c r="C9561" s="0" t="str">
        <f aca="false">INDEX(Intent_Analysis!$B$5:$B$81,MATCH(B9561,Intent_Analysis!$A$5:$A$81,0))</f>
        <v>Card delivery &amp; activation</v>
      </c>
      <c r="D9561" s="0" t="n">
        <f aca="false">INDEX(Intent_Analysis!$E$5:$E$81,MATCH(B9561,Intent_Analysis!$A$5:$A$81,0))</f>
        <v>1</v>
      </c>
    </row>
    <row r="9562" customFormat="false" ht="15" hidden="false" customHeight="false" outlineLevel="0" collapsed="false">
      <c r="A9562" s="0" t="s">
        <v>9886</v>
      </c>
      <c r="B9562" s="0" t="s">
        <v>49</v>
      </c>
      <c r="C9562" s="0" t="str">
        <f aca="false">INDEX(Intent_Analysis!$B$5:$B$81,MATCH(B9562,Intent_Analysis!$A$5:$A$81,0))</f>
        <v>Card delivery &amp; activation</v>
      </c>
      <c r="D9562" s="0" t="n">
        <f aca="false">INDEX(Intent_Analysis!$E$5:$E$81,MATCH(B9562,Intent_Analysis!$A$5:$A$81,0))</f>
        <v>1</v>
      </c>
    </row>
    <row r="9563" customFormat="false" ht="15" hidden="false" customHeight="false" outlineLevel="0" collapsed="false">
      <c r="A9563" s="0" t="s">
        <v>9887</v>
      </c>
      <c r="B9563" s="0" t="s">
        <v>49</v>
      </c>
      <c r="C9563" s="0" t="str">
        <f aca="false">INDEX(Intent_Analysis!$B$5:$B$81,MATCH(B9563,Intent_Analysis!$A$5:$A$81,0))</f>
        <v>Card delivery &amp; activation</v>
      </c>
      <c r="D9563" s="0" t="n">
        <f aca="false">INDEX(Intent_Analysis!$E$5:$E$81,MATCH(B9563,Intent_Analysis!$A$5:$A$81,0))</f>
        <v>1</v>
      </c>
    </row>
    <row r="9564" customFormat="false" ht="15" hidden="false" customHeight="false" outlineLevel="0" collapsed="false">
      <c r="A9564" s="0" t="s">
        <v>9888</v>
      </c>
      <c r="B9564" s="0" t="s">
        <v>49</v>
      </c>
      <c r="C9564" s="0" t="str">
        <f aca="false">INDEX(Intent_Analysis!$B$5:$B$81,MATCH(B9564,Intent_Analysis!$A$5:$A$81,0))</f>
        <v>Card delivery &amp; activation</v>
      </c>
      <c r="D9564" s="0" t="n">
        <f aca="false">INDEX(Intent_Analysis!$E$5:$E$81,MATCH(B9564,Intent_Analysis!$A$5:$A$81,0))</f>
        <v>1</v>
      </c>
    </row>
    <row r="9565" customFormat="false" ht="15" hidden="false" customHeight="false" outlineLevel="0" collapsed="false">
      <c r="A9565" s="0" t="s">
        <v>9889</v>
      </c>
      <c r="B9565" s="0" t="s">
        <v>49</v>
      </c>
      <c r="C9565" s="0" t="str">
        <f aca="false">INDEX(Intent_Analysis!$B$5:$B$81,MATCH(B9565,Intent_Analysis!$A$5:$A$81,0))</f>
        <v>Card delivery &amp; activation</v>
      </c>
      <c r="D9565" s="0" t="n">
        <f aca="false">INDEX(Intent_Analysis!$E$5:$E$81,MATCH(B9565,Intent_Analysis!$A$5:$A$81,0))</f>
        <v>1</v>
      </c>
    </row>
    <row r="9566" customFormat="false" ht="15" hidden="false" customHeight="false" outlineLevel="0" collapsed="false">
      <c r="A9566" s="0" t="s">
        <v>9890</v>
      </c>
      <c r="B9566" s="0" t="s">
        <v>49</v>
      </c>
      <c r="C9566" s="0" t="str">
        <f aca="false">INDEX(Intent_Analysis!$B$5:$B$81,MATCH(B9566,Intent_Analysis!$A$5:$A$81,0))</f>
        <v>Card delivery &amp; activation</v>
      </c>
      <c r="D9566" s="0" t="n">
        <f aca="false">INDEX(Intent_Analysis!$E$5:$E$81,MATCH(B9566,Intent_Analysis!$A$5:$A$81,0))</f>
        <v>1</v>
      </c>
    </row>
    <row r="9567" customFormat="false" ht="15" hidden="false" customHeight="false" outlineLevel="0" collapsed="false">
      <c r="A9567" s="0" t="s">
        <v>9891</v>
      </c>
      <c r="B9567" s="0" t="s">
        <v>49</v>
      </c>
      <c r="C9567" s="0" t="str">
        <f aca="false">INDEX(Intent_Analysis!$B$5:$B$81,MATCH(B9567,Intent_Analysis!$A$5:$A$81,0))</f>
        <v>Card delivery &amp; activation</v>
      </c>
      <c r="D9567" s="0" t="n">
        <f aca="false">INDEX(Intent_Analysis!$E$5:$E$81,MATCH(B9567,Intent_Analysis!$A$5:$A$81,0))</f>
        <v>1</v>
      </c>
    </row>
    <row r="9568" customFormat="false" ht="15" hidden="false" customHeight="false" outlineLevel="0" collapsed="false">
      <c r="A9568" s="0" t="s">
        <v>9892</v>
      </c>
      <c r="B9568" s="0" t="s">
        <v>49</v>
      </c>
      <c r="C9568" s="0" t="str">
        <f aca="false">INDEX(Intent_Analysis!$B$5:$B$81,MATCH(B9568,Intent_Analysis!$A$5:$A$81,0))</f>
        <v>Card delivery &amp; activation</v>
      </c>
      <c r="D9568" s="0" t="n">
        <f aca="false">INDEX(Intent_Analysis!$E$5:$E$81,MATCH(B9568,Intent_Analysis!$A$5:$A$81,0))</f>
        <v>1</v>
      </c>
    </row>
    <row r="9569" customFormat="false" ht="15" hidden="false" customHeight="false" outlineLevel="0" collapsed="false">
      <c r="A9569" s="0" t="s">
        <v>9893</v>
      </c>
      <c r="B9569" s="0" t="s">
        <v>49</v>
      </c>
      <c r="C9569" s="0" t="str">
        <f aca="false">INDEX(Intent_Analysis!$B$5:$B$81,MATCH(B9569,Intent_Analysis!$A$5:$A$81,0))</f>
        <v>Card delivery &amp; activation</v>
      </c>
      <c r="D9569" s="0" t="n">
        <f aca="false">INDEX(Intent_Analysis!$E$5:$E$81,MATCH(B9569,Intent_Analysis!$A$5:$A$81,0))</f>
        <v>1</v>
      </c>
    </row>
    <row r="9570" customFormat="false" ht="15" hidden="false" customHeight="false" outlineLevel="0" collapsed="false">
      <c r="A9570" s="0" t="s">
        <v>9894</v>
      </c>
      <c r="B9570" s="0" t="s">
        <v>49</v>
      </c>
      <c r="C9570" s="0" t="str">
        <f aca="false">INDEX(Intent_Analysis!$B$5:$B$81,MATCH(B9570,Intent_Analysis!$A$5:$A$81,0))</f>
        <v>Card delivery &amp; activation</v>
      </c>
      <c r="D9570" s="0" t="n">
        <f aca="false">INDEX(Intent_Analysis!$E$5:$E$81,MATCH(B9570,Intent_Analysis!$A$5:$A$81,0))</f>
        <v>1</v>
      </c>
    </row>
    <row r="9571" customFormat="false" ht="15" hidden="false" customHeight="false" outlineLevel="0" collapsed="false">
      <c r="A9571" s="0" t="s">
        <v>9895</v>
      </c>
      <c r="B9571" s="0" t="s">
        <v>49</v>
      </c>
      <c r="C9571" s="0" t="str">
        <f aca="false">INDEX(Intent_Analysis!$B$5:$B$81,MATCH(B9571,Intent_Analysis!$A$5:$A$81,0))</f>
        <v>Card delivery &amp; activation</v>
      </c>
      <c r="D9571" s="0" t="n">
        <f aca="false">INDEX(Intent_Analysis!$E$5:$E$81,MATCH(B9571,Intent_Analysis!$A$5:$A$81,0))</f>
        <v>1</v>
      </c>
    </row>
    <row r="9572" customFormat="false" ht="15" hidden="false" customHeight="false" outlineLevel="0" collapsed="false">
      <c r="A9572" s="0" t="s">
        <v>9896</v>
      </c>
      <c r="B9572" s="0" t="s">
        <v>49</v>
      </c>
      <c r="C9572" s="0" t="str">
        <f aca="false">INDEX(Intent_Analysis!$B$5:$B$81,MATCH(B9572,Intent_Analysis!$A$5:$A$81,0))</f>
        <v>Card delivery &amp; activation</v>
      </c>
      <c r="D9572" s="0" t="n">
        <f aca="false">INDEX(Intent_Analysis!$E$5:$E$81,MATCH(B9572,Intent_Analysis!$A$5:$A$81,0))</f>
        <v>1</v>
      </c>
    </row>
    <row r="9573" customFormat="false" ht="15" hidden="false" customHeight="false" outlineLevel="0" collapsed="false">
      <c r="A9573" s="0" t="s">
        <v>9897</v>
      </c>
      <c r="B9573" s="0" t="s">
        <v>49</v>
      </c>
      <c r="C9573" s="0" t="str">
        <f aca="false">INDEX(Intent_Analysis!$B$5:$B$81,MATCH(B9573,Intent_Analysis!$A$5:$A$81,0))</f>
        <v>Card delivery &amp; activation</v>
      </c>
      <c r="D9573" s="0" t="n">
        <f aca="false">INDEX(Intent_Analysis!$E$5:$E$81,MATCH(B9573,Intent_Analysis!$A$5:$A$81,0))</f>
        <v>1</v>
      </c>
    </row>
    <row r="9574" customFormat="false" ht="15" hidden="false" customHeight="false" outlineLevel="0" collapsed="false">
      <c r="A9574" s="0" t="s">
        <v>9898</v>
      </c>
      <c r="B9574" s="0" t="s">
        <v>49</v>
      </c>
      <c r="C9574" s="0" t="str">
        <f aca="false">INDEX(Intent_Analysis!$B$5:$B$81,MATCH(B9574,Intent_Analysis!$A$5:$A$81,0))</f>
        <v>Card delivery &amp; activation</v>
      </c>
      <c r="D9574" s="0" t="n">
        <f aca="false">INDEX(Intent_Analysis!$E$5:$E$81,MATCH(B9574,Intent_Analysis!$A$5:$A$81,0))</f>
        <v>1</v>
      </c>
    </row>
    <row r="9575" customFormat="false" ht="15" hidden="false" customHeight="false" outlineLevel="0" collapsed="false">
      <c r="A9575" s="0" t="s">
        <v>9899</v>
      </c>
      <c r="B9575" s="0" t="s">
        <v>49</v>
      </c>
      <c r="C9575" s="0" t="str">
        <f aca="false">INDEX(Intent_Analysis!$B$5:$B$81,MATCH(B9575,Intent_Analysis!$A$5:$A$81,0))</f>
        <v>Card delivery &amp; activation</v>
      </c>
      <c r="D9575" s="0" t="n">
        <f aca="false">INDEX(Intent_Analysis!$E$5:$E$81,MATCH(B9575,Intent_Analysis!$A$5:$A$81,0))</f>
        <v>1</v>
      </c>
    </row>
    <row r="9576" customFormat="false" ht="15" hidden="false" customHeight="false" outlineLevel="0" collapsed="false">
      <c r="A9576" s="0" t="s">
        <v>9900</v>
      </c>
      <c r="B9576" s="0" t="s">
        <v>49</v>
      </c>
      <c r="C9576" s="0" t="str">
        <f aca="false">INDEX(Intent_Analysis!$B$5:$B$81,MATCH(B9576,Intent_Analysis!$A$5:$A$81,0))</f>
        <v>Card delivery &amp; activation</v>
      </c>
      <c r="D9576" s="0" t="n">
        <f aca="false">INDEX(Intent_Analysis!$E$5:$E$81,MATCH(B9576,Intent_Analysis!$A$5:$A$81,0))</f>
        <v>1</v>
      </c>
    </row>
    <row r="9577" customFormat="false" ht="15" hidden="false" customHeight="false" outlineLevel="0" collapsed="false">
      <c r="A9577" s="0" t="s">
        <v>9901</v>
      </c>
      <c r="B9577" s="0" t="s">
        <v>49</v>
      </c>
      <c r="C9577" s="0" t="str">
        <f aca="false">INDEX(Intent_Analysis!$B$5:$B$81,MATCH(B9577,Intent_Analysis!$A$5:$A$81,0))</f>
        <v>Card delivery &amp; activation</v>
      </c>
      <c r="D9577" s="0" t="n">
        <f aca="false">INDEX(Intent_Analysis!$E$5:$E$81,MATCH(B9577,Intent_Analysis!$A$5:$A$81,0))</f>
        <v>1</v>
      </c>
    </row>
    <row r="9578" customFormat="false" ht="15" hidden="false" customHeight="false" outlineLevel="0" collapsed="false">
      <c r="A9578" s="0" t="s">
        <v>9902</v>
      </c>
      <c r="B9578" s="0" t="s">
        <v>49</v>
      </c>
      <c r="C9578" s="0" t="str">
        <f aca="false">INDEX(Intent_Analysis!$B$5:$B$81,MATCH(B9578,Intent_Analysis!$A$5:$A$81,0))</f>
        <v>Card delivery &amp; activation</v>
      </c>
      <c r="D9578" s="0" t="n">
        <f aca="false">INDEX(Intent_Analysis!$E$5:$E$81,MATCH(B9578,Intent_Analysis!$A$5:$A$81,0))</f>
        <v>1</v>
      </c>
    </row>
    <row r="9579" customFormat="false" ht="15" hidden="false" customHeight="false" outlineLevel="0" collapsed="false">
      <c r="A9579" s="0" t="s">
        <v>9903</v>
      </c>
      <c r="B9579" s="0" t="s">
        <v>49</v>
      </c>
      <c r="C9579" s="0" t="str">
        <f aca="false">INDEX(Intent_Analysis!$B$5:$B$81,MATCH(B9579,Intent_Analysis!$A$5:$A$81,0))</f>
        <v>Card delivery &amp; activation</v>
      </c>
      <c r="D9579" s="0" t="n">
        <f aca="false">INDEX(Intent_Analysis!$E$5:$E$81,MATCH(B9579,Intent_Analysis!$A$5:$A$81,0))</f>
        <v>1</v>
      </c>
    </row>
    <row r="9580" customFormat="false" ht="15" hidden="false" customHeight="false" outlineLevel="0" collapsed="false">
      <c r="A9580" s="0" t="s">
        <v>9904</v>
      </c>
      <c r="B9580" s="0" t="s">
        <v>49</v>
      </c>
      <c r="C9580" s="0" t="str">
        <f aca="false">INDEX(Intent_Analysis!$B$5:$B$81,MATCH(B9580,Intent_Analysis!$A$5:$A$81,0))</f>
        <v>Card delivery &amp; activation</v>
      </c>
      <c r="D9580" s="0" t="n">
        <f aca="false">INDEX(Intent_Analysis!$E$5:$E$81,MATCH(B9580,Intent_Analysis!$A$5:$A$81,0))</f>
        <v>1</v>
      </c>
    </row>
    <row r="9581" customFormat="false" ht="15" hidden="false" customHeight="false" outlineLevel="0" collapsed="false">
      <c r="A9581" s="0" t="s">
        <v>9905</v>
      </c>
      <c r="B9581" s="0" t="s">
        <v>49</v>
      </c>
      <c r="C9581" s="0" t="str">
        <f aca="false">INDEX(Intent_Analysis!$B$5:$B$81,MATCH(B9581,Intent_Analysis!$A$5:$A$81,0))</f>
        <v>Card delivery &amp; activation</v>
      </c>
      <c r="D9581" s="0" t="n">
        <f aca="false">INDEX(Intent_Analysis!$E$5:$E$81,MATCH(B9581,Intent_Analysis!$A$5:$A$81,0))</f>
        <v>1</v>
      </c>
    </row>
    <row r="9582" customFormat="false" ht="15" hidden="false" customHeight="false" outlineLevel="0" collapsed="false">
      <c r="A9582" s="0" t="s">
        <v>9906</v>
      </c>
      <c r="B9582" s="0" t="s">
        <v>49</v>
      </c>
      <c r="C9582" s="0" t="str">
        <f aca="false">INDEX(Intent_Analysis!$B$5:$B$81,MATCH(B9582,Intent_Analysis!$A$5:$A$81,0))</f>
        <v>Card delivery &amp; activation</v>
      </c>
      <c r="D9582" s="0" t="n">
        <f aca="false">INDEX(Intent_Analysis!$E$5:$E$81,MATCH(B9582,Intent_Analysis!$A$5:$A$81,0))</f>
        <v>1</v>
      </c>
    </row>
    <row r="9583" customFormat="false" ht="15" hidden="false" customHeight="false" outlineLevel="0" collapsed="false">
      <c r="A9583" s="0" t="s">
        <v>9907</v>
      </c>
      <c r="B9583" s="0" t="s">
        <v>49</v>
      </c>
      <c r="C9583" s="0" t="str">
        <f aca="false">INDEX(Intent_Analysis!$B$5:$B$81,MATCH(B9583,Intent_Analysis!$A$5:$A$81,0))</f>
        <v>Card delivery &amp; activation</v>
      </c>
      <c r="D9583" s="0" t="n">
        <f aca="false">INDEX(Intent_Analysis!$E$5:$E$81,MATCH(B9583,Intent_Analysis!$A$5:$A$81,0))</f>
        <v>1</v>
      </c>
    </row>
    <row r="9584" customFormat="false" ht="15" hidden="false" customHeight="false" outlineLevel="0" collapsed="false">
      <c r="A9584" s="0" t="s">
        <v>9908</v>
      </c>
      <c r="B9584" s="0" t="s">
        <v>49</v>
      </c>
      <c r="C9584" s="0" t="str">
        <f aca="false">INDEX(Intent_Analysis!$B$5:$B$81,MATCH(B9584,Intent_Analysis!$A$5:$A$81,0))</f>
        <v>Card delivery &amp; activation</v>
      </c>
      <c r="D9584" s="0" t="n">
        <f aca="false">INDEX(Intent_Analysis!$E$5:$E$81,MATCH(B9584,Intent_Analysis!$A$5:$A$81,0))</f>
        <v>1</v>
      </c>
    </row>
    <row r="9585" customFormat="false" ht="15" hidden="false" customHeight="false" outlineLevel="0" collapsed="false">
      <c r="A9585" s="0" t="s">
        <v>9909</v>
      </c>
      <c r="B9585" s="0" t="s">
        <v>49</v>
      </c>
      <c r="C9585" s="0" t="str">
        <f aca="false">INDEX(Intent_Analysis!$B$5:$B$81,MATCH(B9585,Intent_Analysis!$A$5:$A$81,0))</f>
        <v>Card delivery &amp; activation</v>
      </c>
      <c r="D9585" s="0" t="n">
        <f aca="false">INDEX(Intent_Analysis!$E$5:$E$81,MATCH(B9585,Intent_Analysis!$A$5:$A$81,0))</f>
        <v>1</v>
      </c>
    </row>
    <row r="9586" customFormat="false" ht="15" hidden="false" customHeight="false" outlineLevel="0" collapsed="false">
      <c r="A9586" s="0" t="s">
        <v>9910</v>
      </c>
      <c r="B9586" s="0" t="s">
        <v>49</v>
      </c>
      <c r="C9586" s="0" t="str">
        <f aca="false">INDEX(Intent_Analysis!$B$5:$B$81,MATCH(B9586,Intent_Analysis!$A$5:$A$81,0))</f>
        <v>Card delivery &amp; activation</v>
      </c>
      <c r="D9586" s="0" t="n">
        <f aca="false">INDEX(Intent_Analysis!$E$5:$E$81,MATCH(B9586,Intent_Analysis!$A$5:$A$81,0))</f>
        <v>1</v>
      </c>
    </row>
    <row r="9587" customFormat="false" ht="15" hidden="false" customHeight="false" outlineLevel="0" collapsed="false">
      <c r="A9587" s="0" t="s">
        <v>9911</v>
      </c>
      <c r="B9587" s="0" t="s">
        <v>49</v>
      </c>
      <c r="C9587" s="0" t="str">
        <f aca="false">INDEX(Intent_Analysis!$B$5:$B$81,MATCH(B9587,Intent_Analysis!$A$5:$A$81,0))</f>
        <v>Card delivery &amp; activation</v>
      </c>
      <c r="D9587" s="0" t="n">
        <f aca="false">INDEX(Intent_Analysis!$E$5:$E$81,MATCH(B9587,Intent_Analysis!$A$5:$A$81,0))</f>
        <v>1</v>
      </c>
    </row>
    <row r="9588" customFormat="false" ht="15" hidden="false" customHeight="false" outlineLevel="0" collapsed="false">
      <c r="A9588" s="0" t="s">
        <v>9912</v>
      </c>
      <c r="B9588" s="0" t="s">
        <v>49</v>
      </c>
      <c r="C9588" s="0" t="str">
        <f aca="false">INDEX(Intent_Analysis!$B$5:$B$81,MATCH(B9588,Intent_Analysis!$A$5:$A$81,0))</f>
        <v>Card delivery &amp; activation</v>
      </c>
      <c r="D9588" s="0" t="n">
        <f aca="false">INDEX(Intent_Analysis!$E$5:$E$81,MATCH(B9588,Intent_Analysis!$A$5:$A$81,0))</f>
        <v>1</v>
      </c>
    </row>
    <row r="9589" customFormat="false" ht="15" hidden="false" customHeight="false" outlineLevel="0" collapsed="false">
      <c r="A9589" s="0" t="s">
        <v>9913</v>
      </c>
      <c r="B9589" s="0" t="s">
        <v>49</v>
      </c>
      <c r="C9589" s="0" t="str">
        <f aca="false">INDEX(Intent_Analysis!$B$5:$B$81,MATCH(B9589,Intent_Analysis!$A$5:$A$81,0))</f>
        <v>Card delivery &amp; activation</v>
      </c>
      <c r="D9589" s="0" t="n">
        <f aca="false">INDEX(Intent_Analysis!$E$5:$E$81,MATCH(B9589,Intent_Analysis!$A$5:$A$81,0))</f>
        <v>1</v>
      </c>
    </row>
    <row r="9590" customFormat="false" ht="15" hidden="false" customHeight="false" outlineLevel="0" collapsed="false">
      <c r="A9590" s="0" t="s">
        <v>9914</v>
      </c>
      <c r="B9590" s="0" t="s">
        <v>49</v>
      </c>
      <c r="C9590" s="0" t="str">
        <f aca="false">INDEX(Intent_Analysis!$B$5:$B$81,MATCH(B9590,Intent_Analysis!$A$5:$A$81,0))</f>
        <v>Card delivery &amp; activation</v>
      </c>
      <c r="D9590" s="0" t="n">
        <f aca="false">INDEX(Intent_Analysis!$E$5:$E$81,MATCH(B9590,Intent_Analysis!$A$5:$A$81,0))</f>
        <v>1</v>
      </c>
    </row>
    <row r="9591" customFormat="false" ht="15" hidden="false" customHeight="false" outlineLevel="0" collapsed="false">
      <c r="A9591" s="0" t="s">
        <v>9915</v>
      </c>
      <c r="B9591" s="0" t="s">
        <v>49</v>
      </c>
      <c r="C9591" s="0" t="str">
        <f aca="false">INDEX(Intent_Analysis!$B$5:$B$81,MATCH(B9591,Intent_Analysis!$A$5:$A$81,0))</f>
        <v>Card delivery &amp; activation</v>
      </c>
      <c r="D9591" s="0" t="n">
        <f aca="false">INDEX(Intent_Analysis!$E$5:$E$81,MATCH(B9591,Intent_Analysis!$A$5:$A$81,0))</f>
        <v>1</v>
      </c>
    </row>
    <row r="9592" customFormat="false" ht="15" hidden="false" customHeight="false" outlineLevel="0" collapsed="false">
      <c r="A9592" s="0" t="s">
        <v>9916</v>
      </c>
      <c r="B9592" s="0" t="s">
        <v>49</v>
      </c>
      <c r="C9592" s="0" t="str">
        <f aca="false">INDEX(Intent_Analysis!$B$5:$B$81,MATCH(B9592,Intent_Analysis!$A$5:$A$81,0))</f>
        <v>Card delivery &amp; activation</v>
      </c>
      <c r="D9592" s="0" t="n">
        <f aca="false">INDEX(Intent_Analysis!$E$5:$E$81,MATCH(B9592,Intent_Analysis!$A$5:$A$81,0))</f>
        <v>1</v>
      </c>
    </row>
    <row r="9593" customFormat="false" ht="15" hidden="false" customHeight="false" outlineLevel="0" collapsed="false">
      <c r="A9593" s="0" t="s">
        <v>9917</v>
      </c>
      <c r="B9593" s="0" t="s">
        <v>49</v>
      </c>
      <c r="C9593" s="0" t="str">
        <f aca="false">INDEX(Intent_Analysis!$B$5:$B$81,MATCH(B9593,Intent_Analysis!$A$5:$A$81,0))</f>
        <v>Card delivery &amp; activation</v>
      </c>
      <c r="D9593" s="0" t="n">
        <f aca="false">INDEX(Intent_Analysis!$E$5:$E$81,MATCH(B9593,Intent_Analysis!$A$5:$A$81,0))</f>
        <v>1</v>
      </c>
    </row>
    <row r="9594" customFormat="false" ht="15" hidden="false" customHeight="false" outlineLevel="0" collapsed="false">
      <c r="A9594" s="0" t="s">
        <v>9918</v>
      </c>
      <c r="B9594" s="0" t="s">
        <v>49</v>
      </c>
      <c r="C9594" s="0" t="str">
        <f aca="false">INDEX(Intent_Analysis!$B$5:$B$81,MATCH(B9594,Intent_Analysis!$A$5:$A$81,0))</f>
        <v>Card delivery &amp; activation</v>
      </c>
      <c r="D9594" s="0" t="n">
        <f aca="false">INDEX(Intent_Analysis!$E$5:$E$81,MATCH(B9594,Intent_Analysis!$A$5:$A$81,0))</f>
        <v>1</v>
      </c>
    </row>
    <row r="9595" customFormat="false" ht="15" hidden="false" customHeight="false" outlineLevel="0" collapsed="false">
      <c r="A9595" s="0" t="s">
        <v>9919</v>
      </c>
      <c r="B9595" s="0" t="s">
        <v>49</v>
      </c>
      <c r="C9595" s="0" t="str">
        <f aca="false">INDEX(Intent_Analysis!$B$5:$B$81,MATCH(B9595,Intent_Analysis!$A$5:$A$81,0))</f>
        <v>Card delivery &amp; activation</v>
      </c>
      <c r="D9595" s="0" t="n">
        <f aca="false">INDEX(Intent_Analysis!$E$5:$E$81,MATCH(B9595,Intent_Analysis!$A$5:$A$81,0))</f>
        <v>1</v>
      </c>
    </row>
    <row r="9596" customFormat="false" ht="15" hidden="false" customHeight="false" outlineLevel="0" collapsed="false">
      <c r="A9596" s="0" t="s">
        <v>9920</v>
      </c>
      <c r="B9596" s="0" t="s">
        <v>49</v>
      </c>
      <c r="C9596" s="0" t="str">
        <f aca="false">INDEX(Intent_Analysis!$B$5:$B$81,MATCH(B9596,Intent_Analysis!$A$5:$A$81,0))</f>
        <v>Card delivery &amp; activation</v>
      </c>
      <c r="D9596" s="0" t="n">
        <f aca="false">INDEX(Intent_Analysis!$E$5:$E$81,MATCH(B9596,Intent_Analysis!$A$5:$A$81,0))</f>
        <v>1</v>
      </c>
    </row>
    <row r="9597" customFormat="false" ht="15" hidden="false" customHeight="false" outlineLevel="0" collapsed="false">
      <c r="A9597" s="0" t="s">
        <v>9921</v>
      </c>
      <c r="B9597" s="0" t="s">
        <v>49</v>
      </c>
      <c r="C9597" s="0" t="str">
        <f aca="false">INDEX(Intent_Analysis!$B$5:$B$81,MATCH(B9597,Intent_Analysis!$A$5:$A$81,0))</f>
        <v>Card delivery &amp; activation</v>
      </c>
      <c r="D9597" s="0" t="n">
        <f aca="false">INDEX(Intent_Analysis!$E$5:$E$81,MATCH(B9597,Intent_Analysis!$A$5:$A$81,0))</f>
        <v>1</v>
      </c>
    </row>
    <row r="9598" customFormat="false" ht="15" hidden="false" customHeight="false" outlineLevel="0" collapsed="false">
      <c r="A9598" s="0" t="s">
        <v>9922</v>
      </c>
      <c r="B9598" s="0" t="s">
        <v>49</v>
      </c>
      <c r="C9598" s="0" t="str">
        <f aca="false">INDEX(Intent_Analysis!$B$5:$B$81,MATCH(B9598,Intent_Analysis!$A$5:$A$81,0))</f>
        <v>Card delivery &amp; activation</v>
      </c>
      <c r="D9598" s="0" t="n">
        <f aca="false">INDEX(Intent_Analysis!$E$5:$E$81,MATCH(B9598,Intent_Analysis!$A$5:$A$81,0))</f>
        <v>1</v>
      </c>
    </row>
    <row r="9599" customFormat="false" ht="15" hidden="false" customHeight="false" outlineLevel="0" collapsed="false">
      <c r="A9599" s="0" t="s">
        <v>9923</v>
      </c>
      <c r="B9599" s="0" t="s">
        <v>49</v>
      </c>
      <c r="C9599" s="0" t="str">
        <f aca="false">INDEX(Intent_Analysis!$B$5:$B$81,MATCH(B9599,Intent_Analysis!$A$5:$A$81,0))</f>
        <v>Card delivery &amp; activation</v>
      </c>
      <c r="D9599" s="0" t="n">
        <f aca="false">INDEX(Intent_Analysis!$E$5:$E$81,MATCH(B9599,Intent_Analysis!$A$5:$A$81,0))</f>
        <v>1</v>
      </c>
    </row>
    <row r="9600" customFormat="false" ht="15" hidden="false" customHeight="false" outlineLevel="0" collapsed="false">
      <c r="A9600" s="0" t="s">
        <v>9924</v>
      </c>
      <c r="B9600" s="0" t="s">
        <v>49</v>
      </c>
      <c r="C9600" s="0" t="str">
        <f aca="false">INDEX(Intent_Analysis!$B$5:$B$81,MATCH(B9600,Intent_Analysis!$A$5:$A$81,0))</f>
        <v>Card delivery &amp; activation</v>
      </c>
      <c r="D9600" s="0" t="n">
        <f aca="false">INDEX(Intent_Analysis!$E$5:$E$81,MATCH(B9600,Intent_Analysis!$A$5:$A$81,0))</f>
        <v>1</v>
      </c>
    </row>
    <row r="9601" customFormat="false" ht="15" hidden="false" customHeight="false" outlineLevel="0" collapsed="false">
      <c r="A9601" s="0" t="s">
        <v>9925</v>
      </c>
      <c r="B9601" s="0" t="s">
        <v>49</v>
      </c>
      <c r="C9601" s="0" t="str">
        <f aca="false">INDEX(Intent_Analysis!$B$5:$B$81,MATCH(B9601,Intent_Analysis!$A$5:$A$81,0))</f>
        <v>Card delivery &amp; activation</v>
      </c>
      <c r="D9601" s="0" t="n">
        <f aca="false">INDEX(Intent_Analysis!$E$5:$E$81,MATCH(B9601,Intent_Analysis!$A$5:$A$81,0))</f>
        <v>1</v>
      </c>
    </row>
    <row r="9602" customFormat="false" ht="15" hidden="false" customHeight="false" outlineLevel="0" collapsed="false">
      <c r="A9602" s="0" t="s">
        <v>9926</v>
      </c>
      <c r="B9602" s="0" t="s">
        <v>49</v>
      </c>
      <c r="C9602" s="0" t="str">
        <f aca="false">INDEX(Intent_Analysis!$B$5:$B$81,MATCH(B9602,Intent_Analysis!$A$5:$A$81,0))</f>
        <v>Card delivery &amp; activation</v>
      </c>
      <c r="D9602" s="0" t="n">
        <f aca="false">INDEX(Intent_Analysis!$E$5:$E$81,MATCH(B9602,Intent_Analysis!$A$5:$A$81,0))</f>
        <v>1</v>
      </c>
    </row>
    <row r="9603" customFormat="false" ht="15" hidden="false" customHeight="false" outlineLevel="0" collapsed="false">
      <c r="A9603" s="0" t="s">
        <v>9927</v>
      </c>
      <c r="B9603" s="0" t="s">
        <v>49</v>
      </c>
      <c r="C9603" s="0" t="str">
        <f aca="false">INDEX(Intent_Analysis!$B$5:$B$81,MATCH(B9603,Intent_Analysis!$A$5:$A$81,0))</f>
        <v>Card delivery &amp; activation</v>
      </c>
      <c r="D9603" s="0" t="n">
        <f aca="false">INDEX(Intent_Analysis!$E$5:$E$81,MATCH(B9603,Intent_Analysis!$A$5:$A$81,0))</f>
        <v>1</v>
      </c>
    </row>
    <row r="9604" customFormat="false" ht="15" hidden="false" customHeight="false" outlineLevel="0" collapsed="false">
      <c r="A9604" s="0" t="s">
        <v>9928</v>
      </c>
      <c r="B9604" s="0" t="s">
        <v>49</v>
      </c>
      <c r="C9604" s="0" t="str">
        <f aca="false">INDEX(Intent_Analysis!$B$5:$B$81,MATCH(B9604,Intent_Analysis!$A$5:$A$81,0))</f>
        <v>Card delivery &amp; activation</v>
      </c>
      <c r="D9604" s="0" t="n">
        <f aca="false">INDEX(Intent_Analysis!$E$5:$E$81,MATCH(B9604,Intent_Analysis!$A$5:$A$81,0))</f>
        <v>1</v>
      </c>
    </row>
    <row r="9605" customFormat="false" ht="15" hidden="false" customHeight="false" outlineLevel="0" collapsed="false">
      <c r="A9605" s="0" t="s">
        <v>9929</v>
      </c>
      <c r="B9605" s="0" t="s">
        <v>49</v>
      </c>
      <c r="C9605" s="0" t="str">
        <f aca="false">INDEX(Intent_Analysis!$B$5:$B$81,MATCH(B9605,Intent_Analysis!$A$5:$A$81,0))</f>
        <v>Card delivery &amp; activation</v>
      </c>
      <c r="D9605" s="0" t="n">
        <f aca="false">INDEX(Intent_Analysis!$E$5:$E$81,MATCH(B9605,Intent_Analysis!$A$5:$A$81,0))</f>
        <v>1</v>
      </c>
    </row>
    <row r="9606" customFormat="false" ht="15" hidden="false" customHeight="false" outlineLevel="0" collapsed="false">
      <c r="A9606" s="0" t="s">
        <v>9930</v>
      </c>
      <c r="B9606" s="0" t="s">
        <v>49</v>
      </c>
      <c r="C9606" s="0" t="str">
        <f aca="false">INDEX(Intent_Analysis!$B$5:$B$81,MATCH(B9606,Intent_Analysis!$A$5:$A$81,0))</f>
        <v>Card delivery &amp; activation</v>
      </c>
      <c r="D9606" s="0" t="n">
        <f aca="false">INDEX(Intent_Analysis!$E$5:$E$81,MATCH(B9606,Intent_Analysis!$A$5:$A$81,0))</f>
        <v>1</v>
      </c>
    </row>
    <row r="9607" customFormat="false" ht="15" hidden="false" customHeight="false" outlineLevel="0" collapsed="false">
      <c r="A9607" s="0" t="s">
        <v>9931</v>
      </c>
      <c r="B9607" s="0" t="s">
        <v>49</v>
      </c>
      <c r="C9607" s="0" t="str">
        <f aca="false">INDEX(Intent_Analysis!$B$5:$B$81,MATCH(B9607,Intent_Analysis!$A$5:$A$81,0))</f>
        <v>Card delivery &amp; activation</v>
      </c>
      <c r="D9607" s="0" t="n">
        <f aca="false">INDEX(Intent_Analysis!$E$5:$E$81,MATCH(B9607,Intent_Analysis!$A$5:$A$81,0))</f>
        <v>1</v>
      </c>
    </row>
    <row r="9608" customFormat="false" ht="15" hidden="false" customHeight="false" outlineLevel="0" collapsed="false">
      <c r="A9608" s="0" t="s">
        <v>9932</v>
      </c>
      <c r="B9608" s="0" t="s">
        <v>49</v>
      </c>
      <c r="C9608" s="0" t="str">
        <f aca="false">INDEX(Intent_Analysis!$B$5:$B$81,MATCH(B9608,Intent_Analysis!$A$5:$A$81,0))</f>
        <v>Card delivery &amp; activation</v>
      </c>
      <c r="D9608" s="0" t="n">
        <f aca="false">INDEX(Intent_Analysis!$E$5:$E$81,MATCH(B9608,Intent_Analysis!$A$5:$A$81,0))</f>
        <v>1</v>
      </c>
    </row>
    <row r="9609" customFormat="false" ht="15" hidden="false" customHeight="false" outlineLevel="0" collapsed="false">
      <c r="A9609" s="0" t="s">
        <v>9933</v>
      </c>
      <c r="B9609" s="0" t="s">
        <v>49</v>
      </c>
      <c r="C9609" s="0" t="str">
        <f aca="false">INDEX(Intent_Analysis!$B$5:$B$81,MATCH(B9609,Intent_Analysis!$A$5:$A$81,0))</f>
        <v>Card delivery &amp; activation</v>
      </c>
      <c r="D9609" s="0" t="n">
        <f aca="false">INDEX(Intent_Analysis!$E$5:$E$81,MATCH(B9609,Intent_Analysis!$A$5:$A$81,0))</f>
        <v>1</v>
      </c>
    </row>
    <row r="9610" customFormat="false" ht="15" hidden="false" customHeight="false" outlineLevel="0" collapsed="false">
      <c r="A9610" s="0" t="s">
        <v>9934</v>
      </c>
      <c r="B9610" s="0" t="s">
        <v>49</v>
      </c>
      <c r="C9610" s="0" t="str">
        <f aca="false">INDEX(Intent_Analysis!$B$5:$B$81,MATCH(B9610,Intent_Analysis!$A$5:$A$81,0))</f>
        <v>Card delivery &amp; activation</v>
      </c>
      <c r="D9610" s="0" t="n">
        <f aca="false">INDEX(Intent_Analysis!$E$5:$E$81,MATCH(B9610,Intent_Analysis!$A$5:$A$81,0))</f>
        <v>1</v>
      </c>
    </row>
    <row r="9611" customFormat="false" ht="15" hidden="false" customHeight="false" outlineLevel="0" collapsed="false">
      <c r="A9611" s="0" t="s">
        <v>9935</v>
      </c>
      <c r="B9611" s="0" t="s">
        <v>49</v>
      </c>
      <c r="C9611" s="0" t="str">
        <f aca="false">INDEX(Intent_Analysis!$B$5:$B$81,MATCH(B9611,Intent_Analysis!$A$5:$A$81,0))</f>
        <v>Card delivery &amp; activation</v>
      </c>
      <c r="D9611" s="0" t="n">
        <f aca="false">INDEX(Intent_Analysis!$E$5:$E$81,MATCH(B9611,Intent_Analysis!$A$5:$A$81,0))</f>
        <v>1</v>
      </c>
    </row>
    <row r="9612" customFormat="false" ht="15" hidden="false" customHeight="false" outlineLevel="0" collapsed="false">
      <c r="A9612" s="0" t="s">
        <v>9936</v>
      </c>
      <c r="B9612" s="0" t="s">
        <v>49</v>
      </c>
      <c r="C9612" s="0" t="str">
        <f aca="false">INDEX(Intent_Analysis!$B$5:$B$81,MATCH(B9612,Intent_Analysis!$A$5:$A$81,0))</f>
        <v>Card delivery &amp; activation</v>
      </c>
      <c r="D9612" s="0" t="n">
        <f aca="false">INDEX(Intent_Analysis!$E$5:$E$81,MATCH(B9612,Intent_Analysis!$A$5:$A$81,0))</f>
        <v>1</v>
      </c>
    </row>
    <row r="9613" customFormat="false" ht="15" hidden="false" customHeight="false" outlineLevel="0" collapsed="false">
      <c r="A9613" s="0" t="s">
        <v>9937</v>
      </c>
      <c r="B9613" s="0" t="s">
        <v>49</v>
      </c>
      <c r="C9613" s="0" t="str">
        <f aca="false">INDEX(Intent_Analysis!$B$5:$B$81,MATCH(B9613,Intent_Analysis!$A$5:$A$81,0))</f>
        <v>Card delivery &amp; activation</v>
      </c>
      <c r="D9613" s="0" t="n">
        <f aca="false">INDEX(Intent_Analysis!$E$5:$E$81,MATCH(B9613,Intent_Analysis!$A$5:$A$81,0))</f>
        <v>1</v>
      </c>
    </row>
    <row r="9614" customFormat="false" ht="15" hidden="false" customHeight="false" outlineLevel="0" collapsed="false">
      <c r="A9614" s="0" t="s">
        <v>9938</v>
      </c>
      <c r="B9614" s="0" t="s">
        <v>49</v>
      </c>
      <c r="C9614" s="0" t="str">
        <f aca="false">INDEX(Intent_Analysis!$B$5:$B$81,MATCH(B9614,Intent_Analysis!$A$5:$A$81,0))</f>
        <v>Card delivery &amp; activation</v>
      </c>
      <c r="D9614" s="0" t="n">
        <f aca="false">INDEX(Intent_Analysis!$E$5:$E$81,MATCH(B9614,Intent_Analysis!$A$5:$A$81,0))</f>
        <v>1</v>
      </c>
    </row>
    <row r="9615" customFormat="false" ht="15" hidden="false" customHeight="false" outlineLevel="0" collapsed="false">
      <c r="A9615" s="0" t="s">
        <v>9939</v>
      </c>
      <c r="B9615" s="0" t="s">
        <v>49</v>
      </c>
      <c r="C9615" s="0" t="str">
        <f aca="false">INDEX(Intent_Analysis!$B$5:$B$81,MATCH(B9615,Intent_Analysis!$A$5:$A$81,0))</f>
        <v>Card delivery &amp; activation</v>
      </c>
      <c r="D9615" s="0" t="n">
        <f aca="false">INDEX(Intent_Analysis!$E$5:$E$81,MATCH(B9615,Intent_Analysis!$A$5:$A$81,0))</f>
        <v>1</v>
      </c>
    </row>
    <row r="9616" customFormat="false" ht="15" hidden="false" customHeight="false" outlineLevel="0" collapsed="false">
      <c r="A9616" s="0" t="s">
        <v>9940</v>
      </c>
      <c r="B9616" s="0" t="s">
        <v>49</v>
      </c>
      <c r="C9616" s="0" t="str">
        <f aca="false">INDEX(Intent_Analysis!$B$5:$B$81,MATCH(B9616,Intent_Analysis!$A$5:$A$81,0))</f>
        <v>Card delivery &amp; activation</v>
      </c>
      <c r="D9616" s="0" t="n">
        <f aca="false">INDEX(Intent_Analysis!$E$5:$E$81,MATCH(B9616,Intent_Analysis!$A$5:$A$81,0))</f>
        <v>1</v>
      </c>
    </row>
    <row r="9617" customFormat="false" ht="15" hidden="false" customHeight="false" outlineLevel="0" collapsed="false">
      <c r="A9617" s="0" t="s">
        <v>9941</v>
      </c>
      <c r="B9617" s="0" t="s">
        <v>49</v>
      </c>
      <c r="C9617" s="0" t="str">
        <f aca="false">INDEX(Intent_Analysis!$B$5:$B$81,MATCH(B9617,Intent_Analysis!$A$5:$A$81,0))</f>
        <v>Card delivery &amp; activation</v>
      </c>
      <c r="D9617" s="0" t="n">
        <f aca="false">INDEX(Intent_Analysis!$E$5:$E$81,MATCH(B9617,Intent_Analysis!$A$5:$A$81,0))</f>
        <v>1</v>
      </c>
    </row>
    <row r="9618" customFormat="false" ht="15" hidden="false" customHeight="false" outlineLevel="0" collapsed="false">
      <c r="A9618" s="0" t="s">
        <v>9942</v>
      </c>
      <c r="B9618" s="0" t="s">
        <v>49</v>
      </c>
      <c r="C9618" s="0" t="str">
        <f aca="false">INDEX(Intent_Analysis!$B$5:$B$81,MATCH(B9618,Intent_Analysis!$A$5:$A$81,0))</f>
        <v>Card delivery &amp; activation</v>
      </c>
      <c r="D9618" s="0" t="n">
        <f aca="false">INDEX(Intent_Analysis!$E$5:$E$81,MATCH(B9618,Intent_Analysis!$A$5:$A$81,0))</f>
        <v>1</v>
      </c>
    </row>
    <row r="9619" customFormat="false" ht="15" hidden="false" customHeight="false" outlineLevel="0" collapsed="false">
      <c r="A9619" s="0" t="s">
        <v>9943</v>
      </c>
      <c r="B9619" s="0" t="s">
        <v>49</v>
      </c>
      <c r="C9619" s="0" t="str">
        <f aca="false">INDEX(Intent_Analysis!$B$5:$B$81,MATCH(B9619,Intent_Analysis!$A$5:$A$81,0))</f>
        <v>Card delivery &amp; activation</v>
      </c>
      <c r="D9619" s="0" t="n">
        <f aca="false">INDEX(Intent_Analysis!$E$5:$E$81,MATCH(B9619,Intent_Analysis!$A$5:$A$81,0))</f>
        <v>1</v>
      </c>
    </row>
    <row r="9620" customFormat="false" ht="15" hidden="false" customHeight="false" outlineLevel="0" collapsed="false">
      <c r="A9620" s="0" t="s">
        <v>9944</v>
      </c>
      <c r="B9620" s="0" t="s">
        <v>49</v>
      </c>
      <c r="C9620" s="0" t="str">
        <f aca="false">INDEX(Intent_Analysis!$B$5:$B$81,MATCH(B9620,Intent_Analysis!$A$5:$A$81,0))</f>
        <v>Card delivery &amp; activation</v>
      </c>
      <c r="D9620" s="0" t="n">
        <f aca="false">INDEX(Intent_Analysis!$E$5:$E$81,MATCH(B9620,Intent_Analysis!$A$5:$A$81,0))</f>
        <v>1</v>
      </c>
    </row>
    <row r="9621" customFormat="false" ht="15" hidden="false" customHeight="false" outlineLevel="0" collapsed="false">
      <c r="A9621" s="0" t="s">
        <v>9945</v>
      </c>
      <c r="B9621" s="0" t="s">
        <v>49</v>
      </c>
      <c r="C9621" s="0" t="str">
        <f aca="false">INDEX(Intent_Analysis!$B$5:$B$81,MATCH(B9621,Intent_Analysis!$A$5:$A$81,0))</f>
        <v>Card delivery &amp; activation</v>
      </c>
      <c r="D9621" s="0" t="n">
        <f aca="false">INDEX(Intent_Analysis!$E$5:$E$81,MATCH(B9621,Intent_Analysis!$A$5:$A$81,0))</f>
        <v>1</v>
      </c>
    </row>
    <row r="9622" customFormat="false" ht="15" hidden="false" customHeight="false" outlineLevel="0" collapsed="false">
      <c r="A9622" s="0" t="s">
        <v>9946</v>
      </c>
      <c r="B9622" s="0" t="s">
        <v>49</v>
      </c>
      <c r="C9622" s="0" t="str">
        <f aca="false">INDEX(Intent_Analysis!$B$5:$B$81,MATCH(B9622,Intent_Analysis!$A$5:$A$81,0))</f>
        <v>Card delivery &amp; activation</v>
      </c>
      <c r="D9622" s="0" t="n">
        <f aca="false">INDEX(Intent_Analysis!$E$5:$E$81,MATCH(B9622,Intent_Analysis!$A$5:$A$81,0))</f>
        <v>1</v>
      </c>
    </row>
    <row r="9623" customFormat="false" ht="15" hidden="false" customHeight="false" outlineLevel="0" collapsed="false">
      <c r="A9623" s="0" t="s">
        <v>9947</v>
      </c>
      <c r="B9623" s="0" t="s">
        <v>49</v>
      </c>
      <c r="C9623" s="0" t="str">
        <f aca="false">INDEX(Intent_Analysis!$B$5:$B$81,MATCH(B9623,Intent_Analysis!$A$5:$A$81,0))</f>
        <v>Card delivery &amp; activation</v>
      </c>
      <c r="D9623" s="0" t="n">
        <f aca="false">INDEX(Intent_Analysis!$E$5:$E$81,MATCH(B9623,Intent_Analysis!$A$5:$A$81,0))</f>
        <v>1</v>
      </c>
    </row>
    <row r="9624" customFormat="false" ht="15" hidden="false" customHeight="false" outlineLevel="0" collapsed="false">
      <c r="A9624" s="0" t="s">
        <v>9948</v>
      </c>
      <c r="B9624" s="0" t="s">
        <v>49</v>
      </c>
      <c r="C9624" s="0" t="str">
        <f aca="false">INDEX(Intent_Analysis!$B$5:$B$81,MATCH(B9624,Intent_Analysis!$A$5:$A$81,0))</f>
        <v>Card delivery &amp; activation</v>
      </c>
      <c r="D9624" s="0" t="n">
        <f aca="false">INDEX(Intent_Analysis!$E$5:$E$81,MATCH(B9624,Intent_Analysis!$A$5:$A$81,0))</f>
        <v>1</v>
      </c>
    </row>
    <row r="9625" customFormat="false" ht="15" hidden="false" customHeight="false" outlineLevel="0" collapsed="false">
      <c r="A9625" s="0" t="s">
        <v>9949</v>
      </c>
      <c r="B9625" s="0" t="s">
        <v>49</v>
      </c>
      <c r="C9625" s="0" t="str">
        <f aca="false">INDEX(Intent_Analysis!$B$5:$B$81,MATCH(B9625,Intent_Analysis!$A$5:$A$81,0))</f>
        <v>Card delivery &amp; activation</v>
      </c>
      <c r="D9625" s="0" t="n">
        <f aca="false">INDEX(Intent_Analysis!$E$5:$E$81,MATCH(B9625,Intent_Analysis!$A$5:$A$81,0))</f>
        <v>1</v>
      </c>
    </row>
    <row r="9626" customFormat="false" ht="15" hidden="false" customHeight="false" outlineLevel="0" collapsed="false">
      <c r="A9626" s="0" t="s">
        <v>9950</v>
      </c>
      <c r="B9626" s="0" t="s">
        <v>49</v>
      </c>
      <c r="C9626" s="0" t="str">
        <f aca="false">INDEX(Intent_Analysis!$B$5:$B$81,MATCH(B9626,Intent_Analysis!$A$5:$A$81,0))</f>
        <v>Card delivery &amp; activation</v>
      </c>
      <c r="D9626" s="0" t="n">
        <f aca="false">INDEX(Intent_Analysis!$E$5:$E$81,MATCH(B9626,Intent_Analysis!$A$5:$A$81,0))</f>
        <v>1</v>
      </c>
    </row>
    <row r="9627" customFormat="false" ht="15" hidden="false" customHeight="false" outlineLevel="0" collapsed="false">
      <c r="A9627" s="0" t="s">
        <v>9951</v>
      </c>
      <c r="B9627" s="0" t="s">
        <v>49</v>
      </c>
      <c r="C9627" s="0" t="str">
        <f aca="false">INDEX(Intent_Analysis!$B$5:$B$81,MATCH(B9627,Intent_Analysis!$A$5:$A$81,0))</f>
        <v>Card delivery &amp; activation</v>
      </c>
      <c r="D9627" s="0" t="n">
        <f aca="false">INDEX(Intent_Analysis!$E$5:$E$81,MATCH(B9627,Intent_Analysis!$A$5:$A$81,0))</f>
        <v>1</v>
      </c>
    </row>
    <row r="9628" customFormat="false" ht="15" hidden="false" customHeight="false" outlineLevel="0" collapsed="false">
      <c r="A9628" s="0" t="s">
        <v>9952</v>
      </c>
      <c r="B9628" s="0" t="s">
        <v>49</v>
      </c>
      <c r="C9628" s="0" t="str">
        <f aca="false">INDEX(Intent_Analysis!$B$5:$B$81,MATCH(B9628,Intent_Analysis!$A$5:$A$81,0))</f>
        <v>Card delivery &amp; activation</v>
      </c>
      <c r="D9628" s="0" t="n">
        <f aca="false">INDEX(Intent_Analysis!$E$5:$E$81,MATCH(B9628,Intent_Analysis!$A$5:$A$81,0))</f>
        <v>1</v>
      </c>
    </row>
    <row r="9629" customFormat="false" ht="15" hidden="false" customHeight="false" outlineLevel="0" collapsed="false">
      <c r="A9629" s="0" t="s">
        <v>9953</v>
      </c>
      <c r="B9629" s="0" t="s">
        <v>49</v>
      </c>
      <c r="C9629" s="0" t="str">
        <f aca="false">INDEX(Intent_Analysis!$B$5:$B$81,MATCH(B9629,Intent_Analysis!$A$5:$A$81,0))</f>
        <v>Card delivery &amp; activation</v>
      </c>
      <c r="D9629" s="0" t="n">
        <f aca="false">INDEX(Intent_Analysis!$E$5:$E$81,MATCH(B9629,Intent_Analysis!$A$5:$A$81,0))</f>
        <v>1</v>
      </c>
    </row>
    <row r="9630" customFormat="false" ht="15" hidden="false" customHeight="false" outlineLevel="0" collapsed="false">
      <c r="A9630" s="0" t="s">
        <v>9954</v>
      </c>
      <c r="B9630" s="0" t="s">
        <v>49</v>
      </c>
      <c r="C9630" s="0" t="str">
        <f aca="false">INDEX(Intent_Analysis!$B$5:$B$81,MATCH(B9630,Intent_Analysis!$A$5:$A$81,0))</f>
        <v>Card delivery &amp; activation</v>
      </c>
      <c r="D9630" s="0" t="n">
        <f aca="false">INDEX(Intent_Analysis!$E$5:$E$81,MATCH(B9630,Intent_Analysis!$A$5:$A$81,0))</f>
        <v>1</v>
      </c>
    </row>
    <row r="9631" customFormat="false" ht="15" hidden="false" customHeight="false" outlineLevel="0" collapsed="false">
      <c r="A9631" s="0" t="s">
        <v>9955</v>
      </c>
      <c r="B9631" s="0" t="s">
        <v>49</v>
      </c>
      <c r="C9631" s="0" t="str">
        <f aca="false">INDEX(Intent_Analysis!$B$5:$B$81,MATCH(B9631,Intent_Analysis!$A$5:$A$81,0))</f>
        <v>Card delivery &amp; activation</v>
      </c>
      <c r="D9631" s="0" t="n">
        <f aca="false">INDEX(Intent_Analysis!$E$5:$E$81,MATCH(B9631,Intent_Analysis!$A$5:$A$81,0))</f>
        <v>1</v>
      </c>
    </row>
    <row r="9632" customFormat="false" ht="15" hidden="false" customHeight="false" outlineLevel="0" collapsed="false">
      <c r="A9632" s="0" t="s">
        <v>9956</v>
      </c>
      <c r="B9632" s="0" t="s">
        <v>49</v>
      </c>
      <c r="C9632" s="0" t="str">
        <f aca="false">INDEX(Intent_Analysis!$B$5:$B$81,MATCH(B9632,Intent_Analysis!$A$5:$A$81,0))</f>
        <v>Card delivery &amp; activation</v>
      </c>
      <c r="D9632" s="0" t="n">
        <f aca="false">INDEX(Intent_Analysis!$E$5:$E$81,MATCH(B9632,Intent_Analysis!$A$5:$A$81,0))</f>
        <v>1</v>
      </c>
    </row>
    <row r="9633" customFormat="false" ht="15" hidden="false" customHeight="false" outlineLevel="0" collapsed="false">
      <c r="A9633" s="0" t="s">
        <v>9957</v>
      </c>
      <c r="B9633" s="0" t="s">
        <v>49</v>
      </c>
      <c r="C9633" s="0" t="str">
        <f aca="false">INDEX(Intent_Analysis!$B$5:$B$81,MATCH(B9633,Intent_Analysis!$A$5:$A$81,0))</f>
        <v>Card delivery &amp; activation</v>
      </c>
      <c r="D9633" s="0" t="n">
        <f aca="false">INDEX(Intent_Analysis!$E$5:$E$81,MATCH(B9633,Intent_Analysis!$A$5:$A$81,0))</f>
        <v>1</v>
      </c>
    </row>
    <row r="9634" customFormat="false" ht="15" hidden="false" customHeight="false" outlineLevel="0" collapsed="false">
      <c r="A9634" s="0" t="s">
        <v>9958</v>
      </c>
      <c r="B9634" s="0" t="s">
        <v>49</v>
      </c>
      <c r="C9634" s="0" t="str">
        <f aca="false">INDEX(Intent_Analysis!$B$5:$B$81,MATCH(B9634,Intent_Analysis!$A$5:$A$81,0))</f>
        <v>Card delivery &amp; activation</v>
      </c>
      <c r="D9634" s="0" t="n">
        <f aca="false">INDEX(Intent_Analysis!$E$5:$E$81,MATCH(B9634,Intent_Analysis!$A$5:$A$81,0))</f>
        <v>1</v>
      </c>
    </row>
    <row r="9635" customFormat="false" ht="15" hidden="false" customHeight="false" outlineLevel="0" collapsed="false">
      <c r="A9635" s="0" t="s">
        <v>9959</v>
      </c>
      <c r="B9635" s="0" t="s">
        <v>49</v>
      </c>
      <c r="C9635" s="0" t="str">
        <f aca="false">INDEX(Intent_Analysis!$B$5:$B$81,MATCH(B9635,Intent_Analysis!$A$5:$A$81,0))</f>
        <v>Card delivery &amp; activation</v>
      </c>
      <c r="D9635" s="0" t="n">
        <f aca="false">INDEX(Intent_Analysis!$E$5:$E$81,MATCH(B9635,Intent_Analysis!$A$5:$A$81,0))</f>
        <v>1</v>
      </c>
    </row>
    <row r="9636" customFormat="false" ht="15" hidden="false" customHeight="false" outlineLevel="0" collapsed="false">
      <c r="A9636" s="0" t="s">
        <v>9960</v>
      </c>
      <c r="B9636" s="0" t="s">
        <v>49</v>
      </c>
      <c r="C9636" s="0" t="str">
        <f aca="false">INDEX(Intent_Analysis!$B$5:$B$81,MATCH(B9636,Intent_Analysis!$A$5:$A$81,0))</f>
        <v>Card delivery &amp; activation</v>
      </c>
      <c r="D9636" s="0" t="n">
        <f aca="false">INDEX(Intent_Analysis!$E$5:$E$81,MATCH(B9636,Intent_Analysis!$A$5:$A$81,0))</f>
        <v>1</v>
      </c>
    </row>
    <row r="9637" customFormat="false" ht="15" hidden="false" customHeight="false" outlineLevel="0" collapsed="false">
      <c r="A9637" s="0" t="s">
        <v>9961</v>
      </c>
      <c r="B9637" s="0" t="s">
        <v>49</v>
      </c>
      <c r="C9637" s="0" t="str">
        <f aca="false">INDEX(Intent_Analysis!$B$5:$B$81,MATCH(B9637,Intent_Analysis!$A$5:$A$81,0))</f>
        <v>Card delivery &amp; activation</v>
      </c>
      <c r="D9637" s="0" t="n">
        <f aca="false">INDEX(Intent_Analysis!$E$5:$E$81,MATCH(B9637,Intent_Analysis!$A$5:$A$81,0))</f>
        <v>1</v>
      </c>
    </row>
    <row r="9638" customFormat="false" ht="15" hidden="false" customHeight="false" outlineLevel="0" collapsed="false">
      <c r="A9638" s="0" t="s">
        <v>9962</v>
      </c>
      <c r="B9638" s="0" t="s">
        <v>49</v>
      </c>
      <c r="C9638" s="0" t="str">
        <f aca="false">INDEX(Intent_Analysis!$B$5:$B$81,MATCH(B9638,Intent_Analysis!$A$5:$A$81,0))</f>
        <v>Card delivery &amp; activation</v>
      </c>
      <c r="D9638" s="0" t="n">
        <f aca="false">INDEX(Intent_Analysis!$E$5:$E$81,MATCH(B9638,Intent_Analysis!$A$5:$A$81,0))</f>
        <v>1</v>
      </c>
    </row>
    <row r="9639" customFormat="false" ht="15" hidden="false" customHeight="false" outlineLevel="0" collapsed="false">
      <c r="A9639" s="0" t="s">
        <v>9963</v>
      </c>
      <c r="B9639" s="0" t="s">
        <v>49</v>
      </c>
      <c r="C9639" s="0" t="str">
        <f aca="false">INDEX(Intent_Analysis!$B$5:$B$81,MATCH(B9639,Intent_Analysis!$A$5:$A$81,0))</f>
        <v>Card delivery &amp; activation</v>
      </c>
      <c r="D9639" s="0" t="n">
        <f aca="false">INDEX(Intent_Analysis!$E$5:$E$81,MATCH(B9639,Intent_Analysis!$A$5:$A$81,0))</f>
        <v>1</v>
      </c>
    </row>
    <row r="9640" customFormat="false" ht="15" hidden="false" customHeight="false" outlineLevel="0" collapsed="false">
      <c r="A9640" s="0" t="s">
        <v>9964</v>
      </c>
      <c r="B9640" s="0" t="s">
        <v>49</v>
      </c>
      <c r="C9640" s="0" t="str">
        <f aca="false">INDEX(Intent_Analysis!$B$5:$B$81,MATCH(B9640,Intent_Analysis!$A$5:$A$81,0))</f>
        <v>Card delivery &amp; activation</v>
      </c>
      <c r="D9640" s="0" t="n">
        <f aca="false">INDEX(Intent_Analysis!$E$5:$E$81,MATCH(B9640,Intent_Analysis!$A$5:$A$81,0))</f>
        <v>1</v>
      </c>
    </row>
    <row r="9641" customFormat="false" ht="15" hidden="false" customHeight="false" outlineLevel="0" collapsed="false">
      <c r="A9641" s="0" t="s">
        <v>9965</v>
      </c>
      <c r="B9641" s="0" t="s">
        <v>49</v>
      </c>
      <c r="C9641" s="0" t="str">
        <f aca="false">INDEX(Intent_Analysis!$B$5:$B$81,MATCH(B9641,Intent_Analysis!$A$5:$A$81,0))</f>
        <v>Card delivery &amp; activation</v>
      </c>
      <c r="D9641" s="0" t="n">
        <f aca="false">INDEX(Intent_Analysis!$E$5:$E$81,MATCH(B9641,Intent_Analysis!$A$5:$A$81,0))</f>
        <v>1</v>
      </c>
    </row>
    <row r="9642" customFormat="false" ht="15" hidden="false" customHeight="false" outlineLevel="0" collapsed="false">
      <c r="A9642" s="0" t="s">
        <v>9966</v>
      </c>
      <c r="B9642" s="0" t="s">
        <v>49</v>
      </c>
      <c r="C9642" s="0" t="str">
        <f aca="false">INDEX(Intent_Analysis!$B$5:$B$81,MATCH(B9642,Intent_Analysis!$A$5:$A$81,0))</f>
        <v>Card delivery &amp; activation</v>
      </c>
      <c r="D9642" s="0" t="n">
        <f aca="false">INDEX(Intent_Analysis!$E$5:$E$81,MATCH(B9642,Intent_Analysis!$A$5:$A$81,0))</f>
        <v>1</v>
      </c>
    </row>
    <row r="9643" customFormat="false" ht="15" hidden="false" customHeight="false" outlineLevel="0" collapsed="false">
      <c r="A9643" s="0" t="s">
        <v>9967</v>
      </c>
      <c r="B9643" s="0" t="s">
        <v>49</v>
      </c>
      <c r="C9643" s="0" t="str">
        <f aca="false">INDEX(Intent_Analysis!$B$5:$B$81,MATCH(B9643,Intent_Analysis!$A$5:$A$81,0))</f>
        <v>Card delivery &amp; activation</v>
      </c>
      <c r="D9643" s="0" t="n">
        <f aca="false">INDEX(Intent_Analysis!$E$5:$E$81,MATCH(B9643,Intent_Analysis!$A$5:$A$81,0))</f>
        <v>1</v>
      </c>
    </row>
    <row r="9644" customFormat="false" ht="15" hidden="false" customHeight="false" outlineLevel="0" collapsed="false">
      <c r="A9644" s="0" t="s">
        <v>9968</v>
      </c>
      <c r="B9644" s="0" t="s">
        <v>49</v>
      </c>
      <c r="C9644" s="0" t="str">
        <f aca="false">INDEX(Intent_Analysis!$B$5:$B$81,MATCH(B9644,Intent_Analysis!$A$5:$A$81,0))</f>
        <v>Card delivery &amp; activation</v>
      </c>
      <c r="D9644" s="0" t="n">
        <f aca="false">INDEX(Intent_Analysis!$E$5:$E$81,MATCH(B9644,Intent_Analysis!$A$5:$A$81,0))</f>
        <v>1</v>
      </c>
    </row>
    <row r="9645" customFormat="false" ht="15" hidden="false" customHeight="false" outlineLevel="0" collapsed="false">
      <c r="A9645" s="0" t="s">
        <v>9969</v>
      </c>
      <c r="B9645" s="0" t="s">
        <v>49</v>
      </c>
      <c r="C9645" s="0" t="str">
        <f aca="false">INDEX(Intent_Analysis!$B$5:$B$81,MATCH(B9645,Intent_Analysis!$A$5:$A$81,0))</f>
        <v>Card delivery &amp; activation</v>
      </c>
      <c r="D9645" s="0" t="n">
        <f aca="false">INDEX(Intent_Analysis!$E$5:$E$81,MATCH(B9645,Intent_Analysis!$A$5:$A$81,0))</f>
        <v>1</v>
      </c>
    </row>
    <row r="9646" customFormat="false" ht="15" hidden="false" customHeight="false" outlineLevel="0" collapsed="false">
      <c r="A9646" s="0" t="s">
        <v>9970</v>
      </c>
      <c r="B9646" s="0" t="s">
        <v>63</v>
      </c>
      <c r="C9646" s="0" t="str">
        <f aca="false">INDEX(Intent_Analysis!$B$5:$B$81,MATCH(B9646,Intent_Analysis!$A$5:$A$81,0))</f>
        <v>Card usage &amp; features</v>
      </c>
      <c r="D9646" s="0" t="n">
        <f aca="false">INDEX(Intent_Analysis!$E$5:$E$81,MATCH(B9646,Intent_Analysis!$A$5:$A$81,0))</f>
        <v>1</v>
      </c>
    </row>
    <row r="9647" customFormat="false" ht="15" hidden="false" customHeight="false" outlineLevel="0" collapsed="false">
      <c r="A9647" s="0" t="s">
        <v>9971</v>
      </c>
      <c r="B9647" s="0" t="s">
        <v>63</v>
      </c>
      <c r="C9647" s="0" t="str">
        <f aca="false">INDEX(Intent_Analysis!$B$5:$B$81,MATCH(B9647,Intent_Analysis!$A$5:$A$81,0))</f>
        <v>Card usage &amp; features</v>
      </c>
      <c r="D9647" s="0" t="n">
        <f aca="false">INDEX(Intent_Analysis!$E$5:$E$81,MATCH(B9647,Intent_Analysis!$A$5:$A$81,0))</f>
        <v>1</v>
      </c>
    </row>
    <row r="9648" customFormat="false" ht="15" hidden="false" customHeight="false" outlineLevel="0" collapsed="false">
      <c r="A9648" s="0" t="s">
        <v>9972</v>
      </c>
      <c r="B9648" s="0" t="s">
        <v>63</v>
      </c>
      <c r="C9648" s="0" t="str">
        <f aca="false">INDEX(Intent_Analysis!$B$5:$B$81,MATCH(B9648,Intent_Analysis!$A$5:$A$81,0))</f>
        <v>Card usage &amp; features</v>
      </c>
      <c r="D9648" s="0" t="n">
        <f aca="false">INDEX(Intent_Analysis!$E$5:$E$81,MATCH(B9648,Intent_Analysis!$A$5:$A$81,0))</f>
        <v>1</v>
      </c>
    </row>
    <row r="9649" customFormat="false" ht="15" hidden="false" customHeight="false" outlineLevel="0" collapsed="false">
      <c r="A9649" s="0" t="s">
        <v>9973</v>
      </c>
      <c r="B9649" s="0" t="s">
        <v>63</v>
      </c>
      <c r="C9649" s="0" t="str">
        <f aca="false">INDEX(Intent_Analysis!$B$5:$B$81,MATCH(B9649,Intent_Analysis!$A$5:$A$81,0))</f>
        <v>Card usage &amp; features</v>
      </c>
      <c r="D9649" s="0" t="n">
        <f aca="false">INDEX(Intent_Analysis!$E$5:$E$81,MATCH(B9649,Intent_Analysis!$A$5:$A$81,0))</f>
        <v>1</v>
      </c>
    </row>
    <row r="9650" customFormat="false" ht="15" hidden="false" customHeight="false" outlineLevel="0" collapsed="false">
      <c r="A9650" s="0" t="s">
        <v>9974</v>
      </c>
      <c r="B9650" s="0" t="s">
        <v>63</v>
      </c>
      <c r="C9650" s="0" t="str">
        <f aca="false">INDEX(Intent_Analysis!$B$5:$B$81,MATCH(B9650,Intent_Analysis!$A$5:$A$81,0))</f>
        <v>Card usage &amp; features</v>
      </c>
      <c r="D9650" s="0" t="n">
        <f aca="false">INDEX(Intent_Analysis!$E$5:$E$81,MATCH(B9650,Intent_Analysis!$A$5:$A$81,0))</f>
        <v>1</v>
      </c>
    </row>
    <row r="9651" customFormat="false" ht="15" hidden="false" customHeight="false" outlineLevel="0" collapsed="false">
      <c r="A9651" s="0" t="s">
        <v>9975</v>
      </c>
      <c r="B9651" s="0" t="s">
        <v>63</v>
      </c>
      <c r="C9651" s="0" t="str">
        <f aca="false">INDEX(Intent_Analysis!$B$5:$B$81,MATCH(B9651,Intent_Analysis!$A$5:$A$81,0))</f>
        <v>Card usage &amp; features</v>
      </c>
      <c r="D9651" s="0" t="n">
        <f aca="false">INDEX(Intent_Analysis!$E$5:$E$81,MATCH(B9651,Intent_Analysis!$A$5:$A$81,0))</f>
        <v>1</v>
      </c>
    </row>
    <row r="9652" customFormat="false" ht="15" hidden="false" customHeight="false" outlineLevel="0" collapsed="false">
      <c r="A9652" s="0" t="s">
        <v>9976</v>
      </c>
      <c r="B9652" s="0" t="s">
        <v>63</v>
      </c>
      <c r="C9652" s="0" t="str">
        <f aca="false">INDEX(Intent_Analysis!$B$5:$B$81,MATCH(B9652,Intent_Analysis!$A$5:$A$81,0))</f>
        <v>Card usage &amp; features</v>
      </c>
      <c r="D9652" s="0" t="n">
        <f aca="false">INDEX(Intent_Analysis!$E$5:$E$81,MATCH(B9652,Intent_Analysis!$A$5:$A$81,0))</f>
        <v>1</v>
      </c>
    </row>
    <row r="9653" customFormat="false" ht="15" hidden="false" customHeight="false" outlineLevel="0" collapsed="false">
      <c r="A9653" s="0" t="s">
        <v>9977</v>
      </c>
      <c r="B9653" s="0" t="s">
        <v>63</v>
      </c>
      <c r="C9653" s="0" t="str">
        <f aca="false">INDEX(Intent_Analysis!$B$5:$B$81,MATCH(B9653,Intent_Analysis!$A$5:$A$81,0))</f>
        <v>Card usage &amp; features</v>
      </c>
      <c r="D9653" s="0" t="n">
        <f aca="false">INDEX(Intent_Analysis!$E$5:$E$81,MATCH(B9653,Intent_Analysis!$A$5:$A$81,0))</f>
        <v>1</v>
      </c>
    </row>
    <row r="9654" customFormat="false" ht="15" hidden="false" customHeight="false" outlineLevel="0" collapsed="false">
      <c r="A9654" s="0" t="s">
        <v>9978</v>
      </c>
      <c r="B9654" s="0" t="s">
        <v>63</v>
      </c>
      <c r="C9654" s="0" t="str">
        <f aca="false">INDEX(Intent_Analysis!$B$5:$B$81,MATCH(B9654,Intent_Analysis!$A$5:$A$81,0))</f>
        <v>Card usage &amp; features</v>
      </c>
      <c r="D9654" s="0" t="n">
        <f aca="false">INDEX(Intent_Analysis!$E$5:$E$81,MATCH(B9654,Intent_Analysis!$A$5:$A$81,0))</f>
        <v>1</v>
      </c>
    </row>
    <row r="9655" customFormat="false" ht="15" hidden="false" customHeight="false" outlineLevel="0" collapsed="false">
      <c r="A9655" s="0" t="s">
        <v>9979</v>
      </c>
      <c r="B9655" s="0" t="s">
        <v>63</v>
      </c>
      <c r="C9655" s="0" t="str">
        <f aca="false">INDEX(Intent_Analysis!$B$5:$B$81,MATCH(B9655,Intent_Analysis!$A$5:$A$81,0))</f>
        <v>Card usage &amp; features</v>
      </c>
      <c r="D9655" s="0" t="n">
        <f aca="false">INDEX(Intent_Analysis!$E$5:$E$81,MATCH(B9655,Intent_Analysis!$A$5:$A$81,0))</f>
        <v>1</v>
      </c>
    </row>
    <row r="9656" customFormat="false" ht="15" hidden="false" customHeight="false" outlineLevel="0" collapsed="false">
      <c r="A9656" s="0" t="s">
        <v>9980</v>
      </c>
      <c r="B9656" s="0" t="s">
        <v>63</v>
      </c>
      <c r="C9656" s="0" t="str">
        <f aca="false">INDEX(Intent_Analysis!$B$5:$B$81,MATCH(B9656,Intent_Analysis!$A$5:$A$81,0))</f>
        <v>Card usage &amp; features</v>
      </c>
      <c r="D9656" s="0" t="n">
        <f aca="false">INDEX(Intent_Analysis!$E$5:$E$81,MATCH(B9656,Intent_Analysis!$A$5:$A$81,0))</f>
        <v>1</v>
      </c>
    </row>
    <row r="9657" customFormat="false" ht="15" hidden="false" customHeight="false" outlineLevel="0" collapsed="false">
      <c r="A9657" s="0" t="s">
        <v>9981</v>
      </c>
      <c r="B9657" s="0" t="s">
        <v>63</v>
      </c>
      <c r="C9657" s="0" t="str">
        <f aca="false">INDEX(Intent_Analysis!$B$5:$B$81,MATCH(B9657,Intent_Analysis!$A$5:$A$81,0))</f>
        <v>Card usage &amp; features</v>
      </c>
      <c r="D9657" s="0" t="n">
        <f aca="false">INDEX(Intent_Analysis!$E$5:$E$81,MATCH(B9657,Intent_Analysis!$A$5:$A$81,0))</f>
        <v>1</v>
      </c>
    </row>
    <row r="9658" customFormat="false" ht="15" hidden="false" customHeight="false" outlineLevel="0" collapsed="false">
      <c r="A9658" s="0" t="s">
        <v>9982</v>
      </c>
      <c r="B9658" s="0" t="s">
        <v>63</v>
      </c>
      <c r="C9658" s="0" t="str">
        <f aca="false">INDEX(Intent_Analysis!$B$5:$B$81,MATCH(B9658,Intent_Analysis!$A$5:$A$81,0))</f>
        <v>Card usage &amp; features</v>
      </c>
      <c r="D9658" s="0" t="n">
        <f aca="false">INDEX(Intent_Analysis!$E$5:$E$81,MATCH(B9658,Intent_Analysis!$A$5:$A$81,0))</f>
        <v>1</v>
      </c>
    </row>
    <row r="9659" customFormat="false" ht="15" hidden="false" customHeight="false" outlineLevel="0" collapsed="false">
      <c r="A9659" s="0" t="s">
        <v>9983</v>
      </c>
      <c r="B9659" s="0" t="s">
        <v>63</v>
      </c>
      <c r="C9659" s="0" t="str">
        <f aca="false">INDEX(Intent_Analysis!$B$5:$B$81,MATCH(B9659,Intent_Analysis!$A$5:$A$81,0))</f>
        <v>Card usage &amp; features</v>
      </c>
      <c r="D9659" s="0" t="n">
        <f aca="false">INDEX(Intent_Analysis!$E$5:$E$81,MATCH(B9659,Intent_Analysis!$A$5:$A$81,0))</f>
        <v>1</v>
      </c>
    </row>
    <row r="9660" customFormat="false" ht="15" hidden="false" customHeight="false" outlineLevel="0" collapsed="false">
      <c r="A9660" s="0" t="s">
        <v>9984</v>
      </c>
      <c r="B9660" s="0" t="s">
        <v>63</v>
      </c>
      <c r="C9660" s="0" t="str">
        <f aca="false">INDEX(Intent_Analysis!$B$5:$B$81,MATCH(B9660,Intent_Analysis!$A$5:$A$81,0))</f>
        <v>Card usage &amp; features</v>
      </c>
      <c r="D9660" s="0" t="n">
        <f aca="false">INDEX(Intent_Analysis!$E$5:$E$81,MATCH(B9660,Intent_Analysis!$A$5:$A$81,0))</f>
        <v>1</v>
      </c>
    </row>
    <row r="9661" customFormat="false" ht="15" hidden="false" customHeight="false" outlineLevel="0" collapsed="false">
      <c r="A9661" s="0" t="s">
        <v>9985</v>
      </c>
      <c r="B9661" s="0" t="s">
        <v>63</v>
      </c>
      <c r="C9661" s="0" t="str">
        <f aca="false">INDEX(Intent_Analysis!$B$5:$B$81,MATCH(B9661,Intent_Analysis!$A$5:$A$81,0))</f>
        <v>Card usage &amp; features</v>
      </c>
      <c r="D9661" s="0" t="n">
        <f aca="false">INDEX(Intent_Analysis!$E$5:$E$81,MATCH(B9661,Intent_Analysis!$A$5:$A$81,0))</f>
        <v>1</v>
      </c>
    </row>
    <row r="9662" customFormat="false" ht="15" hidden="false" customHeight="false" outlineLevel="0" collapsed="false">
      <c r="A9662" s="0" t="s">
        <v>9986</v>
      </c>
      <c r="B9662" s="0" t="s">
        <v>63</v>
      </c>
      <c r="C9662" s="0" t="str">
        <f aca="false">INDEX(Intent_Analysis!$B$5:$B$81,MATCH(B9662,Intent_Analysis!$A$5:$A$81,0))</f>
        <v>Card usage &amp; features</v>
      </c>
      <c r="D9662" s="0" t="n">
        <f aca="false">INDEX(Intent_Analysis!$E$5:$E$81,MATCH(B9662,Intent_Analysis!$A$5:$A$81,0))</f>
        <v>1</v>
      </c>
    </row>
    <row r="9663" customFormat="false" ht="15" hidden="false" customHeight="false" outlineLevel="0" collapsed="false">
      <c r="A9663" s="0" t="s">
        <v>9987</v>
      </c>
      <c r="B9663" s="0" t="s">
        <v>63</v>
      </c>
      <c r="C9663" s="0" t="str">
        <f aca="false">INDEX(Intent_Analysis!$B$5:$B$81,MATCH(B9663,Intent_Analysis!$A$5:$A$81,0))</f>
        <v>Card usage &amp; features</v>
      </c>
      <c r="D9663" s="0" t="n">
        <f aca="false">INDEX(Intent_Analysis!$E$5:$E$81,MATCH(B9663,Intent_Analysis!$A$5:$A$81,0))</f>
        <v>1</v>
      </c>
    </row>
    <row r="9664" customFormat="false" ht="15" hidden="false" customHeight="false" outlineLevel="0" collapsed="false">
      <c r="A9664" s="0" t="s">
        <v>9988</v>
      </c>
      <c r="B9664" s="0" t="s">
        <v>63</v>
      </c>
      <c r="C9664" s="0" t="str">
        <f aca="false">INDEX(Intent_Analysis!$B$5:$B$81,MATCH(B9664,Intent_Analysis!$A$5:$A$81,0))</f>
        <v>Card usage &amp; features</v>
      </c>
      <c r="D9664" s="0" t="n">
        <f aca="false">INDEX(Intent_Analysis!$E$5:$E$81,MATCH(B9664,Intent_Analysis!$A$5:$A$81,0))</f>
        <v>1</v>
      </c>
    </row>
    <row r="9665" customFormat="false" ht="15" hidden="false" customHeight="false" outlineLevel="0" collapsed="false">
      <c r="A9665" s="0" t="s">
        <v>9989</v>
      </c>
      <c r="B9665" s="0" t="s">
        <v>63</v>
      </c>
      <c r="C9665" s="0" t="str">
        <f aca="false">INDEX(Intent_Analysis!$B$5:$B$81,MATCH(B9665,Intent_Analysis!$A$5:$A$81,0))</f>
        <v>Card usage &amp; features</v>
      </c>
      <c r="D9665" s="0" t="n">
        <f aca="false">INDEX(Intent_Analysis!$E$5:$E$81,MATCH(B9665,Intent_Analysis!$A$5:$A$81,0))</f>
        <v>1</v>
      </c>
    </row>
    <row r="9666" customFormat="false" ht="15" hidden="false" customHeight="false" outlineLevel="0" collapsed="false">
      <c r="A9666" s="0" t="s">
        <v>9990</v>
      </c>
      <c r="B9666" s="0" t="s">
        <v>63</v>
      </c>
      <c r="C9666" s="0" t="str">
        <f aca="false">INDEX(Intent_Analysis!$B$5:$B$81,MATCH(B9666,Intent_Analysis!$A$5:$A$81,0))</f>
        <v>Card usage &amp; features</v>
      </c>
      <c r="D9666" s="0" t="n">
        <f aca="false">INDEX(Intent_Analysis!$E$5:$E$81,MATCH(B9666,Intent_Analysis!$A$5:$A$81,0))</f>
        <v>1</v>
      </c>
    </row>
    <row r="9667" customFormat="false" ht="15" hidden="false" customHeight="false" outlineLevel="0" collapsed="false">
      <c r="A9667" s="0" t="s">
        <v>9991</v>
      </c>
      <c r="B9667" s="0" t="s">
        <v>63</v>
      </c>
      <c r="C9667" s="0" t="str">
        <f aca="false">INDEX(Intent_Analysis!$B$5:$B$81,MATCH(B9667,Intent_Analysis!$A$5:$A$81,0))</f>
        <v>Card usage &amp; features</v>
      </c>
      <c r="D9667" s="0" t="n">
        <f aca="false">INDEX(Intent_Analysis!$E$5:$E$81,MATCH(B9667,Intent_Analysis!$A$5:$A$81,0))</f>
        <v>1</v>
      </c>
    </row>
    <row r="9668" customFormat="false" ht="15" hidden="false" customHeight="false" outlineLevel="0" collapsed="false">
      <c r="A9668" s="0" t="s">
        <v>9992</v>
      </c>
      <c r="B9668" s="0" t="s">
        <v>63</v>
      </c>
      <c r="C9668" s="0" t="str">
        <f aca="false">INDEX(Intent_Analysis!$B$5:$B$81,MATCH(B9668,Intent_Analysis!$A$5:$A$81,0))</f>
        <v>Card usage &amp; features</v>
      </c>
      <c r="D9668" s="0" t="n">
        <f aca="false">INDEX(Intent_Analysis!$E$5:$E$81,MATCH(B9668,Intent_Analysis!$A$5:$A$81,0))</f>
        <v>1</v>
      </c>
    </row>
    <row r="9669" customFormat="false" ht="15" hidden="false" customHeight="false" outlineLevel="0" collapsed="false">
      <c r="A9669" s="0" t="s">
        <v>9993</v>
      </c>
      <c r="B9669" s="0" t="s">
        <v>63</v>
      </c>
      <c r="C9669" s="0" t="str">
        <f aca="false">INDEX(Intent_Analysis!$B$5:$B$81,MATCH(B9669,Intent_Analysis!$A$5:$A$81,0))</f>
        <v>Card usage &amp; features</v>
      </c>
      <c r="D9669" s="0" t="n">
        <f aca="false">INDEX(Intent_Analysis!$E$5:$E$81,MATCH(B9669,Intent_Analysis!$A$5:$A$81,0))</f>
        <v>1</v>
      </c>
    </row>
    <row r="9670" customFormat="false" ht="15" hidden="false" customHeight="false" outlineLevel="0" collapsed="false">
      <c r="A9670" s="0" t="s">
        <v>9994</v>
      </c>
      <c r="B9670" s="0" t="s">
        <v>63</v>
      </c>
      <c r="C9670" s="0" t="str">
        <f aca="false">INDEX(Intent_Analysis!$B$5:$B$81,MATCH(B9670,Intent_Analysis!$A$5:$A$81,0))</f>
        <v>Card usage &amp; features</v>
      </c>
      <c r="D9670" s="0" t="n">
        <f aca="false">INDEX(Intent_Analysis!$E$5:$E$81,MATCH(B9670,Intent_Analysis!$A$5:$A$81,0))</f>
        <v>1</v>
      </c>
    </row>
    <row r="9671" customFormat="false" ht="15" hidden="false" customHeight="false" outlineLevel="0" collapsed="false">
      <c r="A9671" s="0" t="s">
        <v>9995</v>
      </c>
      <c r="B9671" s="0" t="s">
        <v>63</v>
      </c>
      <c r="C9671" s="0" t="str">
        <f aca="false">INDEX(Intent_Analysis!$B$5:$B$81,MATCH(B9671,Intent_Analysis!$A$5:$A$81,0))</f>
        <v>Card usage &amp; features</v>
      </c>
      <c r="D9671" s="0" t="n">
        <f aca="false">INDEX(Intent_Analysis!$E$5:$E$81,MATCH(B9671,Intent_Analysis!$A$5:$A$81,0))</f>
        <v>1</v>
      </c>
    </row>
    <row r="9672" customFormat="false" ht="15" hidden="false" customHeight="false" outlineLevel="0" collapsed="false">
      <c r="A9672" s="0" t="s">
        <v>9996</v>
      </c>
      <c r="B9672" s="0" t="s">
        <v>63</v>
      </c>
      <c r="C9672" s="0" t="str">
        <f aca="false">INDEX(Intent_Analysis!$B$5:$B$81,MATCH(B9672,Intent_Analysis!$A$5:$A$81,0))</f>
        <v>Card usage &amp; features</v>
      </c>
      <c r="D9672" s="0" t="n">
        <f aca="false">INDEX(Intent_Analysis!$E$5:$E$81,MATCH(B9672,Intent_Analysis!$A$5:$A$81,0))</f>
        <v>1</v>
      </c>
    </row>
    <row r="9673" customFormat="false" ht="15" hidden="false" customHeight="false" outlineLevel="0" collapsed="false">
      <c r="A9673" s="0" t="s">
        <v>9997</v>
      </c>
      <c r="B9673" s="0" t="s">
        <v>63</v>
      </c>
      <c r="C9673" s="0" t="str">
        <f aca="false">INDEX(Intent_Analysis!$B$5:$B$81,MATCH(B9673,Intent_Analysis!$A$5:$A$81,0))</f>
        <v>Card usage &amp; features</v>
      </c>
      <c r="D9673" s="0" t="n">
        <f aca="false">INDEX(Intent_Analysis!$E$5:$E$81,MATCH(B9673,Intent_Analysis!$A$5:$A$81,0))</f>
        <v>1</v>
      </c>
    </row>
    <row r="9674" customFormat="false" ht="15" hidden="false" customHeight="false" outlineLevel="0" collapsed="false">
      <c r="A9674" s="0" t="s">
        <v>9998</v>
      </c>
      <c r="B9674" s="0" t="s">
        <v>63</v>
      </c>
      <c r="C9674" s="0" t="str">
        <f aca="false">INDEX(Intent_Analysis!$B$5:$B$81,MATCH(B9674,Intent_Analysis!$A$5:$A$81,0))</f>
        <v>Card usage &amp; features</v>
      </c>
      <c r="D9674" s="0" t="n">
        <f aca="false">INDEX(Intent_Analysis!$E$5:$E$81,MATCH(B9674,Intent_Analysis!$A$5:$A$81,0))</f>
        <v>1</v>
      </c>
    </row>
    <row r="9675" customFormat="false" ht="15" hidden="false" customHeight="false" outlineLevel="0" collapsed="false">
      <c r="A9675" s="0" t="s">
        <v>9999</v>
      </c>
      <c r="B9675" s="0" t="s">
        <v>63</v>
      </c>
      <c r="C9675" s="0" t="str">
        <f aca="false">INDEX(Intent_Analysis!$B$5:$B$81,MATCH(B9675,Intent_Analysis!$A$5:$A$81,0))</f>
        <v>Card usage &amp; features</v>
      </c>
      <c r="D9675" s="0" t="n">
        <f aca="false">INDEX(Intent_Analysis!$E$5:$E$81,MATCH(B9675,Intent_Analysis!$A$5:$A$81,0))</f>
        <v>1</v>
      </c>
    </row>
    <row r="9676" customFormat="false" ht="15" hidden="false" customHeight="false" outlineLevel="0" collapsed="false">
      <c r="A9676" s="0" t="s">
        <v>10000</v>
      </c>
      <c r="B9676" s="0" t="s">
        <v>63</v>
      </c>
      <c r="C9676" s="0" t="str">
        <f aca="false">INDEX(Intent_Analysis!$B$5:$B$81,MATCH(B9676,Intent_Analysis!$A$5:$A$81,0))</f>
        <v>Card usage &amp; features</v>
      </c>
      <c r="D9676" s="0" t="n">
        <f aca="false">INDEX(Intent_Analysis!$E$5:$E$81,MATCH(B9676,Intent_Analysis!$A$5:$A$81,0))</f>
        <v>1</v>
      </c>
    </row>
    <row r="9677" customFormat="false" ht="15" hidden="false" customHeight="false" outlineLevel="0" collapsed="false">
      <c r="A9677" s="0" t="s">
        <v>10001</v>
      </c>
      <c r="B9677" s="0" t="s">
        <v>63</v>
      </c>
      <c r="C9677" s="0" t="str">
        <f aca="false">INDEX(Intent_Analysis!$B$5:$B$81,MATCH(B9677,Intent_Analysis!$A$5:$A$81,0))</f>
        <v>Card usage &amp; features</v>
      </c>
      <c r="D9677" s="0" t="n">
        <f aca="false">INDEX(Intent_Analysis!$E$5:$E$81,MATCH(B9677,Intent_Analysis!$A$5:$A$81,0))</f>
        <v>1</v>
      </c>
    </row>
    <row r="9678" customFormat="false" ht="15" hidden="false" customHeight="false" outlineLevel="0" collapsed="false">
      <c r="A9678" s="0" t="s">
        <v>10002</v>
      </c>
      <c r="B9678" s="0" t="s">
        <v>63</v>
      </c>
      <c r="C9678" s="0" t="str">
        <f aca="false">INDEX(Intent_Analysis!$B$5:$B$81,MATCH(B9678,Intent_Analysis!$A$5:$A$81,0))</f>
        <v>Card usage &amp; features</v>
      </c>
      <c r="D9678" s="0" t="n">
        <f aca="false">INDEX(Intent_Analysis!$E$5:$E$81,MATCH(B9678,Intent_Analysis!$A$5:$A$81,0))</f>
        <v>1</v>
      </c>
    </row>
    <row r="9679" customFormat="false" ht="15" hidden="false" customHeight="false" outlineLevel="0" collapsed="false">
      <c r="A9679" s="0" t="s">
        <v>10003</v>
      </c>
      <c r="B9679" s="0" t="s">
        <v>63</v>
      </c>
      <c r="C9679" s="0" t="str">
        <f aca="false">INDEX(Intent_Analysis!$B$5:$B$81,MATCH(B9679,Intent_Analysis!$A$5:$A$81,0))</f>
        <v>Card usage &amp; features</v>
      </c>
      <c r="D9679" s="0" t="n">
        <f aca="false">INDEX(Intent_Analysis!$E$5:$E$81,MATCH(B9679,Intent_Analysis!$A$5:$A$81,0))</f>
        <v>1</v>
      </c>
    </row>
    <row r="9680" customFormat="false" ht="15" hidden="false" customHeight="false" outlineLevel="0" collapsed="false">
      <c r="A9680" s="0" t="s">
        <v>10004</v>
      </c>
      <c r="B9680" s="0" t="s">
        <v>63</v>
      </c>
      <c r="C9680" s="0" t="str">
        <f aca="false">INDEX(Intent_Analysis!$B$5:$B$81,MATCH(B9680,Intent_Analysis!$A$5:$A$81,0))</f>
        <v>Card usage &amp; features</v>
      </c>
      <c r="D9680" s="0" t="n">
        <f aca="false">INDEX(Intent_Analysis!$E$5:$E$81,MATCH(B9680,Intent_Analysis!$A$5:$A$81,0))</f>
        <v>1</v>
      </c>
    </row>
    <row r="9681" customFormat="false" ht="15" hidden="false" customHeight="false" outlineLevel="0" collapsed="false">
      <c r="A9681" s="0" t="s">
        <v>10005</v>
      </c>
      <c r="B9681" s="0" t="s">
        <v>63</v>
      </c>
      <c r="C9681" s="0" t="str">
        <f aca="false">INDEX(Intent_Analysis!$B$5:$B$81,MATCH(B9681,Intent_Analysis!$A$5:$A$81,0))</f>
        <v>Card usage &amp; features</v>
      </c>
      <c r="D9681" s="0" t="n">
        <f aca="false">INDEX(Intent_Analysis!$E$5:$E$81,MATCH(B9681,Intent_Analysis!$A$5:$A$81,0))</f>
        <v>1</v>
      </c>
    </row>
    <row r="9682" customFormat="false" ht="15" hidden="false" customHeight="false" outlineLevel="0" collapsed="false">
      <c r="A9682" s="0" t="s">
        <v>10006</v>
      </c>
      <c r="B9682" s="0" t="s">
        <v>63</v>
      </c>
      <c r="C9682" s="0" t="str">
        <f aca="false">INDEX(Intent_Analysis!$B$5:$B$81,MATCH(B9682,Intent_Analysis!$A$5:$A$81,0))</f>
        <v>Card usage &amp; features</v>
      </c>
      <c r="D9682" s="0" t="n">
        <f aca="false">INDEX(Intent_Analysis!$E$5:$E$81,MATCH(B9682,Intent_Analysis!$A$5:$A$81,0))</f>
        <v>1</v>
      </c>
    </row>
    <row r="9683" customFormat="false" ht="15" hidden="false" customHeight="false" outlineLevel="0" collapsed="false">
      <c r="A9683" s="0" t="s">
        <v>10007</v>
      </c>
      <c r="B9683" s="0" t="s">
        <v>63</v>
      </c>
      <c r="C9683" s="0" t="str">
        <f aca="false">INDEX(Intent_Analysis!$B$5:$B$81,MATCH(B9683,Intent_Analysis!$A$5:$A$81,0))</f>
        <v>Card usage &amp; features</v>
      </c>
      <c r="D9683" s="0" t="n">
        <f aca="false">INDEX(Intent_Analysis!$E$5:$E$81,MATCH(B9683,Intent_Analysis!$A$5:$A$81,0))</f>
        <v>1</v>
      </c>
    </row>
    <row r="9684" customFormat="false" ht="15" hidden="false" customHeight="false" outlineLevel="0" collapsed="false">
      <c r="A9684" s="0" t="s">
        <v>10008</v>
      </c>
      <c r="B9684" s="0" t="s">
        <v>63</v>
      </c>
      <c r="C9684" s="0" t="str">
        <f aca="false">INDEX(Intent_Analysis!$B$5:$B$81,MATCH(B9684,Intent_Analysis!$A$5:$A$81,0))</f>
        <v>Card usage &amp; features</v>
      </c>
      <c r="D9684" s="0" t="n">
        <f aca="false">INDEX(Intent_Analysis!$E$5:$E$81,MATCH(B9684,Intent_Analysis!$A$5:$A$81,0))</f>
        <v>1</v>
      </c>
    </row>
    <row r="9685" customFormat="false" ht="15" hidden="false" customHeight="false" outlineLevel="0" collapsed="false">
      <c r="A9685" s="0" t="s">
        <v>10009</v>
      </c>
      <c r="B9685" s="0" t="s">
        <v>63</v>
      </c>
      <c r="C9685" s="0" t="str">
        <f aca="false">INDEX(Intent_Analysis!$B$5:$B$81,MATCH(B9685,Intent_Analysis!$A$5:$A$81,0))</f>
        <v>Card usage &amp; features</v>
      </c>
      <c r="D9685" s="0" t="n">
        <f aca="false">INDEX(Intent_Analysis!$E$5:$E$81,MATCH(B9685,Intent_Analysis!$A$5:$A$81,0))</f>
        <v>1</v>
      </c>
    </row>
    <row r="9686" customFormat="false" ht="15" hidden="false" customHeight="false" outlineLevel="0" collapsed="false">
      <c r="A9686" s="0" t="s">
        <v>10010</v>
      </c>
      <c r="B9686" s="0" t="s">
        <v>63</v>
      </c>
      <c r="C9686" s="0" t="str">
        <f aca="false">INDEX(Intent_Analysis!$B$5:$B$81,MATCH(B9686,Intent_Analysis!$A$5:$A$81,0))</f>
        <v>Card usage &amp; features</v>
      </c>
      <c r="D9686" s="0" t="n">
        <f aca="false">INDEX(Intent_Analysis!$E$5:$E$81,MATCH(B9686,Intent_Analysis!$A$5:$A$81,0))</f>
        <v>1</v>
      </c>
    </row>
    <row r="9687" customFormat="false" ht="15" hidden="false" customHeight="false" outlineLevel="0" collapsed="false">
      <c r="A9687" s="0" t="s">
        <v>10011</v>
      </c>
      <c r="B9687" s="0" t="s">
        <v>63</v>
      </c>
      <c r="C9687" s="0" t="str">
        <f aca="false">INDEX(Intent_Analysis!$B$5:$B$81,MATCH(B9687,Intent_Analysis!$A$5:$A$81,0))</f>
        <v>Card usage &amp; features</v>
      </c>
      <c r="D9687" s="0" t="n">
        <f aca="false">INDEX(Intent_Analysis!$E$5:$E$81,MATCH(B9687,Intent_Analysis!$A$5:$A$81,0))</f>
        <v>1</v>
      </c>
    </row>
    <row r="9688" customFormat="false" ht="15" hidden="false" customHeight="false" outlineLevel="0" collapsed="false">
      <c r="A9688" s="0" t="s">
        <v>10012</v>
      </c>
      <c r="B9688" s="0" t="s">
        <v>63</v>
      </c>
      <c r="C9688" s="0" t="str">
        <f aca="false">INDEX(Intent_Analysis!$B$5:$B$81,MATCH(B9688,Intent_Analysis!$A$5:$A$81,0))</f>
        <v>Card usage &amp; features</v>
      </c>
      <c r="D9688" s="0" t="n">
        <f aca="false">INDEX(Intent_Analysis!$E$5:$E$81,MATCH(B9688,Intent_Analysis!$A$5:$A$81,0))</f>
        <v>1</v>
      </c>
    </row>
    <row r="9689" customFormat="false" ht="15" hidden="false" customHeight="false" outlineLevel="0" collapsed="false">
      <c r="A9689" s="0" t="s">
        <v>10013</v>
      </c>
      <c r="B9689" s="0" t="s">
        <v>63</v>
      </c>
      <c r="C9689" s="0" t="str">
        <f aca="false">INDEX(Intent_Analysis!$B$5:$B$81,MATCH(B9689,Intent_Analysis!$A$5:$A$81,0))</f>
        <v>Card usage &amp; features</v>
      </c>
      <c r="D9689" s="0" t="n">
        <f aca="false">INDEX(Intent_Analysis!$E$5:$E$81,MATCH(B9689,Intent_Analysis!$A$5:$A$81,0))</f>
        <v>1</v>
      </c>
    </row>
    <row r="9690" customFormat="false" ht="15" hidden="false" customHeight="false" outlineLevel="0" collapsed="false">
      <c r="A9690" s="0" t="s">
        <v>10014</v>
      </c>
      <c r="B9690" s="0" t="s">
        <v>63</v>
      </c>
      <c r="C9690" s="0" t="str">
        <f aca="false">INDEX(Intent_Analysis!$B$5:$B$81,MATCH(B9690,Intent_Analysis!$A$5:$A$81,0))</f>
        <v>Card usage &amp; features</v>
      </c>
      <c r="D9690" s="0" t="n">
        <f aca="false">INDEX(Intent_Analysis!$E$5:$E$81,MATCH(B9690,Intent_Analysis!$A$5:$A$81,0))</f>
        <v>1</v>
      </c>
    </row>
    <row r="9691" customFormat="false" ht="15" hidden="false" customHeight="false" outlineLevel="0" collapsed="false">
      <c r="A9691" s="0" t="s">
        <v>10015</v>
      </c>
      <c r="B9691" s="0" t="s">
        <v>63</v>
      </c>
      <c r="C9691" s="0" t="str">
        <f aca="false">INDEX(Intent_Analysis!$B$5:$B$81,MATCH(B9691,Intent_Analysis!$A$5:$A$81,0))</f>
        <v>Card usage &amp; features</v>
      </c>
      <c r="D9691" s="0" t="n">
        <f aca="false">INDEX(Intent_Analysis!$E$5:$E$81,MATCH(B9691,Intent_Analysis!$A$5:$A$81,0))</f>
        <v>1</v>
      </c>
    </row>
    <row r="9692" customFormat="false" ht="15" hidden="false" customHeight="false" outlineLevel="0" collapsed="false">
      <c r="A9692" s="0" t="s">
        <v>10016</v>
      </c>
      <c r="B9692" s="0" t="s">
        <v>63</v>
      </c>
      <c r="C9692" s="0" t="str">
        <f aca="false">INDEX(Intent_Analysis!$B$5:$B$81,MATCH(B9692,Intent_Analysis!$A$5:$A$81,0))</f>
        <v>Card usage &amp; features</v>
      </c>
      <c r="D9692" s="0" t="n">
        <f aca="false">INDEX(Intent_Analysis!$E$5:$E$81,MATCH(B9692,Intent_Analysis!$A$5:$A$81,0))</f>
        <v>1</v>
      </c>
    </row>
    <row r="9693" customFormat="false" ht="15" hidden="false" customHeight="false" outlineLevel="0" collapsed="false">
      <c r="A9693" s="0" t="s">
        <v>10017</v>
      </c>
      <c r="B9693" s="0" t="s">
        <v>63</v>
      </c>
      <c r="C9693" s="0" t="str">
        <f aca="false">INDEX(Intent_Analysis!$B$5:$B$81,MATCH(B9693,Intent_Analysis!$A$5:$A$81,0))</f>
        <v>Card usage &amp; features</v>
      </c>
      <c r="D9693" s="0" t="n">
        <f aca="false">INDEX(Intent_Analysis!$E$5:$E$81,MATCH(B9693,Intent_Analysis!$A$5:$A$81,0))</f>
        <v>1</v>
      </c>
    </row>
    <row r="9694" customFormat="false" ht="15" hidden="false" customHeight="false" outlineLevel="0" collapsed="false">
      <c r="A9694" s="0" t="s">
        <v>10018</v>
      </c>
      <c r="B9694" s="0" t="s">
        <v>63</v>
      </c>
      <c r="C9694" s="0" t="str">
        <f aca="false">INDEX(Intent_Analysis!$B$5:$B$81,MATCH(B9694,Intent_Analysis!$A$5:$A$81,0))</f>
        <v>Card usage &amp; features</v>
      </c>
      <c r="D9694" s="0" t="n">
        <f aca="false">INDEX(Intent_Analysis!$E$5:$E$81,MATCH(B9694,Intent_Analysis!$A$5:$A$81,0))</f>
        <v>1</v>
      </c>
    </row>
    <row r="9695" customFormat="false" ht="15" hidden="false" customHeight="false" outlineLevel="0" collapsed="false">
      <c r="A9695" s="0" t="s">
        <v>10019</v>
      </c>
      <c r="B9695" s="0" t="s">
        <v>63</v>
      </c>
      <c r="C9695" s="0" t="str">
        <f aca="false">INDEX(Intent_Analysis!$B$5:$B$81,MATCH(B9695,Intent_Analysis!$A$5:$A$81,0))</f>
        <v>Card usage &amp; features</v>
      </c>
      <c r="D9695" s="0" t="n">
        <f aca="false">INDEX(Intent_Analysis!$E$5:$E$81,MATCH(B9695,Intent_Analysis!$A$5:$A$81,0))</f>
        <v>1</v>
      </c>
    </row>
    <row r="9696" customFormat="false" ht="15" hidden="false" customHeight="false" outlineLevel="0" collapsed="false">
      <c r="A9696" s="0" t="s">
        <v>10020</v>
      </c>
      <c r="B9696" s="0" t="s">
        <v>63</v>
      </c>
      <c r="C9696" s="0" t="str">
        <f aca="false">INDEX(Intent_Analysis!$B$5:$B$81,MATCH(B9696,Intent_Analysis!$A$5:$A$81,0))</f>
        <v>Card usage &amp; features</v>
      </c>
      <c r="D9696" s="0" t="n">
        <f aca="false">INDEX(Intent_Analysis!$E$5:$E$81,MATCH(B9696,Intent_Analysis!$A$5:$A$81,0))</f>
        <v>1</v>
      </c>
    </row>
    <row r="9697" customFormat="false" ht="15" hidden="false" customHeight="false" outlineLevel="0" collapsed="false">
      <c r="A9697" s="0" t="s">
        <v>10021</v>
      </c>
      <c r="B9697" s="0" t="s">
        <v>63</v>
      </c>
      <c r="C9697" s="0" t="str">
        <f aca="false">INDEX(Intent_Analysis!$B$5:$B$81,MATCH(B9697,Intent_Analysis!$A$5:$A$81,0))</f>
        <v>Card usage &amp; features</v>
      </c>
      <c r="D9697" s="0" t="n">
        <f aca="false">INDEX(Intent_Analysis!$E$5:$E$81,MATCH(B9697,Intent_Analysis!$A$5:$A$81,0))</f>
        <v>1</v>
      </c>
    </row>
    <row r="9698" customFormat="false" ht="15" hidden="false" customHeight="false" outlineLevel="0" collapsed="false">
      <c r="A9698" s="0" t="s">
        <v>10022</v>
      </c>
      <c r="B9698" s="0" t="s">
        <v>63</v>
      </c>
      <c r="C9698" s="0" t="str">
        <f aca="false">INDEX(Intent_Analysis!$B$5:$B$81,MATCH(B9698,Intent_Analysis!$A$5:$A$81,0))</f>
        <v>Card usage &amp; features</v>
      </c>
      <c r="D9698" s="0" t="n">
        <f aca="false">INDEX(Intent_Analysis!$E$5:$E$81,MATCH(B9698,Intent_Analysis!$A$5:$A$81,0))</f>
        <v>1</v>
      </c>
    </row>
    <row r="9699" customFormat="false" ht="15" hidden="false" customHeight="false" outlineLevel="0" collapsed="false">
      <c r="A9699" s="0" t="s">
        <v>10023</v>
      </c>
      <c r="B9699" s="0" t="s">
        <v>63</v>
      </c>
      <c r="C9699" s="0" t="str">
        <f aca="false">INDEX(Intent_Analysis!$B$5:$B$81,MATCH(B9699,Intent_Analysis!$A$5:$A$81,0))</f>
        <v>Card usage &amp; features</v>
      </c>
      <c r="D9699" s="0" t="n">
        <f aca="false">INDEX(Intent_Analysis!$E$5:$E$81,MATCH(B9699,Intent_Analysis!$A$5:$A$81,0))</f>
        <v>1</v>
      </c>
    </row>
    <row r="9700" customFormat="false" ht="15" hidden="false" customHeight="false" outlineLevel="0" collapsed="false">
      <c r="A9700" s="0" t="s">
        <v>10024</v>
      </c>
      <c r="B9700" s="0" t="s">
        <v>63</v>
      </c>
      <c r="C9700" s="0" t="str">
        <f aca="false">INDEX(Intent_Analysis!$B$5:$B$81,MATCH(B9700,Intent_Analysis!$A$5:$A$81,0))</f>
        <v>Card usage &amp; features</v>
      </c>
      <c r="D9700" s="0" t="n">
        <f aca="false">INDEX(Intent_Analysis!$E$5:$E$81,MATCH(B9700,Intent_Analysis!$A$5:$A$81,0))</f>
        <v>1</v>
      </c>
    </row>
    <row r="9701" customFormat="false" ht="15" hidden="false" customHeight="false" outlineLevel="0" collapsed="false">
      <c r="A9701" s="0" t="s">
        <v>10025</v>
      </c>
      <c r="B9701" s="0" t="s">
        <v>63</v>
      </c>
      <c r="C9701" s="0" t="str">
        <f aca="false">INDEX(Intent_Analysis!$B$5:$B$81,MATCH(B9701,Intent_Analysis!$A$5:$A$81,0))</f>
        <v>Card usage &amp; features</v>
      </c>
      <c r="D9701" s="0" t="n">
        <f aca="false">INDEX(Intent_Analysis!$E$5:$E$81,MATCH(B9701,Intent_Analysis!$A$5:$A$81,0))</f>
        <v>1</v>
      </c>
    </row>
    <row r="9702" customFormat="false" ht="15" hidden="false" customHeight="false" outlineLevel="0" collapsed="false">
      <c r="A9702" s="0" t="s">
        <v>10026</v>
      </c>
      <c r="B9702" s="0" t="s">
        <v>63</v>
      </c>
      <c r="C9702" s="0" t="str">
        <f aca="false">INDEX(Intent_Analysis!$B$5:$B$81,MATCH(B9702,Intent_Analysis!$A$5:$A$81,0))</f>
        <v>Card usage &amp; features</v>
      </c>
      <c r="D9702" s="0" t="n">
        <f aca="false">INDEX(Intent_Analysis!$E$5:$E$81,MATCH(B9702,Intent_Analysis!$A$5:$A$81,0))</f>
        <v>1</v>
      </c>
    </row>
    <row r="9703" customFormat="false" ht="15" hidden="false" customHeight="false" outlineLevel="0" collapsed="false">
      <c r="A9703" s="0" t="s">
        <v>10027</v>
      </c>
      <c r="B9703" s="0" t="s">
        <v>63</v>
      </c>
      <c r="C9703" s="0" t="str">
        <f aca="false">INDEX(Intent_Analysis!$B$5:$B$81,MATCH(B9703,Intent_Analysis!$A$5:$A$81,0))</f>
        <v>Card usage &amp; features</v>
      </c>
      <c r="D9703" s="0" t="n">
        <f aca="false">INDEX(Intent_Analysis!$E$5:$E$81,MATCH(B9703,Intent_Analysis!$A$5:$A$81,0))</f>
        <v>1</v>
      </c>
    </row>
    <row r="9704" customFormat="false" ht="15" hidden="false" customHeight="false" outlineLevel="0" collapsed="false">
      <c r="A9704" s="0" t="s">
        <v>10028</v>
      </c>
      <c r="B9704" s="0" t="s">
        <v>63</v>
      </c>
      <c r="C9704" s="0" t="str">
        <f aca="false">INDEX(Intent_Analysis!$B$5:$B$81,MATCH(B9704,Intent_Analysis!$A$5:$A$81,0))</f>
        <v>Card usage &amp; features</v>
      </c>
      <c r="D9704" s="0" t="n">
        <f aca="false">INDEX(Intent_Analysis!$E$5:$E$81,MATCH(B9704,Intent_Analysis!$A$5:$A$81,0))</f>
        <v>1</v>
      </c>
    </row>
    <row r="9705" customFormat="false" ht="15" hidden="false" customHeight="false" outlineLevel="0" collapsed="false">
      <c r="A9705" s="0" t="s">
        <v>10029</v>
      </c>
      <c r="B9705" s="0" t="s">
        <v>63</v>
      </c>
      <c r="C9705" s="0" t="str">
        <f aca="false">INDEX(Intent_Analysis!$B$5:$B$81,MATCH(B9705,Intent_Analysis!$A$5:$A$81,0))</f>
        <v>Card usage &amp; features</v>
      </c>
      <c r="D9705" s="0" t="n">
        <f aca="false">INDEX(Intent_Analysis!$E$5:$E$81,MATCH(B9705,Intent_Analysis!$A$5:$A$81,0))</f>
        <v>1</v>
      </c>
    </row>
    <row r="9706" customFormat="false" ht="15" hidden="false" customHeight="false" outlineLevel="0" collapsed="false">
      <c r="A9706" s="0" t="s">
        <v>10030</v>
      </c>
      <c r="B9706" s="0" t="s">
        <v>63</v>
      </c>
      <c r="C9706" s="0" t="str">
        <f aca="false">INDEX(Intent_Analysis!$B$5:$B$81,MATCH(B9706,Intent_Analysis!$A$5:$A$81,0))</f>
        <v>Card usage &amp; features</v>
      </c>
      <c r="D9706" s="0" t="n">
        <f aca="false">INDEX(Intent_Analysis!$E$5:$E$81,MATCH(B9706,Intent_Analysis!$A$5:$A$81,0))</f>
        <v>1</v>
      </c>
    </row>
    <row r="9707" customFormat="false" ht="15" hidden="false" customHeight="false" outlineLevel="0" collapsed="false">
      <c r="A9707" s="0" t="s">
        <v>10031</v>
      </c>
      <c r="B9707" s="0" t="s">
        <v>63</v>
      </c>
      <c r="C9707" s="0" t="str">
        <f aca="false">INDEX(Intent_Analysis!$B$5:$B$81,MATCH(B9707,Intent_Analysis!$A$5:$A$81,0))</f>
        <v>Card usage &amp; features</v>
      </c>
      <c r="D9707" s="0" t="n">
        <f aca="false">INDEX(Intent_Analysis!$E$5:$E$81,MATCH(B9707,Intent_Analysis!$A$5:$A$81,0))</f>
        <v>1</v>
      </c>
    </row>
    <row r="9708" customFormat="false" ht="15" hidden="false" customHeight="false" outlineLevel="0" collapsed="false">
      <c r="A9708" s="0" t="s">
        <v>10032</v>
      </c>
      <c r="B9708" s="0" t="s">
        <v>63</v>
      </c>
      <c r="C9708" s="0" t="str">
        <f aca="false">INDEX(Intent_Analysis!$B$5:$B$81,MATCH(B9708,Intent_Analysis!$A$5:$A$81,0))</f>
        <v>Card usage &amp; features</v>
      </c>
      <c r="D9708" s="0" t="n">
        <f aca="false">INDEX(Intent_Analysis!$E$5:$E$81,MATCH(B9708,Intent_Analysis!$A$5:$A$81,0))</f>
        <v>1</v>
      </c>
    </row>
    <row r="9709" customFormat="false" ht="15" hidden="false" customHeight="false" outlineLevel="0" collapsed="false">
      <c r="A9709" s="0" t="s">
        <v>10033</v>
      </c>
      <c r="B9709" s="0" t="s">
        <v>63</v>
      </c>
      <c r="C9709" s="0" t="str">
        <f aca="false">INDEX(Intent_Analysis!$B$5:$B$81,MATCH(B9709,Intent_Analysis!$A$5:$A$81,0))</f>
        <v>Card usage &amp; features</v>
      </c>
      <c r="D9709" s="0" t="n">
        <f aca="false">INDEX(Intent_Analysis!$E$5:$E$81,MATCH(B9709,Intent_Analysis!$A$5:$A$81,0))</f>
        <v>1</v>
      </c>
    </row>
    <row r="9710" customFormat="false" ht="15" hidden="false" customHeight="false" outlineLevel="0" collapsed="false">
      <c r="A9710" s="0" t="s">
        <v>10034</v>
      </c>
      <c r="B9710" s="0" t="s">
        <v>63</v>
      </c>
      <c r="C9710" s="0" t="str">
        <f aca="false">INDEX(Intent_Analysis!$B$5:$B$81,MATCH(B9710,Intent_Analysis!$A$5:$A$81,0))</f>
        <v>Card usage &amp; features</v>
      </c>
      <c r="D9710" s="0" t="n">
        <f aca="false">INDEX(Intent_Analysis!$E$5:$E$81,MATCH(B9710,Intent_Analysis!$A$5:$A$81,0))</f>
        <v>1</v>
      </c>
    </row>
    <row r="9711" customFormat="false" ht="15" hidden="false" customHeight="false" outlineLevel="0" collapsed="false">
      <c r="A9711" s="0" t="s">
        <v>10035</v>
      </c>
      <c r="B9711" s="0" t="s">
        <v>63</v>
      </c>
      <c r="C9711" s="0" t="str">
        <f aca="false">INDEX(Intent_Analysis!$B$5:$B$81,MATCH(B9711,Intent_Analysis!$A$5:$A$81,0))</f>
        <v>Card usage &amp; features</v>
      </c>
      <c r="D9711" s="0" t="n">
        <f aca="false">INDEX(Intent_Analysis!$E$5:$E$81,MATCH(B9711,Intent_Analysis!$A$5:$A$81,0))</f>
        <v>1</v>
      </c>
    </row>
    <row r="9712" customFormat="false" ht="15" hidden="false" customHeight="false" outlineLevel="0" collapsed="false">
      <c r="A9712" s="0" t="s">
        <v>10036</v>
      </c>
      <c r="B9712" s="0" t="s">
        <v>63</v>
      </c>
      <c r="C9712" s="0" t="str">
        <f aca="false">INDEX(Intent_Analysis!$B$5:$B$81,MATCH(B9712,Intent_Analysis!$A$5:$A$81,0))</f>
        <v>Card usage &amp; features</v>
      </c>
      <c r="D9712" s="0" t="n">
        <f aca="false">INDEX(Intent_Analysis!$E$5:$E$81,MATCH(B9712,Intent_Analysis!$A$5:$A$81,0))</f>
        <v>1</v>
      </c>
    </row>
    <row r="9713" customFormat="false" ht="15" hidden="false" customHeight="false" outlineLevel="0" collapsed="false">
      <c r="A9713" s="0" t="s">
        <v>10037</v>
      </c>
      <c r="B9713" s="0" t="s">
        <v>63</v>
      </c>
      <c r="C9713" s="0" t="str">
        <f aca="false">INDEX(Intent_Analysis!$B$5:$B$81,MATCH(B9713,Intent_Analysis!$A$5:$A$81,0))</f>
        <v>Card usage &amp; features</v>
      </c>
      <c r="D9713" s="0" t="n">
        <f aca="false">INDEX(Intent_Analysis!$E$5:$E$81,MATCH(B9713,Intent_Analysis!$A$5:$A$81,0))</f>
        <v>1</v>
      </c>
    </row>
    <row r="9714" customFormat="false" ht="15" hidden="false" customHeight="false" outlineLevel="0" collapsed="false">
      <c r="A9714" s="0" t="s">
        <v>10038</v>
      </c>
      <c r="B9714" s="0" t="s">
        <v>63</v>
      </c>
      <c r="C9714" s="0" t="str">
        <f aca="false">INDEX(Intent_Analysis!$B$5:$B$81,MATCH(B9714,Intent_Analysis!$A$5:$A$81,0))</f>
        <v>Card usage &amp; features</v>
      </c>
      <c r="D9714" s="0" t="n">
        <f aca="false">INDEX(Intent_Analysis!$E$5:$E$81,MATCH(B9714,Intent_Analysis!$A$5:$A$81,0))</f>
        <v>1</v>
      </c>
    </row>
    <row r="9715" customFormat="false" ht="15" hidden="false" customHeight="false" outlineLevel="0" collapsed="false">
      <c r="A9715" s="0" t="s">
        <v>10039</v>
      </c>
      <c r="B9715" s="0" t="s">
        <v>63</v>
      </c>
      <c r="C9715" s="0" t="str">
        <f aca="false">INDEX(Intent_Analysis!$B$5:$B$81,MATCH(B9715,Intent_Analysis!$A$5:$A$81,0))</f>
        <v>Card usage &amp; features</v>
      </c>
      <c r="D9715" s="0" t="n">
        <f aca="false">INDEX(Intent_Analysis!$E$5:$E$81,MATCH(B9715,Intent_Analysis!$A$5:$A$81,0))</f>
        <v>1</v>
      </c>
    </row>
    <row r="9716" customFormat="false" ht="15" hidden="false" customHeight="false" outlineLevel="0" collapsed="false">
      <c r="A9716" s="0" t="s">
        <v>10040</v>
      </c>
      <c r="B9716" s="0" t="s">
        <v>63</v>
      </c>
      <c r="C9716" s="0" t="str">
        <f aca="false">INDEX(Intent_Analysis!$B$5:$B$81,MATCH(B9716,Intent_Analysis!$A$5:$A$81,0))</f>
        <v>Card usage &amp; features</v>
      </c>
      <c r="D9716" s="0" t="n">
        <f aca="false">INDEX(Intent_Analysis!$E$5:$E$81,MATCH(B9716,Intent_Analysis!$A$5:$A$81,0))</f>
        <v>1</v>
      </c>
    </row>
    <row r="9717" customFormat="false" ht="15" hidden="false" customHeight="false" outlineLevel="0" collapsed="false">
      <c r="A9717" s="0" t="s">
        <v>10041</v>
      </c>
      <c r="B9717" s="0" t="s">
        <v>63</v>
      </c>
      <c r="C9717" s="0" t="str">
        <f aca="false">INDEX(Intent_Analysis!$B$5:$B$81,MATCH(B9717,Intent_Analysis!$A$5:$A$81,0))</f>
        <v>Card usage &amp; features</v>
      </c>
      <c r="D9717" s="0" t="n">
        <f aca="false">INDEX(Intent_Analysis!$E$5:$E$81,MATCH(B9717,Intent_Analysis!$A$5:$A$81,0))</f>
        <v>1</v>
      </c>
    </row>
    <row r="9718" customFormat="false" ht="15" hidden="false" customHeight="false" outlineLevel="0" collapsed="false">
      <c r="A9718" s="0" t="s">
        <v>10042</v>
      </c>
      <c r="B9718" s="0" t="s">
        <v>63</v>
      </c>
      <c r="C9718" s="0" t="str">
        <f aca="false">INDEX(Intent_Analysis!$B$5:$B$81,MATCH(B9718,Intent_Analysis!$A$5:$A$81,0))</f>
        <v>Card usage &amp; features</v>
      </c>
      <c r="D9718" s="0" t="n">
        <f aca="false">INDEX(Intent_Analysis!$E$5:$E$81,MATCH(B9718,Intent_Analysis!$A$5:$A$81,0))</f>
        <v>1</v>
      </c>
    </row>
    <row r="9719" customFormat="false" ht="15" hidden="false" customHeight="false" outlineLevel="0" collapsed="false">
      <c r="A9719" s="0" t="s">
        <v>10043</v>
      </c>
      <c r="B9719" s="0" t="s">
        <v>63</v>
      </c>
      <c r="C9719" s="0" t="str">
        <f aca="false">INDEX(Intent_Analysis!$B$5:$B$81,MATCH(B9719,Intent_Analysis!$A$5:$A$81,0))</f>
        <v>Card usage &amp; features</v>
      </c>
      <c r="D9719" s="0" t="n">
        <f aca="false">INDEX(Intent_Analysis!$E$5:$E$81,MATCH(B9719,Intent_Analysis!$A$5:$A$81,0))</f>
        <v>1</v>
      </c>
    </row>
    <row r="9720" customFormat="false" ht="15" hidden="false" customHeight="false" outlineLevel="0" collapsed="false">
      <c r="A9720" s="0" t="s">
        <v>10044</v>
      </c>
      <c r="B9720" s="0" t="s">
        <v>63</v>
      </c>
      <c r="C9720" s="0" t="str">
        <f aca="false">INDEX(Intent_Analysis!$B$5:$B$81,MATCH(B9720,Intent_Analysis!$A$5:$A$81,0))</f>
        <v>Card usage &amp; features</v>
      </c>
      <c r="D9720" s="0" t="n">
        <f aca="false">INDEX(Intent_Analysis!$E$5:$E$81,MATCH(B9720,Intent_Analysis!$A$5:$A$81,0))</f>
        <v>1</v>
      </c>
    </row>
    <row r="9721" customFormat="false" ht="15" hidden="false" customHeight="false" outlineLevel="0" collapsed="false">
      <c r="A9721" s="0" t="s">
        <v>10045</v>
      </c>
      <c r="B9721" s="0" t="s">
        <v>63</v>
      </c>
      <c r="C9721" s="0" t="str">
        <f aca="false">INDEX(Intent_Analysis!$B$5:$B$81,MATCH(B9721,Intent_Analysis!$A$5:$A$81,0))</f>
        <v>Card usage &amp; features</v>
      </c>
      <c r="D9721" s="0" t="n">
        <f aca="false">INDEX(Intent_Analysis!$E$5:$E$81,MATCH(B9721,Intent_Analysis!$A$5:$A$81,0))</f>
        <v>1</v>
      </c>
    </row>
    <row r="9722" customFormat="false" ht="15" hidden="false" customHeight="false" outlineLevel="0" collapsed="false">
      <c r="A9722" s="0" t="s">
        <v>10046</v>
      </c>
      <c r="B9722" s="0" t="s">
        <v>63</v>
      </c>
      <c r="C9722" s="0" t="str">
        <f aca="false">INDEX(Intent_Analysis!$B$5:$B$81,MATCH(B9722,Intent_Analysis!$A$5:$A$81,0))</f>
        <v>Card usage &amp; features</v>
      </c>
      <c r="D9722" s="0" t="n">
        <f aca="false">INDEX(Intent_Analysis!$E$5:$E$81,MATCH(B9722,Intent_Analysis!$A$5:$A$81,0))</f>
        <v>1</v>
      </c>
    </row>
    <row r="9723" customFormat="false" ht="15" hidden="false" customHeight="false" outlineLevel="0" collapsed="false">
      <c r="A9723" s="0" t="s">
        <v>10047</v>
      </c>
      <c r="B9723" s="0" t="s">
        <v>63</v>
      </c>
      <c r="C9723" s="0" t="str">
        <f aca="false">INDEX(Intent_Analysis!$B$5:$B$81,MATCH(B9723,Intent_Analysis!$A$5:$A$81,0))</f>
        <v>Card usage &amp; features</v>
      </c>
      <c r="D9723" s="0" t="n">
        <f aca="false">INDEX(Intent_Analysis!$E$5:$E$81,MATCH(B9723,Intent_Analysis!$A$5:$A$81,0))</f>
        <v>1</v>
      </c>
    </row>
    <row r="9724" customFormat="false" ht="15" hidden="false" customHeight="false" outlineLevel="0" collapsed="false">
      <c r="A9724" s="0" t="s">
        <v>10048</v>
      </c>
      <c r="B9724" s="0" t="s">
        <v>63</v>
      </c>
      <c r="C9724" s="0" t="str">
        <f aca="false">INDEX(Intent_Analysis!$B$5:$B$81,MATCH(B9724,Intent_Analysis!$A$5:$A$81,0))</f>
        <v>Card usage &amp; features</v>
      </c>
      <c r="D9724" s="0" t="n">
        <f aca="false">INDEX(Intent_Analysis!$E$5:$E$81,MATCH(B9724,Intent_Analysis!$A$5:$A$81,0))</f>
        <v>1</v>
      </c>
    </row>
    <row r="9725" customFormat="false" ht="15" hidden="false" customHeight="false" outlineLevel="0" collapsed="false">
      <c r="A9725" s="0" t="s">
        <v>10049</v>
      </c>
      <c r="B9725" s="0" t="s">
        <v>63</v>
      </c>
      <c r="C9725" s="0" t="str">
        <f aca="false">INDEX(Intent_Analysis!$B$5:$B$81,MATCH(B9725,Intent_Analysis!$A$5:$A$81,0))</f>
        <v>Card usage &amp; features</v>
      </c>
      <c r="D9725" s="0" t="n">
        <f aca="false">INDEX(Intent_Analysis!$E$5:$E$81,MATCH(B9725,Intent_Analysis!$A$5:$A$81,0))</f>
        <v>1</v>
      </c>
    </row>
    <row r="9726" customFormat="false" ht="15" hidden="false" customHeight="false" outlineLevel="0" collapsed="false">
      <c r="A9726" s="0" t="s">
        <v>10050</v>
      </c>
      <c r="B9726" s="0" t="s">
        <v>63</v>
      </c>
      <c r="C9726" s="0" t="str">
        <f aca="false">INDEX(Intent_Analysis!$B$5:$B$81,MATCH(B9726,Intent_Analysis!$A$5:$A$81,0))</f>
        <v>Card usage &amp; features</v>
      </c>
      <c r="D9726" s="0" t="n">
        <f aca="false">INDEX(Intent_Analysis!$E$5:$E$81,MATCH(B9726,Intent_Analysis!$A$5:$A$81,0))</f>
        <v>1</v>
      </c>
    </row>
    <row r="9727" customFormat="false" ht="15" hidden="false" customHeight="false" outlineLevel="0" collapsed="false">
      <c r="A9727" s="0" t="s">
        <v>10051</v>
      </c>
      <c r="B9727" s="0" t="s">
        <v>63</v>
      </c>
      <c r="C9727" s="0" t="str">
        <f aca="false">INDEX(Intent_Analysis!$B$5:$B$81,MATCH(B9727,Intent_Analysis!$A$5:$A$81,0))</f>
        <v>Card usage &amp; features</v>
      </c>
      <c r="D9727" s="0" t="n">
        <f aca="false">INDEX(Intent_Analysis!$E$5:$E$81,MATCH(B9727,Intent_Analysis!$A$5:$A$81,0))</f>
        <v>1</v>
      </c>
    </row>
    <row r="9728" customFormat="false" ht="15" hidden="false" customHeight="false" outlineLevel="0" collapsed="false">
      <c r="A9728" s="0" t="s">
        <v>10052</v>
      </c>
      <c r="B9728" s="0" t="s">
        <v>63</v>
      </c>
      <c r="C9728" s="0" t="str">
        <f aca="false">INDEX(Intent_Analysis!$B$5:$B$81,MATCH(B9728,Intent_Analysis!$A$5:$A$81,0))</f>
        <v>Card usage &amp; features</v>
      </c>
      <c r="D9728" s="0" t="n">
        <f aca="false">INDEX(Intent_Analysis!$E$5:$E$81,MATCH(B9728,Intent_Analysis!$A$5:$A$81,0))</f>
        <v>1</v>
      </c>
    </row>
    <row r="9729" customFormat="false" ht="15" hidden="false" customHeight="false" outlineLevel="0" collapsed="false">
      <c r="A9729" s="0" t="s">
        <v>10053</v>
      </c>
      <c r="B9729" s="0" t="s">
        <v>63</v>
      </c>
      <c r="C9729" s="0" t="str">
        <f aca="false">INDEX(Intent_Analysis!$B$5:$B$81,MATCH(B9729,Intent_Analysis!$A$5:$A$81,0))</f>
        <v>Card usage &amp; features</v>
      </c>
      <c r="D9729" s="0" t="n">
        <f aca="false">INDEX(Intent_Analysis!$E$5:$E$81,MATCH(B9729,Intent_Analysis!$A$5:$A$81,0))</f>
        <v>1</v>
      </c>
    </row>
    <row r="9730" customFormat="false" ht="15" hidden="false" customHeight="false" outlineLevel="0" collapsed="false">
      <c r="A9730" s="0" t="s">
        <v>10054</v>
      </c>
      <c r="B9730" s="0" t="s">
        <v>63</v>
      </c>
      <c r="C9730" s="0" t="str">
        <f aca="false">INDEX(Intent_Analysis!$B$5:$B$81,MATCH(B9730,Intent_Analysis!$A$5:$A$81,0))</f>
        <v>Card usage &amp; features</v>
      </c>
      <c r="D9730" s="0" t="n">
        <f aca="false">INDEX(Intent_Analysis!$E$5:$E$81,MATCH(B9730,Intent_Analysis!$A$5:$A$81,0))</f>
        <v>1</v>
      </c>
    </row>
    <row r="9731" customFormat="false" ht="15" hidden="false" customHeight="false" outlineLevel="0" collapsed="false">
      <c r="A9731" s="0" t="s">
        <v>10055</v>
      </c>
      <c r="B9731" s="0" t="s">
        <v>63</v>
      </c>
      <c r="C9731" s="0" t="str">
        <f aca="false">INDEX(Intent_Analysis!$B$5:$B$81,MATCH(B9731,Intent_Analysis!$A$5:$A$81,0))</f>
        <v>Card usage &amp; features</v>
      </c>
      <c r="D9731" s="0" t="n">
        <f aca="false">INDEX(Intent_Analysis!$E$5:$E$81,MATCH(B9731,Intent_Analysis!$A$5:$A$81,0))</f>
        <v>1</v>
      </c>
    </row>
    <row r="9732" customFormat="false" ht="15" hidden="false" customHeight="false" outlineLevel="0" collapsed="false">
      <c r="A9732" s="0" t="s">
        <v>10056</v>
      </c>
      <c r="B9732" s="0" t="s">
        <v>63</v>
      </c>
      <c r="C9732" s="0" t="str">
        <f aca="false">INDEX(Intent_Analysis!$B$5:$B$81,MATCH(B9732,Intent_Analysis!$A$5:$A$81,0))</f>
        <v>Card usage &amp; features</v>
      </c>
      <c r="D9732" s="0" t="n">
        <f aca="false">INDEX(Intent_Analysis!$E$5:$E$81,MATCH(B9732,Intent_Analysis!$A$5:$A$81,0))</f>
        <v>1</v>
      </c>
    </row>
    <row r="9733" customFormat="false" ht="15" hidden="false" customHeight="false" outlineLevel="0" collapsed="false">
      <c r="A9733" s="0" t="s">
        <v>10057</v>
      </c>
      <c r="B9733" s="0" t="s">
        <v>63</v>
      </c>
      <c r="C9733" s="0" t="str">
        <f aca="false">INDEX(Intent_Analysis!$B$5:$B$81,MATCH(B9733,Intent_Analysis!$A$5:$A$81,0))</f>
        <v>Card usage &amp; features</v>
      </c>
      <c r="D9733" s="0" t="n">
        <f aca="false">INDEX(Intent_Analysis!$E$5:$E$81,MATCH(B9733,Intent_Analysis!$A$5:$A$81,0))</f>
        <v>1</v>
      </c>
    </row>
    <row r="9734" customFormat="false" ht="15" hidden="false" customHeight="false" outlineLevel="0" collapsed="false">
      <c r="A9734" s="0" t="s">
        <v>10058</v>
      </c>
      <c r="B9734" s="0" t="s">
        <v>63</v>
      </c>
      <c r="C9734" s="0" t="str">
        <f aca="false">INDEX(Intent_Analysis!$B$5:$B$81,MATCH(B9734,Intent_Analysis!$A$5:$A$81,0))</f>
        <v>Card usage &amp; features</v>
      </c>
      <c r="D9734" s="0" t="n">
        <f aca="false">INDEX(Intent_Analysis!$E$5:$E$81,MATCH(B9734,Intent_Analysis!$A$5:$A$81,0))</f>
        <v>1</v>
      </c>
    </row>
    <row r="9735" customFormat="false" ht="15" hidden="false" customHeight="false" outlineLevel="0" collapsed="false">
      <c r="A9735" s="0" t="s">
        <v>10059</v>
      </c>
      <c r="B9735" s="0" t="s">
        <v>63</v>
      </c>
      <c r="C9735" s="0" t="str">
        <f aca="false">INDEX(Intent_Analysis!$B$5:$B$81,MATCH(B9735,Intent_Analysis!$A$5:$A$81,0))</f>
        <v>Card usage &amp; features</v>
      </c>
      <c r="D9735" s="0" t="n">
        <f aca="false">INDEX(Intent_Analysis!$E$5:$E$81,MATCH(B9735,Intent_Analysis!$A$5:$A$81,0))</f>
        <v>1</v>
      </c>
    </row>
    <row r="9736" customFormat="false" ht="15" hidden="false" customHeight="false" outlineLevel="0" collapsed="false">
      <c r="A9736" s="0" t="s">
        <v>10060</v>
      </c>
      <c r="B9736" s="0" t="s">
        <v>63</v>
      </c>
      <c r="C9736" s="0" t="str">
        <f aca="false">INDEX(Intent_Analysis!$B$5:$B$81,MATCH(B9736,Intent_Analysis!$A$5:$A$81,0))</f>
        <v>Card usage &amp; features</v>
      </c>
      <c r="D9736" s="0" t="n">
        <f aca="false">INDEX(Intent_Analysis!$E$5:$E$81,MATCH(B9736,Intent_Analysis!$A$5:$A$81,0))</f>
        <v>1</v>
      </c>
    </row>
    <row r="9737" customFormat="false" ht="15" hidden="false" customHeight="false" outlineLevel="0" collapsed="false">
      <c r="A9737" s="0" t="s">
        <v>10061</v>
      </c>
      <c r="B9737" s="0" t="s">
        <v>63</v>
      </c>
      <c r="C9737" s="0" t="str">
        <f aca="false">INDEX(Intent_Analysis!$B$5:$B$81,MATCH(B9737,Intent_Analysis!$A$5:$A$81,0))</f>
        <v>Card usage &amp; features</v>
      </c>
      <c r="D9737" s="0" t="n">
        <f aca="false">INDEX(Intent_Analysis!$E$5:$E$81,MATCH(B9737,Intent_Analysis!$A$5:$A$81,0))</f>
        <v>1</v>
      </c>
    </row>
    <row r="9738" customFormat="false" ht="15" hidden="false" customHeight="false" outlineLevel="0" collapsed="false">
      <c r="A9738" s="0" t="s">
        <v>10062</v>
      </c>
      <c r="B9738" s="0" t="s">
        <v>63</v>
      </c>
      <c r="C9738" s="0" t="str">
        <f aca="false">INDEX(Intent_Analysis!$B$5:$B$81,MATCH(B9738,Intent_Analysis!$A$5:$A$81,0))</f>
        <v>Card usage &amp; features</v>
      </c>
      <c r="D9738" s="0" t="n">
        <f aca="false">INDEX(Intent_Analysis!$E$5:$E$81,MATCH(B9738,Intent_Analysis!$A$5:$A$81,0))</f>
        <v>1</v>
      </c>
    </row>
    <row r="9739" customFormat="false" ht="15" hidden="false" customHeight="false" outlineLevel="0" collapsed="false">
      <c r="A9739" s="0" t="s">
        <v>10063</v>
      </c>
      <c r="B9739" s="0" t="s">
        <v>63</v>
      </c>
      <c r="C9739" s="0" t="str">
        <f aca="false">INDEX(Intent_Analysis!$B$5:$B$81,MATCH(B9739,Intent_Analysis!$A$5:$A$81,0))</f>
        <v>Card usage &amp; features</v>
      </c>
      <c r="D9739" s="0" t="n">
        <f aca="false">INDEX(Intent_Analysis!$E$5:$E$81,MATCH(B9739,Intent_Analysis!$A$5:$A$81,0))</f>
        <v>1</v>
      </c>
    </row>
    <row r="9740" customFormat="false" ht="15" hidden="false" customHeight="false" outlineLevel="0" collapsed="false">
      <c r="A9740" s="0" t="s">
        <v>10064</v>
      </c>
      <c r="B9740" s="0" t="s">
        <v>63</v>
      </c>
      <c r="C9740" s="0" t="str">
        <f aca="false">INDEX(Intent_Analysis!$B$5:$B$81,MATCH(B9740,Intent_Analysis!$A$5:$A$81,0))</f>
        <v>Card usage &amp; features</v>
      </c>
      <c r="D9740" s="0" t="n">
        <f aca="false">INDEX(Intent_Analysis!$E$5:$E$81,MATCH(B9740,Intent_Analysis!$A$5:$A$81,0))</f>
        <v>1</v>
      </c>
    </row>
    <row r="9741" customFormat="false" ht="15" hidden="false" customHeight="false" outlineLevel="0" collapsed="false">
      <c r="A9741" s="0" t="s">
        <v>10065</v>
      </c>
      <c r="B9741" s="0" t="s">
        <v>63</v>
      </c>
      <c r="C9741" s="0" t="str">
        <f aca="false">INDEX(Intent_Analysis!$B$5:$B$81,MATCH(B9741,Intent_Analysis!$A$5:$A$81,0))</f>
        <v>Card usage &amp; features</v>
      </c>
      <c r="D9741" s="0" t="n">
        <f aca="false">INDEX(Intent_Analysis!$E$5:$E$81,MATCH(B9741,Intent_Analysis!$A$5:$A$81,0))</f>
        <v>1</v>
      </c>
    </row>
    <row r="9742" customFormat="false" ht="15" hidden="false" customHeight="false" outlineLevel="0" collapsed="false">
      <c r="A9742" s="0" t="s">
        <v>10066</v>
      </c>
      <c r="B9742" s="0" t="s">
        <v>63</v>
      </c>
      <c r="C9742" s="0" t="str">
        <f aca="false">INDEX(Intent_Analysis!$B$5:$B$81,MATCH(B9742,Intent_Analysis!$A$5:$A$81,0))</f>
        <v>Card usage &amp; features</v>
      </c>
      <c r="D9742" s="0" t="n">
        <f aca="false">INDEX(Intent_Analysis!$E$5:$E$81,MATCH(B9742,Intent_Analysis!$A$5:$A$81,0))</f>
        <v>1</v>
      </c>
    </row>
    <row r="9743" customFormat="false" ht="15" hidden="false" customHeight="false" outlineLevel="0" collapsed="false">
      <c r="A9743" s="0" t="s">
        <v>10067</v>
      </c>
      <c r="B9743" s="0" t="s">
        <v>63</v>
      </c>
      <c r="C9743" s="0" t="str">
        <f aca="false">INDEX(Intent_Analysis!$B$5:$B$81,MATCH(B9743,Intent_Analysis!$A$5:$A$81,0))</f>
        <v>Card usage &amp; features</v>
      </c>
      <c r="D9743" s="0" t="n">
        <f aca="false">INDEX(Intent_Analysis!$E$5:$E$81,MATCH(B9743,Intent_Analysis!$A$5:$A$81,0))</f>
        <v>1</v>
      </c>
    </row>
    <row r="9744" customFormat="false" ht="15" hidden="false" customHeight="false" outlineLevel="0" collapsed="false">
      <c r="A9744" s="0" t="s">
        <v>10068</v>
      </c>
      <c r="B9744" s="0" t="s">
        <v>63</v>
      </c>
      <c r="C9744" s="0" t="str">
        <f aca="false">INDEX(Intent_Analysis!$B$5:$B$81,MATCH(B9744,Intent_Analysis!$A$5:$A$81,0))</f>
        <v>Card usage &amp; features</v>
      </c>
      <c r="D9744" s="0" t="n">
        <f aca="false">INDEX(Intent_Analysis!$E$5:$E$81,MATCH(B9744,Intent_Analysis!$A$5:$A$81,0))</f>
        <v>1</v>
      </c>
    </row>
    <row r="9745" customFormat="false" ht="15" hidden="false" customHeight="false" outlineLevel="0" collapsed="false">
      <c r="A9745" s="0" t="s">
        <v>10069</v>
      </c>
      <c r="B9745" s="0" t="s">
        <v>63</v>
      </c>
      <c r="C9745" s="0" t="str">
        <f aca="false">INDEX(Intent_Analysis!$B$5:$B$81,MATCH(B9745,Intent_Analysis!$A$5:$A$81,0))</f>
        <v>Card usage &amp; features</v>
      </c>
      <c r="D9745" s="0" t="n">
        <f aca="false">INDEX(Intent_Analysis!$E$5:$E$81,MATCH(B9745,Intent_Analysis!$A$5:$A$81,0))</f>
        <v>1</v>
      </c>
    </row>
    <row r="9746" customFormat="false" ht="15" hidden="false" customHeight="false" outlineLevel="0" collapsed="false">
      <c r="A9746" s="0" t="s">
        <v>10070</v>
      </c>
      <c r="B9746" s="0" t="s">
        <v>63</v>
      </c>
      <c r="C9746" s="0" t="str">
        <f aca="false">INDEX(Intent_Analysis!$B$5:$B$81,MATCH(B9746,Intent_Analysis!$A$5:$A$81,0))</f>
        <v>Card usage &amp; features</v>
      </c>
      <c r="D9746" s="0" t="n">
        <f aca="false">INDEX(Intent_Analysis!$E$5:$E$81,MATCH(B9746,Intent_Analysis!$A$5:$A$81,0))</f>
        <v>1</v>
      </c>
    </row>
    <row r="9747" customFormat="false" ht="15" hidden="false" customHeight="false" outlineLevel="0" collapsed="false">
      <c r="A9747" s="0" t="s">
        <v>10071</v>
      </c>
      <c r="B9747" s="0" t="s">
        <v>63</v>
      </c>
      <c r="C9747" s="0" t="str">
        <f aca="false">INDEX(Intent_Analysis!$B$5:$B$81,MATCH(B9747,Intent_Analysis!$A$5:$A$81,0))</f>
        <v>Card usage &amp; features</v>
      </c>
      <c r="D9747" s="0" t="n">
        <f aca="false">INDEX(Intent_Analysis!$E$5:$E$81,MATCH(B9747,Intent_Analysis!$A$5:$A$81,0))</f>
        <v>1</v>
      </c>
    </row>
    <row r="9748" customFormat="false" ht="15" hidden="false" customHeight="false" outlineLevel="0" collapsed="false">
      <c r="A9748" s="0" t="s">
        <v>10072</v>
      </c>
      <c r="B9748" s="0" t="s">
        <v>63</v>
      </c>
      <c r="C9748" s="0" t="str">
        <f aca="false">INDEX(Intent_Analysis!$B$5:$B$81,MATCH(B9748,Intent_Analysis!$A$5:$A$81,0))</f>
        <v>Card usage &amp; features</v>
      </c>
      <c r="D9748" s="0" t="n">
        <f aca="false">INDEX(Intent_Analysis!$E$5:$E$81,MATCH(B9748,Intent_Analysis!$A$5:$A$81,0))</f>
        <v>1</v>
      </c>
    </row>
    <row r="9749" customFormat="false" ht="15" hidden="false" customHeight="false" outlineLevel="0" collapsed="false">
      <c r="A9749" s="0" t="s">
        <v>10073</v>
      </c>
      <c r="B9749" s="0" t="s">
        <v>63</v>
      </c>
      <c r="C9749" s="0" t="str">
        <f aca="false">INDEX(Intent_Analysis!$B$5:$B$81,MATCH(B9749,Intent_Analysis!$A$5:$A$81,0))</f>
        <v>Card usage &amp; features</v>
      </c>
      <c r="D9749" s="0" t="n">
        <f aca="false">INDEX(Intent_Analysis!$E$5:$E$81,MATCH(B9749,Intent_Analysis!$A$5:$A$81,0))</f>
        <v>1</v>
      </c>
    </row>
    <row r="9750" customFormat="false" ht="15" hidden="false" customHeight="false" outlineLevel="0" collapsed="false">
      <c r="A9750" s="0" t="s">
        <v>10074</v>
      </c>
      <c r="B9750" s="0" t="s">
        <v>63</v>
      </c>
      <c r="C9750" s="0" t="str">
        <f aca="false">INDEX(Intent_Analysis!$B$5:$B$81,MATCH(B9750,Intent_Analysis!$A$5:$A$81,0))</f>
        <v>Card usage &amp; features</v>
      </c>
      <c r="D9750" s="0" t="n">
        <f aca="false">INDEX(Intent_Analysis!$E$5:$E$81,MATCH(B9750,Intent_Analysis!$A$5:$A$81,0))</f>
        <v>1</v>
      </c>
    </row>
    <row r="9751" customFormat="false" ht="15" hidden="false" customHeight="false" outlineLevel="0" collapsed="false">
      <c r="A9751" s="0" t="s">
        <v>10075</v>
      </c>
      <c r="B9751" s="0" t="s">
        <v>63</v>
      </c>
      <c r="C9751" s="0" t="str">
        <f aca="false">INDEX(Intent_Analysis!$B$5:$B$81,MATCH(B9751,Intent_Analysis!$A$5:$A$81,0))</f>
        <v>Card usage &amp; features</v>
      </c>
      <c r="D9751" s="0" t="n">
        <f aca="false">INDEX(Intent_Analysis!$E$5:$E$81,MATCH(B9751,Intent_Analysis!$A$5:$A$81,0))</f>
        <v>1</v>
      </c>
    </row>
    <row r="9752" customFormat="false" ht="15" hidden="false" customHeight="false" outlineLevel="0" collapsed="false">
      <c r="A9752" s="0" t="s">
        <v>10076</v>
      </c>
      <c r="B9752" s="0" t="s">
        <v>63</v>
      </c>
      <c r="C9752" s="0" t="str">
        <f aca="false">INDEX(Intent_Analysis!$B$5:$B$81,MATCH(B9752,Intent_Analysis!$A$5:$A$81,0))</f>
        <v>Card usage &amp; features</v>
      </c>
      <c r="D9752" s="0" t="n">
        <f aca="false">INDEX(Intent_Analysis!$E$5:$E$81,MATCH(B9752,Intent_Analysis!$A$5:$A$81,0))</f>
        <v>1</v>
      </c>
    </row>
    <row r="9753" customFormat="false" ht="15" hidden="false" customHeight="false" outlineLevel="0" collapsed="false">
      <c r="A9753" s="0" t="s">
        <v>10077</v>
      </c>
      <c r="B9753" s="0" t="s">
        <v>63</v>
      </c>
      <c r="C9753" s="0" t="str">
        <f aca="false">INDEX(Intent_Analysis!$B$5:$B$81,MATCH(B9753,Intent_Analysis!$A$5:$A$81,0))</f>
        <v>Card usage &amp; features</v>
      </c>
      <c r="D9753" s="0" t="n">
        <f aca="false">INDEX(Intent_Analysis!$E$5:$E$81,MATCH(B9753,Intent_Analysis!$A$5:$A$81,0))</f>
        <v>1</v>
      </c>
    </row>
    <row r="9754" customFormat="false" ht="15" hidden="false" customHeight="false" outlineLevel="0" collapsed="false">
      <c r="A9754" s="0" t="s">
        <v>10078</v>
      </c>
      <c r="B9754" s="0" t="s">
        <v>63</v>
      </c>
      <c r="C9754" s="0" t="str">
        <f aca="false">INDEX(Intent_Analysis!$B$5:$B$81,MATCH(B9754,Intent_Analysis!$A$5:$A$81,0))</f>
        <v>Card usage &amp; features</v>
      </c>
      <c r="D9754" s="0" t="n">
        <f aca="false">INDEX(Intent_Analysis!$E$5:$E$81,MATCH(B9754,Intent_Analysis!$A$5:$A$81,0))</f>
        <v>1</v>
      </c>
    </row>
    <row r="9755" customFormat="false" ht="15" hidden="false" customHeight="false" outlineLevel="0" collapsed="false">
      <c r="A9755" s="0" t="s">
        <v>10079</v>
      </c>
      <c r="B9755" s="0" t="s">
        <v>63</v>
      </c>
      <c r="C9755" s="0" t="str">
        <f aca="false">INDEX(Intent_Analysis!$B$5:$B$81,MATCH(B9755,Intent_Analysis!$A$5:$A$81,0))</f>
        <v>Card usage &amp; features</v>
      </c>
      <c r="D9755" s="0" t="n">
        <f aca="false">INDEX(Intent_Analysis!$E$5:$E$81,MATCH(B9755,Intent_Analysis!$A$5:$A$81,0))</f>
        <v>1</v>
      </c>
    </row>
    <row r="9756" customFormat="false" ht="15" hidden="false" customHeight="false" outlineLevel="0" collapsed="false">
      <c r="A9756" s="0" t="s">
        <v>10080</v>
      </c>
      <c r="B9756" s="0" t="s">
        <v>63</v>
      </c>
      <c r="C9756" s="0" t="str">
        <f aca="false">INDEX(Intent_Analysis!$B$5:$B$81,MATCH(B9756,Intent_Analysis!$A$5:$A$81,0))</f>
        <v>Card usage &amp; features</v>
      </c>
      <c r="D9756" s="0" t="n">
        <f aca="false">INDEX(Intent_Analysis!$E$5:$E$81,MATCH(B9756,Intent_Analysis!$A$5:$A$81,0))</f>
        <v>1</v>
      </c>
    </row>
    <row r="9757" customFormat="false" ht="15" hidden="false" customHeight="false" outlineLevel="0" collapsed="false">
      <c r="A9757" s="0" t="s">
        <v>10081</v>
      </c>
      <c r="B9757" s="0" t="s">
        <v>63</v>
      </c>
      <c r="C9757" s="0" t="str">
        <f aca="false">INDEX(Intent_Analysis!$B$5:$B$81,MATCH(B9757,Intent_Analysis!$A$5:$A$81,0))</f>
        <v>Card usage &amp; features</v>
      </c>
      <c r="D9757" s="0" t="n">
        <f aca="false">INDEX(Intent_Analysis!$E$5:$E$81,MATCH(B9757,Intent_Analysis!$A$5:$A$81,0))</f>
        <v>1</v>
      </c>
    </row>
    <row r="9758" customFormat="false" ht="15" hidden="false" customHeight="false" outlineLevel="0" collapsed="false">
      <c r="A9758" s="0" t="s">
        <v>10082</v>
      </c>
      <c r="B9758" s="0" t="s">
        <v>63</v>
      </c>
      <c r="C9758" s="0" t="str">
        <f aca="false">INDEX(Intent_Analysis!$B$5:$B$81,MATCH(B9758,Intent_Analysis!$A$5:$A$81,0))</f>
        <v>Card usage &amp; features</v>
      </c>
      <c r="D9758" s="0" t="n">
        <f aca="false">INDEX(Intent_Analysis!$E$5:$E$81,MATCH(B9758,Intent_Analysis!$A$5:$A$81,0))</f>
        <v>1</v>
      </c>
    </row>
    <row r="9759" customFormat="false" ht="15" hidden="false" customHeight="false" outlineLevel="0" collapsed="false">
      <c r="A9759" s="0" t="s">
        <v>10083</v>
      </c>
      <c r="B9759" s="0" t="s">
        <v>63</v>
      </c>
      <c r="C9759" s="0" t="str">
        <f aca="false">INDEX(Intent_Analysis!$B$5:$B$81,MATCH(B9759,Intent_Analysis!$A$5:$A$81,0))</f>
        <v>Card usage &amp; features</v>
      </c>
      <c r="D9759" s="0" t="n">
        <f aca="false">INDEX(Intent_Analysis!$E$5:$E$81,MATCH(B9759,Intent_Analysis!$A$5:$A$81,0))</f>
        <v>1</v>
      </c>
    </row>
    <row r="9760" customFormat="false" ht="15" hidden="false" customHeight="false" outlineLevel="0" collapsed="false">
      <c r="A9760" s="0" t="s">
        <v>10084</v>
      </c>
      <c r="B9760" s="0" t="s">
        <v>63</v>
      </c>
      <c r="C9760" s="0" t="str">
        <f aca="false">INDEX(Intent_Analysis!$B$5:$B$81,MATCH(B9760,Intent_Analysis!$A$5:$A$81,0))</f>
        <v>Card usage &amp; features</v>
      </c>
      <c r="D9760" s="0" t="n">
        <f aca="false">INDEX(Intent_Analysis!$E$5:$E$81,MATCH(B9760,Intent_Analysis!$A$5:$A$81,0))</f>
        <v>1</v>
      </c>
    </row>
    <row r="9761" customFormat="false" ht="15" hidden="false" customHeight="false" outlineLevel="0" collapsed="false">
      <c r="A9761" s="0" t="s">
        <v>10085</v>
      </c>
      <c r="B9761" s="0" t="s">
        <v>63</v>
      </c>
      <c r="C9761" s="0" t="str">
        <f aca="false">INDEX(Intent_Analysis!$B$5:$B$81,MATCH(B9761,Intent_Analysis!$A$5:$A$81,0))</f>
        <v>Card usage &amp; features</v>
      </c>
      <c r="D9761" s="0" t="n">
        <f aca="false">INDEX(Intent_Analysis!$E$5:$E$81,MATCH(B9761,Intent_Analysis!$A$5:$A$81,0))</f>
        <v>1</v>
      </c>
    </row>
    <row r="9762" customFormat="false" ht="15" hidden="false" customHeight="false" outlineLevel="0" collapsed="false">
      <c r="A9762" s="0" t="s">
        <v>10086</v>
      </c>
      <c r="B9762" s="0" t="s">
        <v>63</v>
      </c>
      <c r="C9762" s="0" t="str">
        <f aca="false">INDEX(Intent_Analysis!$B$5:$B$81,MATCH(B9762,Intent_Analysis!$A$5:$A$81,0))</f>
        <v>Card usage &amp; features</v>
      </c>
      <c r="D9762" s="0" t="n">
        <f aca="false">INDEX(Intent_Analysis!$E$5:$E$81,MATCH(B9762,Intent_Analysis!$A$5:$A$81,0))</f>
        <v>1</v>
      </c>
    </row>
    <row r="9763" customFormat="false" ht="15" hidden="false" customHeight="false" outlineLevel="0" collapsed="false">
      <c r="A9763" s="0" t="s">
        <v>10087</v>
      </c>
      <c r="B9763" s="0" t="s">
        <v>63</v>
      </c>
      <c r="C9763" s="0" t="str">
        <f aca="false">INDEX(Intent_Analysis!$B$5:$B$81,MATCH(B9763,Intent_Analysis!$A$5:$A$81,0))</f>
        <v>Card usage &amp; features</v>
      </c>
      <c r="D9763" s="0" t="n">
        <f aca="false">INDEX(Intent_Analysis!$E$5:$E$81,MATCH(B9763,Intent_Analysis!$A$5:$A$81,0))</f>
        <v>1</v>
      </c>
    </row>
    <row r="9764" customFormat="false" ht="15" hidden="false" customHeight="false" outlineLevel="0" collapsed="false">
      <c r="A9764" s="0" t="s">
        <v>10088</v>
      </c>
      <c r="B9764" s="0" t="s">
        <v>63</v>
      </c>
      <c r="C9764" s="0" t="str">
        <f aca="false">INDEX(Intent_Analysis!$B$5:$B$81,MATCH(B9764,Intent_Analysis!$A$5:$A$81,0))</f>
        <v>Card usage &amp; features</v>
      </c>
      <c r="D9764" s="0" t="n">
        <f aca="false">INDEX(Intent_Analysis!$E$5:$E$81,MATCH(B9764,Intent_Analysis!$A$5:$A$81,0))</f>
        <v>1</v>
      </c>
    </row>
    <row r="9765" customFormat="false" ht="15" hidden="false" customHeight="false" outlineLevel="0" collapsed="false">
      <c r="A9765" s="0" t="s">
        <v>10089</v>
      </c>
      <c r="B9765" s="0" t="s">
        <v>63</v>
      </c>
      <c r="C9765" s="0" t="str">
        <f aca="false">INDEX(Intent_Analysis!$B$5:$B$81,MATCH(B9765,Intent_Analysis!$A$5:$A$81,0))</f>
        <v>Card usage &amp; features</v>
      </c>
      <c r="D9765" s="0" t="n">
        <f aca="false">INDEX(Intent_Analysis!$E$5:$E$81,MATCH(B9765,Intent_Analysis!$A$5:$A$81,0))</f>
        <v>1</v>
      </c>
    </row>
    <row r="9766" customFormat="false" ht="15" hidden="false" customHeight="false" outlineLevel="0" collapsed="false">
      <c r="A9766" s="0" t="s">
        <v>10090</v>
      </c>
      <c r="B9766" s="0" t="s">
        <v>63</v>
      </c>
      <c r="C9766" s="0" t="str">
        <f aca="false">INDEX(Intent_Analysis!$B$5:$B$81,MATCH(B9766,Intent_Analysis!$A$5:$A$81,0))</f>
        <v>Card usage &amp; features</v>
      </c>
      <c r="D9766" s="0" t="n">
        <f aca="false">INDEX(Intent_Analysis!$E$5:$E$81,MATCH(B9766,Intent_Analysis!$A$5:$A$81,0))</f>
        <v>1</v>
      </c>
    </row>
    <row r="9767" customFormat="false" ht="15" hidden="false" customHeight="false" outlineLevel="0" collapsed="false">
      <c r="A9767" s="0" t="s">
        <v>10091</v>
      </c>
      <c r="B9767" s="0" t="s">
        <v>63</v>
      </c>
      <c r="C9767" s="0" t="str">
        <f aca="false">INDEX(Intent_Analysis!$B$5:$B$81,MATCH(B9767,Intent_Analysis!$A$5:$A$81,0))</f>
        <v>Card usage &amp; features</v>
      </c>
      <c r="D9767" s="0" t="n">
        <f aca="false">INDEX(Intent_Analysis!$E$5:$E$81,MATCH(B9767,Intent_Analysis!$A$5:$A$81,0))</f>
        <v>1</v>
      </c>
    </row>
    <row r="9768" customFormat="false" ht="15" hidden="false" customHeight="false" outlineLevel="0" collapsed="false">
      <c r="A9768" s="0" t="s">
        <v>10092</v>
      </c>
      <c r="B9768" s="0" t="s">
        <v>63</v>
      </c>
      <c r="C9768" s="0" t="str">
        <f aca="false">INDEX(Intent_Analysis!$B$5:$B$81,MATCH(B9768,Intent_Analysis!$A$5:$A$81,0))</f>
        <v>Card usage &amp; features</v>
      </c>
      <c r="D9768" s="0" t="n">
        <f aca="false">INDEX(Intent_Analysis!$E$5:$E$81,MATCH(B9768,Intent_Analysis!$A$5:$A$81,0))</f>
        <v>1</v>
      </c>
    </row>
    <row r="9769" customFormat="false" ht="15" hidden="false" customHeight="false" outlineLevel="0" collapsed="false">
      <c r="A9769" s="0" t="s">
        <v>10093</v>
      </c>
      <c r="B9769" s="0" t="s">
        <v>63</v>
      </c>
      <c r="C9769" s="0" t="str">
        <f aca="false">INDEX(Intent_Analysis!$B$5:$B$81,MATCH(B9769,Intent_Analysis!$A$5:$A$81,0))</f>
        <v>Card usage &amp; features</v>
      </c>
      <c r="D9769" s="0" t="n">
        <f aca="false">INDEX(Intent_Analysis!$E$5:$E$81,MATCH(B9769,Intent_Analysis!$A$5:$A$81,0))</f>
        <v>1</v>
      </c>
    </row>
    <row r="9770" customFormat="false" ht="15" hidden="false" customHeight="false" outlineLevel="0" collapsed="false">
      <c r="A9770" s="0" t="s">
        <v>10094</v>
      </c>
      <c r="B9770" s="0" t="s">
        <v>63</v>
      </c>
      <c r="C9770" s="0" t="str">
        <f aca="false">INDEX(Intent_Analysis!$B$5:$B$81,MATCH(B9770,Intent_Analysis!$A$5:$A$81,0))</f>
        <v>Card usage &amp; features</v>
      </c>
      <c r="D9770" s="0" t="n">
        <f aca="false">INDEX(Intent_Analysis!$E$5:$E$81,MATCH(B9770,Intent_Analysis!$A$5:$A$81,0))</f>
        <v>1</v>
      </c>
    </row>
    <row r="9771" customFormat="false" ht="15" hidden="false" customHeight="false" outlineLevel="0" collapsed="false">
      <c r="A9771" s="0" t="s">
        <v>10095</v>
      </c>
      <c r="B9771" s="0" t="s">
        <v>63</v>
      </c>
      <c r="C9771" s="0" t="str">
        <f aca="false">INDEX(Intent_Analysis!$B$5:$B$81,MATCH(B9771,Intent_Analysis!$A$5:$A$81,0))</f>
        <v>Card usage &amp; features</v>
      </c>
      <c r="D9771" s="0" t="n">
        <f aca="false">INDEX(Intent_Analysis!$E$5:$E$81,MATCH(B9771,Intent_Analysis!$A$5:$A$81,0))</f>
        <v>1</v>
      </c>
    </row>
    <row r="9772" customFormat="false" ht="15" hidden="false" customHeight="false" outlineLevel="0" collapsed="false">
      <c r="A9772" s="0" t="s">
        <v>10096</v>
      </c>
      <c r="B9772" s="0" t="s">
        <v>42</v>
      </c>
      <c r="C9772" s="0" t="str">
        <f aca="false">INDEX(Intent_Analysis!$B$5:$B$81,MATCH(B9772,Intent_Analysis!$A$5:$A$81,0))</f>
        <v>Account &amp; identity</v>
      </c>
      <c r="D9772" s="0" t="n">
        <f aca="false">INDEX(Intent_Analysis!$E$5:$E$81,MATCH(B9772,Intent_Analysis!$A$5:$A$81,0))</f>
        <v>1</v>
      </c>
    </row>
    <row r="9773" customFormat="false" ht="15" hidden="false" customHeight="false" outlineLevel="0" collapsed="false">
      <c r="A9773" s="0" t="s">
        <v>10097</v>
      </c>
      <c r="B9773" s="0" t="s">
        <v>42</v>
      </c>
      <c r="C9773" s="0" t="str">
        <f aca="false">INDEX(Intent_Analysis!$B$5:$B$81,MATCH(B9773,Intent_Analysis!$A$5:$A$81,0))</f>
        <v>Account &amp; identity</v>
      </c>
      <c r="D9773" s="0" t="n">
        <f aca="false">INDEX(Intent_Analysis!$E$5:$E$81,MATCH(B9773,Intent_Analysis!$A$5:$A$81,0))</f>
        <v>1</v>
      </c>
    </row>
    <row r="9774" customFormat="false" ht="15" hidden="false" customHeight="false" outlineLevel="0" collapsed="false">
      <c r="A9774" s="0" t="s">
        <v>10098</v>
      </c>
      <c r="B9774" s="0" t="s">
        <v>42</v>
      </c>
      <c r="C9774" s="0" t="str">
        <f aca="false">INDEX(Intent_Analysis!$B$5:$B$81,MATCH(B9774,Intent_Analysis!$A$5:$A$81,0))</f>
        <v>Account &amp; identity</v>
      </c>
      <c r="D9774" s="0" t="n">
        <f aca="false">INDEX(Intent_Analysis!$E$5:$E$81,MATCH(B9774,Intent_Analysis!$A$5:$A$81,0))</f>
        <v>1</v>
      </c>
    </row>
    <row r="9775" customFormat="false" ht="15" hidden="false" customHeight="false" outlineLevel="0" collapsed="false">
      <c r="A9775" s="0" t="s">
        <v>10099</v>
      </c>
      <c r="B9775" s="0" t="s">
        <v>42</v>
      </c>
      <c r="C9775" s="0" t="str">
        <f aca="false">INDEX(Intent_Analysis!$B$5:$B$81,MATCH(B9775,Intent_Analysis!$A$5:$A$81,0))</f>
        <v>Account &amp; identity</v>
      </c>
      <c r="D9775" s="0" t="n">
        <f aca="false">INDEX(Intent_Analysis!$E$5:$E$81,MATCH(B9775,Intent_Analysis!$A$5:$A$81,0))</f>
        <v>1</v>
      </c>
    </row>
    <row r="9776" customFormat="false" ht="15" hidden="false" customHeight="false" outlineLevel="0" collapsed="false">
      <c r="A9776" s="0" t="s">
        <v>10100</v>
      </c>
      <c r="B9776" s="0" t="s">
        <v>42</v>
      </c>
      <c r="C9776" s="0" t="str">
        <f aca="false">INDEX(Intent_Analysis!$B$5:$B$81,MATCH(B9776,Intent_Analysis!$A$5:$A$81,0))</f>
        <v>Account &amp; identity</v>
      </c>
      <c r="D9776" s="0" t="n">
        <f aca="false">INDEX(Intent_Analysis!$E$5:$E$81,MATCH(B9776,Intent_Analysis!$A$5:$A$81,0))</f>
        <v>1</v>
      </c>
    </row>
    <row r="9777" customFormat="false" ht="15" hidden="false" customHeight="false" outlineLevel="0" collapsed="false">
      <c r="A9777" s="0" t="s">
        <v>10101</v>
      </c>
      <c r="B9777" s="0" t="s">
        <v>42</v>
      </c>
      <c r="C9777" s="0" t="str">
        <f aca="false">INDEX(Intent_Analysis!$B$5:$B$81,MATCH(B9777,Intent_Analysis!$A$5:$A$81,0))</f>
        <v>Account &amp; identity</v>
      </c>
      <c r="D9777" s="0" t="n">
        <f aca="false">INDEX(Intent_Analysis!$E$5:$E$81,MATCH(B9777,Intent_Analysis!$A$5:$A$81,0))</f>
        <v>1</v>
      </c>
    </row>
    <row r="9778" customFormat="false" ht="15" hidden="false" customHeight="false" outlineLevel="0" collapsed="false">
      <c r="A9778" s="0" t="s">
        <v>10102</v>
      </c>
      <c r="B9778" s="0" t="s">
        <v>42</v>
      </c>
      <c r="C9778" s="0" t="str">
        <f aca="false">INDEX(Intent_Analysis!$B$5:$B$81,MATCH(B9778,Intent_Analysis!$A$5:$A$81,0))</f>
        <v>Account &amp; identity</v>
      </c>
      <c r="D9778" s="0" t="n">
        <f aca="false">INDEX(Intent_Analysis!$E$5:$E$81,MATCH(B9778,Intent_Analysis!$A$5:$A$81,0))</f>
        <v>1</v>
      </c>
    </row>
    <row r="9779" customFormat="false" ht="15" hidden="false" customHeight="false" outlineLevel="0" collapsed="false">
      <c r="A9779" s="0" t="s">
        <v>10103</v>
      </c>
      <c r="B9779" s="0" t="s">
        <v>42</v>
      </c>
      <c r="C9779" s="0" t="str">
        <f aca="false">INDEX(Intent_Analysis!$B$5:$B$81,MATCH(B9779,Intent_Analysis!$A$5:$A$81,0))</f>
        <v>Account &amp; identity</v>
      </c>
      <c r="D9779" s="0" t="n">
        <f aca="false">INDEX(Intent_Analysis!$E$5:$E$81,MATCH(B9779,Intent_Analysis!$A$5:$A$81,0))</f>
        <v>1</v>
      </c>
    </row>
    <row r="9780" customFormat="false" ht="15" hidden="false" customHeight="false" outlineLevel="0" collapsed="false">
      <c r="A9780" s="0" t="s">
        <v>10104</v>
      </c>
      <c r="B9780" s="0" t="s">
        <v>42</v>
      </c>
      <c r="C9780" s="0" t="str">
        <f aca="false">INDEX(Intent_Analysis!$B$5:$B$81,MATCH(B9780,Intent_Analysis!$A$5:$A$81,0))</f>
        <v>Account &amp; identity</v>
      </c>
      <c r="D9780" s="0" t="n">
        <f aca="false">INDEX(Intent_Analysis!$E$5:$E$81,MATCH(B9780,Intent_Analysis!$A$5:$A$81,0))</f>
        <v>1</v>
      </c>
    </row>
    <row r="9781" customFormat="false" ht="15" hidden="false" customHeight="false" outlineLevel="0" collapsed="false">
      <c r="A9781" s="0" t="s">
        <v>10105</v>
      </c>
      <c r="B9781" s="0" t="s">
        <v>42</v>
      </c>
      <c r="C9781" s="0" t="str">
        <f aca="false">INDEX(Intent_Analysis!$B$5:$B$81,MATCH(B9781,Intent_Analysis!$A$5:$A$81,0))</f>
        <v>Account &amp; identity</v>
      </c>
      <c r="D9781" s="0" t="n">
        <f aca="false">INDEX(Intent_Analysis!$E$5:$E$81,MATCH(B9781,Intent_Analysis!$A$5:$A$81,0))</f>
        <v>1</v>
      </c>
    </row>
    <row r="9782" customFormat="false" ht="15" hidden="false" customHeight="false" outlineLevel="0" collapsed="false">
      <c r="A9782" s="0" t="s">
        <v>10106</v>
      </c>
      <c r="B9782" s="0" t="s">
        <v>42</v>
      </c>
      <c r="C9782" s="0" t="str">
        <f aca="false">INDEX(Intent_Analysis!$B$5:$B$81,MATCH(B9782,Intent_Analysis!$A$5:$A$81,0))</f>
        <v>Account &amp; identity</v>
      </c>
      <c r="D9782" s="0" t="n">
        <f aca="false">INDEX(Intent_Analysis!$E$5:$E$81,MATCH(B9782,Intent_Analysis!$A$5:$A$81,0))</f>
        <v>1</v>
      </c>
    </row>
    <row r="9783" customFormat="false" ht="15" hidden="false" customHeight="false" outlineLevel="0" collapsed="false">
      <c r="A9783" s="0" t="s">
        <v>10107</v>
      </c>
      <c r="B9783" s="0" t="s">
        <v>42</v>
      </c>
      <c r="C9783" s="0" t="str">
        <f aca="false">INDEX(Intent_Analysis!$B$5:$B$81,MATCH(B9783,Intent_Analysis!$A$5:$A$81,0))</f>
        <v>Account &amp; identity</v>
      </c>
      <c r="D9783" s="0" t="n">
        <f aca="false">INDEX(Intent_Analysis!$E$5:$E$81,MATCH(B9783,Intent_Analysis!$A$5:$A$81,0))</f>
        <v>1</v>
      </c>
    </row>
    <row r="9784" customFormat="false" ht="15" hidden="false" customHeight="false" outlineLevel="0" collapsed="false">
      <c r="A9784" s="0" t="s">
        <v>10108</v>
      </c>
      <c r="B9784" s="0" t="s">
        <v>42</v>
      </c>
      <c r="C9784" s="0" t="str">
        <f aca="false">INDEX(Intent_Analysis!$B$5:$B$81,MATCH(B9784,Intent_Analysis!$A$5:$A$81,0))</f>
        <v>Account &amp; identity</v>
      </c>
      <c r="D9784" s="0" t="n">
        <f aca="false">INDEX(Intent_Analysis!$E$5:$E$81,MATCH(B9784,Intent_Analysis!$A$5:$A$81,0))</f>
        <v>1</v>
      </c>
    </row>
    <row r="9785" customFormat="false" ht="15" hidden="false" customHeight="false" outlineLevel="0" collapsed="false">
      <c r="A9785" s="0" t="s">
        <v>10109</v>
      </c>
      <c r="B9785" s="0" t="s">
        <v>42</v>
      </c>
      <c r="C9785" s="0" t="str">
        <f aca="false">INDEX(Intent_Analysis!$B$5:$B$81,MATCH(B9785,Intent_Analysis!$A$5:$A$81,0))</f>
        <v>Account &amp; identity</v>
      </c>
      <c r="D9785" s="0" t="n">
        <f aca="false">INDEX(Intent_Analysis!$E$5:$E$81,MATCH(B9785,Intent_Analysis!$A$5:$A$81,0))</f>
        <v>1</v>
      </c>
    </row>
    <row r="9786" customFormat="false" ht="15" hidden="false" customHeight="false" outlineLevel="0" collapsed="false">
      <c r="A9786" s="0" t="s">
        <v>10110</v>
      </c>
      <c r="B9786" s="0" t="s">
        <v>42</v>
      </c>
      <c r="C9786" s="0" t="str">
        <f aca="false">INDEX(Intent_Analysis!$B$5:$B$81,MATCH(B9786,Intent_Analysis!$A$5:$A$81,0))</f>
        <v>Account &amp; identity</v>
      </c>
      <c r="D9786" s="0" t="n">
        <f aca="false">INDEX(Intent_Analysis!$E$5:$E$81,MATCH(B9786,Intent_Analysis!$A$5:$A$81,0))</f>
        <v>1</v>
      </c>
    </row>
    <row r="9787" customFormat="false" ht="15" hidden="false" customHeight="false" outlineLevel="0" collapsed="false">
      <c r="A9787" s="0" t="s">
        <v>10111</v>
      </c>
      <c r="B9787" s="0" t="s">
        <v>42</v>
      </c>
      <c r="C9787" s="0" t="str">
        <f aca="false">INDEX(Intent_Analysis!$B$5:$B$81,MATCH(B9787,Intent_Analysis!$A$5:$A$81,0))</f>
        <v>Account &amp; identity</v>
      </c>
      <c r="D9787" s="0" t="n">
        <f aca="false">INDEX(Intent_Analysis!$E$5:$E$81,MATCH(B9787,Intent_Analysis!$A$5:$A$81,0))</f>
        <v>1</v>
      </c>
    </row>
    <row r="9788" customFormat="false" ht="15" hidden="false" customHeight="false" outlineLevel="0" collapsed="false">
      <c r="A9788" s="0" t="s">
        <v>10112</v>
      </c>
      <c r="B9788" s="0" t="s">
        <v>42</v>
      </c>
      <c r="C9788" s="0" t="str">
        <f aca="false">INDEX(Intent_Analysis!$B$5:$B$81,MATCH(B9788,Intent_Analysis!$A$5:$A$81,0))</f>
        <v>Account &amp; identity</v>
      </c>
      <c r="D9788" s="0" t="n">
        <f aca="false">INDEX(Intent_Analysis!$E$5:$E$81,MATCH(B9788,Intent_Analysis!$A$5:$A$81,0))</f>
        <v>1</v>
      </c>
    </row>
    <row r="9789" customFormat="false" ht="15" hidden="false" customHeight="false" outlineLevel="0" collapsed="false">
      <c r="A9789" s="0" t="s">
        <v>10113</v>
      </c>
      <c r="B9789" s="0" t="s">
        <v>42</v>
      </c>
      <c r="C9789" s="0" t="str">
        <f aca="false">INDEX(Intent_Analysis!$B$5:$B$81,MATCH(B9789,Intent_Analysis!$A$5:$A$81,0))</f>
        <v>Account &amp; identity</v>
      </c>
      <c r="D9789" s="0" t="n">
        <f aca="false">INDEX(Intent_Analysis!$E$5:$E$81,MATCH(B9789,Intent_Analysis!$A$5:$A$81,0))</f>
        <v>1</v>
      </c>
    </row>
    <row r="9790" customFormat="false" ht="15" hidden="false" customHeight="false" outlineLevel="0" collapsed="false">
      <c r="A9790" s="0" t="s">
        <v>10114</v>
      </c>
      <c r="B9790" s="0" t="s">
        <v>42</v>
      </c>
      <c r="C9790" s="0" t="str">
        <f aca="false">INDEX(Intent_Analysis!$B$5:$B$81,MATCH(B9790,Intent_Analysis!$A$5:$A$81,0))</f>
        <v>Account &amp; identity</v>
      </c>
      <c r="D9790" s="0" t="n">
        <f aca="false">INDEX(Intent_Analysis!$E$5:$E$81,MATCH(B9790,Intent_Analysis!$A$5:$A$81,0))</f>
        <v>1</v>
      </c>
    </row>
    <row r="9791" customFormat="false" ht="15" hidden="false" customHeight="false" outlineLevel="0" collapsed="false">
      <c r="A9791" s="0" t="s">
        <v>10115</v>
      </c>
      <c r="B9791" s="0" t="s">
        <v>42</v>
      </c>
      <c r="C9791" s="0" t="str">
        <f aca="false">INDEX(Intent_Analysis!$B$5:$B$81,MATCH(B9791,Intent_Analysis!$A$5:$A$81,0))</f>
        <v>Account &amp; identity</v>
      </c>
      <c r="D9791" s="0" t="n">
        <f aca="false">INDEX(Intent_Analysis!$E$5:$E$81,MATCH(B9791,Intent_Analysis!$A$5:$A$81,0))</f>
        <v>1</v>
      </c>
    </row>
    <row r="9792" customFormat="false" ht="15" hidden="false" customHeight="false" outlineLevel="0" collapsed="false">
      <c r="A9792" s="0" t="s">
        <v>10116</v>
      </c>
      <c r="B9792" s="0" t="s">
        <v>42</v>
      </c>
      <c r="C9792" s="0" t="str">
        <f aca="false">INDEX(Intent_Analysis!$B$5:$B$81,MATCH(B9792,Intent_Analysis!$A$5:$A$81,0))</f>
        <v>Account &amp; identity</v>
      </c>
      <c r="D9792" s="0" t="n">
        <f aca="false">INDEX(Intent_Analysis!$E$5:$E$81,MATCH(B9792,Intent_Analysis!$A$5:$A$81,0))</f>
        <v>1</v>
      </c>
    </row>
    <row r="9793" customFormat="false" ht="15" hidden="false" customHeight="false" outlineLevel="0" collapsed="false">
      <c r="A9793" s="0" t="s">
        <v>10117</v>
      </c>
      <c r="B9793" s="0" t="s">
        <v>42</v>
      </c>
      <c r="C9793" s="0" t="str">
        <f aca="false">INDEX(Intent_Analysis!$B$5:$B$81,MATCH(B9793,Intent_Analysis!$A$5:$A$81,0))</f>
        <v>Account &amp; identity</v>
      </c>
      <c r="D9793" s="0" t="n">
        <f aca="false">INDEX(Intent_Analysis!$E$5:$E$81,MATCH(B9793,Intent_Analysis!$A$5:$A$81,0))</f>
        <v>1</v>
      </c>
    </row>
    <row r="9794" customFormat="false" ht="15" hidden="false" customHeight="false" outlineLevel="0" collapsed="false">
      <c r="A9794" s="0" t="s">
        <v>10118</v>
      </c>
      <c r="B9794" s="0" t="s">
        <v>42</v>
      </c>
      <c r="C9794" s="0" t="str">
        <f aca="false">INDEX(Intent_Analysis!$B$5:$B$81,MATCH(B9794,Intent_Analysis!$A$5:$A$81,0))</f>
        <v>Account &amp; identity</v>
      </c>
      <c r="D9794" s="0" t="n">
        <f aca="false">INDEX(Intent_Analysis!$E$5:$E$81,MATCH(B9794,Intent_Analysis!$A$5:$A$81,0))</f>
        <v>1</v>
      </c>
    </row>
    <row r="9795" customFormat="false" ht="15" hidden="false" customHeight="false" outlineLevel="0" collapsed="false">
      <c r="A9795" s="0" t="s">
        <v>10119</v>
      </c>
      <c r="B9795" s="0" t="s">
        <v>42</v>
      </c>
      <c r="C9795" s="0" t="str">
        <f aca="false">INDEX(Intent_Analysis!$B$5:$B$81,MATCH(B9795,Intent_Analysis!$A$5:$A$81,0))</f>
        <v>Account &amp; identity</v>
      </c>
      <c r="D9795" s="0" t="n">
        <f aca="false">INDEX(Intent_Analysis!$E$5:$E$81,MATCH(B9795,Intent_Analysis!$A$5:$A$81,0))</f>
        <v>1</v>
      </c>
    </row>
    <row r="9796" customFormat="false" ht="15" hidden="false" customHeight="false" outlineLevel="0" collapsed="false">
      <c r="A9796" s="0" t="s">
        <v>10120</v>
      </c>
      <c r="B9796" s="0" t="s">
        <v>42</v>
      </c>
      <c r="C9796" s="0" t="str">
        <f aca="false">INDEX(Intent_Analysis!$B$5:$B$81,MATCH(B9796,Intent_Analysis!$A$5:$A$81,0))</f>
        <v>Account &amp; identity</v>
      </c>
      <c r="D9796" s="0" t="n">
        <f aca="false">INDEX(Intent_Analysis!$E$5:$E$81,MATCH(B9796,Intent_Analysis!$A$5:$A$81,0))</f>
        <v>1</v>
      </c>
    </row>
    <row r="9797" customFormat="false" ht="15" hidden="false" customHeight="false" outlineLevel="0" collapsed="false">
      <c r="A9797" s="0" t="s">
        <v>10121</v>
      </c>
      <c r="B9797" s="0" t="s">
        <v>42</v>
      </c>
      <c r="C9797" s="0" t="str">
        <f aca="false">INDEX(Intent_Analysis!$B$5:$B$81,MATCH(B9797,Intent_Analysis!$A$5:$A$81,0))</f>
        <v>Account &amp; identity</v>
      </c>
      <c r="D9797" s="0" t="n">
        <f aca="false">INDEX(Intent_Analysis!$E$5:$E$81,MATCH(B9797,Intent_Analysis!$A$5:$A$81,0))</f>
        <v>1</v>
      </c>
    </row>
    <row r="9798" customFormat="false" ht="15" hidden="false" customHeight="false" outlineLevel="0" collapsed="false">
      <c r="A9798" s="0" t="s">
        <v>10122</v>
      </c>
      <c r="B9798" s="0" t="s">
        <v>42</v>
      </c>
      <c r="C9798" s="0" t="str">
        <f aca="false">INDEX(Intent_Analysis!$B$5:$B$81,MATCH(B9798,Intent_Analysis!$A$5:$A$81,0))</f>
        <v>Account &amp; identity</v>
      </c>
      <c r="D9798" s="0" t="n">
        <f aca="false">INDEX(Intent_Analysis!$E$5:$E$81,MATCH(B9798,Intent_Analysis!$A$5:$A$81,0))</f>
        <v>1</v>
      </c>
    </row>
    <row r="9799" customFormat="false" ht="15" hidden="false" customHeight="false" outlineLevel="0" collapsed="false">
      <c r="A9799" s="0" t="s">
        <v>10123</v>
      </c>
      <c r="B9799" s="0" t="s">
        <v>42</v>
      </c>
      <c r="C9799" s="0" t="str">
        <f aca="false">INDEX(Intent_Analysis!$B$5:$B$81,MATCH(B9799,Intent_Analysis!$A$5:$A$81,0))</f>
        <v>Account &amp; identity</v>
      </c>
      <c r="D9799" s="0" t="n">
        <f aca="false">INDEX(Intent_Analysis!$E$5:$E$81,MATCH(B9799,Intent_Analysis!$A$5:$A$81,0))</f>
        <v>1</v>
      </c>
    </row>
    <row r="9800" customFormat="false" ht="15" hidden="false" customHeight="false" outlineLevel="0" collapsed="false">
      <c r="A9800" s="0" t="s">
        <v>10124</v>
      </c>
      <c r="B9800" s="0" t="s">
        <v>42</v>
      </c>
      <c r="C9800" s="0" t="str">
        <f aca="false">INDEX(Intent_Analysis!$B$5:$B$81,MATCH(B9800,Intent_Analysis!$A$5:$A$81,0))</f>
        <v>Account &amp; identity</v>
      </c>
      <c r="D9800" s="0" t="n">
        <f aca="false">INDEX(Intent_Analysis!$E$5:$E$81,MATCH(B9800,Intent_Analysis!$A$5:$A$81,0))</f>
        <v>1</v>
      </c>
    </row>
    <row r="9801" customFormat="false" ht="15" hidden="false" customHeight="false" outlineLevel="0" collapsed="false">
      <c r="A9801" s="0" t="s">
        <v>10125</v>
      </c>
      <c r="B9801" s="0" t="s">
        <v>42</v>
      </c>
      <c r="C9801" s="0" t="str">
        <f aca="false">INDEX(Intent_Analysis!$B$5:$B$81,MATCH(B9801,Intent_Analysis!$A$5:$A$81,0))</f>
        <v>Account &amp; identity</v>
      </c>
      <c r="D9801" s="0" t="n">
        <f aca="false">INDEX(Intent_Analysis!$E$5:$E$81,MATCH(B9801,Intent_Analysis!$A$5:$A$81,0))</f>
        <v>1</v>
      </c>
    </row>
    <row r="9802" customFormat="false" ht="15" hidden="false" customHeight="false" outlineLevel="0" collapsed="false">
      <c r="A9802" s="0" t="s">
        <v>10126</v>
      </c>
      <c r="B9802" s="0" t="s">
        <v>42</v>
      </c>
      <c r="C9802" s="0" t="str">
        <f aca="false">INDEX(Intent_Analysis!$B$5:$B$81,MATCH(B9802,Intent_Analysis!$A$5:$A$81,0))</f>
        <v>Account &amp; identity</v>
      </c>
      <c r="D9802" s="0" t="n">
        <f aca="false">INDEX(Intent_Analysis!$E$5:$E$81,MATCH(B9802,Intent_Analysis!$A$5:$A$81,0))</f>
        <v>1</v>
      </c>
    </row>
    <row r="9803" customFormat="false" ht="15" hidden="false" customHeight="false" outlineLevel="0" collapsed="false">
      <c r="A9803" s="0" t="s">
        <v>10127</v>
      </c>
      <c r="B9803" s="0" t="s">
        <v>42</v>
      </c>
      <c r="C9803" s="0" t="str">
        <f aca="false">INDEX(Intent_Analysis!$B$5:$B$81,MATCH(B9803,Intent_Analysis!$A$5:$A$81,0))</f>
        <v>Account &amp; identity</v>
      </c>
      <c r="D9803" s="0" t="n">
        <f aca="false">INDEX(Intent_Analysis!$E$5:$E$81,MATCH(B9803,Intent_Analysis!$A$5:$A$81,0))</f>
        <v>1</v>
      </c>
    </row>
    <row r="9804" customFormat="false" ht="15" hidden="false" customHeight="false" outlineLevel="0" collapsed="false">
      <c r="A9804" s="0" t="s">
        <v>10128</v>
      </c>
      <c r="B9804" s="0" t="s">
        <v>42</v>
      </c>
      <c r="C9804" s="0" t="str">
        <f aca="false">INDEX(Intent_Analysis!$B$5:$B$81,MATCH(B9804,Intent_Analysis!$A$5:$A$81,0))</f>
        <v>Account &amp; identity</v>
      </c>
      <c r="D9804" s="0" t="n">
        <f aca="false">INDEX(Intent_Analysis!$E$5:$E$81,MATCH(B9804,Intent_Analysis!$A$5:$A$81,0))</f>
        <v>1</v>
      </c>
    </row>
    <row r="9805" customFormat="false" ht="15" hidden="false" customHeight="false" outlineLevel="0" collapsed="false">
      <c r="A9805" s="0" t="s">
        <v>10129</v>
      </c>
      <c r="B9805" s="0" t="s">
        <v>42</v>
      </c>
      <c r="C9805" s="0" t="str">
        <f aca="false">INDEX(Intent_Analysis!$B$5:$B$81,MATCH(B9805,Intent_Analysis!$A$5:$A$81,0))</f>
        <v>Account &amp; identity</v>
      </c>
      <c r="D9805" s="0" t="n">
        <f aca="false">INDEX(Intent_Analysis!$E$5:$E$81,MATCH(B9805,Intent_Analysis!$A$5:$A$81,0))</f>
        <v>1</v>
      </c>
    </row>
    <row r="9806" customFormat="false" ht="15" hidden="false" customHeight="false" outlineLevel="0" collapsed="false">
      <c r="A9806" s="0" t="s">
        <v>10130</v>
      </c>
      <c r="B9806" s="0" t="s">
        <v>42</v>
      </c>
      <c r="C9806" s="0" t="str">
        <f aca="false">INDEX(Intent_Analysis!$B$5:$B$81,MATCH(B9806,Intent_Analysis!$A$5:$A$81,0))</f>
        <v>Account &amp; identity</v>
      </c>
      <c r="D9806" s="0" t="n">
        <f aca="false">INDEX(Intent_Analysis!$E$5:$E$81,MATCH(B9806,Intent_Analysis!$A$5:$A$81,0))</f>
        <v>1</v>
      </c>
    </row>
    <row r="9807" customFormat="false" ht="15" hidden="false" customHeight="false" outlineLevel="0" collapsed="false">
      <c r="A9807" s="0" t="s">
        <v>10131</v>
      </c>
      <c r="B9807" s="0" t="s">
        <v>42</v>
      </c>
      <c r="C9807" s="0" t="str">
        <f aca="false">INDEX(Intent_Analysis!$B$5:$B$81,MATCH(B9807,Intent_Analysis!$A$5:$A$81,0))</f>
        <v>Account &amp; identity</v>
      </c>
      <c r="D9807" s="0" t="n">
        <f aca="false">INDEX(Intent_Analysis!$E$5:$E$81,MATCH(B9807,Intent_Analysis!$A$5:$A$81,0))</f>
        <v>1</v>
      </c>
    </row>
    <row r="9808" customFormat="false" ht="15" hidden="false" customHeight="false" outlineLevel="0" collapsed="false">
      <c r="A9808" s="0" t="s">
        <v>10132</v>
      </c>
      <c r="B9808" s="0" t="s">
        <v>42</v>
      </c>
      <c r="C9808" s="0" t="str">
        <f aca="false">INDEX(Intent_Analysis!$B$5:$B$81,MATCH(B9808,Intent_Analysis!$A$5:$A$81,0))</f>
        <v>Account &amp; identity</v>
      </c>
      <c r="D9808" s="0" t="n">
        <f aca="false">INDEX(Intent_Analysis!$E$5:$E$81,MATCH(B9808,Intent_Analysis!$A$5:$A$81,0))</f>
        <v>1</v>
      </c>
    </row>
    <row r="9809" customFormat="false" ht="15" hidden="false" customHeight="false" outlineLevel="0" collapsed="false">
      <c r="A9809" s="0" t="s">
        <v>10133</v>
      </c>
      <c r="B9809" s="0" t="s">
        <v>42</v>
      </c>
      <c r="C9809" s="0" t="str">
        <f aca="false">INDEX(Intent_Analysis!$B$5:$B$81,MATCH(B9809,Intent_Analysis!$A$5:$A$81,0))</f>
        <v>Account &amp; identity</v>
      </c>
      <c r="D9809" s="0" t="n">
        <f aca="false">INDEX(Intent_Analysis!$E$5:$E$81,MATCH(B9809,Intent_Analysis!$A$5:$A$81,0))</f>
        <v>1</v>
      </c>
    </row>
    <row r="9810" customFormat="false" ht="15" hidden="false" customHeight="false" outlineLevel="0" collapsed="false">
      <c r="A9810" s="0" t="s">
        <v>10134</v>
      </c>
      <c r="B9810" s="0" t="s">
        <v>42</v>
      </c>
      <c r="C9810" s="0" t="str">
        <f aca="false">INDEX(Intent_Analysis!$B$5:$B$81,MATCH(B9810,Intent_Analysis!$A$5:$A$81,0))</f>
        <v>Account &amp; identity</v>
      </c>
      <c r="D9810" s="0" t="n">
        <f aca="false">INDEX(Intent_Analysis!$E$5:$E$81,MATCH(B9810,Intent_Analysis!$A$5:$A$81,0))</f>
        <v>1</v>
      </c>
    </row>
    <row r="9811" customFormat="false" ht="15" hidden="false" customHeight="false" outlineLevel="0" collapsed="false">
      <c r="A9811" s="0" t="s">
        <v>10135</v>
      </c>
      <c r="B9811" s="0" t="s">
        <v>42</v>
      </c>
      <c r="C9811" s="0" t="str">
        <f aca="false">INDEX(Intent_Analysis!$B$5:$B$81,MATCH(B9811,Intent_Analysis!$A$5:$A$81,0))</f>
        <v>Account &amp; identity</v>
      </c>
      <c r="D9811" s="0" t="n">
        <f aca="false">INDEX(Intent_Analysis!$E$5:$E$81,MATCH(B9811,Intent_Analysis!$A$5:$A$81,0))</f>
        <v>1</v>
      </c>
    </row>
    <row r="9812" customFormat="false" ht="15" hidden="false" customHeight="false" outlineLevel="0" collapsed="false">
      <c r="A9812" s="0" t="s">
        <v>10136</v>
      </c>
      <c r="B9812" s="0" t="s">
        <v>42</v>
      </c>
      <c r="C9812" s="0" t="str">
        <f aca="false">INDEX(Intent_Analysis!$B$5:$B$81,MATCH(B9812,Intent_Analysis!$A$5:$A$81,0))</f>
        <v>Account &amp; identity</v>
      </c>
      <c r="D9812" s="0" t="n">
        <f aca="false">INDEX(Intent_Analysis!$E$5:$E$81,MATCH(B9812,Intent_Analysis!$A$5:$A$81,0))</f>
        <v>1</v>
      </c>
    </row>
    <row r="9813" customFormat="false" ht="15" hidden="false" customHeight="false" outlineLevel="0" collapsed="false">
      <c r="A9813" s="0" t="s">
        <v>10137</v>
      </c>
      <c r="B9813" s="0" t="s">
        <v>42</v>
      </c>
      <c r="C9813" s="0" t="str">
        <f aca="false">INDEX(Intent_Analysis!$B$5:$B$81,MATCH(B9813,Intent_Analysis!$A$5:$A$81,0))</f>
        <v>Account &amp; identity</v>
      </c>
      <c r="D9813" s="0" t="n">
        <f aca="false">INDEX(Intent_Analysis!$E$5:$E$81,MATCH(B9813,Intent_Analysis!$A$5:$A$81,0))</f>
        <v>1</v>
      </c>
    </row>
    <row r="9814" customFormat="false" ht="15" hidden="false" customHeight="false" outlineLevel="0" collapsed="false">
      <c r="A9814" s="0" t="s">
        <v>10138</v>
      </c>
      <c r="B9814" s="0" t="s">
        <v>42</v>
      </c>
      <c r="C9814" s="0" t="str">
        <f aca="false">INDEX(Intent_Analysis!$B$5:$B$81,MATCH(B9814,Intent_Analysis!$A$5:$A$81,0))</f>
        <v>Account &amp; identity</v>
      </c>
      <c r="D9814" s="0" t="n">
        <f aca="false">INDEX(Intent_Analysis!$E$5:$E$81,MATCH(B9814,Intent_Analysis!$A$5:$A$81,0))</f>
        <v>1</v>
      </c>
    </row>
    <row r="9815" customFormat="false" ht="15" hidden="false" customHeight="false" outlineLevel="0" collapsed="false">
      <c r="A9815" s="0" t="s">
        <v>10139</v>
      </c>
      <c r="B9815" s="0" t="s">
        <v>42</v>
      </c>
      <c r="C9815" s="0" t="str">
        <f aca="false">INDEX(Intent_Analysis!$B$5:$B$81,MATCH(B9815,Intent_Analysis!$A$5:$A$81,0))</f>
        <v>Account &amp; identity</v>
      </c>
      <c r="D9815" s="0" t="n">
        <f aca="false">INDEX(Intent_Analysis!$E$5:$E$81,MATCH(B9815,Intent_Analysis!$A$5:$A$81,0))</f>
        <v>1</v>
      </c>
    </row>
    <row r="9816" customFormat="false" ht="15" hidden="false" customHeight="false" outlineLevel="0" collapsed="false">
      <c r="A9816" s="0" t="s">
        <v>10140</v>
      </c>
      <c r="B9816" s="0" t="s">
        <v>42</v>
      </c>
      <c r="C9816" s="0" t="str">
        <f aca="false">INDEX(Intent_Analysis!$B$5:$B$81,MATCH(B9816,Intent_Analysis!$A$5:$A$81,0))</f>
        <v>Account &amp; identity</v>
      </c>
      <c r="D9816" s="0" t="n">
        <f aca="false">INDEX(Intent_Analysis!$E$5:$E$81,MATCH(B9816,Intent_Analysis!$A$5:$A$81,0))</f>
        <v>1</v>
      </c>
    </row>
    <row r="9817" customFormat="false" ht="15" hidden="false" customHeight="false" outlineLevel="0" collapsed="false">
      <c r="A9817" s="0" t="s">
        <v>10141</v>
      </c>
      <c r="B9817" s="0" t="s">
        <v>42</v>
      </c>
      <c r="C9817" s="0" t="str">
        <f aca="false">INDEX(Intent_Analysis!$B$5:$B$81,MATCH(B9817,Intent_Analysis!$A$5:$A$81,0))</f>
        <v>Account &amp; identity</v>
      </c>
      <c r="D9817" s="0" t="n">
        <f aca="false">INDEX(Intent_Analysis!$E$5:$E$81,MATCH(B9817,Intent_Analysis!$A$5:$A$81,0))</f>
        <v>1</v>
      </c>
    </row>
    <row r="9818" customFormat="false" ht="15" hidden="false" customHeight="false" outlineLevel="0" collapsed="false">
      <c r="A9818" s="0" t="s">
        <v>10142</v>
      </c>
      <c r="B9818" s="0" t="s">
        <v>42</v>
      </c>
      <c r="C9818" s="0" t="str">
        <f aca="false">INDEX(Intent_Analysis!$B$5:$B$81,MATCH(B9818,Intent_Analysis!$A$5:$A$81,0))</f>
        <v>Account &amp; identity</v>
      </c>
      <c r="D9818" s="0" t="n">
        <f aca="false">INDEX(Intent_Analysis!$E$5:$E$81,MATCH(B9818,Intent_Analysis!$A$5:$A$81,0))</f>
        <v>1</v>
      </c>
    </row>
    <row r="9819" customFormat="false" ht="15" hidden="false" customHeight="false" outlineLevel="0" collapsed="false">
      <c r="A9819" s="0" t="s">
        <v>10143</v>
      </c>
      <c r="B9819" s="0" t="s">
        <v>42</v>
      </c>
      <c r="C9819" s="0" t="str">
        <f aca="false">INDEX(Intent_Analysis!$B$5:$B$81,MATCH(B9819,Intent_Analysis!$A$5:$A$81,0))</f>
        <v>Account &amp; identity</v>
      </c>
      <c r="D9819" s="0" t="n">
        <f aca="false">INDEX(Intent_Analysis!$E$5:$E$81,MATCH(B9819,Intent_Analysis!$A$5:$A$81,0))</f>
        <v>1</v>
      </c>
    </row>
    <row r="9820" customFormat="false" ht="15" hidden="false" customHeight="false" outlineLevel="0" collapsed="false">
      <c r="A9820" s="0" t="s">
        <v>10144</v>
      </c>
      <c r="B9820" s="0" t="s">
        <v>42</v>
      </c>
      <c r="C9820" s="0" t="str">
        <f aca="false">INDEX(Intent_Analysis!$B$5:$B$81,MATCH(B9820,Intent_Analysis!$A$5:$A$81,0))</f>
        <v>Account &amp; identity</v>
      </c>
      <c r="D9820" s="0" t="n">
        <f aca="false">INDEX(Intent_Analysis!$E$5:$E$81,MATCH(B9820,Intent_Analysis!$A$5:$A$81,0))</f>
        <v>1</v>
      </c>
    </row>
    <row r="9821" customFormat="false" ht="15" hidden="false" customHeight="false" outlineLevel="0" collapsed="false">
      <c r="A9821" s="0" t="s">
        <v>10145</v>
      </c>
      <c r="B9821" s="0" t="s">
        <v>42</v>
      </c>
      <c r="C9821" s="0" t="str">
        <f aca="false">INDEX(Intent_Analysis!$B$5:$B$81,MATCH(B9821,Intent_Analysis!$A$5:$A$81,0))</f>
        <v>Account &amp; identity</v>
      </c>
      <c r="D9821" s="0" t="n">
        <f aca="false">INDEX(Intent_Analysis!$E$5:$E$81,MATCH(B9821,Intent_Analysis!$A$5:$A$81,0))</f>
        <v>1</v>
      </c>
    </row>
    <row r="9822" customFormat="false" ht="15" hidden="false" customHeight="false" outlineLevel="0" collapsed="false">
      <c r="A9822" s="0" t="s">
        <v>10146</v>
      </c>
      <c r="B9822" s="0" t="s">
        <v>42</v>
      </c>
      <c r="C9822" s="0" t="str">
        <f aca="false">INDEX(Intent_Analysis!$B$5:$B$81,MATCH(B9822,Intent_Analysis!$A$5:$A$81,0))</f>
        <v>Account &amp; identity</v>
      </c>
      <c r="D9822" s="0" t="n">
        <f aca="false">INDEX(Intent_Analysis!$E$5:$E$81,MATCH(B9822,Intent_Analysis!$A$5:$A$81,0))</f>
        <v>1</v>
      </c>
    </row>
    <row r="9823" customFormat="false" ht="15" hidden="false" customHeight="false" outlineLevel="0" collapsed="false">
      <c r="A9823" s="0" t="s">
        <v>10147</v>
      </c>
      <c r="B9823" s="0" t="s">
        <v>42</v>
      </c>
      <c r="C9823" s="0" t="str">
        <f aca="false">INDEX(Intent_Analysis!$B$5:$B$81,MATCH(B9823,Intent_Analysis!$A$5:$A$81,0))</f>
        <v>Account &amp; identity</v>
      </c>
      <c r="D9823" s="0" t="n">
        <f aca="false">INDEX(Intent_Analysis!$E$5:$E$81,MATCH(B9823,Intent_Analysis!$A$5:$A$81,0))</f>
        <v>1</v>
      </c>
    </row>
    <row r="9824" customFormat="false" ht="15" hidden="false" customHeight="false" outlineLevel="0" collapsed="false">
      <c r="A9824" s="0" t="s">
        <v>10148</v>
      </c>
      <c r="B9824" s="0" t="s">
        <v>42</v>
      </c>
      <c r="C9824" s="0" t="str">
        <f aca="false">INDEX(Intent_Analysis!$B$5:$B$81,MATCH(B9824,Intent_Analysis!$A$5:$A$81,0))</f>
        <v>Account &amp; identity</v>
      </c>
      <c r="D9824" s="0" t="n">
        <f aca="false">INDEX(Intent_Analysis!$E$5:$E$81,MATCH(B9824,Intent_Analysis!$A$5:$A$81,0))</f>
        <v>1</v>
      </c>
    </row>
    <row r="9825" customFormat="false" ht="15" hidden="false" customHeight="false" outlineLevel="0" collapsed="false">
      <c r="A9825" s="0" t="s">
        <v>10149</v>
      </c>
      <c r="B9825" s="0" t="s">
        <v>42</v>
      </c>
      <c r="C9825" s="0" t="str">
        <f aca="false">INDEX(Intent_Analysis!$B$5:$B$81,MATCH(B9825,Intent_Analysis!$A$5:$A$81,0))</f>
        <v>Account &amp; identity</v>
      </c>
      <c r="D9825" s="0" t="n">
        <f aca="false">INDEX(Intent_Analysis!$E$5:$E$81,MATCH(B9825,Intent_Analysis!$A$5:$A$81,0))</f>
        <v>1</v>
      </c>
    </row>
    <row r="9826" customFormat="false" ht="15" hidden="false" customHeight="false" outlineLevel="0" collapsed="false">
      <c r="A9826" s="0" t="s">
        <v>10150</v>
      </c>
      <c r="B9826" s="0" t="s">
        <v>42</v>
      </c>
      <c r="C9826" s="0" t="str">
        <f aca="false">INDEX(Intent_Analysis!$B$5:$B$81,MATCH(B9826,Intent_Analysis!$A$5:$A$81,0))</f>
        <v>Account &amp; identity</v>
      </c>
      <c r="D9826" s="0" t="n">
        <f aca="false">INDEX(Intent_Analysis!$E$5:$E$81,MATCH(B9826,Intent_Analysis!$A$5:$A$81,0))</f>
        <v>1</v>
      </c>
    </row>
    <row r="9827" customFormat="false" ht="15" hidden="false" customHeight="false" outlineLevel="0" collapsed="false">
      <c r="A9827" s="0" t="s">
        <v>10151</v>
      </c>
      <c r="B9827" s="0" t="s">
        <v>42</v>
      </c>
      <c r="C9827" s="0" t="str">
        <f aca="false">INDEX(Intent_Analysis!$B$5:$B$81,MATCH(B9827,Intent_Analysis!$A$5:$A$81,0))</f>
        <v>Account &amp; identity</v>
      </c>
      <c r="D9827" s="0" t="n">
        <f aca="false">INDEX(Intent_Analysis!$E$5:$E$81,MATCH(B9827,Intent_Analysis!$A$5:$A$81,0))</f>
        <v>1</v>
      </c>
    </row>
    <row r="9828" customFormat="false" ht="15" hidden="false" customHeight="false" outlineLevel="0" collapsed="false">
      <c r="A9828" s="0" t="s">
        <v>10152</v>
      </c>
      <c r="B9828" s="0" t="s">
        <v>42</v>
      </c>
      <c r="C9828" s="0" t="str">
        <f aca="false">INDEX(Intent_Analysis!$B$5:$B$81,MATCH(B9828,Intent_Analysis!$A$5:$A$81,0))</f>
        <v>Account &amp; identity</v>
      </c>
      <c r="D9828" s="0" t="n">
        <f aca="false">INDEX(Intent_Analysis!$E$5:$E$81,MATCH(B9828,Intent_Analysis!$A$5:$A$81,0))</f>
        <v>1</v>
      </c>
    </row>
    <row r="9829" customFormat="false" ht="15" hidden="false" customHeight="false" outlineLevel="0" collapsed="false">
      <c r="A9829" s="0" t="s">
        <v>10153</v>
      </c>
      <c r="B9829" s="0" t="s">
        <v>42</v>
      </c>
      <c r="C9829" s="0" t="str">
        <f aca="false">INDEX(Intent_Analysis!$B$5:$B$81,MATCH(B9829,Intent_Analysis!$A$5:$A$81,0))</f>
        <v>Account &amp; identity</v>
      </c>
      <c r="D9829" s="0" t="n">
        <f aca="false">INDEX(Intent_Analysis!$E$5:$E$81,MATCH(B9829,Intent_Analysis!$A$5:$A$81,0))</f>
        <v>1</v>
      </c>
    </row>
    <row r="9830" customFormat="false" ht="15" hidden="false" customHeight="false" outlineLevel="0" collapsed="false">
      <c r="A9830" s="0" t="s">
        <v>10154</v>
      </c>
      <c r="B9830" s="0" t="s">
        <v>42</v>
      </c>
      <c r="C9830" s="0" t="str">
        <f aca="false">INDEX(Intent_Analysis!$B$5:$B$81,MATCH(B9830,Intent_Analysis!$A$5:$A$81,0))</f>
        <v>Account &amp; identity</v>
      </c>
      <c r="D9830" s="0" t="n">
        <f aca="false">INDEX(Intent_Analysis!$E$5:$E$81,MATCH(B9830,Intent_Analysis!$A$5:$A$81,0))</f>
        <v>1</v>
      </c>
    </row>
    <row r="9831" customFormat="false" ht="15" hidden="false" customHeight="false" outlineLevel="0" collapsed="false">
      <c r="A9831" s="0" t="s">
        <v>10155</v>
      </c>
      <c r="B9831" s="0" t="s">
        <v>42</v>
      </c>
      <c r="C9831" s="0" t="str">
        <f aca="false">INDEX(Intent_Analysis!$B$5:$B$81,MATCH(B9831,Intent_Analysis!$A$5:$A$81,0))</f>
        <v>Account &amp; identity</v>
      </c>
      <c r="D9831" s="0" t="n">
        <f aca="false">INDEX(Intent_Analysis!$E$5:$E$81,MATCH(B9831,Intent_Analysis!$A$5:$A$81,0))</f>
        <v>1</v>
      </c>
    </row>
    <row r="9832" customFormat="false" ht="15" hidden="false" customHeight="false" outlineLevel="0" collapsed="false">
      <c r="A9832" s="0" t="s">
        <v>10156</v>
      </c>
      <c r="B9832" s="0" t="s">
        <v>42</v>
      </c>
      <c r="C9832" s="0" t="str">
        <f aca="false">INDEX(Intent_Analysis!$B$5:$B$81,MATCH(B9832,Intent_Analysis!$A$5:$A$81,0))</f>
        <v>Account &amp; identity</v>
      </c>
      <c r="D9832" s="0" t="n">
        <f aca="false">INDEX(Intent_Analysis!$E$5:$E$81,MATCH(B9832,Intent_Analysis!$A$5:$A$81,0))</f>
        <v>1</v>
      </c>
    </row>
    <row r="9833" customFormat="false" ht="15" hidden="false" customHeight="false" outlineLevel="0" collapsed="false">
      <c r="A9833" s="0" t="s">
        <v>10157</v>
      </c>
      <c r="B9833" s="0" t="s">
        <v>42</v>
      </c>
      <c r="C9833" s="0" t="str">
        <f aca="false">INDEX(Intent_Analysis!$B$5:$B$81,MATCH(B9833,Intent_Analysis!$A$5:$A$81,0))</f>
        <v>Account &amp; identity</v>
      </c>
      <c r="D9833" s="0" t="n">
        <f aca="false">INDEX(Intent_Analysis!$E$5:$E$81,MATCH(B9833,Intent_Analysis!$A$5:$A$81,0))</f>
        <v>1</v>
      </c>
    </row>
    <row r="9834" customFormat="false" ht="15" hidden="false" customHeight="false" outlineLevel="0" collapsed="false">
      <c r="A9834" s="0" t="s">
        <v>10158</v>
      </c>
      <c r="B9834" s="0" t="s">
        <v>42</v>
      </c>
      <c r="C9834" s="0" t="str">
        <f aca="false">INDEX(Intent_Analysis!$B$5:$B$81,MATCH(B9834,Intent_Analysis!$A$5:$A$81,0))</f>
        <v>Account &amp; identity</v>
      </c>
      <c r="D9834" s="0" t="n">
        <f aca="false">INDEX(Intent_Analysis!$E$5:$E$81,MATCH(B9834,Intent_Analysis!$A$5:$A$81,0))</f>
        <v>1</v>
      </c>
    </row>
    <row r="9835" customFormat="false" ht="15" hidden="false" customHeight="false" outlineLevel="0" collapsed="false">
      <c r="A9835" s="0" t="s">
        <v>10159</v>
      </c>
      <c r="B9835" s="0" t="s">
        <v>42</v>
      </c>
      <c r="C9835" s="0" t="str">
        <f aca="false">INDEX(Intent_Analysis!$B$5:$B$81,MATCH(B9835,Intent_Analysis!$A$5:$A$81,0))</f>
        <v>Account &amp; identity</v>
      </c>
      <c r="D9835" s="0" t="n">
        <f aca="false">INDEX(Intent_Analysis!$E$5:$E$81,MATCH(B9835,Intent_Analysis!$A$5:$A$81,0))</f>
        <v>1</v>
      </c>
    </row>
    <row r="9836" customFormat="false" ht="15" hidden="false" customHeight="false" outlineLevel="0" collapsed="false">
      <c r="A9836" s="0" t="s">
        <v>10160</v>
      </c>
      <c r="B9836" s="0" t="s">
        <v>42</v>
      </c>
      <c r="C9836" s="0" t="str">
        <f aca="false">INDEX(Intent_Analysis!$B$5:$B$81,MATCH(B9836,Intent_Analysis!$A$5:$A$81,0))</f>
        <v>Account &amp; identity</v>
      </c>
      <c r="D9836" s="0" t="n">
        <f aca="false">INDEX(Intent_Analysis!$E$5:$E$81,MATCH(B9836,Intent_Analysis!$A$5:$A$81,0))</f>
        <v>1</v>
      </c>
    </row>
    <row r="9837" customFormat="false" ht="15" hidden="false" customHeight="false" outlineLevel="0" collapsed="false">
      <c r="A9837" s="0" t="s">
        <v>10161</v>
      </c>
      <c r="B9837" s="0" t="s">
        <v>42</v>
      </c>
      <c r="C9837" s="0" t="str">
        <f aca="false">INDEX(Intent_Analysis!$B$5:$B$81,MATCH(B9837,Intent_Analysis!$A$5:$A$81,0))</f>
        <v>Account &amp; identity</v>
      </c>
      <c r="D9837" s="0" t="n">
        <f aca="false">INDEX(Intent_Analysis!$E$5:$E$81,MATCH(B9837,Intent_Analysis!$A$5:$A$81,0))</f>
        <v>1</v>
      </c>
    </row>
    <row r="9838" customFormat="false" ht="15" hidden="false" customHeight="false" outlineLevel="0" collapsed="false">
      <c r="A9838" s="0" t="s">
        <v>10162</v>
      </c>
      <c r="B9838" s="0" t="s">
        <v>42</v>
      </c>
      <c r="C9838" s="0" t="str">
        <f aca="false">INDEX(Intent_Analysis!$B$5:$B$81,MATCH(B9838,Intent_Analysis!$A$5:$A$81,0))</f>
        <v>Account &amp; identity</v>
      </c>
      <c r="D9838" s="0" t="n">
        <f aca="false">INDEX(Intent_Analysis!$E$5:$E$81,MATCH(B9838,Intent_Analysis!$A$5:$A$81,0))</f>
        <v>1</v>
      </c>
    </row>
    <row r="9839" customFormat="false" ht="15" hidden="false" customHeight="false" outlineLevel="0" collapsed="false">
      <c r="A9839" s="0" t="s">
        <v>10163</v>
      </c>
      <c r="B9839" s="0" t="s">
        <v>42</v>
      </c>
      <c r="C9839" s="0" t="str">
        <f aca="false">INDEX(Intent_Analysis!$B$5:$B$81,MATCH(B9839,Intent_Analysis!$A$5:$A$81,0))</f>
        <v>Account &amp; identity</v>
      </c>
      <c r="D9839" s="0" t="n">
        <f aca="false">INDEX(Intent_Analysis!$E$5:$E$81,MATCH(B9839,Intent_Analysis!$A$5:$A$81,0))</f>
        <v>1</v>
      </c>
    </row>
    <row r="9840" customFormat="false" ht="15" hidden="false" customHeight="false" outlineLevel="0" collapsed="false">
      <c r="A9840" s="0" t="s">
        <v>10164</v>
      </c>
      <c r="B9840" s="0" t="s">
        <v>42</v>
      </c>
      <c r="C9840" s="0" t="str">
        <f aca="false">INDEX(Intent_Analysis!$B$5:$B$81,MATCH(B9840,Intent_Analysis!$A$5:$A$81,0))</f>
        <v>Account &amp; identity</v>
      </c>
      <c r="D9840" s="0" t="n">
        <f aca="false">INDEX(Intent_Analysis!$E$5:$E$81,MATCH(B9840,Intent_Analysis!$A$5:$A$81,0))</f>
        <v>1</v>
      </c>
    </row>
    <row r="9841" customFormat="false" ht="15" hidden="false" customHeight="false" outlineLevel="0" collapsed="false">
      <c r="A9841" s="0" t="s">
        <v>10165</v>
      </c>
      <c r="B9841" s="0" t="s">
        <v>42</v>
      </c>
      <c r="C9841" s="0" t="str">
        <f aca="false">INDEX(Intent_Analysis!$B$5:$B$81,MATCH(B9841,Intent_Analysis!$A$5:$A$81,0))</f>
        <v>Account &amp; identity</v>
      </c>
      <c r="D9841" s="0" t="n">
        <f aca="false">INDEX(Intent_Analysis!$E$5:$E$81,MATCH(B9841,Intent_Analysis!$A$5:$A$81,0))</f>
        <v>1</v>
      </c>
    </row>
    <row r="9842" customFormat="false" ht="15" hidden="false" customHeight="false" outlineLevel="0" collapsed="false">
      <c r="A9842" s="0" t="s">
        <v>10166</v>
      </c>
      <c r="B9842" s="0" t="s">
        <v>42</v>
      </c>
      <c r="C9842" s="0" t="str">
        <f aca="false">INDEX(Intent_Analysis!$B$5:$B$81,MATCH(B9842,Intent_Analysis!$A$5:$A$81,0))</f>
        <v>Account &amp; identity</v>
      </c>
      <c r="D9842" s="0" t="n">
        <f aca="false">INDEX(Intent_Analysis!$E$5:$E$81,MATCH(B9842,Intent_Analysis!$A$5:$A$81,0))</f>
        <v>1</v>
      </c>
    </row>
    <row r="9843" customFormat="false" ht="15" hidden="false" customHeight="false" outlineLevel="0" collapsed="false">
      <c r="A9843" s="0" t="s">
        <v>10167</v>
      </c>
      <c r="B9843" s="0" t="s">
        <v>42</v>
      </c>
      <c r="C9843" s="0" t="str">
        <f aca="false">INDEX(Intent_Analysis!$B$5:$B$81,MATCH(B9843,Intent_Analysis!$A$5:$A$81,0))</f>
        <v>Account &amp; identity</v>
      </c>
      <c r="D9843" s="0" t="n">
        <f aca="false">INDEX(Intent_Analysis!$E$5:$E$81,MATCH(B9843,Intent_Analysis!$A$5:$A$81,0))</f>
        <v>1</v>
      </c>
    </row>
    <row r="9844" customFormat="false" ht="15" hidden="false" customHeight="false" outlineLevel="0" collapsed="false">
      <c r="A9844" s="0" t="s">
        <v>10168</v>
      </c>
      <c r="B9844" s="0" t="s">
        <v>42</v>
      </c>
      <c r="C9844" s="0" t="str">
        <f aca="false">INDEX(Intent_Analysis!$B$5:$B$81,MATCH(B9844,Intent_Analysis!$A$5:$A$81,0))</f>
        <v>Account &amp; identity</v>
      </c>
      <c r="D9844" s="0" t="n">
        <f aca="false">INDEX(Intent_Analysis!$E$5:$E$81,MATCH(B9844,Intent_Analysis!$A$5:$A$81,0))</f>
        <v>1</v>
      </c>
    </row>
    <row r="9845" customFormat="false" ht="15" hidden="false" customHeight="false" outlineLevel="0" collapsed="false">
      <c r="A9845" s="0" t="s">
        <v>10169</v>
      </c>
      <c r="B9845" s="0" t="s">
        <v>42</v>
      </c>
      <c r="C9845" s="0" t="str">
        <f aca="false">INDEX(Intent_Analysis!$B$5:$B$81,MATCH(B9845,Intent_Analysis!$A$5:$A$81,0))</f>
        <v>Account &amp; identity</v>
      </c>
      <c r="D9845" s="0" t="n">
        <f aca="false">INDEX(Intent_Analysis!$E$5:$E$81,MATCH(B9845,Intent_Analysis!$A$5:$A$81,0))</f>
        <v>1</v>
      </c>
    </row>
    <row r="9846" customFormat="false" ht="15" hidden="false" customHeight="false" outlineLevel="0" collapsed="false">
      <c r="A9846" s="0" t="s">
        <v>10170</v>
      </c>
      <c r="B9846" s="0" t="s">
        <v>42</v>
      </c>
      <c r="C9846" s="0" t="str">
        <f aca="false">INDEX(Intent_Analysis!$B$5:$B$81,MATCH(B9846,Intent_Analysis!$A$5:$A$81,0))</f>
        <v>Account &amp; identity</v>
      </c>
      <c r="D9846" s="0" t="n">
        <f aca="false">INDEX(Intent_Analysis!$E$5:$E$81,MATCH(B9846,Intent_Analysis!$A$5:$A$81,0))</f>
        <v>1</v>
      </c>
    </row>
    <row r="9847" customFormat="false" ht="15" hidden="false" customHeight="false" outlineLevel="0" collapsed="false">
      <c r="A9847" s="0" t="s">
        <v>10171</v>
      </c>
      <c r="B9847" s="0" t="s">
        <v>42</v>
      </c>
      <c r="C9847" s="0" t="str">
        <f aca="false">INDEX(Intent_Analysis!$B$5:$B$81,MATCH(B9847,Intent_Analysis!$A$5:$A$81,0))</f>
        <v>Account &amp; identity</v>
      </c>
      <c r="D9847" s="0" t="n">
        <f aca="false">INDEX(Intent_Analysis!$E$5:$E$81,MATCH(B9847,Intent_Analysis!$A$5:$A$81,0))</f>
        <v>1</v>
      </c>
    </row>
    <row r="9848" customFormat="false" ht="15" hidden="false" customHeight="false" outlineLevel="0" collapsed="false">
      <c r="A9848" s="0" t="s">
        <v>10172</v>
      </c>
      <c r="B9848" s="0" t="s">
        <v>42</v>
      </c>
      <c r="C9848" s="0" t="str">
        <f aca="false">INDEX(Intent_Analysis!$B$5:$B$81,MATCH(B9848,Intent_Analysis!$A$5:$A$81,0))</f>
        <v>Account &amp; identity</v>
      </c>
      <c r="D9848" s="0" t="n">
        <f aca="false">INDEX(Intent_Analysis!$E$5:$E$81,MATCH(B9848,Intent_Analysis!$A$5:$A$81,0))</f>
        <v>1</v>
      </c>
    </row>
    <row r="9849" customFormat="false" ht="15" hidden="false" customHeight="false" outlineLevel="0" collapsed="false">
      <c r="A9849" s="0" t="s">
        <v>10173</v>
      </c>
      <c r="B9849" s="0" t="s">
        <v>42</v>
      </c>
      <c r="C9849" s="0" t="str">
        <f aca="false">INDEX(Intent_Analysis!$B$5:$B$81,MATCH(B9849,Intent_Analysis!$A$5:$A$81,0))</f>
        <v>Account &amp; identity</v>
      </c>
      <c r="D9849" s="0" t="n">
        <f aca="false">INDEX(Intent_Analysis!$E$5:$E$81,MATCH(B9849,Intent_Analysis!$A$5:$A$81,0))</f>
        <v>1</v>
      </c>
    </row>
    <row r="9850" customFormat="false" ht="15" hidden="false" customHeight="false" outlineLevel="0" collapsed="false">
      <c r="A9850" s="0" t="s">
        <v>10174</v>
      </c>
      <c r="B9850" s="0" t="s">
        <v>42</v>
      </c>
      <c r="C9850" s="0" t="str">
        <f aca="false">INDEX(Intent_Analysis!$B$5:$B$81,MATCH(B9850,Intent_Analysis!$A$5:$A$81,0))</f>
        <v>Account &amp; identity</v>
      </c>
      <c r="D9850" s="0" t="n">
        <f aca="false">INDEX(Intent_Analysis!$E$5:$E$81,MATCH(B9850,Intent_Analysis!$A$5:$A$81,0))</f>
        <v>1</v>
      </c>
    </row>
    <row r="9851" customFormat="false" ht="15" hidden="false" customHeight="false" outlineLevel="0" collapsed="false">
      <c r="A9851" s="0" t="s">
        <v>10175</v>
      </c>
      <c r="B9851" s="0" t="s">
        <v>42</v>
      </c>
      <c r="C9851" s="0" t="str">
        <f aca="false">INDEX(Intent_Analysis!$B$5:$B$81,MATCH(B9851,Intent_Analysis!$A$5:$A$81,0))</f>
        <v>Account &amp; identity</v>
      </c>
      <c r="D9851" s="0" t="n">
        <f aca="false">INDEX(Intent_Analysis!$E$5:$E$81,MATCH(B9851,Intent_Analysis!$A$5:$A$81,0))</f>
        <v>1</v>
      </c>
    </row>
    <row r="9852" customFormat="false" ht="15" hidden="false" customHeight="false" outlineLevel="0" collapsed="false">
      <c r="A9852" s="0" t="s">
        <v>10176</v>
      </c>
      <c r="B9852" s="0" t="s">
        <v>42</v>
      </c>
      <c r="C9852" s="0" t="str">
        <f aca="false">INDEX(Intent_Analysis!$B$5:$B$81,MATCH(B9852,Intent_Analysis!$A$5:$A$81,0))</f>
        <v>Account &amp; identity</v>
      </c>
      <c r="D9852" s="0" t="n">
        <f aca="false">INDEX(Intent_Analysis!$E$5:$E$81,MATCH(B9852,Intent_Analysis!$A$5:$A$81,0))</f>
        <v>1</v>
      </c>
    </row>
    <row r="9853" customFormat="false" ht="15" hidden="false" customHeight="false" outlineLevel="0" collapsed="false">
      <c r="A9853" s="0" t="s">
        <v>10177</v>
      </c>
      <c r="B9853" s="0" t="s">
        <v>42</v>
      </c>
      <c r="C9853" s="0" t="str">
        <f aca="false">INDEX(Intent_Analysis!$B$5:$B$81,MATCH(B9853,Intent_Analysis!$A$5:$A$81,0))</f>
        <v>Account &amp; identity</v>
      </c>
      <c r="D9853" s="0" t="n">
        <f aca="false">INDEX(Intent_Analysis!$E$5:$E$81,MATCH(B9853,Intent_Analysis!$A$5:$A$81,0))</f>
        <v>1</v>
      </c>
    </row>
    <row r="9854" customFormat="false" ht="15" hidden="false" customHeight="false" outlineLevel="0" collapsed="false">
      <c r="A9854" s="0" t="s">
        <v>10178</v>
      </c>
      <c r="B9854" s="0" t="s">
        <v>42</v>
      </c>
      <c r="C9854" s="0" t="str">
        <f aca="false">INDEX(Intent_Analysis!$B$5:$B$81,MATCH(B9854,Intent_Analysis!$A$5:$A$81,0))</f>
        <v>Account &amp; identity</v>
      </c>
      <c r="D9854" s="0" t="n">
        <f aca="false">INDEX(Intent_Analysis!$E$5:$E$81,MATCH(B9854,Intent_Analysis!$A$5:$A$81,0))</f>
        <v>1</v>
      </c>
    </row>
    <row r="9855" customFormat="false" ht="15" hidden="false" customHeight="false" outlineLevel="0" collapsed="false">
      <c r="A9855" s="0" t="s">
        <v>10179</v>
      </c>
      <c r="B9855" s="0" t="s">
        <v>42</v>
      </c>
      <c r="C9855" s="0" t="str">
        <f aca="false">INDEX(Intent_Analysis!$B$5:$B$81,MATCH(B9855,Intent_Analysis!$A$5:$A$81,0))</f>
        <v>Account &amp; identity</v>
      </c>
      <c r="D9855" s="0" t="n">
        <f aca="false">INDEX(Intent_Analysis!$E$5:$E$81,MATCH(B9855,Intent_Analysis!$A$5:$A$81,0))</f>
        <v>1</v>
      </c>
    </row>
    <row r="9856" customFormat="false" ht="15" hidden="false" customHeight="false" outlineLevel="0" collapsed="false">
      <c r="A9856" s="0" t="s">
        <v>10180</v>
      </c>
      <c r="B9856" s="0" t="s">
        <v>42</v>
      </c>
      <c r="C9856" s="0" t="str">
        <f aca="false">INDEX(Intent_Analysis!$B$5:$B$81,MATCH(B9856,Intent_Analysis!$A$5:$A$81,0))</f>
        <v>Account &amp; identity</v>
      </c>
      <c r="D9856" s="0" t="n">
        <f aca="false">INDEX(Intent_Analysis!$E$5:$E$81,MATCH(B9856,Intent_Analysis!$A$5:$A$81,0))</f>
        <v>1</v>
      </c>
    </row>
    <row r="9857" customFormat="false" ht="15" hidden="false" customHeight="false" outlineLevel="0" collapsed="false">
      <c r="A9857" s="0" t="s">
        <v>10181</v>
      </c>
      <c r="B9857" s="0" t="s">
        <v>42</v>
      </c>
      <c r="C9857" s="0" t="str">
        <f aca="false">INDEX(Intent_Analysis!$B$5:$B$81,MATCH(B9857,Intent_Analysis!$A$5:$A$81,0))</f>
        <v>Account &amp; identity</v>
      </c>
      <c r="D9857" s="0" t="n">
        <f aca="false">INDEX(Intent_Analysis!$E$5:$E$81,MATCH(B9857,Intent_Analysis!$A$5:$A$81,0))</f>
        <v>1</v>
      </c>
    </row>
    <row r="9858" customFormat="false" ht="15" hidden="false" customHeight="false" outlineLevel="0" collapsed="false">
      <c r="A9858" s="0" t="s">
        <v>10182</v>
      </c>
      <c r="B9858" s="0" t="s">
        <v>42</v>
      </c>
      <c r="C9858" s="0" t="str">
        <f aca="false">INDEX(Intent_Analysis!$B$5:$B$81,MATCH(B9858,Intent_Analysis!$A$5:$A$81,0))</f>
        <v>Account &amp; identity</v>
      </c>
      <c r="D9858" s="0" t="n">
        <f aca="false">INDEX(Intent_Analysis!$E$5:$E$81,MATCH(B9858,Intent_Analysis!$A$5:$A$81,0))</f>
        <v>1</v>
      </c>
    </row>
    <row r="9859" customFormat="false" ht="15" hidden="false" customHeight="false" outlineLevel="0" collapsed="false">
      <c r="A9859" s="0" t="s">
        <v>10183</v>
      </c>
      <c r="B9859" s="0" t="s">
        <v>42</v>
      </c>
      <c r="C9859" s="0" t="str">
        <f aca="false">INDEX(Intent_Analysis!$B$5:$B$81,MATCH(B9859,Intent_Analysis!$A$5:$A$81,0))</f>
        <v>Account &amp; identity</v>
      </c>
      <c r="D9859" s="0" t="n">
        <f aca="false">INDEX(Intent_Analysis!$E$5:$E$81,MATCH(B9859,Intent_Analysis!$A$5:$A$81,0))</f>
        <v>1</v>
      </c>
    </row>
    <row r="9860" customFormat="false" ht="15" hidden="false" customHeight="false" outlineLevel="0" collapsed="false">
      <c r="A9860" s="0" t="s">
        <v>10184</v>
      </c>
      <c r="B9860" s="0" t="s">
        <v>42</v>
      </c>
      <c r="C9860" s="0" t="str">
        <f aca="false">INDEX(Intent_Analysis!$B$5:$B$81,MATCH(B9860,Intent_Analysis!$A$5:$A$81,0))</f>
        <v>Account &amp; identity</v>
      </c>
      <c r="D9860" s="0" t="n">
        <f aca="false">INDEX(Intent_Analysis!$E$5:$E$81,MATCH(B9860,Intent_Analysis!$A$5:$A$81,0))</f>
        <v>1</v>
      </c>
    </row>
    <row r="9861" customFormat="false" ht="15" hidden="false" customHeight="false" outlineLevel="0" collapsed="false">
      <c r="A9861" s="0" t="s">
        <v>10185</v>
      </c>
      <c r="B9861" s="0" t="s">
        <v>42</v>
      </c>
      <c r="C9861" s="0" t="str">
        <f aca="false">INDEX(Intent_Analysis!$B$5:$B$81,MATCH(B9861,Intent_Analysis!$A$5:$A$81,0))</f>
        <v>Account &amp; identity</v>
      </c>
      <c r="D9861" s="0" t="n">
        <f aca="false">INDEX(Intent_Analysis!$E$5:$E$81,MATCH(B9861,Intent_Analysis!$A$5:$A$81,0))</f>
        <v>1</v>
      </c>
    </row>
    <row r="9862" customFormat="false" ht="15" hidden="false" customHeight="false" outlineLevel="0" collapsed="false">
      <c r="A9862" s="0" t="s">
        <v>10186</v>
      </c>
      <c r="B9862" s="0" t="s">
        <v>42</v>
      </c>
      <c r="C9862" s="0" t="str">
        <f aca="false">INDEX(Intent_Analysis!$B$5:$B$81,MATCH(B9862,Intent_Analysis!$A$5:$A$81,0))</f>
        <v>Account &amp; identity</v>
      </c>
      <c r="D9862" s="0" t="n">
        <f aca="false">INDEX(Intent_Analysis!$E$5:$E$81,MATCH(B9862,Intent_Analysis!$A$5:$A$81,0))</f>
        <v>1</v>
      </c>
    </row>
    <row r="9863" customFormat="false" ht="15" hidden="false" customHeight="false" outlineLevel="0" collapsed="false">
      <c r="A9863" s="0" t="s">
        <v>10187</v>
      </c>
      <c r="B9863" s="0" t="s">
        <v>42</v>
      </c>
      <c r="C9863" s="0" t="str">
        <f aca="false">INDEX(Intent_Analysis!$B$5:$B$81,MATCH(B9863,Intent_Analysis!$A$5:$A$81,0))</f>
        <v>Account &amp; identity</v>
      </c>
      <c r="D9863" s="0" t="n">
        <f aca="false">INDEX(Intent_Analysis!$E$5:$E$81,MATCH(B9863,Intent_Analysis!$A$5:$A$81,0))</f>
        <v>1</v>
      </c>
    </row>
    <row r="9864" customFormat="false" ht="15" hidden="false" customHeight="false" outlineLevel="0" collapsed="false">
      <c r="A9864" s="0" t="s">
        <v>10188</v>
      </c>
      <c r="B9864" s="0" t="s">
        <v>42</v>
      </c>
      <c r="C9864" s="0" t="str">
        <f aca="false">INDEX(Intent_Analysis!$B$5:$B$81,MATCH(B9864,Intent_Analysis!$A$5:$A$81,0))</f>
        <v>Account &amp; identity</v>
      </c>
      <c r="D9864" s="0" t="n">
        <f aca="false">INDEX(Intent_Analysis!$E$5:$E$81,MATCH(B9864,Intent_Analysis!$A$5:$A$81,0))</f>
        <v>1</v>
      </c>
    </row>
    <row r="9865" customFormat="false" ht="15" hidden="false" customHeight="false" outlineLevel="0" collapsed="false">
      <c r="A9865" s="0" t="s">
        <v>10189</v>
      </c>
      <c r="B9865" s="0" t="s">
        <v>42</v>
      </c>
      <c r="C9865" s="0" t="str">
        <f aca="false">INDEX(Intent_Analysis!$B$5:$B$81,MATCH(B9865,Intent_Analysis!$A$5:$A$81,0))</f>
        <v>Account &amp; identity</v>
      </c>
      <c r="D9865" s="0" t="n">
        <f aca="false">INDEX(Intent_Analysis!$E$5:$E$81,MATCH(B9865,Intent_Analysis!$A$5:$A$81,0))</f>
        <v>1</v>
      </c>
    </row>
    <row r="9866" customFormat="false" ht="15" hidden="false" customHeight="false" outlineLevel="0" collapsed="false">
      <c r="A9866" s="0" t="s">
        <v>10190</v>
      </c>
      <c r="B9866" s="0" t="s">
        <v>42</v>
      </c>
      <c r="C9866" s="0" t="str">
        <f aca="false">INDEX(Intent_Analysis!$B$5:$B$81,MATCH(B9866,Intent_Analysis!$A$5:$A$81,0))</f>
        <v>Account &amp; identity</v>
      </c>
      <c r="D9866" s="0" t="n">
        <f aca="false">INDEX(Intent_Analysis!$E$5:$E$81,MATCH(B9866,Intent_Analysis!$A$5:$A$81,0))</f>
        <v>1</v>
      </c>
    </row>
    <row r="9867" customFormat="false" ht="15" hidden="false" customHeight="false" outlineLevel="0" collapsed="false">
      <c r="A9867" s="0" t="s">
        <v>10191</v>
      </c>
      <c r="B9867" s="0" t="s">
        <v>42</v>
      </c>
      <c r="C9867" s="0" t="str">
        <f aca="false">INDEX(Intent_Analysis!$B$5:$B$81,MATCH(B9867,Intent_Analysis!$A$5:$A$81,0))</f>
        <v>Account &amp; identity</v>
      </c>
      <c r="D9867" s="0" t="n">
        <f aca="false">INDEX(Intent_Analysis!$E$5:$E$81,MATCH(B9867,Intent_Analysis!$A$5:$A$81,0))</f>
        <v>1</v>
      </c>
    </row>
    <row r="9868" customFormat="false" ht="15" hidden="false" customHeight="false" outlineLevel="0" collapsed="false">
      <c r="A9868" s="0" t="s">
        <v>10192</v>
      </c>
      <c r="B9868" s="0" t="s">
        <v>42</v>
      </c>
      <c r="C9868" s="0" t="str">
        <f aca="false">INDEX(Intent_Analysis!$B$5:$B$81,MATCH(B9868,Intent_Analysis!$A$5:$A$81,0))</f>
        <v>Account &amp; identity</v>
      </c>
      <c r="D9868" s="0" t="n">
        <f aca="false">INDEX(Intent_Analysis!$E$5:$E$81,MATCH(B9868,Intent_Analysis!$A$5:$A$81,0))</f>
        <v>1</v>
      </c>
    </row>
    <row r="9869" customFormat="false" ht="15" hidden="false" customHeight="false" outlineLevel="0" collapsed="false">
      <c r="A9869" s="0" t="s">
        <v>10193</v>
      </c>
      <c r="B9869" s="0" t="s">
        <v>42</v>
      </c>
      <c r="C9869" s="0" t="str">
        <f aca="false">INDEX(Intent_Analysis!$B$5:$B$81,MATCH(B9869,Intent_Analysis!$A$5:$A$81,0))</f>
        <v>Account &amp; identity</v>
      </c>
      <c r="D9869" s="0" t="n">
        <f aca="false">INDEX(Intent_Analysis!$E$5:$E$81,MATCH(B9869,Intent_Analysis!$A$5:$A$81,0))</f>
        <v>1</v>
      </c>
    </row>
    <row r="9870" customFormat="false" ht="15" hidden="false" customHeight="false" outlineLevel="0" collapsed="false">
      <c r="A9870" s="0" t="s">
        <v>10194</v>
      </c>
      <c r="B9870" s="0" t="s">
        <v>42</v>
      </c>
      <c r="C9870" s="0" t="str">
        <f aca="false">INDEX(Intent_Analysis!$B$5:$B$81,MATCH(B9870,Intent_Analysis!$A$5:$A$81,0))</f>
        <v>Account &amp; identity</v>
      </c>
      <c r="D9870" s="0" t="n">
        <f aca="false">INDEX(Intent_Analysis!$E$5:$E$81,MATCH(B9870,Intent_Analysis!$A$5:$A$81,0))</f>
        <v>1</v>
      </c>
    </row>
    <row r="9871" customFormat="false" ht="15" hidden="false" customHeight="false" outlineLevel="0" collapsed="false">
      <c r="A9871" s="0" t="s">
        <v>10195</v>
      </c>
      <c r="B9871" s="0" t="s">
        <v>42</v>
      </c>
      <c r="C9871" s="0" t="str">
        <f aca="false">INDEX(Intent_Analysis!$B$5:$B$81,MATCH(B9871,Intent_Analysis!$A$5:$A$81,0))</f>
        <v>Account &amp; identity</v>
      </c>
      <c r="D9871" s="0" t="n">
        <f aca="false">INDEX(Intent_Analysis!$E$5:$E$81,MATCH(B9871,Intent_Analysis!$A$5:$A$81,0))</f>
        <v>1</v>
      </c>
    </row>
    <row r="9872" customFormat="false" ht="15" hidden="false" customHeight="false" outlineLevel="0" collapsed="false">
      <c r="A9872" s="0" t="s">
        <v>10196</v>
      </c>
      <c r="B9872" s="0" t="s">
        <v>42</v>
      </c>
      <c r="C9872" s="0" t="str">
        <f aca="false">INDEX(Intent_Analysis!$B$5:$B$81,MATCH(B9872,Intent_Analysis!$A$5:$A$81,0))</f>
        <v>Account &amp; identity</v>
      </c>
      <c r="D9872" s="0" t="n">
        <f aca="false">INDEX(Intent_Analysis!$E$5:$E$81,MATCH(B9872,Intent_Analysis!$A$5:$A$81,0))</f>
        <v>1</v>
      </c>
    </row>
    <row r="9873" customFormat="false" ht="15" hidden="false" customHeight="false" outlineLevel="0" collapsed="false">
      <c r="A9873" s="0" t="s">
        <v>10197</v>
      </c>
      <c r="B9873" s="0" t="s">
        <v>42</v>
      </c>
      <c r="C9873" s="0" t="str">
        <f aca="false">INDEX(Intent_Analysis!$B$5:$B$81,MATCH(B9873,Intent_Analysis!$A$5:$A$81,0))</f>
        <v>Account &amp; identity</v>
      </c>
      <c r="D9873" s="0" t="n">
        <f aca="false">INDEX(Intent_Analysis!$E$5:$E$81,MATCH(B9873,Intent_Analysis!$A$5:$A$81,0))</f>
        <v>1</v>
      </c>
    </row>
    <row r="9874" customFormat="false" ht="15" hidden="false" customHeight="false" outlineLevel="0" collapsed="false">
      <c r="A9874" s="0" t="s">
        <v>10198</v>
      </c>
      <c r="B9874" s="0" t="s">
        <v>42</v>
      </c>
      <c r="C9874" s="0" t="str">
        <f aca="false">INDEX(Intent_Analysis!$B$5:$B$81,MATCH(B9874,Intent_Analysis!$A$5:$A$81,0))</f>
        <v>Account &amp; identity</v>
      </c>
      <c r="D9874" s="0" t="n">
        <f aca="false">INDEX(Intent_Analysis!$E$5:$E$81,MATCH(B9874,Intent_Analysis!$A$5:$A$81,0))</f>
        <v>1</v>
      </c>
    </row>
    <row r="9875" customFormat="false" ht="15" hidden="false" customHeight="false" outlineLevel="0" collapsed="false">
      <c r="A9875" s="0" t="s">
        <v>10199</v>
      </c>
      <c r="B9875" s="0" t="s">
        <v>42</v>
      </c>
      <c r="C9875" s="0" t="str">
        <f aca="false">INDEX(Intent_Analysis!$B$5:$B$81,MATCH(B9875,Intent_Analysis!$A$5:$A$81,0))</f>
        <v>Account &amp; identity</v>
      </c>
      <c r="D9875" s="0" t="n">
        <f aca="false">INDEX(Intent_Analysis!$E$5:$E$81,MATCH(B9875,Intent_Analysis!$A$5:$A$81,0))</f>
        <v>1</v>
      </c>
    </row>
    <row r="9876" customFormat="false" ht="15" hidden="false" customHeight="false" outlineLevel="0" collapsed="false">
      <c r="A9876" s="0" t="s">
        <v>10200</v>
      </c>
      <c r="B9876" s="0" t="s">
        <v>83</v>
      </c>
      <c r="C9876" s="0" t="str">
        <f aca="false">INDEX(Intent_Analysis!$B$5:$B$81,MATCH(B9876,Intent_Analysis!$A$5:$A$81,0))</f>
        <v>Exchange rates &amp; currencies</v>
      </c>
      <c r="D9876" s="0" t="n">
        <f aca="false">INDEX(Intent_Analysis!$E$5:$E$81,MATCH(B9876,Intent_Analysis!$A$5:$A$81,0))</f>
        <v>1</v>
      </c>
    </row>
    <row r="9877" customFormat="false" ht="15" hidden="false" customHeight="false" outlineLevel="0" collapsed="false">
      <c r="A9877" s="0" t="s">
        <v>10201</v>
      </c>
      <c r="B9877" s="0" t="s">
        <v>83</v>
      </c>
      <c r="C9877" s="0" t="str">
        <f aca="false">INDEX(Intent_Analysis!$B$5:$B$81,MATCH(B9877,Intent_Analysis!$A$5:$A$81,0))</f>
        <v>Exchange rates &amp; currencies</v>
      </c>
      <c r="D9877" s="0" t="n">
        <f aca="false">INDEX(Intent_Analysis!$E$5:$E$81,MATCH(B9877,Intent_Analysis!$A$5:$A$81,0))</f>
        <v>1</v>
      </c>
    </row>
    <row r="9878" customFormat="false" ht="15" hidden="false" customHeight="false" outlineLevel="0" collapsed="false">
      <c r="A9878" s="0" t="s">
        <v>10202</v>
      </c>
      <c r="B9878" s="0" t="s">
        <v>83</v>
      </c>
      <c r="C9878" s="0" t="str">
        <f aca="false">INDEX(Intent_Analysis!$B$5:$B$81,MATCH(B9878,Intent_Analysis!$A$5:$A$81,0))</f>
        <v>Exchange rates &amp; currencies</v>
      </c>
      <c r="D9878" s="0" t="n">
        <f aca="false">INDEX(Intent_Analysis!$E$5:$E$81,MATCH(B9878,Intent_Analysis!$A$5:$A$81,0))</f>
        <v>1</v>
      </c>
    </row>
    <row r="9879" customFormat="false" ht="15" hidden="false" customHeight="false" outlineLevel="0" collapsed="false">
      <c r="A9879" s="0" t="s">
        <v>10203</v>
      </c>
      <c r="B9879" s="0" t="s">
        <v>83</v>
      </c>
      <c r="C9879" s="0" t="str">
        <f aca="false">INDEX(Intent_Analysis!$B$5:$B$81,MATCH(B9879,Intent_Analysis!$A$5:$A$81,0))</f>
        <v>Exchange rates &amp; currencies</v>
      </c>
      <c r="D9879" s="0" t="n">
        <f aca="false">INDEX(Intent_Analysis!$E$5:$E$81,MATCH(B9879,Intent_Analysis!$A$5:$A$81,0))</f>
        <v>1</v>
      </c>
    </row>
    <row r="9880" customFormat="false" ht="15" hidden="false" customHeight="false" outlineLevel="0" collapsed="false">
      <c r="A9880" s="0" t="s">
        <v>10204</v>
      </c>
      <c r="B9880" s="0" t="s">
        <v>83</v>
      </c>
      <c r="C9880" s="0" t="str">
        <f aca="false">INDEX(Intent_Analysis!$B$5:$B$81,MATCH(B9880,Intent_Analysis!$A$5:$A$81,0))</f>
        <v>Exchange rates &amp; currencies</v>
      </c>
      <c r="D9880" s="0" t="n">
        <f aca="false">INDEX(Intent_Analysis!$E$5:$E$81,MATCH(B9880,Intent_Analysis!$A$5:$A$81,0))</f>
        <v>1</v>
      </c>
    </row>
    <row r="9881" customFormat="false" ht="15" hidden="false" customHeight="false" outlineLevel="0" collapsed="false">
      <c r="A9881" s="0" t="s">
        <v>10205</v>
      </c>
      <c r="B9881" s="0" t="s">
        <v>83</v>
      </c>
      <c r="C9881" s="0" t="str">
        <f aca="false">INDEX(Intent_Analysis!$B$5:$B$81,MATCH(B9881,Intent_Analysis!$A$5:$A$81,0))</f>
        <v>Exchange rates &amp; currencies</v>
      </c>
      <c r="D9881" s="0" t="n">
        <f aca="false">INDEX(Intent_Analysis!$E$5:$E$81,MATCH(B9881,Intent_Analysis!$A$5:$A$81,0))</f>
        <v>1</v>
      </c>
    </row>
    <row r="9882" customFormat="false" ht="15" hidden="false" customHeight="false" outlineLevel="0" collapsed="false">
      <c r="A9882" s="0" t="s">
        <v>10206</v>
      </c>
      <c r="B9882" s="0" t="s">
        <v>83</v>
      </c>
      <c r="C9882" s="0" t="str">
        <f aca="false">INDEX(Intent_Analysis!$B$5:$B$81,MATCH(B9882,Intent_Analysis!$A$5:$A$81,0))</f>
        <v>Exchange rates &amp; currencies</v>
      </c>
      <c r="D9882" s="0" t="n">
        <f aca="false">INDEX(Intent_Analysis!$E$5:$E$81,MATCH(B9882,Intent_Analysis!$A$5:$A$81,0))</f>
        <v>1</v>
      </c>
    </row>
    <row r="9883" customFormat="false" ht="15" hidden="false" customHeight="false" outlineLevel="0" collapsed="false">
      <c r="A9883" s="0" t="s">
        <v>10207</v>
      </c>
      <c r="B9883" s="0" t="s">
        <v>83</v>
      </c>
      <c r="C9883" s="0" t="str">
        <f aca="false">INDEX(Intent_Analysis!$B$5:$B$81,MATCH(B9883,Intent_Analysis!$A$5:$A$81,0))</f>
        <v>Exchange rates &amp; currencies</v>
      </c>
      <c r="D9883" s="0" t="n">
        <f aca="false">INDEX(Intent_Analysis!$E$5:$E$81,MATCH(B9883,Intent_Analysis!$A$5:$A$81,0))</f>
        <v>1</v>
      </c>
    </row>
    <row r="9884" customFormat="false" ht="15" hidden="false" customHeight="false" outlineLevel="0" collapsed="false">
      <c r="A9884" s="0" t="s">
        <v>10208</v>
      </c>
      <c r="B9884" s="0" t="s">
        <v>83</v>
      </c>
      <c r="C9884" s="0" t="str">
        <f aca="false">INDEX(Intent_Analysis!$B$5:$B$81,MATCH(B9884,Intent_Analysis!$A$5:$A$81,0))</f>
        <v>Exchange rates &amp; currencies</v>
      </c>
      <c r="D9884" s="0" t="n">
        <f aca="false">INDEX(Intent_Analysis!$E$5:$E$81,MATCH(B9884,Intent_Analysis!$A$5:$A$81,0))</f>
        <v>1</v>
      </c>
    </row>
    <row r="9885" customFormat="false" ht="15" hidden="false" customHeight="false" outlineLevel="0" collapsed="false">
      <c r="A9885" s="0" t="s">
        <v>10209</v>
      </c>
      <c r="B9885" s="0" t="s">
        <v>83</v>
      </c>
      <c r="C9885" s="0" t="str">
        <f aca="false">INDEX(Intent_Analysis!$B$5:$B$81,MATCH(B9885,Intent_Analysis!$A$5:$A$81,0))</f>
        <v>Exchange rates &amp; currencies</v>
      </c>
      <c r="D9885" s="0" t="n">
        <f aca="false">INDEX(Intent_Analysis!$E$5:$E$81,MATCH(B9885,Intent_Analysis!$A$5:$A$81,0))</f>
        <v>1</v>
      </c>
    </row>
    <row r="9886" customFormat="false" ht="15" hidden="false" customHeight="false" outlineLevel="0" collapsed="false">
      <c r="A9886" s="0" t="s">
        <v>10210</v>
      </c>
      <c r="B9886" s="0" t="s">
        <v>83</v>
      </c>
      <c r="C9886" s="0" t="str">
        <f aca="false">INDEX(Intent_Analysis!$B$5:$B$81,MATCH(B9886,Intent_Analysis!$A$5:$A$81,0))</f>
        <v>Exchange rates &amp; currencies</v>
      </c>
      <c r="D9886" s="0" t="n">
        <f aca="false">INDEX(Intent_Analysis!$E$5:$E$81,MATCH(B9886,Intent_Analysis!$A$5:$A$81,0))</f>
        <v>1</v>
      </c>
    </row>
    <row r="9887" customFormat="false" ht="15" hidden="false" customHeight="false" outlineLevel="0" collapsed="false">
      <c r="A9887" s="0" t="s">
        <v>10211</v>
      </c>
      <c r="B9887" s="0" t="s">
        <v>83</v>
      </c>
      <c r="C9887" s="0" t="str">
        <f aca="false">INDEX(Intent_Analysis!$B$5:$B$81,MATCH(B9887,Intent_Analysis!$A$5:$A$81,0))</f>
        <v>Exchange rates &amp; currencies</v>
      </c>
      <c r="D9887" s="0" t="n">
        <f aca="false">INDEX(Intent_Analysis!$E$5:$E$81,MATCH(B9887,Intent_Analysis!$A$5:$A$81,0))</f>
        <v>1</v>
      </c>
    </row>
    <row r="9888" customFormat="false" ht="15" hidden="false" customHeight="false" outlineLevel="0" collapsed="false">
      <c r="A9888" s="0" t="s">
        <v>10212</v>
      </c>
      <c r="B9888" s="0" t="s">
        <v>83</v>
      </c>
      <c r="C9888" s="0" t="str">
        <f aca="false">INDEX(Intent_Analysis!$B$5:$B$81,MATCH(B9888,Intent_Analysis!$A$5:$A$81,0))</f>
        <v>Exchange rates &amp; currencies</v>
      </c>
      <c r="D9888" s="0" t="n">
        <f aca="false">INDEX(Intent_Analysis!$E$5:$E$81,MATCH(B9888,Intent_Analysis!$A$5:$A$81,0))</f>
        <v>1</v>
      </c>
    </row>
    <row r="9889" customFormat="false" ht="15" hidden="false" customHeight="false" outlineLevel="0" collapsed="false">
      <c r="A9889" s="0" t="s">
        <v>10213</v>
      </c>
      <c r="B9889" s="0" t="s">
        <v>83</v>
      </c>
      <c r="C9889" s="0" t="str">
        <f aca="false">INDEX(Intent_Analysis!$B$5:$B$81,MATCH(B9889,Intent_Analysis!$A$5:$A$81,0))</f>
        <v>Exchange rates &amp; currencies</v>
      </c>
      <c r="D9889" s="0" t="n">
        <f aca="false">INDEX(Intent_Analysis!$E$5:$E$81,MATCH(B9889,Intent_Analysis!$A$5:$A$81,0))</f>
        <v>1</v>
      </c>
    </row>
    <row r="9890" customFormat="false" ht="15" hidden="false" customHeight="false" outlineLevel="0" collapsed="false">
      <c r="A9890" s="0" t="s">
        <v>10214</v>
      </c>
      <c r="B9890" s="0" t="s">
        <v>83</v>
      </c>
      <c r="C9890" s="0" t="str">
        <f aca="false">INDEX(Intent_Analysis!$B$5:$B$81,MATCH(B9890,Intent_Analysis!$A$5:$A$81,0))</f>
        <v>Exchange rates &amp; currencies</v>
      </c>
      <c r="D9890" s="0" t="n">
        <f aca="false">INDEX(Intent_Analysis!$E$5:$E$81,MATCH(B9890,Intent_Analysis!$A$5:$A$81,0))</f>
        <v>1</v>
      </c>
    </row>
    <row r="9891" customFormat="false" ht="15" hidden="false" customHeight="false" outlineLevel="0" collapsed="false">
      <c r="A9891" s="0" t="s">
        <v>10215</v>
      </c>
      <c r="B9891" s="0" t="s">
        <v>83</v>
      </c>
      <c r="C9891" s="0" t="str">
        <f aca="false">INDEX(Intent_Analysis!$B$5:$B$81,MATCH(B9891,Intent_Analysis!$A$5:$A$81,0))</f>
        <v>Exchange rates &amp; currencies</v>
      </c>
      <c r="D9891" s="0" t="n">
        <f aca="false">INDEX(Intent_Analysis!$E$5:$E$81,MATCH(B9891,Intent_Analysis!$A$5:$A$81,0))</f>
        <v>1</v>
      </c>
    </row>
    <row r="9892" customFormat="false" ht="15" hidden="false" customHeight="false" outlineLevel="0" collapsed="false">
      <c r="A9892" s="0" t="s">
        <v>10216</v>
      </c>
      <c r="B9892" s="0" t="s">
        <v>83</v>
      </c>
      <c r="C9892" s="0" t="str">
        <f aca="false">INDEX(Intent_Analysis!$B$5:$B$81,MATCH(B9892,Intent_Analysis!$A$5:$A$81,0))</f>
        <v>Exchange rates &amp; currencies</v>
      </c>
      <c r="D9892" s="0" t="n">
        <f aca="false">INDEX(Intent_Analysis!$E$5:$E$81,MATCH(B9892,Intent_Analysis!$A$5:$A$81,0))</f>
        <v>1</v>
      </c>
    </row>
    <row r="9893" customFormat="false" ht="15" hidden="false" customHeight="false" outlineLevel="0" collapsed="false">
      <c r="A9893" s="0" t="s">
        <v>10217</v>
      </c>
      <c r="B9893" s="0" t="s">
        <v>83</v>
      </c>
      <c r="C9893" s="0" t="str">
        <f aca="false">INDEX(Intent_Analysis!$B$5:$B$81,MATCH(B9893,Intent_Analysis!$A$5:$A$81,0))</f>
        <v>Exchange rates &amp; currencies</v>
      </c>
      <c r="D9893" s="0" t="n">
        <f aca="false">INDEX(Intent_Analysis!$E$5:$E$81,MATCH(B9893,Intent_Analysis!$A$5:$A$81,0))</f>
        <v>1</v>
      </c>
    </row>
    <row r="9894" customFormat="false" ht="15" hidden="false" customHeight="false" outlineLevel="0" collapsed="false">
      <c r="A9894" s="0" t="s">
        <v>10218</v>
      </c>
      <c r="B9894" s="0" t="s">
        <v>83</v>
      </c>
      <c r="C9894" s="0" t="str">
        <f aca="false">INDEX(Intent_Analysis!$B$5:$B$81,MATCH(B9894,Intent_Analysis!$A$5:$A$81,0))</f>
        <v>Exchange rates &amp; currencies</v>
      </c>
      <c r="D9894" s="0" t="n">
        <f aca="false">INDEX(Intent_Analysis!$E$5:$E$81,MATCH(B9894,Intent_Analysis!$A$5:$A$81,0))</f>
        <v>1</v>
      </c>
    </row>
    <row r="9895" customFormat="false" ht="15" hidden="false" customHeight="false" outlineLevel="0" collapsed="false">
      <c r="A9895" s="0" t="s">
        <v>10219</v>
      </c>
      <c r="B9895" s="0" t="s">
        <v>83</v>
      </c>
      <c r="C9895" s="0" t="str">
        <f aca="false">INDEX(Intent_Analysis!$B$5:$B$81,MATCH(B9895,Intent_Analysis!$A$5:$A$81,0))</f>
        <v>Exchange rates &amp; currencies</v>
      </c>
      <c r="D9895" s="0" t="n">
        <f aca="false">INDEX(Intent_Analysis!$E$5:$E$81,MATCH(B9895,Intent_Analysis!$A$5:$A$81,0))</f>
        <v>1</v>
      </c>
    </row>
    <row r="9896" customFormat="false" ht="15" hidden="false" customHeight="false" outlineLevel="0" collapsed="false">
      <c r="A9896" s="0" t="s">
        <v>10220</v>
      </c>
      <c r="B9896" s="0" t="s">
        <v>83</v>
      </c>
      <c r="C9896" s="0" t="str">
        <f aca="false">INDEX(Intent_Analysis!$B$5:$B$81,MATCH(B9896,Intent_Analysis!$A$5:$A$81,0))</f>
        <v>Exchange rates &amp; currencies</v>
      </c>
      <c r="D9896" s="0" t="n">
        <f aca="false">INDEX(Intent_Analysis!$E$5:$E$81,MATCH(B9896,Intent_Analysis!$A$5:$A$81,0))</f>
        <v>1</v>
      </c>
    </row>
    <row r="9897" customFormat="false" ht="15" hidden="false" customHeight="false" outlineLevel="0" collapsed="false">
      <c r="A9897" s="0" t="s">
        <v>10221</v>
      </c>
      <c r="B9897" s="0" t="s">
        <v>83</v>
      </c>
      <c r="C9897" s="0" t="str">
        <f aca="false">INDEX(Intent_Analysis!$B$5:$B$81,MATCH(B9897,Intent_Analysis!$A$5:$A$81,0))</f>
        <v>Exchange rates &amp; currencies</v>
      </c>
      <c r="D9897" s="0" t="n">
        <f aca="false">INDEX(Intent_Analysis!$E$5:$E$81,MATCH(B9897,Intent_Analysis!$A$5:$A$81,0))</f>
        <v>1</v>
      </c>
    </row>
    <row r="9898" customFormat="false" ht="15" hidden="false" customHeight="false" outlineLevel="0" collapsed="false">
      <c r="A9898" s="0" t="s">
        <v>10222</v>
      </c>
      <c r="B9898" s="0" t="s">
        <v>83</v>
      </c>
      <c r="C9898" s="0" t="str">
        <f aca="false">INDEX(Intent_Analysis!$B$5:$B$81,MATCH(B9898,Intent_Analysis!$A$5:$A$81,0))</f>
        <v>Exchange rates &amp; currencies</v>
      </c>
      <c r="D9898" s="0" t="n">
        <f aca="false">INDEX(Intent_Analysis!$E$5:$E$81,MATCH(B9898,Intent_Analysis!$A$5:$A$81,0))</f>
        <v>1</v>
      </c>
    </row>
    <row r="9899" customFormat="false" ht="15" hidden="false" customHeight="false" outlineLevel="0" collapsed="false">
      <c r="A9899" s="0" t="s">
        <v>10223</v>
      </c>
      <c r="B9899" s="0" t="s">
        <v>83</v>
      </c>
      <c r="C9899" s="0" t="str">
        <f aca="false">INDEX(Intent_Analysis!$B$5:$B$81,MATCH(B9899,Intent_Analysis!$A$5:$A$81,0))</f>
        <v>Exchange rates &amp; currencies</v>
      </c>
      <c r="D9899" s="0" t="n">
        <f aca="false">INDEX(Intent_Analysis!$E$5:$E$81,MATCH(B9899,Intent_Analysis!$A$5:$A$81,0))</f>
        <v>1</v>
      </c>
    </row>
    <row r="9900" customFormat="false" ht="15" hidden="false" customHeight="false" outlineLevel="0" collapsed="false">
      <c r="A9900" s="0" t="s">
        <v>10224</v>
      </c>
      <c r="B9900" s="0" t="s">
        <v>83</v>
      </c>
      <c r="C9900" s="0" t="str">
        <f aca="false">INDEX(Intent_Analysis!$B$5:$B$81,MATCH(B9900,Intent_Analysis!$A$5:$A$81,0))</f>
        <v>Exchange rates &amp; currencies</v>
      </c>
      <c r="D9900" s="0" t="n">
        <f aca="false">INDEX(Intent_Analysis!$E$5:$E$81,MATCH(B9900,Intent_Analysis!$A$5:$A$81,0))</f>
        <v>1</v>
      </c>
    </row>
    <row r="9901" customFormat="false" ht="15" hidden="false" customHeight="false" outlineLevel="0" collapsed="false">
      <c r="A9901" s="0" t="s">
        <v>10225</v>
      </c>
      <c r="B9901" s="0" t="s">
        <v>83</v>
      </c>
      <c r="C9901" s="0" t="str">
        <f aca="false">INDEX(Intent_Analysis!$B$5:$B$81,MATCH(B9901,Intent_Analysis!$A$5:$A$81,0))</f>
        <v>Exchange rates &amp; currencies</v>
      </c>
      <c r="D9901" s="0" t="n">
        <f aca="false">INDEX(Intent_Analysis!$E$5:$E$81,MATCH(B9901,Intent_Analysis!$A$5:$A$81,0))</f>
        <v>1</v>
      </c>
    </row>
    <row r="9902" customFormat="false" ht="15" hidden="false" customHeight="false" outlineLevel="0" collapsed="false">
      <c r="A9902" s="0" t="s">
        <v>10226</v>
      </c>
      <c r="B9902" s="0" t="s">
        <v>83</v>
      </c>
      <c r="C9902" s="0" t="str">
        <f aca="false">INDEX(Intent_Analysis!$B$5:$B$81,MATCH(B9902,Intent_Analysis!$A$5:$A$81,0))</f>
        <v>Exchange rates &amp; currencies</v>
      </c>
      <c r="D9902" s="0" t="n">
        <f aca="false">INDEX(Intent_Analysis!$E$5:$E$81,MATCH(B9902,Intent_Analysis!$A$5:$A$81,0))</f>
        <v>1</v>
      </c>
    </row>
    <row r="9903" customFormat="false" ht="15" hidden="false" customHeight="false" outlineLevel="0" collapsed="false">
      <c r="A9903" s="0" t="s">
        <v>10227</v>
      </c>
      <c r="B9903" s="0" t="s">
        <v>83</v>
      </c>
      <c r="C9903" s="0" t="str">
        <f aca="false">INDEX(Intent_Analysis!$B$5:$B$81,MATCH(B9903,Intent_Analysis!$A$5:$A$81,0))</f>
        <v>Exchange rates &amp; currencies</v>
      </c>
      <c r="D9903" s="0" t="n">
        <f aca="false">INDEX(Intent_Analysis!$E$5:$E$81,MATCH(B9903,Intent_Analysis!$A$5:$A$81,0))</f>
        <v>1</v>
      </c>
    </row>
    <row r="9904" customFormat="false" ht="15" hidden="false" customHeight="false" outlineLevel="0" collapsed="false">
      <c r="A9904" s="0" t="s">
        <v>10228</v>
      </c>
      <c r="B9904" s="0" t="s">
        <v>83</v>
      </c>
      <c r="C9904" s="0" t="str">
        <f aca="false">INDEX(Intent_Analysis!$B$5:$B$81,MATCH(B9904,Intent_Analysis!$A$5:$A$81,0))</f>
        <v>Exchange rates &amp; currencies</v>
      </c>
      <c r="D9904" s="0" t="n">
        <f aca="false">INDEX(Intent_Analysis!$E$5:$E$81,MATCH(B9904,Intent_Analysis!$A$5:$A$81,0))</f>
        <v>1</v>
      </c>
    </row>
    <row r="9905" customFormat="false" ht="15" hidden="false" customHeight="false" outlineLevel="0" collapsed="false">
      <c r="A9905" s="0" t="s">
        <v>10229</v>
      </c>
      <c r="B9905" s="0" t="s">
        <v>83</v>
      </c>
      <c r="C9905" s="0" t="str">
        <f aca="false">INDEX(Intent_Analysis!$B$5:$B$81,MATCH(B9905,Intent_Analysis!$A$5:$A$81,0))</f>
        <v>Exchange rates &amp; currencies</v>
      </c>
      <c r="D9905" s="0" t="n">
        <f aca="false">INDEX(Intent_Analysis!$E$5:$E$81,MATCH(B9905,Intent_Analysis!$A$5:$A$81,0))</f>
        <v>1</v>
      </c>
    </row>
    <row r="9906" customFormat="false" ht="15" hidden="false" customHeight="false" outlineLevel="0" collapsed="false">
      <c r="A9906" s="0" t="s">
        <v>10230</v>
      </c>
      <c r="B9906" s="0" t="s">
        <v>83</v>
      </c>
      <c r="C9906" s="0" t="str">
        <f aca="false">INDEX(Intent_Analysis!$B$5:$B$81,MATCH(B9906,Intent_Analysis!$A$5:$A$81,0))</f>
        <v>Exchange rates &amp; currencies</v>
      </c>
      <c r="D9906" s="0" t="n">
        <f aca="false">INDEX(Intent_Analysis!$E$5:$E$81,MATCH(B9906,Intent_Analysis!$A$5:$A$81,0))</f>
        <v>1</v>
      </c>
    </row>
    <row r="9907" customFormat="false" ht="15" hidden="false" customHeight="false" outlineLevel="0" collapsed="false">
      <c r="A9907" s="0" t="s">
        <v>10231</v>
      </c>
      <c r="B9907" s="0" t="s">
        <v>83</v>
      </c>
      <c r="C9907" s="0" t="str">
        <f aca="false">INDEX(Intent_Analysis!$B$5:$B$81,MATCH(B9907,Intent_Analysis!$A$5:$A$81,0))</f>
        <v>Exchange rates &amp; currencies</v>
      </c>
      <c r="D9907" s="0" t="n">
        <f aca="false">INDEX(Intent_Analysis!$E$5:$E$81,MATCH(B9907,Intent_Analysis!$A$5:$A$81,0))</f>
        <v>1</v>
      </c>
    </row>
    <row r="9908" customFormat="false" ht="15" hidden="false" customHeight="false" outlineLevel="0" collapsed="false">
      <c r="A9908" s="0" t="s">
        <v>10232</v>
      </c>
      <c r="B9908" s="0" t="s">
        <v>83</v>
      </c>
      <c r="C9908" s="0" t="str">
        <f aca="false">INDEX(Intent_Analysis!$B$5:$B$81,MATCH(B9908,Intent_Analysis!$A$5:$A$81,0))</f>
        <v>Exchange rates &amp; currencies</v>
      </c>
      <c r="D9908" s="0" t="n">
        <f aca="false">INDEX(Intent_Analysis!$E$5:$E$81,MATCH(B9908,Intent_Analysis!$A$5:$A$81,0))</f>
        <v>1</v>
      </c>
    </row>
    <row r="9909" customFormat="false" ht="15" hidden="false" customHeight="false" outlineLevel="0" collapsed="false">
      <c r="A9909" s="0" t="s">
        <v>10233</v>
      </c>
      <c r="B9909" s="0" t="s">
        <v>83</v>
      </c>
      <c r="C9909" s="0" t="str">
        <f aca="false">INDEX(Intent_Analysis!$B$5:$B$81,MATCH(B9909,Intent_Analysis!$A$5:$A$81,0))</f>
        <v>Exchange rates &amp; currencies</v>
      </c>
      <c r="D9909" s="0" t="n">
        <f aca="false">INDEX(Intent_Analysis!$E$5:$E$81,MATCH(B9909,Intent_Analysis!$A$5:$A$81,0))</f>
        <v>1</v>
      </c>
    </row>
    <row r="9910" customFormat="false" ht="15" hidden="false" customHeight="false" outlineLevel="0" collapsed="false">
      <c r="A9910" s="0" t="s">
        <v>10234</v>
      </c>
      <c r="B9910" s="0" t="s">
        <v>83</v>
      </c>
      <c r="C9910" s="0" t="str">
        <f aca="false">INDEX(Intent_Analysis!$B$5:$B$81,MATCH(B9910,Intent_Analysis!$A$5:$A$81,0))</f>
        <v>Exchange rates &amp; currencies</v>
      </c>
      <c r="D9910" s="0" t="n">
        <f aca="false">INDEX(Intent_Analysis!$E$5:$E$81,MATCH(B9910,Intent_Analysis!$A$5:$A$81,0))</f>
        <v>1</v>
      </c>
    </row>
    <row r="9911" customFormat="false" ht="15" hidden="false" customHeight="false" outlineLevel="0" collapsed="false">
      <c r="A9911" s="0" t="s">
        <v>10235</v>
      </c>
      <c r="B9911" s="0" t="s">
        <v>83</v>
      </c>
      <c r="C9911" s="0" t="str">
        <f aca="false">INDEX(Intent_Analysis!$B$5:$B$81,MATCH(B9911,Intent_Analysis!$A$5:$A$81,0))</f>
        <v>Exchange rates &amp; currencies</v>
      </c>
      <c r="D9911" s="0" t="n">
        <f aca="false">INDEX(Intent_Analysis!$E$5:$E$81,MATCH(B9911,Intent_Analysis!$A$5:$A$81,0))</f>
        <v>1</v>
      </c>
    </row>
    <row r="9912" customFormat="false" ht="15" hidden="false" customHeight="false" outlineLevel="0" collapsed="false">
      <c r="A9912" s="0" t="s">
        <v>10236</v>
      </c>
      <c r="B9912" s="0" t="s">
        <v>83</v>
      </c>
      <c r="C9912" s="0" t="str">
        <f aca="false">INDEX(Intent_Analysis!$B$5:$B$81,MATCH(B9912,Intent_Analysis!$A$5:$A$81,0))</f>
        <v>Exchange rates &amp; currencies</v>
      </c>
      <c r="D9912" s="0" t="n">
        <f aca="false">INDEX(Intent_Analysis!$E$5:$E$81,MATCH(B9912,Intent_Analysis!$A$5:$A$81,0))</f>
        <v>1</v>
      </c>
    </row>
    <row r="9913" customFormat="false" ht="15" hidden="false" customHeight="false" outlineLevel="0" collapsed="false">
      <c r="A9913" s="0" t="s">
        <v>10237</v>
      </c>
      <c r="B9913" s="0" t="s">
        <v>83</v>
      </c>
      <c r="C9913" s="0" t="str">
        <f aca="false">INDEX(Intent_Analysis!$B$5:$B$81,MATCH(B9913,Intent_Analysis!$A$5:$A$81,0))</f>
        <v>Exchange rates &amp; currencies</v>
      </c>
      <c r="D9913" s="0" t="n">
        <f aca="false">INDEX(Intent_Analysis!$E$5:$E$81,MATCH(B9913,Intent_Analysis!$A$5:$A$81,0))</f>
        <v>1</v>
      </c>
    </row>
    <row r="9914" customFormat="false" ht="15" hidden="false" customHeight="false" outlineLevel="0" collapsed="false">
      <c r="A9914" s="0" t="s">
        <v>10238</v>
      </c>
      <c r="B9914" s="0" t="s">
        <v>83</v>
      </c>
      <c r="C9914" s="0" t="str">
        <f aca="false">INDEX(Intent_Analysis!$B$5:$B$81,MATCH(B9914,Intent_Analysis!$A$5:$A$81,0))</f>
        <v>Exchange rates &amp; currencies</v>
      </c>
      <c r="D9914" s="0" t="n">
        <f aca="false">INDEX(Intent_Analysis!$E$5:$E$81,MATCH(B9914,Intent_Analysis!$A$5:$A$81,0))</f>
        <v>1</v>
      </c>
    </row>
    <row r="9915" customFormat="false" ht="15" hidden="false" customHeight="false" outlineLevel="0" collapsed="false">
      <c r="A9915" s="0" t="s">
        <v>10239</v>
      </c>
      <c r="B9915" s="0" t="s">
        <v>83</v>
      </c>
      <c r="C9915" s="0" t="str">
        <f aca="false">INDEX(Intent_Analysis!$B$5:$B$81,MATCH(B9915,Intent_Analysis!$A$5:$A$81,0))</f>
        <v>Exchange rates &amp; currencies</v>
      </c>
      <c r="D9915" s="0" t="n">
        <f aca="false">INDEX(Intent_Analysis!$E$5:$E$81,MATCH(B9915,Intent_Analysis!$A$5:$A$81,0))</f>
        <v>1</v>
      </c>
    </row>
    <row r="9916" customFormat="false" ht="15" hidden="false" customHeight="false" outlineLevel="0" collapsed="false">
      <c r="A9916" s="0" t="s">
        <v>10240</v>
      </c>
      <c r="B9916" s="0" t="s">
        <v>83</v>
      </c>
      <c r="C9916" s="0" t="str">
        <f aca="false">INDEX(Intent_Analysis!$B$5:$B$81,MATCH(B9916,Intent_Analysis!$A$5:$A$81,0))</f>
        <v>Exchange rates &amp; currencies</v>
      </c>
      <c r="D9916" s="0" t="n">
        <f aca="false">INDEX(Intent_Analysis!$E$5:$E$81,MATCH(B9916,Intent_Analysis!$A$5:$A$81,0))</f>
        <v>1</v>
      </c>
    </row>
    <row r="9917" customFormat="false" ht="15" hidden="false" customHeight="false" outlineLevel="0" collapsed="false">
      <c r="A9917" s="0" t="s">
        <v>10241</v>
      </c>
      <c r="B9917" s="0" t="s">
        <v>83</v>
      </c>
      <c r="C9917" s="0" t="str">
        <f aca="false">INDEX(Intent_Analysis!$B$5:$B$81,MATCH(B9917,Intent_Analysis!$A$5:$A$81,0))</f>
        <v>Exchange rates &amp; currencies</v>
      </c>
      <c r="D9917" s="0" t="n">
        <f aca="false">INDEX(Intent_Analysis!$E$5:$E$81,MATCH(B9917,Intent_Analysis!$A$5:$A$81,0))</f>
        <v>1</v>
      </c>
    </row>
    <row r="9918" customFormat="false" ht="15" hidden="false" customHeight="false" outlineLevel="0" collapsed="false">
      <c r="A9918" s="0" t="s">
        <v>10242</v>
      </c>
      <c r="B9918" s="0" t="s">
        <v>83</v>
      </c>
      <c r="C9918" s="0" t="str">
        <f aca="false">INDEX(Intent_Analysis!$B$5:$B$81,MATCH(B9918,Intent_Analysis!$A$5:$A$81,0))</f>
        <v>Exchange rates &amp; currencies</v>
      </c>
      <c r="D9918" s="0" t="n">
        <f aca="false">INDEX(Intent_Analysis!$E$5:$E$81,MATCH(B9918,Intent_Analysis!$A$5:$A$81,0))</f>
        <v>1</v>
      </c>
    </row>
    <row r="9919" customFormat="false" ht="15" hidden="false" customHeight="false" outlineLevel="0" collapsed="false">
      <c r="A9919" s="0" t="s">
        <v>10243</v>
      </c>
      <c r="B9919" s="0" t="s">
        <v>83</v>
      </c>
      <c r="C9919" s="0" t="str">
        <f aca="false">INDEX(Intent_Analysis!$B$5:$B$81,MATCH(B9919,Intent_Analysis!$A$5:$A$81,0))</f>
        <v>Exchange rates &amp; currencies</v>
      </c>
      <c r="D9919" s="0" t="n">
        <f aca="false">INDEX(Intent_Analysis!$E$5:$E$81,MATCH(B9919,Intent_Analysis!$A$5:$A$81,0))</f>
        <v>1</v>
      </c>
    </row>
    <row r="9920" customFormat="false" ht="15" hidden="false" customHeight="false" outlineLevel="0" collapsed="false">
      <c r="A9920" s="0" t="s">
        <v>10244</v>
      </c>
      <c r="B9920" s="0" t="s">
        <v>83</v>
      </c>
      <c r="C9920" s="0" t="str">
        <f aca="false">INDEX(Intent_Analysis!$B$5:$B$81,MATCH(B9920,Intent_Analysis!$A$5:$A$81,0))</f>
        <v>Exchange rates &amp; currencies</v>
      </c>
      <c r="D9920" s="0" t="n">
        <f aca="false">INDEX(Intent_Analysis!$E$5:$E$81,MATCH(B9920,Intent_Analysis!$A$5:$A$81,0))</f>
        <v>1</v>
      </c>
    </row>
    <row r="9921" customFormat="false" ht="15" hidden="false" customHeight="false" outlineLevel="0" collapsed="false">
      <c r="A9921" s="0" t="s">
        <v>10245</v>
      </c>
      <c r="B9921" s="0" t="s">
        <v>83</v>
      </c>
      <c r="C9921" s="0" t="str">
        <f aca="false">INDEX(Intent_Analysis!$B$5:$B$81,MATCH(B9921,Intent_Analysis!$A$5:$A$81,0))</f>
        <v>Exchange rates &amp; currencies</v>
      </c>
      <c r="D9921" s="0" t="n">
        <f aca="false">INDEX(Intent_Analysis!$E$5:$E$81,MATCH(B9921,Intent_Analysis!$A$5:$A$81,0))</f>
        <v>1</v>
      </c>
    </row>
    <row r="9922" customFormat="false" ht="15" hidden="false" customHeight="false" outlineLevel="0" collapsed="false">
      <c r="A9922" s="0" t="s">
        <v>10246</v>
      </c>
      <c r="B9922" s="0" t="s">
        <v>83</v>
      </c>
      <c r="C9922" s="0" t="str">
        <f aca="false">INDEX(Intent_Analysis!$B$5:$B$81,MATCH(B9922,Intent_Analysis!$A$5:$A$81,0))</f>
        <v>Exchange rates &amp; currencies</v>
      </c>
      <c r="D9922" s="0" t="n">
        <f aca="false">INDEX(Intent_Analysis!$E$5:$E$81,MATCH(B9922,Intent_Analysis!$A$5:$A$81,0))</f>
        <v>1</v>
      </c>
    </row>
    <row r="9923" customFormat="false" ht="15" hidden="false" customHeight="false" outlineLevel="0" collapsed="false">
      <c r="A9923" s="0" t="s">
        <v>10247</v>
      </c>
      <c r="B9923" s="0" t="s">
        <v>83</v>
      </c>
      <c r="C9923" s="0" t="str">
        <f aca="false">INDEX(Intent_Analysis!$B$5:$B$81,MATCH(B9923,Intent_Analysis!$A$5:$A$81,0))</f>
        <v>Exchange rates &amp; currencies</v>
      </c>
      <c r="D9923" s="0" t="n">
        <f aca="false">INDEX(Intent_Analysis!$E$5:$E$81,MATCH(B9923,Intent_Analysis!$A$5:$A$81,0))</f>
        <v>1</v>
      </c>
    </row>
    <row r="9924" customFormat="false" ht="15" hidden="false" customHeight="false" outlineLevel="0" collapsed="false">
      <c r="A9924" s="0" t="s">
        <v>10248</v>
      </c>
      <c r="B9924" s="0" t="s">
        <v>83</v>
      </c>
      <c r="C9924" s="0" t="str">
        <f aca="false">INDEX(Intent_Analysis!$B$5:$B$81,MATCH(B9924,Intent_Analysis!$A$5:$A$81,0))</f>
        <v>Exchange rates &amp; currencies</v>
      </c>
      <c r="D9924" s="0" t="n">
        <f aca="false">INDEX(Intent_Analysis!$E$5:$E$81,MATCH(B9924,Intent_Analysis!$A$5:$A$81,0))</f>
        <v>1</v>
      </c>
    </row>
    <row r="9925" customFormat="false" ht="15" hidden="false" customHeight="false" outlineLevel="0" collapsed="false">
      <c r="A9925" s="0" t="s">
        <v>10249</v>
      </c>
      <c r="B9925" s="0" t="s">
        <v>83</v>
      </c>
      <c r="C9925" s="0" t="str">
        <f aca="false">INDEX(Intent_Analysis!$B$5:$B$81,MATCH(B9925,Intent_Analysis!$A$5:$A$81,0))</f>
        <v>Exchange rates &amp; currencies</v>
      </c>
      <c r="D9925" s="0" t="n">
        <f aca="false">INDEX(Intent_Analysis!$E$5:$E$81,MATCH(B9925,Intent_Analysis!$A$5:$A$81,0))</f>
        <v>1</v>
      </c>
    </row>
    <row r="9926" customFormat="false" ht="15" hidden="false" customHeight="false" outlineLevel="0" collapsed="false">
      <c r="A9926" s="0" t="s">
        <v>10250</v>
      </c>
      <c r="B9926" s="0" t="s">
        <v>83</v>
      </c>
      <c r="C9926" s="0" t="str">
        <f aca="false">INDEX(Intent_Analysis!$B$5:$B$81,MATCH(B9926,Intent_Analysis!$A$5:$A$81,0))</f>
        <v>Exchange rates &amp; currencies</v>
      </c>
      <c r="D9926" s="0" t="n">
        <f aca="false">INDEX(Intent_Analysis!$E$5:$E$81,MATCH(B9926,Intent_Analysis!$A$5:$A$81,0))</f>
        <v>1</v>
      </c>
    </row>
    <row r="9927" customFormat="false" ht="15" hidden="false" customHeight="false" outlineLevel="0" collapsed="false">
      <c r="A9927" s="0" t="s">
        <v>10251</v>
      </c>
      <c r="B9927" s="0" t="s">
        <v>83</v>
      </c>
      <c r="C9927" s="0" t="str">
        <f aca="false">INDEX(Intent_Analysis!$B$5:$B$81,MATCH(B9927,Intent_Analysis!$A$5:$A$81,0))</f>
        <v>Exchange rates &amp; currencies</v>
      </c>
      <c r="D9927" s="0" t="n">
        <f aca="false">INDEX(Intent_Analysis!$E$5:$E$81,MATCH(B9927,Intent_Analysis!$A$5:$A$81,0))</f>
        <v>1</v>
      </c>
    </row>
    <row r="9928" customFormat="false" ht="15" hidden="false" customHeight="false" outlineLevel="0" collapsed="false">
      <c r="A9928" s="0" t="s">
        <v>10252</v>
      </c>
      <c r="B9928" s="0" t="s">
        <v>83</v>
      </c>
      <c r="C9928" s="0" t="str">
        <f aca="false">INDEX(Intent_Analysis!$B$5:$B$81,MATCH(B9928,Intent_Analysis!$A$5:$A$81,0))</f>
        <v>Exchange rates &amp; currencies</v>
      </c>
      <c r="D9928" s="0" t="n">
        <f aca="false">INDEX(Intent_Analysis!$E$5:$E$81,MATCH(B9928,Intent_Analysis!$A$5:$A$81,0))</f>
        <v>1</v>
      </c>
    </row>
    <row r="9929" customFormat="false" ht="15" hidden="false" customHeight="false" outlineLevel="0" collapsed="false">
      <c r="A9929" s="0" t="s">
        <v>10253</v>
      </c>
      <c r="B9929" s="0" t="s">
        <v>83</v>
      </c>
      <c r="C9929" s="0" t="str">
        <f aca="false">INDEX(Intent_Analysis!$B$5:$B$81,MATCH(B9929,Intent_Analysis!$A$5:$A$81,0))</f>
        <v>Exchange rates &amp; currencies</v>
      </c>
      <c r="D9929" s="0" t="n">
        <f aca="false">INDEX(Intent_Analysis!$E$5:$E$81,MATCH(B9929,Intent_Analysis!$A$5:$A$81,0))</f>
        <v>1</v>
      </c>
    </row>
    <row r="9930" customFormat="false" ht="15" hidden="false" customHeight="false" outlineLevel="0" collapsed="false">
      <c r="A9930" s="0" t="s">
        <v>10254</v>
      </c>
      <c r="B9930" s="0" t="s">
        <v>83</v>
      </c>
      <c r="C9930" s="0" t="str">
        <f aca="false">INDEX(Intent_Analysis!$B$5:$B$81,MATCH(B9930,Intent_Analysis!$A$5:$A$81,0))</f>
        <v>Exchange rates &amp; currencies</v>
      </c>
      <c r="D9930" s="0" t="n">
        <f aca="false">INDEX(Intent_Analysis!$E$5:$E$81,MATCH(B9930,Intent_Analysis!$A$5:$A$81,0))</f>
        <v>1</v>
      </c>
    </row>
    <row r="9931" customFormat="false" ht="15" hidden="false" customHeight="false" outlineLevel="0" collapsed="false">
      <c r="A9931" s="0" t="s">
        <v>10255</v>
      </c>
      <c r="B9931" s="0" t="s">
        <v>83</v>
      </c>
      <c r="C9931" s="0" t="str">
        <f aca="false">INDEX(Intent_Analysis!$B$5:$B$81,MATCH(B9931,Intent_Analysis!$A$5:$A$81,0))</f>
        <v>Exchange rates &amp; currencies</v>
      </c>
      <c r="D9931" s="0" t="n">
        <f aca="false">INDEX(Intent_Analysis!$E$5:$E$81,MATCH(B9931,Intent_Analysis!$A$5:$A$81,0))</f>
        <v>1</v>
      </c>
    </row>
    <row r="9932" customFormat="false" ht="15" hidden="false" customHeight="false" outlineLevel="0" collapsed="false">
      <c r="A9932" s="0" t="s">
        <v>10256</v>
      </c>
      <c r="B9932" s="0" t="s">
        <v>83</v>
      </c>
      <c r="C9932" s="0" t="str">
        <f aca="false">INDEX(Intent_Analysis!$B$5:$B$81,MATCH(B9932,Intent_Analysis!$A$5:$A$81,0))</f>
        <v>Exchange rates &amp; currencies</v>
      </c>
      <c r="D9932" s="0" t="n">
        <f aca="false">INDEX(Intent_Analysis!$E$5:$E$81,MATCH(B9932,Intent_Analysis!$A$5:$A$81,0))</f>
        <v>1</v>
      </c>
    </row>
    <row r="9933" customFormat="false" ht="15" hidden="false" customHeight="false" outlineLevel="0" collapsed="false">
      <c r="A9933" s="0" t="s">
        <v>10257</v>
      </c>
      <c r="B9933" s="0" t="s">
        <v>83</v>
      </c>
      <c r="C9933" s="0" t="str">
        <f aca="false">INDEX(Intent_Analysis!$B$5:$B$81,MATCH(B9933,Intent_Analysis!$A$5:$A$81,0))</f>
        <v>Exchange rates &amp; currencies</v>
      </c>
      <c r="D9933" s="0" t="n">
        <f aca="false">INDEX(Intent_Analysis!$E$5:$E$81,MATCH(B9933,Intent_Analysis!$A$5:$A$81,0))</f>
        <v>1</v>
      </c>
    </row>
    <row r="9934" customFormat="false" ht="15" hidden="false" customHeight="false" outlineLevel="0" collapsed="false">
      <c r="A9934" s="0" t="s">
        <v>10258</v>
      </c>
      <c r="B9934" s="0" t="s">
        <v>83</v>
      </c>
      <c r="C9934" s="0" t="str">
        <f aca="false">INDEX(Intent_Analysis!$B$5:$B$81,MATCH(B9934,Intent_Analysis!$A$5:$A$81,0))</f>
        <v>Exchange rates &amp; currencies</v>
      </c>
      <c r="D9934" s="0" t="n">
        <f aca="false">INDEX(Intent_Analysis!$E$5:$E$81,MATCH(B9934,Intent_Analysis!$A$5:$A$81,0))</f>
        <v>1</v>
      </c>
    </row>
    <row r="9935" customFormat="false" ht="15" hidden="false" customHeight="false" outlineLevel="0" collapsed="false">
      <c r="A9935" s="0" t="s">
        <v>10259</v>
      </c>
      <c r="B9935" s="0" t="s">
        <v>83</v>
      </c>
      <c r="C9935" s="0" t="str">
        <f aca="false">INDEX(Intent_Analysis!$B$5:$B$81,MATCH(B9935,Intent_Analysis!$A$5:$A$81,0))</f>
        <v>Exchange rates &amp; currencies</v>
      </c>
      <c r="D9935" s="0" t="n">
        <f aca="false">INDEX(Intent_Analysis!$E$5:$E$81,MATCH(B9935,Intent_Analysis!$A$5:$A$81,0))</f>
        <v>1</v>
      </c>
    </row>
    <row r="9936" customFormat="false" ht="15" hidden="false" customHeight="false" outlineLevel="0" collapsed="false">
      <c r="A9936" s="0" t="s">
        <v>10260</v>
      </c>
      <c r="B9936" s="0" t="s">
        <v>83</v>
      </c>
      <c r="C9936" s="0" t="str">
        <f aca="false">INDEX(Intent_Analysis!$B$5:$B$81,MATCH(B9936,Intent_Analysis!$A$5:$A$81,0))</f>
        <v>Exchange rates &amp; currencies</v>
      </c>
      <c r="D9936" s="0" t="n">
        <f aca="false">INDEX(Intent_Analysis!$E$5:$E$81,MATCH(B9936,Intent_Analysis!$A$5:$A$81,0))</f>
        <v>1</v>
      </c>
    </row>
    <row r="9937" customFormat="false" ht="15" hidden="false" customHeight="false" outlineLevel="0" collapsed="false">
      <c r="A9937" s="0" t="s">
        <v>10261</v>
      </c>
      <c r="B9937" s="0" t="s">
        <v>83</v>
      </c>
      <c r="C9937" s="0" t="str">
        <f aca="false">INDEX(Intent_Analysis!$B$5:$B$81,MATCH(B9937,Intent_Analysis!$A$5:$A$81,0))</f>
        <v>Exchange rates &amp; currencies</v>
      </c>
      <c r="D9937" s="0" t="n">
        <f aca="false">INDEX(Intent_Analysis!$E$5:$E$81,MATCH(B9937,Intent_Analysis!$A$5:$A$81,0))</f>
        <v>1</v>
      </c>
    </row>
    <row r="9938" customFormat="false" ht="15" hidden="false" customHeight="false" outlineLevel="0" collapsed="false">
      <c r="A9938" s="0" t="s">
        <v>10262</v>
      </c>
      <c r="B9938" s="0" t="s">
        <v>83</v>
      </c>
      <c r="C9938" s="0" t="str">
        <f aca="false">INDEX(Intent_Analysis!$B$5:$B$81,MATCH(B9938,Intent_Analysis!$A$5:$A$81,0))</f>
        <v>Exchange rates &amp; currencies</v>
      </c>
      <c r="D9938" s="0" t="n">
        <f aca="false">INDEX(Intent_Analysis!$E$5:$E$81,MATCH(B9938,Intent_Analysis!$A$5:$A$81,0))</f>
        <v>1</v>
      </c>
    </row>
    <row r="9939" customFormat="false" ht="15" hidden="false" customHeight="false" outlineLevel="0" collapsed="false">
      <c r="A9939" s="0" t="s">
        <v>10263</v>
      </c>
      <c r="B9939" s="0" t="s">
        <v>83</v>
      </c>
      <c r="C9939" s="0" t="str">
        <f aca="false">INDEX(Intent_Analysis!$B$5:$B$81,MATCH(B9939,Intent_Analysis!$A$5:$A$81,0))</f>
        <v>Exchange rates &amp; currencies</v>
      </c>
      <c r="D9939" s="0" t="n">
        <f aca="false">INDEX(Intent_Analysis!$E$5:$E$81,MATCH(B9939,Intent_Analysis!$A$5:$A$81,0))</f>
        <v>1</v>
      </c>
    </row>
    <row r="9940" customFormat="false" ht="15" hidden="false" customHeight="false" outlineLevel="0" collapsed="false">
      <c r="A9940" s="0" t="s">
        <v>10264</v>
      </c>
      <c r="B9940" s="0" t="s">
        <v>83</v>
      </c>
      <c r="C9940" s="0" t="str">
        <f aca="false">INDEX(Intent_Analysis!$B$5:$B$81,MATCH(B9940,Intent_Analysis!$A$5:$A$81,0))</f>
        <v>Exchange rates &amp; currencies</v>
      </c>
      <c r="D9940" s="0" t="n">
        <f aca="false">INDEX(Intent_Analysis!$E$5:$E$81,MATCH(B9940,Intent_Analysis!$A$5:$A$81,0))</f>
        <v>1</v>
      </c>
    </row>
    <row r="9941" customFormat="false" ht="15" hidden="false" customHeight="false" outlineLevel="0" collapsed="false">
      <c r="A9941" s="0" t="s">
        <v>10265</v>
      </c>
      <c r="B9941" s="0" t="s">
        <v>83</v>
      </c>
      <c r="C9941" s="0" t="str">
        <f aca="false">INDEX(Intent_Analysis!$B$5:$B$81,MATCH(B9941,Intent_Analysis!$A$5:$A$81,0))</f>
        <v>Exchange rates &amp; currencies</v>
      </c>
      <c r="D9941" s="0" t="n">
        <f aca="false">INDEX(Intent_Analysis!$E$5:$E$81,MATCH(B9941,Intent_Analysis!$A$5:$A$81,0))</f>
        <v>1</v>
      </c>
    </row>
    <row r="9942" customFormat="false" ht="15" hidden="false" customHeight="false" outlineLevel="0" collapsed="false">
      <c r="A9942" s="0" t="s">
        <v>10266</v>
      </c>
      <c r="B9942" s="0" t="s">
        <v>83</v>
      </c>
      <c r="C9942" s="0" t="str">
        <f aca="false">INDEX(Intent_Analysis!$B$5:$B$81,MATCH(B9942,Intent_Analysis!$A$5:$A$81,0))</f>
        <v>Exchange rates &amp; currencies</v>
      </c>
      <c r="D9942" s="0" t="n">
        <f aca="false">INDEX(Intent_Analysis!$E$5:$E$81,MATCH(B9942,Intent_Analysis!$A$5:$A$81,0))</f>
        <v>1</v>
      </c>
    </row>
    <row r="9943" customFormat="false" ht="15" hidden="false" customHeight="false" outlineLevel="0" collapsed="false">
      <c r="A9943" s="0" t="s">
        <v>10267</v>
      </c>
      <c r="B9943" s="0" t="s">
        <v>83</v>
      </c>
      <c r="C9943" s="0" t="str">
        <f aca="false">INDEX(Intent_Analysis!$B$5:$B$81,MATCH(B9943,Intent_Analysis!$A$5:$A$81,0))</f>
        <v>Exchange rates &amp; currencies</v>
      </c>
      <c r="D9943" s="0" t="n">
        <f aca="false">INDEX(Intent_Analysis!$E$5:$E$81,MATCH(B9943,Intent_Analysis!$A$5:$A$81,0))</f>
        <v>1</v>
      </c>
    </row>
    <row r="9944" customFormat="false" ht="15" hidden="false" customHeight="false" outlineLevel="0" collapsed="false">
      <c r="A9944" s="0" t="s">
        <v>10268</v>
      </c>
      <c r="B9944" s="0" t="s">
        <v>83</v>
      </c>
      <c r="C9944" s="0" t="str">
        <f aca="false">INDEX(Intent_Analysis!$B$5:$B$81,MATCH(B9944,Intent_Analysis!$A$5:$A$81,0))</f>
        <v>Exchange rates &amp; currencies</v>
      </c>
      <c r="D9944" s="0" t="n">
        <f aca="false">INDEX(Intent_Analysis!$E$5:$E$81,MATCH(B9944,Intent_Analysis!$A$5:$A$81,0))</f>
        <v>1</v>
      </c>
    </row>
    <row r="9945" customFormat="false" ht="15" hidden="false" customHeight="false" outlineLevel="0" collapsed="false">
      <c r="A9945" s="0" t="s">
        <v>10269</v>
      </c>
      <c r="B9945" s="0" t="s">
        <v>83</v>
      </c>
      <c r="C9945" s="0" t="str">
        <f aca="false">INDEX(Intent_Analysis!$B$5:$B$81,MATCH(B9945,Intent_Analysis!$A$5:$A$81,0))</f>
        <v>Exchange rates &amp; currencies</v>
      </c>
      <c r="D9945" s="0" t="n">
        <f aca="false">INDEX(Intent_Analysis!$E$5:$E$81,MATCH(B9945,Intent_Analysis!$A$5:$A$81,0))</f>
        <v>1</v>
      </c>
    </row>
    <row r="9946" customFormat="false" ht="15" hidden="false" customHeight="false" outlineLevel="0" collapsed="false">
      <c r="A9946" s="0" t="s">
        <v>10270</v>
      </c>
      <c r="B9946" s="0" t="s">
        <v>83</v>
      </c>
      <c r="C9946" s="0" t="str">
        <f aca="false">INDEX(Intent_Analysis!$B$5:$B$81,MATCH(B9946,Intent_Analysis!$A$5:$A$81,0))</f>
        <v>Exchange rates &amp; currencies</v>
      </c>
      <c r="D9946" s="0" t="n">
        <f aca="false">INDEX(Intent_Analysis!$E$5:$E$81,MATCH(B9946,Intent_Analysis!$A$5:$A$81,0))</f>
        <v>1</v>
      </c>
    </row>
    <row r="9947" customFormat="false" ht="15" hidden="false" customHeight="false" outlineLevel="0" collapsed="false">
      <c r="A9947" s="0" t="s">
        <v>10271</v>
      </c>
      <c r="B9947" s="0" t="s">
        <v>83</v>
      </c>
      <c r="C9947" s="0" t="str">
        <f aca="false">INDEX(Intent_Analysis!$B$5:$B$81,MATCH(B9947,Intent_Analysis!$A$5:$A$81,0))</f>
        <v>Exchange rates &amp; currencies</v>
      </c>
      <c r="D9947" s="0" t="n">
        <f aca="false">INDEX(Intent_Analysis!$E$5:$E$81,MATCH(B9947,Intent_Analysis!$A$5:$A$81,0))</f>
        <v>1</v>
      </c>
    </row>
    <row r="9948" customFormat="false" ht="15" hidden="false" customHeight="false" outlineLevel="0" collapsed="false">
      <c r="A9948" s="0" t="s">
        <v>10272</v>
      </c>
      <c r="B9948" s="0" t="s">
        <v>83</v>
      </c>
      <c r="C9948" s="0" t="str">
        <f aca="false">INDEX(Intent_Analysis!$B$5:$B$81,MATCH(B9948,Intent_Analysis!$A$5:$A$81,0))</f>
        <v>Exchange rates &amp; currencies</v>
      </c>
      <c r="D9948" s="0" t="n">
        <f aca="false">INDEX(Intent_Analysis!$E$5:$E$81,MATCH(B9948,Intent_Analysis!$A$5:$A$81,0))</f>
        <v>1</v>
      </c>
    </row>
    <row r="9949" customFormat="false" ht="15" hidden="false" customHeight="false" outlineLevel="0" collapsed="false">
      <c r="A9949" s="0" t="s">
        <v>10273</v>
      </c>
      <c r="B9949" s="0" t="s">
        <v>83</v>
      </c>
      <c r="C9949" s="0" t="str">
        <f aca="false">INDEX(Intent_Analysis!$B$5:$B$81,MATCH(B9949,Intent_Analysis!$A$5:$A$81,0))</f>
        <v>Exchange rates &amp; currencies</v>
      </c>
      <c r="D9949" s="0" t="n">
        <f aca="false">INDEX(Intent_Analysis!$E$5:$E$81,MATCH(B9949,Intent_Analysis!$A$5:$A$81,0))</f>
        <v>1</v>
      </c>
    </row>
    <row r="9950" customFormat="false" ht="15" hidden="false" customHeight="false" outlineLevel="0" collapsed="false">
      <c r="A9950" s="0" t="s">
        <v>10274</v>
      </c>
      <c r="B9950" s="0" t="s">
        <v>83</v>
      </c>
      <c r="C9950" s="0" t="str">
        <f aca="false">INDEX(Intent_Analysis!$B$5:$B$81,MATCH(B9950,Intent_Analysis!$A$5:$A$81,0))</f>
        <v>Exchange rates &amp; currencies</v>
      </c>
      <c r="D9950" s="0" t="n">
        <f aca="false">INDEX(Intent_Analysis!$E$5:$E$81,MATCH(B9950,Intent_Analysis!$A$5:$A$81,0))</f>
        <v>1</v>
      </c>
    </row>
    <row r="9951" customFormat="false" ht="15" hidden="false" customHeight="false" outlineLevel="0" collapsed="false">
      <c r="A9951" s="0" t="s">
        <v>10275</v>
      </c>
      <c r="B9951" s="0" t="s">
        <v>83</v>
      </c>
      <c r="C9951" s="0" t="str">
        <f aca="false">INDEX(Intent_Analysis!$B$5:$B$81,MATCH(B9951,Intent_Analysis!$A$5:$A$81,0))</f>
        <v>Exchange rates &amp; currencies</v>
      </c>
      <c r="D9951" s="0" t="n">
        <f aca="false">INDEX(Intent_Analysis!$E$5:$E$81,MATCH(B9951,Intent_Analysis!$A$5:$A$81,0))</f>
        <v>1</v>
      </c>
    </row>
    <row r="9952" customFormat="false" ht="15" hidden="false" customHeight="false" outlineLevel="0" collapsed="false">
      <c r="A9952" s="0" t="s">
        <v>10276</v>
      </c>
      <c r="B9952" s="0" t="s">
        <v>83</v>
      </c>
      <c r="C9952" s="0" t="str">
        <f aca="false">INDEX(Intent_Analysis!$B$5:$B$81,MATCH(B9952,Intent_Analysis!$A$5:$A$81,0))</f>
        <v>Exchange rates &amp; currencies</v>
      </c>
      <c r="D9952" s="0" t="n">
        <f aca="false">INDEX(Intent_Analysis!$E$5:$E$81,MATCH(B9952,Intent_Analysis!$A$5:$A$81,0))</f>
        <v>1</v>
      </c>
    </row>
    <row r="9953" customFormat="false" ht="15" hidden="false" customHeight="false" outlineLevel="0" collapsed="false">
      <c r="A9953" s="0" t="s">
        <v>10277</v>
      </c>
      <c r="B9953" s="0" t="s">
        <v>83</v>
      </c>
      <c r="C9953" s="0" t="str">
        <f aca="false">INDEX(Intent_Analysis!$B$5:$B$81,MATCH(B9953,Intent_Analysis!$A$5:$A$81,0))</f>
        <v>Exchange rates &amp; currencies</v>
      </c>
      <c r="D9953" s="0" t="n">
        <f aca="false">INDEX(Intent_Analysis!$E$5:$E$81,MATCH(B9953,Intent_Analysis!$A$5:$A$81,0))</f>
        <v>1</v>
      </c>
    </row>
    <row r="9954" customFormat="false" ht="15" hidden="false" customHeight="false" outlineLevel="0" collapsed="false">
      <c r="A9954" s="0" t="s">
        <v>10278</v>
      </c>
      <c r="B9954" s="0" t="s">
        <v>83</v>
      </c>
      <c r="C9954" s="0" t="str">
        <f aca="false">INDEX(Intent_Analysis!$B$5:$B$81,MATCH(B9954,Intent_Analysis!$A$5:$A$81,0))</f>
        <v>Exchange rates &amp; currencies</v>
      </c>
      <c r="D9954" s="0" t="n">
        <f aca="false">INDEX(Intent_Analysis!$E$5:$E$81,MATCH(B9954,Intent_Analysis!$A$5:$A$81,0))</f>
        <v>1</v>
      </c>
    </row>
    <row r="9955" customFormat="false" ht="15" hidden="false" customHeight="false" outlineLevel="0" collapsed="false">
      <c r="A9955" s="0" t="s">
        <v>10279</v>
      </c>
      <c r="B9955" s="0" t="s">
        <v>83</v>
      </c>
      <c r="C9955" s="0" t="str">
        <f aca="false">INDEX(Intent_Analysis!$B$5:$B$81,MATCH(B9955,Intent_Analysis!$A$5:$A$81,0))</f>
        <v>Exchange rates &amp; currencies</v>
      </c>
      <c r="D9955" s="0" t="n">
        <f aca="false">INDEX(Intent_Analysis!$E$5:$E$81,MATCH(B9955,Intent_Analysis!$A$5:$A$81,0))</f>
        <v>1</v>
      </c>
    </row>
    <row r="9956" customFormat="false" ht="15" hidden="false" customHeight="false" outlineLevel="0" collapsed="false">
      <c r="A9956" s="0" t="s">
        <v>10280</v>
      </c>
      <c r="B9956" s="0" t="s">
        <v>83</v>
      </c>
      <c r="C9956" s="0" t="str">
        <f aca="false">INDEX(Intent_Analysis!$B$5:$B$81,MATCH(B9956,Intent_Analysis!$A$5:$A$81,0))</f>
        <v>Exchange rates &amp; currencies</v>
      </c>
      <c r="D9956" s="0" t="n">
        <f aca="false">INDEX(Intent_Analysis!$E$5:$E$81,MATCH(B9956,Intent_Analysis!$A$5:$A$81,0))</f>
        <v>1</v>
      </c>
    </row>
    <row r="9957" customFormat="false" ht="15" hidden="false" customHeight="false" outlineLevel="0" collapsed="false">
      <c r="A9957" s="0" t="s">
        <v>10281</v>
      </c>
      <c r="B9957" s="0" t="s">
        <v>83</v>
      </c>
      <c r="C9957" s="0" t="str">
        <f aca="false">INDEX(Intent_Analysis!$B$5:$B$81,MATCH(B9957,Intent_Analysis!$A$5:$A$81,0))</f>
        <v>Exchange rates &amp; currencies</v>
      </c>
      <c r="D9957" s="0" t="n">
        <f aca="false">INDEX(Intent_Analysis!$E$5:$E$81,MATCH(B9957,Intent_Analysis!$A$5:$A$81,0))</f>
        <v>1</v>
      </c>
    </row>
    <row r="9958" customFormat="false" ht="15" hidden="false" customHeight="false" outlineLevel="0" collapsed="false">
      <c r="A9958" s="0" t="s">
        <v>10282</v>
      </c>
      <c r="B9958" s="0" t="s">
        <v>83</v>
      </c>
      <c r="C9958" s="0" t="str">
        <f aca="false">INDEX(Intent_Analysis!$B$5:$B$81,MATCH(B9958,Intent_Analysis!$A$5:$A$81,0))</f>
        <v>Exchange rates &amp; currencies</v>
      </c>
      <c r="D9958" s="0" t="n">
        <f aca="false">INDEX(Intent_Analysis!$E$5:$E$81,MATCH(B9958,Intent_Analysis!$A$5:$A$81,0))</f>
        <v>1</v>
      </c>
    </row>
    <row r="9959" customFormat="false" ht="15" hidden="false" customHeight="false" outlineLevel="0" collapsed="false">
      <c r="A9959" s="0" t="s">
        <v>10283</v>
      </c>
      <c r="B9959" s="0" t="s">
        <v>83</v>
      </c>
      <c r="C9959" s="0" t="str">
        <f aca="false">INDEX(Intent_Analysis!$B$5:$B$81,MATCH(B9959,Intent_Analysis!$A$5:$A$81,0))</f>
        <v>Exchange rates &amp; currencies</v>
      </c>
      <c r="D9959" s="0" t="n">
        <f aca="false">INDEX(Intent_Analysis!$E$5:$E$81,MATCH(B9959,Intent_Analysis!$A$5:$A$81,0))</f>
        <v>1</v>
      </c>
    </row>
    <row r="9960" customFormat="false" ht="15" hidden="false" customHeight="false" outlineLevel="0" collapsed="false">
      <c r="A9960" s="0" t="s">
        <v>10284</v>
      </c>
      <c r="B9960" s="0" t="s">
        <v>83</v>
      </c>
      <c r="C9960" s="0" t="str">
        <f aca="false">INDEX(Intent_Analysis!$B$5:$B$81,MATCH(B9960,Intent_Analysis!$A$5:$A$81,0))</f>
        <v>Exchange rates &amp; currencies</v>
      </c>
      <c r="D9960" s="0" t="n">
        <f aca="false">INDEX(Intent_Analysis!$E$5:$E$81,MATCH(B9960,Intent_Analysis!$A$5:$A$81,0))</f>
        <v>1</v>
      </c>
    </row>
    <row r="9961" customFormat="false" ht="15" hidden="false" customHeight="false" outlineLevel="0" collapsed="false">
      <c r="A9961" s="0" t="s">
        <v>10285</v>
      </c>
      <c r="B9961" s="0" t="s">
        <v>83</v>
      </c>
      <c r="C9961" s="0" t="str">
        <f aca="false">INDEX(Intent_Analysis!$B$5:$B$81,MATCH(B9961,Intent_Analysis!$A$5:$A$81,0))</f>
        <v>Exchange rates &amp; currencies</v>
      </c>
      <c r="D9961" s="0" t="n">
        <f aca="false">INDEX(Intent_Analysis!$E$5:$E$81,MATCH(B9961,Intent_Analysis!$A$5:$A$81,0))</f>
        <v>1</v>
      </c>
    </row>
    <row r="9962" customFormat="false" ht="15" hidden="false" customHeight="false" outlineLevel="0" collapsed="false">
      <c r="A9962" s="0" t="s">
        <v>10286</v>
      </c>
      <c r="B9962" s="0" t="s">
        <v>83</v>
      </c>
      <c r="C9962" s="0" t="str">
        <f aca="false">INDEX(Intent_Analysis!$B$5:$B$81,MATCH(B9962,Intent_Analysis!$A$5:$A$81,0))</f>
        <v>Exchange rates &amp; currencies</v>
      </c>
      <c r="D9962" s="0" t="n">
        <f aca="false">INDEX(Intent_Analysis!$E$5:$E$81,MATCH(B9962,Intent_Analysis!$A$5:$A$81,0))</f>
        <v>1</v>
      </c>
    </row>
    <row r="9963" customFormat="false" ht="15" hidden="false" customHeight="false" outlineLevel="0" collapsed="false">
      <c r="A9963" s="0" t="s">
        <v>10287</v>
      </c>
      <c r="B9963" s="0" t="s">
        <v>83</v>
      </c>
      <c r="C9963" s="0" t="str">
        <f aca="false">INDEX(Intent_Analysis!$B$5:$B$81,MATCH(B9963,Intent_Analysis!$A$5:$A$81,0))</f>
        <v>Exchange rates &amp; currencies</v>
      </c>
      <c r="D9963" s="0" t="n">
        <f aca="false">INDEX(Intent_Analysis!$E$5:$E$81,MATCH(B9963,Intent_Analysis!$A$5:$A$81,0))</f>
        <v>1</v>
      </c>
    </row>
    <row r="9964" customFormat="false" ht="15" hidden="false" customHeight="false" outlineLevel="0" collapsed="false">
      <c r="A9964" s="0" t="s">
        <v>10288</v>
      </c>
      <c r="B9964" s="0" t="s">
        <v>83</v>
      </c>
      <c r="C9964" s="0" t="str">
        <f aca="false">INDEX(Intent_Analysis!$B$5:$B$81,MATCH(B9964,Intent_Analysis!$A$5:$A$81,0))</f>
        <v>Exchange rates &amp; currencies</v>
      </c>
      <c r="D9964" s="0" t="n">
        <f aca="false">INDEX(Intent_Analysis!$E$5:$E$81,MATCH(B9964,Intent_Analysis!$A$5:$A$81,0))</f>
        <v>1</v>
      </c>
    </row>
    <row r="9965" customFormat="false" ht="15" hidden="false" customHeight="false" outlineLevel="0" collapsed="false">
      <c r="A9965" s="0" t="s">
        <v>10289</v>
      </c>
      <c r="B9965" s="0" t="s">
        <v>83</v>
      </c>
      <c r="C9965" s="0" t="str">
        <f aca="false">INDEX(Intent_Analysis!$B$5:$B$81,MATCH(B9965,Intent_Analysis!$A$5:$A$81,0))</f>
        <v>Exchange rates &amp; currencies</v>
      </c>
      <c r="D9965" s="0" t="n">
        <f aca="false">INDEX(Intent_Analysis!$E$5:$E$81,MATCH(B9965,Intent_Analysis!$A$5:$A$81,0))</f>
        <v>1</v>
      </c>
    </row>
    <row r="9966" customFormat="false" ht="15" hidden="false" customHeight="false" outlineLevel="0" collapsed="false">
      <c r="A9966" s="0" t="s">
        <v>10290</v>
      </c>
      <c r="B9966" s="0" t="s">
        <v>83</v>
      </c>
      <c r="C9966" s="0" t="str">
        <f aca="false">INDEX(Intent_Analysis!$B$5:$B$81,MATCH(B9966,Intent_Analysis!$A$5:$A$81,0))</f>
        <v>Exchange rates &amp; currencies</v>
      </c>
      <c r="D9966" s="0" t="n">
        <f aca="false">INDEX(Intent_Analysis!$E$5:$E$81,MATCH(B9966,Intent_Analysis!$A$5:$A$81,0))</f>
        <v>1</v>
      </c>
    </row>
    <row r="9967" customFormat="false" ht="15" hidden="false" customHeight="false" outlineLevel="0" collapsed="false">
      <c r="A9967" s="0" t="s">
        <v>10291</v>
      </c>
      <c r="B9967" s="0" t="s">
        <v>83</v>
      </c>
      <c r="C9967" s="0" t="str">
        <f aca="false">INDEX(Intent_Analysis!$B$5:$B$81,MATCH(B9967,Intent_Analysis!$A$5:$A$81,0))</f>
        <v>Exchange rates &amp; currencies</v>
      </c>
      <c r="D9967" s="0" t="n">
        <f aca="false">INDEX(Intent_Analysis!$E$5:$E$81,MATCH(B9967,Intent_Analysis!$A$5:$A$81,0))</f>
        <v>1</v>
      </c>
    </row>
    <row r="9968" customFormat="false" ht="15" hidden="false" customHeight="false" outlineLevel="0" collapsed="false">
      <c r="A9968" s="0" t="s">
        <v>10292</v>
      </c>
      <c r="B9968" s="0" t="s">
        <v>83</v>
      </c>
      <c r="C9968" s="0" t="str">
        <f aca="false">INDEX(Intent_Analysis!$B$5:$B$81,MATCH(B9968,Intent_Analysis!$A$5:$A$81,0))</f>
        <v>Exchange rates &amp; currencies</v>
      </c>
      <c r="D9968" s="0" t="n">
        <f aca="false">INDEX(Intent_Analysis!$E$5:$E$81,MATCH(B9968,Intent_Analysis!$A$5:$A$81,0))</f>
        <v>1</v>
      </c>
    </row>
    <row r="9969" customFormat="false" ht="15" hidden="false" customHeight="false" outlineLevel="0" collapsed="false">
      <c r="A9969" s="0" t="s">
        <v>10293</v>
      </c>
      <c r="B9969" s="0" t="s">
        <v>83</v>
      </c>
      <c r="C9969" s="0" t="str">
        <f aca="false">INDEX(Intent_Analysis!$B$5:$B$81,MATCH(B9969,Intent_Analysis!$A$5:$A$81,0))</f>
        <v>Exchange rates &amp; currencies</v>
      </c>
      <c r="D9969" s="0" t="n">
        <f aca="false">INDEX(Intent_Analysis!$E$5:$E$81,MATCH(B9969,Intent_Analysis!$A$5:$A$81,0))</f>
        <v>1</v>
      </c>
    </row>
    <row r="9970" customFormat="false" ht="15" hidden="false" customHeight="false" outlineLevel="0" collapsed="false">
      <c r="A9970" s="0" t="s">
        <v>10294</v>
      </c>
      <c r="B9970" s="0" t="s">
        <v>83</v>
      </c>
      <c r="C9970" s="0" t="str">
        <f aca="false">INDEX(Intent_Analysis!$B$5:$B$81,MATCH(B9970,Intent_Analysis!$A$5:$A$81,0))</f>
        <v>Exchange rates &amp; currencies</v>
      </c>
      <c r="D9970" s="0" t="n">
        <f aca="false">INDEX(Intent_Analysis!$E$5:$E$81,MATCH(B9970,Intent_Analysis!$A$5:$A$81,0))</f>
        <v>1</v>
      </c>
    </row>
    <row r="9971" customFormat="false" ht="15" hidden="false" customHeight="false" outlineLevel="0" collapsed="false">
      <c r="A9971" s="0" t="s">
        <v>10295</v>
      </c>
      <c r="B9971" s="0" t="s">
        <v>83</v>
      </c>
      <c r="C9971" s="0" t="str">
        <f aca="false">INDEX(Intent_Analysis!$B$5:$B$81,MATCH(B9971,Intent_Analysis!$A$5:$A$81,0))</f>
        <v>Exchange rates &amp; currencies</v>
      </c>
      <c r="D9971" s="0" t="n">
        <f aca="false">INDEX(Intent_Analysis!$E$5:$E$81,MATCH(B9971,Intent_Analysis!$A$5:$A$81,0))</f>
        <v>1</v>
      </c>
    </row>
    <row r="9972" customFormat="false" ht="15" hidden="false" customHeight="false" outlineLevel="0" collapsed="false">
      <c r="A9972" s="0" t="s">
        <v>10296</v>
      </c>
      <c r="B9972" s="0" t="s">
        <v>83</v>
      </c>
      <c r="C9972" s="0" t="str">
        <f aca="false">INDEX(Intent_Analysis!$B$5:$B$81,MATCH(B9972,Intent_Analysis!$A$5:$A$81,0))</f>
        <v>Exchange rates &amp; currencies</v>
      </c>
      <c r="D9972" s="0" t="n">
        <f aca="false">INDEX(Intent_Analysis!$E$5:$E$81,MATCH(B9972,Intent_Analysis!$A$5:$A$81,0))</f>
        <v>1</v>
      </c>
    </row>
    <row r="9973" customFormat="false" ht="15" hidden="false" customHeight="false" outlineLevel="0" collapsed="false">
      <c r="A9973" s="0" t="s">
        <v>10297</v>
      </c>
      <c r="B9973" s="0" t="s">
        <v>83</v>
      </c>
      <c r="C9973" s="0" t="str">
        <f aca="false">INDEX(Intent_Analysis!$B$5:$B$81,MATCH(B9973,Intent_Analysis!$A$5:$A$81,0))</f>
        <v>Exchange rates &amp; currencies</v>
      </c>
      <c r="D9973" s="0" t="n">
        <f aca="false">INDEX(Intent_Analysis!$E$5:$E$81,MATCH(B9973,Intent_Analysis!$A$5:$A$81,0))</f>
        <v>1</v>
      </c>
    </row>
    <row r="9974" customFormat="false" ht="15" hidden="false" customHeight="false" outlineLevel="0" collapsed="false">
      <c r="A9974" s="0" t="s">
        <v>10298</v>
      </c>
      <c r="B9974" s="0" t="s">
        <v>83</v>
      </c>
      <c r="C9974" s="0" t="str">
        <f aca="false">INDEX(Intent_Analysis!$B$5:$B$81,MATCH(B9974,Intent_Analysis!$A$5:$A$81,0))</f>
        <v>Exchange rates &amp; currencies</v>
      </c>
      <c r="D9974" s="0" t="n">
        <f aca="false">INDEX(Intent_Analysis!$E$5:$E$81,MATCH(B9974,Intent_Analysis!$A$5:$A$81,0))</f>
        <v>1</v>
      </c>
    </row>
    <row r="9975" customFormat="false" ht="15" hidden="false" customHeight="false" outlineLevel="0" collapsed="false">
      <c r="A9975" s="0" t="s">
        <v>10299</v>
      </c>
      <c r="B9975" s="0" t="s">
        <v>83</v>
      </c>
      <c r="C9975" s="0" t="str">
        <f aca="false">INDEX(Intent_Analysis!$B$5:$B$81,MATCH(B9975,Intent_Analysis!$A$5:$A$81,0))</f>
        <v>Exchange rates &amp; currencies</v>
      </c>
      <c r="D9975" s="0" t="n">
        <f aca="false">INDEX(Intent_Analysis!$E$5:$E$81,MATCH(B9975,Intent_Analysis!$A$5:$A$81,0))</f>
        <v>1</v>
      </c>
    </row>
    <row r="9976" customFormat="false" ht="15" hidden="false" customHeight="false" outlineLevel="0" collapsed="false">
      <c r="A9976" s="0" t="s">
        <v>10300</v>
      </c>
      <c r="B9976" s="0" t="s">
        <v>83</v>
      </c>
      <c r="C9976" s="0" t="str">
        <f aca="false">INDEX(Intent_Analysis!$B$5:$B$81,MATCH(B9976,Intent_Analysis!$A$5:$A$81,0))</f>
        <v>Exchange rates &amp; currencies</v>
      </c>
      <c r="D9976" s="0" t="n">
        <f aca="false">INDEX(Intent_Analysis!$E$5:$E$81,MATCH(B9976,Intent_Analysis!$A$5:$A$81,0))</f>
        <v>1</v>
      </c>
    </row>
    <row r="9977" customFormat="false" ht="15" hidden="false" customHeight="false" outlineLevel="0" collapsed="false">
      <c r="A9977" s="0" t="s">
        <v>10301</v>
      </c>
      <c r="B9977" s="0" t="s">
        <v>83</v>
      </c>
      <c r="C9977" s="0" t="str">
        <f aca="false">INDEX(Intent_Analysis!$B$5:$B$81,MATCH(B9977,Intent_Analysis!$A$5:$A$81,0))</f>
        <v>Exchange rates &amp; currencies</v>
      </c>
      <c r="D9977" s="0" t="n">
        <f aca="false">INDEX(Intent_Analysis!$E$5:$E$81,MATCH(B9977,Intent_Analysis!$A$5:$A$81,0))</f>
        <v>1</v>
      </c>
    </row>
    <row r="9978" customFormat="false" ht="15" hidden="false" customHeight="false" outlineLevel="0" collapsed="false">
      <c r="A9978" s="0" t="s">
        <v>10302</v>
      </c>
      <c r="B9978" s="0" t="s">
        <v>83</v>
      </c>
      <c r="C9978" s="0" t="str">
        <f aca="false">INDEX(Intent_Analysis!$B$5:$B$81,MATCH(B9978,Intent_Analysis!$A$5:$A$81,0))</f>
        <v>Exchange rates &amp; currencies</v>
      </c>
      <c r="D9978" s="0" t="n">
        <f aca="false">INDEX(Intent_Analysis!$E$5:$E$81,MATCH(B9978,Intent_Analysis!$A$5:$A$81,0))</f>
        <v>1</v>
      </c>
    </row>
    <row r="9979" customFormat="false" ht="15" hidden="false" customHeight="false" outlineLevel="0" collapsed="false">
      <c r="A9979" s="0" t="s">
        <v>10303</v>
      </c>
      <c r="B9979" s="0" t="s">
        <v>83</v>
      </c>
      <c r="C9979" s="0" t="str">
        <f aca="false">INDEX(Intent_Analysis!$B$5:$B$81,MATCH(B9979,Intent_Analysis!$A$5:$A$81,0))</f>
        <v>Exchange rates &amp; currencies</v>
      </c>
      <c r="D9979" s="0" t="n">
        <f aca="false">INDEX(Intent_Analysis!$E$5:$E$81,MATCH(B9979,Intent_Analysis!$A$5:$A$81,0))</f>
        <v>1</v>
      </c>
    </row>
    <row r="9980" customFormat="false" ht="15" hidden="false" customHeight="false" outlineLevel="0" collapsed="false">
      <c r="A9980" s="0" t="s">
        <v>10304</v>
      </c>
      <c r="B9980" s="0" t="s">
        <v>83</v>
      </c>
      <c r="C9980" s="0" t="str">
        <f aca="false">INDEX(Intent_Analysis!$B$5:$B$81,MATCH(B9980,Intent_Analysis!$A$5:$A$81,0))</f>
        <v>Exchange rates &amp; currencies</v>
      </c>
      <c r="D9980" s="0" t="n">
        <f aca="false">INDEX(Intent_Analysis!$E$5:$E$81,MATCH(B9980,Intent_Analysis!$A$5:$A$81,0))</f>
        <v>1</v>
      </c>
    </row>
    <row r="9981" customFormat="false" ht="15" hidden="false" customHeight="false" outlineLevel="0" collapsed="false">
      <c r="A9981" s="0" t="s">
        <v>10305</v>
      </c>
      <c r="B9981" s="0" t="s">
        <v>83</v>
      </c>
      <c r="C9981" s="0" t="str">
        <f aca="false">INDEX(Intent_Analysis!$B$5:$B$81,MATCH(B9981,Intent_Analysis!$A$5:$A$81,0))</f>
        <v>Exchange rates &amp; currencies</v>
      </c>
      <c r="D9981" s="0" t="n">
        <f aca="false">INDEX(Intent_Analysis!$E$5:$E$81,MATCH(B9981,Intent_Analysis!$A$5:$A$81,0))</f>
        <v>1</v>
      </c>
    </row>
    <row r="9982" customFormat="false" ht="15" hidden="false" customHeight="false" outlineLevel="0" collapsed="false">
      <c r="A9982" s="0" t="s">
        <v>10306</v>
      </c>
      <c r="B9982" s="0" t="s">
        <v>83</v>
      </c>
      <c r="C9982" s="0" t="str">
        <f aca="false">INDEX(Intent_Analysis!$B$5:$B$81,MATCH(B9982,Intent_Analysis!$A$5:$A$81,0))</f>
        <v>Exchange rates &amp; currencies</v>
      </c>
      <c r="D9982" s="0" t="n">
        <f aca="false">INDEX(Intent_Analysis!$E$5:$E$81,MATCH(B9982,Intent_Analysis!$A$5:$A$81,0))</f>
        <v>1</v>
      </c>
    </row>
    <row r="9983" customFormat="false" ht="15" hidden="false" customHeight="false" outlineLevel="0" collapsed="false">
      <c r="A9983" s="0" t="s">
        <v>10307</v>
      </c>
      <c r="B9983" s="0" t="s">
        <v>83</v>
      </c>
      <c r="C9983" s="0" t="str">
        <f aca="false">INDEX(Intent_Analysis!$B$5:$B$81,MATCH(B9983,Intent_Analysis!$A$5:$A$81,0))</f>
        <v>Exchange rates &amp; currencies</v>
      </c>
      <c r="D9983" s="0" t="n">
        <f aca="false">INDEX(Intent_Analysis!$E$5:$E$81,MATCH(B9983,Intent_Analysis!$A$5:$A$81,0))</f>
        <v>1</v>
      </c>
    </row>
    <row r="9984" customFormat="false" ht="15" hidden="false" customHeight="false" outlineLevel="0" collapsed="false">
      <c r="A9984" s="0" t="s">
        <v>10308</v>
      </c>
      <c r="B9984" s="0" t="s">
        <v>83</v>
      </c>
      <c r="C9984" s="0" t="str">
        <f aca="false">INDEX(Intent_Analysis!$B$5:$B$81,MATCH(B9984,Intent_Analysis!$A$5:$A$81,0))</f>
        <v>Exchange rates &amp; currencies</v>
      </c>
      <c r="D9984" s="0" t="n">
        <f aca="false">INDEX(Intent_Analysis!$E$5:$E$81,MATCH(B9984,Intent_Analysis!$A$5:$A$81,0))</f>
        <v>1</v>
      </c>
    </row>
    <row r="9985" customFormat="false" ht="15" hidden="false" customHeight="false" outlineLevel="0" collapsed="false">
      <c r="A9985" s="0" t="s">
        <v>10309</v>
      </c>
      <c r="B9985" s="0" t="s">
        <v>83</v>
      </c>
      <c r="C9985" s="0" t="str">
        <f aca="false">INDEX(Intent_Analysis!$B$5:$B$81,MATCH(B9985,Intent_Analysis!$A$5:$A$81,0))</f>
        <v>Exchange rates &amp; currencies</v>
      </c>
      <c r="D9985" s="0" t="n">
        <f aca="false">INDEX(Intent_Analysis!$E$5:$E$81,MATCH(B9985,Intent_Analysis!$A$5:$A$81,0))</f>
        <v>1</v>
      </c>
    </row>
    <row r="9986" customFormat="false" ht="15" hidden="false" customHeight="false" outlineLevel="0" collapsed="false">
      <c r="A9986" s="0" t="s">
        <v>10310</v>
      </c>
      <c r="B9986" s="0" t="s">
        <v>83</v>
      </c>
      <c r="C9986" s="0" t="str">
        <f aca="false">INDEX(Intent_Analysis!$B$5:$B$81,MATCH(B9986,Intent_Analysis!$A$5:$A$81,0))</f>
        <v>Exchange rates &amp; currencies</v>
      </c>
      <c r="D9986" s="0" t="n">
        <f aca="false">INDEX(Intent_Analysis!$E$5:$E$81,MATCH(B9986,Intent_Analysis!$A$5:$A$81,0))</f>
        <v>1</v>
      </c>
    </row>
    <row r="9987" customFormat="false" ht="15" hidden="false" customHeight="false" outlineLevel="0" collapsed="false">
      <c r="A9987" s="0" t="s">
        <v>10311</v>
      </c>
      <c r="B9987" s="0" t="s">
        <v>83</v>
      </c>
      <c r="C9987" s="0" t="str">
        <f aca="false">INDEX(Intent_Analysis!$B$5:$B$81,MATCH(B9987,Intent_Analysis!$A$5:$A$81,0))</f>
        <v>Exchange rates &amp; currencies</v>
      </c>
      <c r="D9987" s="0" t="n">
        <f aca="false">INDEX(Intent_Analysis!$E$5:$E$81,MATCH(B9987,Intent_Analysis!$A$5:$A$81,0))</f>
        <v>1</v>
      </c>
    </row>
    <row r="9988" customFormat="false" ht="15" hidden="false" customHeight="false" outlineLevel="0" collapsed="false">
      <c r="A9988" s="0" t="s">
        <v>10312</v>
      </c>
      <c r="B9988" s="0" t="s">
        <v>83</v>
      </c>
      <c r="C9988" s="0" t="str">
        <f aca="false">INDEX(Intent_Analysis!$B$5:$B$81,MATCH(B9988,Intent_Analysis!$A$5:$A$81,0))</f>
        <v>Exchange rates &amp; currencies</v>
      </c>
      <c r="D9988" s="0" t="n">
        <f aca="false">INDEX(Intent_Analysis!$E$5:$E$81,MATCH(B9988,Intent_Analysis!$A$5:$A$81,0))</f>
        <v>1</v>
      </c>
    </row>
    <row r="9989" customFormat="false" ht="15" hidden="false" customHeight="false" outlineLevel="0" collapsed="false">
      <c r="A9989" s="0" t="s">
        <v>10313</v>
      </c>
      <c r="B9989" s="0" t="s">
        <v>83</v>
      </c>
      <c r="C9989" s="0" t="str">
        <f aca="false">INDEX(Intent_Analysis!$B$5:$B$81,MATCH(B9989,Intent_Analysis!$A$5:$A$81,0))</f>
        <v>Exchange rates &amp; currencies</v>
      </c>
      <c r="D9989" s="0" t="n">
        <f aca="false">INDEX(Intent_Analysis!$E$5:$E$81,MATCH(B9989,Intent_Analysis!$A$5:$A$81,0))</f>
        <v>1</v>
      </c>
    </row>
    <row r="9990" customFormat="false" ht="15" hidden="false" customHeight="false" outlineLevel="0" collapsed="false">
      <c r="A9990" s="0" t="s">
        <v>10314</v>
      </c>
      <c r="B9990" s="0" t="s">
        <v>83</v>
      </c>
      <c r="C9990" s="0" t="str">
        <f aca="false">INDEX(Intent_Analysis!$B$5:$B$81,MATCH(B9990,Intent_Analysis!$A$5:$A$81,0))</f>
        <v>Exchange rates &amp; currencies</v>
      </c>
      <c r="D9990" s="0" t="n">
        <f aca="false">INDEX(Intent_Analysis!$E$5:$E$81,MATCH(B9990,Intent_Analysis!$A$5:$A$81,0))</f>
        <v>1</v>
      </c>
    </row>
    <row r="9991" customFormat="false" ht="15" hidden="false" customHeight="false" outlineLevel="0" collapsed="false">
      <c r="A9991" s="0" t="s">
        <v>10315</v>
      </c>
      <c r="B9991" s="0" t="s">
        <v>83</v>
      </c>
      <c r="C9991" s="0" t="str">
        <f aca="false">INDEX(Intent_Analysis!$B$5:$B$81,MATCH(B9991,Intent_Analysis!$A$5:$A$81,0))</f>
        <v>Exchange rates &amp; currencies</v>
      </c>
      <c r="D9991" s="0" t="n">
        <f aca="false">INDEX(Intent_Analysis!$E$5:$E$81,MATCH(B9991,Intent_Analysis!$A$5:$A$81,0))</f>
        <v>1</v>
      </c>
    </row>
    <row r="9992" customFormat="false" ht="15" hidden="false" customHeight="false" outlineLevel="0" collapsed="false">
      <c r="A9992" s="0" t="s">
        <v>10316</v>
      </c>
      <c r="B9992" s="0" t="s">
        <v>83</v>
      </c>
      <c r="C9992" s="0" t="str">
        <f aca="false">INDEX(Intent_Analysis!$B$5:$B$81,MATCH(B9992,Intent_Analysis!$A$5:$A$81,0))</f>
        <v>Exchange rates &amp; currencies</v>
      </c>
      <c r="D9992" s="0" t="n">
        <f aca="false">INDEX(Intent_Analysis!$E$5:$E$81,MATCH(B9992,Intent_Analysis!$A$5:$A$81,0))</f>
        <v>1</v>
      </c>
    </row>
    <row r="9993" customFormat="false" ht="15" hidden="false" customHeight="false" outlineLevel="0" collapsed="false">
      <c r="A9993" s="0" t="s">
        <v>10317</v>
      </c>
      <c r="B9993" s="0" t="s">
        <v>83</v>
      </c>
      <c r="C9993" s="0" t="str">
        <f aca="false">INDEX(Intent_Analysis!$B$5:$B$81,MATCH(B9993,Intent_Analysis!$A$5:$A$81,0))</f>
        <v>Exchange rates &amp; currencies</v>
      </c>
      <c r="D9993" s="0" t="n">
        <f aca="false">INDEX(Intent_Analysis!$E$5:$E$81,MATCH(B9993,Intent_Analysis!$A$5:$A$81,0))</f>
        <v>1</v>
      </c>
    </row>
    <row r="9994" customFormat="false" ht="15" hidden="false" customHeight="false" outlineLevel="0" collapsed="false">
      <c r="A9994" s="0" t="s">
        <v>10318</v>
      </c>
      <c r="B9994" s="0" t="s">
        <v>83</v>
      </c>
      <c r="C9994" s="0" t="str">
        <f aca="false">INDEX(Intent_Analysis!$B$5:$B$81,MATCH(B9994,Intent_Analysis!$A$5:$A$81,0))</f>
        <v>Exchange rates &amp; currencies</v>
      </c>
      <c r="D9994" s="0" t="n">
        <f aca="false">INDEX(Intent_Analysis!$E$5:$E$81,MATCH(B9994,Intent_Analysis!$A$5:$A$81,0))</f>
        <v>1</v>
      </c>
    </row>
    <row r="9995" customFormat="false" ht="15" hidden="false" customHeight="false" outlineLevel="0" collapsed="false">
      <c r="A9995" s="0" t="s">
        <v>10319</v>
      </c>
      <c r="B9995" s="0" t="s">
        <v>83</v>
      </c>
      <c r="C9995" s="0" t="str">
        <f aca="false">INDEX(Intent_Analysis!$B$5:$B$81,MATCH(B9995,Intent_Analysis!$A$5:$A$81,0))</f>
        <v>Exchange rates &amp; currencies</v>
      </c>
      <c r="D9995" s="0" t="n">
        <f aca="false">INDEX(Intent_Analysis!$E$5:$E$81,MATCH(B9995,Intent_Analysis!$A$5:$A$81,0))</f>
        <v>1</v>
      </c>
    </row>
    <row r="9996" customFormat="false" ht="15" hidden="false" customHeight="false" outlineLevel="0" collapsed="false">
      <c r="A9996" s="0" t="s">
        <v>10320</v>
      </c>
      <c r="B9996" s="0" t="s">
        <v>83</v>
      </c>
      <c r="C9996" s="0" t="str">
        <f aca="false">INDEX(Intent_Analysis!$B$5:$B$81,MATCH(B9996,Intent_Analysis!$A$5:$A$81,0))</f>
        <v>Exchange rates &amp; currencies</v>
      </c>
      <c r="D9996" s="0" t="n">
        <f aca="false">INDEX(Intent_Analysis!$E$5:$E$81,MATCH(B9996,Intent_Analysis!$A$5:$A$81,0))</f>
        <v>1</v>
      </c>
    </row>
    <row r="9997" customFormat="false" ht="15" hidden="false" customHeight="false" outlineLevel="0" collapsed="false">
      <c r="A9997" s="0" t="s">
        <v>10321</v>
      </c>
      <c r="B9997" s="0" t="s">
        <v>83</v>
      </c>
      <c r="C9997" s="0" t="str">
        <f aca="false">INDEX(Intent_Analysis!$B$5:$B$81,MATCH(B9997,Intent_Analysis!$A$5:$A$81,0))</f>
        <v>Exchange rates &amp; currencies</v>
      </c>
      <c r="D9997" s="0" t="n">
        <f aca="false">INDEX(Intent_Analysis!$E$5:$E$81,MATCH(B9997,Intent_Analysis!$A$5:$A$81,0))</f>
        <v>1</v>
      </c>
    </row>
    <row r="9998" customFormat="false" ht="15" hidden="false" customHeight="false" outlineLevel="0" collapsed="false">
      <c r="A9998" s="0" t="s">
        <v>10322</v>
      </c>
      <c r="B9998" s="0" t="s">
        <v>83</v>
      </c>
      <c r="C9998" s="0" t="str">
        <f aca="false">INDEX(Intent_Analysis!$B$5:$B$81,MATCH(B9998,Intent_Analysis!$A$5:$A$81,0))</f>
        <v>Exchange rates &amp; currencies</v>
      </c>
      <c r="D9998" s="0" t="n">
        <f aca="false">INDEX(Intent_Analysis!$E$5:$E$81,MATCH(B9998,Intent_Analysis!$A$5:$A$81,0))</f>
        <v>1</v>
      </c>
    </row>
    <row r="9999" customFormat="false" ht="15" hidden="false" customHeight="false" outlineLevel="0" collapsed="false">
      <c r="A9999" s="0" t="s">
        <v>10323</v>
      </c>
      <c r="B9999" s="0" t="s">
        <v>83</v>
      </c>
      <c r="C9999" s="0" t="str">
        <f aca="false">INDEX(Intent_Analysis!$B$5:$B$81,MATCH(B9999,Intent_Analysis!$A$5:$A$81,0))</f>
        <v>Exchange rates &amp; currencies</v>
      </c>
      <c r="D9999" s="0" t="n">
        <f aca="false">INDEX(Intent_Analysis!$E$5:$E$81,MATCH(B9999,Intent_Analysis!$A$5:$A$81,0))</f>
        <v>1</v>
      </c>
    </row>
    <row r="10000" customFormat="false" ht="15" hidden="false" customHeight="false" outlineLevel="0" collapsed="false">
      <c r="A10000" s="0" t="s">
        <v>10324</v>
      </c>
      <c r="B10000" s="0" t="s">
        <v>83</v>
      </c>
      <c r="C10000" s="0" t="str">
        <f aca="false">INDEX(Intent_Analysis!$B$5:$B$81,MATCH(B10000,Intent_Analysis!$A$5:$A$81,0))</f>
        <v>Exchange rates &amp; currencies</v>
      </c>
      <c r="D10000" s="0" t="n">
        <f aca="false">INDEX(Intent_Analysis!$E$5:$E$81,MATCH(B10000,Intent_Analysis!$A$5:$A$81,0))</f>
        <v>1</v>
      </c>
    </row>
    <row r="10001" customFormat="false" ht="15" hidden="false" customHeight="false" outlineLevel="0" collapsed="false">
      <c r="A10001" s="0" t="s">
        <v>10325</v>
      </c>
      <c r="B10001" s="0" t="s">
        <v>83</v>
      </c>
      <c r="C10001" s="0" t="str">
        <f aca="false">INDEX(Intent_Analysis!$B$5:$B$81,MATCH(B10001,Intent_Analysis!$A$5:$A$81,0))</f>
        <v>Exchange rates &amp; currencies</v>
      </c>
      <c r="D10001" s="0" t="n">
        <f aca="false">INDEX(Intent_Analysis!$E$5:$E$81,MATCH(B10001,Intent_Analysis!$A$5:$A$81,0))</f>
        <v>1</v>
      </c>
    </row>
    <row r="10002" customFormat="false" ht="15" hidden="false" customHeight="false" outlineLevel="0" collapsed="false">
      <c r="A10002" s="0" t="s">
        <v>10326</v>
      </c>
      <c r="B10002" s="0" t="s">
        <v>83</v>
      </c>
      <c r="C10002" s="0" t="str">
        <f aca="false">INDEX(Intent_Analysis!$B$5:$B$81,MATCH(B10002,Intent_Analysis!$A$5:$A$81,0))</f>
        <v>Exchange rates &amp; currencies</v>
      </c>
      <c r="D10002" s="0" t="n">
        <f aca="false">INDEX(Intent_Analysis!$E$5:$E$81,MATCH(B10002,Intent_Analysis!$A$5:$A$81,0))</f>
        <v>1</v>
      </c>
    </row>
    <row r="10003" customFormat="false" ht="15" hidden="false" customHeight="false" outlineLevel="0" collapsed="false">
      <c r="A10003" s="0" t="s">
        <v>10327</v>
      </c>
      <c r="B10003" s="0" t="s">
        <v>83</v>
      </c>
      <c r="C10003" s="0" t="str">
        <f aca="false">INDEX(Intent_Analysis!$B$5:$B$81,MATCH(B10003,Intent_Analysis!$A$5:$A$81,0))</f>
        <v>Exchange rates &amp; currencies</v>
      </c>
      <c r="D10003" s="0" t="n">
        <f aca="false">INDEX(Intent_Analysis!$E$5:$E$81,MATCH(B10003,Intent_Analysis!$A$5:$A$81,0))</f>
        <v>1</v>
      </c>
    </row>
    <row r="10004" customFormat="false" ht="15" hidden="false" customHeight="false" outlineLevel="0" collapsed="false">
      <c r="A10004" s="0" t="s">
        <v>10328</v>
      </c>
      <c r="B10004" s="0" t="s">
        <v>83</v>
      </c>
      <c r="C10004" s="0" t="str">
        <f aca="false">INDEX(Intent_Analysis!$B$5:$B$81,MATCH(B10004,Intent_Analysis!$A$5:$A$81,0))</f>
        <v>Exchange rates &amp; currencies</v>
      </c>
      <c r="D10004" s="0" t="n">
        <f aca="false">INDEX(Intent_Analysis!$E$5:$E$81,MATCH(B10004,Intent_Analysis!$A$5:$A$81,0))</f>
        <v>1</v>
      </c>
    </row>
  </sheetData>
  <autoFilter ref="A1:D100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2026-10-23T12:09:35Z</dcterms:created>
  <dc:creator>openpyxl</dc:creator>
  <dc:description/>
  <dc:language>en-US</dc:language>
  <cp:lastModifiedBy/>
  <dcterms:modified xsi:type="dcterms:W3CDTF">2026-10-23T12:09:38Z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